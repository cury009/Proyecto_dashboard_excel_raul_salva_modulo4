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\Desktop\"/>
    </mc:Choice>
  </mc:AlternateContent>
  <xr:revisionPtr revIDLastSave="0" documentId="13_ncr:1_{8439A63F-8E1A-4030-942F-5EFA64739413}" xr6:coauthVersionLast="47" xr6:coauthVersionMax="47" xr10:uidLastSave="{00000000-0000-0000-0000-000000000000}"/>
  <bookViews>
    <workbookView xWindow="-120" yWindow="-120" windowWidth="29040" windowHeight="15720" activeTab="4" xr2:uid="{6469286E-CF70-4E56-A5FD-06793342CF77}"/>
  </bookViews>
  <sheets>
    <sheet name="datos_ventas" sheetId="2" r:id="rId1"/>
    <sheet name="Referencias" sheetId="4" r:id="rId2"/>
    <sheet name="tablas_dinamicas" sheetId="1" r:id="rId3"/>
    <sheet name="Dashboard" sheetId="3" r:id="rId4"/>
    <sheet name="Informe explicativo del análisi" sheetId="6" r:id="rId5"/>
  </sheets>
  <definedNames>
    <definedName name="_xlcn.WorksheetConnection_Datos_ventas.xlsxdatos_ventas1" hidden="1">datos_ventas[]</definedName>
    <definedName name="DatosExternos_1" localSheetId="0" hidden="1">datos_ventas!$A$1:$N$5001</definedName>
    <definedName name="SegmentaciónDeDatos_Categoria">#N/A</definedName>
    <definedName name="SegmentaciónDeDatos_Ciudad">#N/A</definedName>
    <definedName name="SegmentaciónDeDatos_Fecha__mes">#N/A</definedName>
    <definedName name="SegmentaciónDeDatos_Metodo_Pago">#N/A</definedName>
    <definedName name="SegmentaciónDeDatos_Producto">#N/A</definedName>
    <definedName name="SegmentaciónDeDatos_Satisfaccion">#N/A</definedName>
  </definedNames>
  <calcPr calcId="191029"/>
  <pivotCaches>
    <pivotCache cacheId="105" r:id="rId6"/>
    <pivotCache cacheId="107" r:id="rId7"/>
    <pivotCache cacheId="112" r:id="rId8"/>
    <pivotCache cacheId="114" r:id="rId9"/>
    <pivotCache cacheId="103" r:id="rId10"/>
    <pivotCache cacheId="110" r:id="rId11"/>
  </pivotCaches>
  <extLst>
    <ext xmlns:x14="http://schemas.microsoft.com/office/spreadsheetml/2009/9/main" uri="{876F7934-8845-4945-9796-88D515C7AA90}">
      <x14:pivotCaches>
        <pivotCache cacheId="6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_ventas" name="datos_ventas" connection="WorksheetConnection_Datos_ventas.xlsx!datos_ventas"/>
        </x15:modelTables>
        <x15:extLst>
          <ext xmlns:x16="http://schemas.microsoft.com/office/spreadsheetml/2014/11/main" uri="{9835A34E-60A6-4A7C-AAB8-D5F71C897F49}">
            <x16:modelTimeGroupings>
              <x16:modelTimeGrouping tableName="datos_venta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B106" i="1"/>
  <c r="B105" i="1"/>
  <c r="B104" i="1"/>
  <c r="B103" i="1"/>
  <c r="K2" i="2"/>
  <c r="L2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L394" i="2" s="1"/>
  <c r="K395" i="2"/>
  <c r="L395" i="2" s="1"/>
  <c r="K396" i="2"/>
  <c r="L396" i="2" s="1"/>
  <c r="K397" i="2"/>
  <c r="L397" i="2" s="1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L406" i="2" s="1"/>
  <c r="K407" i="2"/>
  <c r="L407" i="2" s="1"/>
  <c r="K408" i="2"/>
  <c r="L408" i="2" s="1"/>
  <c r="K409" i="2"/>
  <c r="L409" i="2" s="1"/>
  <c r="K410" i="2"/>
  <c r="L410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8" i="2"/>
  <c r="L418" i="2" s="1"/>
  <c r="K419" i="2"/>
  <c r="L419" i="2" s="1"/>
  <c r="K420" i="2"/>
  <c r="L420" i="2" s="1"/>
  <c r="K421" i="2"/>
  <c r="L421" i="2" s="1"/>
  <c r="K422" i="2"/>
  <c r="L422" i="2" s="1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L430" i="2" s="1"/>
  <c r="K431" i="2"/>
  <c r="L431" i="2" s="1"/>
  <c r="K432" i="2"/>
  <c r="L432" i="2" s="1"/>
  <c r="K433" i="2"/>
  <c r="L433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7" i="2"/>
  <c r="L467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L501" i="2" s="1"/>
  <c r="K502" i="2"/>
  <c r="L502" i="2" s="1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565" i="2"/>
  <c r="L565" i="2" s="1"/>
  <c r="K566" i="2"/>
  <c r="L566" i="2" s="1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8" i="2"/>
  <c r="L578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2" i="2"/>
  <c r="L602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613" i="2"/>
  <c r="L613" i="2" s="1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2" i="2"/>
  <c r="L682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0" i="2"/>
  <c r="L690" i="2" s="1"/>
  <c r="K691" i="2"/>
  <c r="L691" i="2" s="1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6" i="2"/>
  <c r="L706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4" i="2"/>
  <c r="L714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L744" i="2" s="1"/>
  <c r="K745" i="2"/>
  <c r="L745" i="2" s="1"/>
  <c r="K746" i="2"/>
  <c r="L746" i="2" s="1"/>
  <c r="K747" i="2"/>
  <c r="L747" i="2" s="1"/>
  <c r="K748" i="2"/>
  <c r="L748" i="2" s="1"/>
  <c r="K749" i="2"/>
  <c r="L749" i="2" s="1"/>
  <c r="K750" i="2"/>
  <c r="L750" i="2" s="1"/>
  <c r="K751" i="2"/>
  <c r="L751" i="2" s="1"/>
  <c r="K752" i="2"/>
  <c r="L752" i="2" s="1"/>
  <c r="K753" i="2"/>
  <c r="L753" i="2" s="1"/>
  <c r="K754" i="2"/>
  <c r="L754" i="2" s="1"/>
  <c r="K755" i="2"/>
  <c r="L755" i="2" s="1"/>
  <c r="K756" i="2"/>
  <c r="L756" i="2" s="1"/>
  <c r="K757" i="2"/>
  <c r="L757" i="2" s="1"/>
  <c r="K758" i="2"/>
  <c r="L758" i="2" s="1"/>
  <c r="K759" i="2"/>
  <c r="L759" i="2" s="1"/>
  <c r="K760" i="2"/>
  <c r="L760" i="2" s="1"/>
  <c r="K761" i="2"/>
  <c r="L761" i="2" s="1"/>
  <c r="K762" i="2"/>
  <c r="L762" i="2" s="1"/>
  <c r="K763" i="2"/>
  <c r="L763" i="2" s="1"/>
  <c r="K764" i="2"/>
  <c r="L764" i="2" s="1"/>
  <c r="K765" i="2"/>
  <c r="L765" i="2" s="1"/>
  <c r="K766" i="2"/>
  <c r="L766" i="2" s="1"/>
  <c r="K767" i="2"/>
  <c r="L767" i="2" s="1"/>
  <c r="K768" i="2"/>
  <c r="L768" i="2" s="1"/>
  <c r="K769" i="2"/>
  <c r="L769" i="2" s="1"/>
  <c r="K770" i="2"/>
  <c r="L770" i="2" s="1"/>
  <c r="K771" i="2"/>
  <c r="L771" i="2" s="1"/>
  <c r="K772" i="2"/>
  <c r="L772" i="2" s="1"/>
  <c r="K773" i="2"/>
  <c r="L773" i="2" s="1"/>
  <c r="K774" i="2"/>
  <c r="L774" i="2" s="1"/>
  <c r="K775" i="2"/>
  <c r="L775" i="2" s="1"/>
  <c r="K776" i="2"/>
  <c r="L776" i="2" s="1"/>
  <c r="K777" i="2"/>
  <c r="L777" i="2" s="1"/>
  <c r="K778" i="2"/>
  <c r="L778" i="2" s="1"/>
  <c r="K779" i="2"/>
  <c r="L779" i="2" s="1"/>
  <c r="K780" i="2"/>
  <c r="L780" i="2" s="1"/>
  <c r="K781" i="2"/>
  <c r="L781" i="2" s="1"/>
  <c r="K782" i="2"/>
  <c r="L782" i="2" s="1"/>
  <c r="K783" i="2"/>
  <c r="L783" i="2" s="1"/>
  <c r="K784" i="2"/>
  <c r="L784" i="2" s="1"/>
  <c r="K785" i="2"/>
  <c r="L785" i="2" s="1"/>
  <c r="K786" i="2"/>
  <c r="L786" i="2" s="1"/>
  <c r="K787" i="2"/>
  <c r="L787" i="2" s="1"/>
  <c r="K788" i="2"/>
  <c r="L788" i="2" s="1"/>
  <c r="K789" i="2"/>
  <c r="L789" i="2" s="1"/>
  <c r="K790" i="2"/>
  <c r="L790" i="2" s="1"/>
  <c r="K791" i="2"/>
  <c r="L791" i="2" s="1"/>
  <c r="K792" i="2"/>
  <c r="L792" i="2" s="1"/>
  <c r="K793" i="2"/>
  <c r="L793" i="2" s="1"/>
  <c r="K794" i="2"/>
  <c r="L794" i="2" s="1"/>
  <c r="K795" i="2"/>
  <c r="L795" i="2" s="1"/>
  <c r="K796" i="2"/>
  <c r="L796" i="2" s="1"/>
  <c r="K797" i="2"/>
  <c r="L797" i="2" s="1"/>
  <c r="K798" i="2"/>
  <c r="L798" i="2" s="1"/>
  <c r="K799" i="2"/>
  <c r="L799" i="2" s="1"/>
  <c r="K800" i="2"/>
  <c r="L800" i="2" s="1"/>
  <c r="K801" i="2"/>
  <c r="L801" i="2" s="1"/>
  <c r="K802" i="2"/>
  <c r="L802" i="2" s="1"/>
  <c r="K803" i="2"/>
  <c r="L803" i="2" s="1"/>
  <c r="K804" i="2"/>
  <c r="L804" i="2" s="1"/>
  <c r="K805" i="2"/>
  <c r="L805" i="2" s="1"/>
  <c r="K806" i="2"/>
  <c r="L806" i="2" s="1"/>
  <c r="K807" i="2"/>
  <c r="L807" i="2" s="1"/>
  <c r="K808" i="2"/>
  <c r="L808" i="2" s="1"/>
  <c r="K809" i="2"/>
  <c r="L809" i="2" s="1"/>
  <c r="K810" i="2"/>
  <c r="L810" i="2" s="1"/>
  <c r="K811" i="2"/>
  <c r="L811" i="2" s="1"/>
  <c r="K812" i="2"/>
  <c r="L812" i="2" s="1"/>
  <c r="K813" i="2"/>
  <c r="L813" i="2" s="1"/>
  <c r="K814" i="2"/>
  <c r="L814" i="2" s="1"/>
  <c r="K815" i="2"/>
  <c r="L815" i="2" s="1"/>
  <c r="K816" i="2"/>
  <c r="L816" i="2" s="1"/>
  <c r="K817" i="2"/>
  <c r="L817" i="2" s="1"/>
  <c r="K818" i="2"/>
  <c r="L818" i="2" s="1"/>
  <c r="K819" i="2"/>
  <c r="L819" i="2" s="1"/>
  <c r="K820" i="2"/>
  <c r="L820" i="2" s="1"/>
  <c r="K821" i="2"/>
  <c r="L821" i="2" s="1"/>
  <c r="K822" i="2"/>
  <c r="L822" i="2" s="1"/>
  <c r="K823" i="2"/>
  <c r="L823" i="2" s="1"/>
  <c r="K824" i="2"/>
  <c r="L824" i="2" s="1"/>
  <c r="K825" i="2"/>
  <c r="L825" i="2" s="1"/>
  <c r="K826" i="2"/>
  <c r="L826" i="2" s="1"/>
  <c r="K827" i="2"/>
  <c r="L827" i="2" s="1"/>
  <c r="K828" i="2"/>
  <c r="L828" i="2" s="1"/>
  <c r="K829" i="2"/>
  <c r="L829" i="2" s="1"/>
  <c r="K830" i="2"/>
  <c r="L830" i="2" s="1"/>
  <c r="K831" i="2"/>
  <c r="L831" i="2" s="1"/>
  <c r="K832" i="2"/>
  <c r="L832" i="2" s="1"/>
  <c r="K833" i="2"/>
  <c r="L833" i="2" s="1"/>
  <c r="K834" i="2"/>
  <c r="L834" i="2" s="1"/>
  <c r="K835" i="2"/>
  <c r="L835" i="2" s="1"/>
  <c r="K836" i="2"/>
  <c r="L836" i="2" s="1"/>
  <c r="K837" i="2"/>
  <c r="L837" i="2" s="1"/>
  <c r="K838" i="2"/>
  <c r="L838" i="2" s="1"/>
  <c r="K839" i="2"/>
  <c r="L839" i="2" s="1"/>
  <c r="K840" i="2"/>
  <c r="L840" i="2" s="1"/>
  <c r="K841" i="2"/>
  <c r="L841" i="2" s="1"/>
  <c r="K842" i="2"/>
  <c r="L842" i="2" s="1"/>
  <c r="K843" i="2"/>
  <c r="L843" i="2" s="1"/>
  <c r="K844" i="2"/>
  <c r="L844" i="2" s="1"/>
  <c r="K845" i="2"/>
  <c r="L845" i="2" s="1"/>
  <c r="K846" i="2"/>
  <c r="L846" i="2" s="1"/>
  <c r="K847" i="2"/>
  <c r="L847" i="2" s="1"/>
  <c r="K848" i="2"/>
  <c r="L848" i="2" s="1"/>
  <c r="K849" i="2"/>
  <c r="L849" i="2" s="1"/>
  <c r="K850" i="2"/>
  <c r="L850" i="2" s="1"/>
  <c r="K851" i="2"/>
  <c r="L851" i="2" s="1"/>
  <c r="K852" i="2"/>
  <c r="L852" i="2" s="1"/>
  <c r="K853" i="2"/>
  <c r="L853" i="2" s="1"/>
  <c r="K854" i="2"/>
  <c r="L854" i="2" s="1"/>
  <c r="K855" i="2"/>
  <c r="L855" i="2" s="1"/>
  <c r="K856" i="2"/>
  <c r="L856" i="2" s="1"/>
  <c r="K857" i="2"/>
  <c r="L857" i="2" s="1"/>
  <c r="K858" i="2"/>
  <c r="L858" i="2" s="1"/>
  <c r="K859" i="2"/>
  <c r="L859" i="2" s="1"/>
  <c r="K860" i="2"/>
  <c r="L860" i="2" s="1"/>
  <c r="K861" i="2"/>
  <c r="L861" i="2" s="1"/>
  <c r="K862" i="2"/>
  <c r="L862" i="2" s="1"/>
  <c r="K863" i="2"/>
  <c r="L863" i="2" s="1"/>
  <c r="K864" i="2"/>
  <c r="L864" i="2" s="1"/>
  <c r="K865" i="2"/>
  <c r="L865" i="2" s="1"/>
  <c r="K866" i="2"/>
  <c r="L866" i="2" s="1"/>
  <c r="K867" i="2"/>
  <c r="L867" i="2" s="1"/>
  <c r="K868" i="2"/>
  <c r="L868" i="2" s="1"/>
  <c r="K869" i="2"/>
  <c r="L869" i="2" s="1"/>
  <c r="K870" i="2"/>
  <c r="L870" i="2" s="1"/>
  <c r="K871" i="2"/>
  <c r="L871" i="2" s="1"/>
  <c r="K872" i="2"/>
  <c r="L872" i="2" s="1"/>
  <c r="K873" i="2"/>
  <c r="L873" i="2" s="1"/>
  <c r="K874" i="2"/>
  <c r="L874" i="2" s="1"/>
  <c r="K875" i="2"/>
  <c r="L875" i="2" s="1"/>
  <c r="K876" i="2"/>
  <c r="L876" i="2" s="1"/>
  <c r="K877" i="2"/>
  <c r="L877" i="2" s="1"/>
  <c r="K878" i="2"/>
  <c r="L878" i="2" s="1"/>
  <c r="K879" i="2"/>
  <c r="L879" i="2" s="1"/>
  <c r="K880" i="2"/>
  <c r="L880" i="2" s="1"/>
  <c r="K881" i="2"/>
  <c r="L881" i="2" s="1"/>
  <c r="K882" i="2"/>
  <c r="L882" i="2" s="1"/>
  <c r="K883" i="2"/>
  <c r="L883" i="2" s="1"/>
  <c r="K884" i="2"/>
  <c r="L884" i="2" s="1"/>
  <c r="K885" i="2"/>
  <c r="L885" i="2" s="1"/>
  <c r="K886" i="2"/>
  <c r="L886" i="2" s="1"/>
  <c r="K887" i="2"/>
  <c r="L887" i="2" s="1"/>
  <c r="K888" i="2"/>
  <c r="L888" i="2" s="1"/>
  <c r="K889" i="2"/>
  <c r="L889" i="2" s="1"/>
  <c r="K890" i="2"/>
  <c r="L890" i="2" s="1"/>
  <c r="K891" i="2"/>
  <c r="L891" i="2" s="1"/>
  <c r="K892" i="2"/>
  <c r="L892" i="2" s="1"/>
  <c r="K893" i="2"/>
  <c r="L893" i="2" s="1"/>
  <c r="K894" i="2"/>
  <c r="L894" i="2" s="1"/>
  <c r="K895" i="2"/>
  <c r="L895" i="2" s="1"/>
  <c r="K896" i="2"/>
  <c r="L896" i="2" s="1"/>
  <c r="K897" i="2"/>
  <c r="L897" i="2" s="1"/>
  <c r="K898" i="2"/>
  <c r="L898" i="2" s="1"/>
  <c r="K899" i="2"/>
  <c r="L899" i="2" s="1"/>
  <c r="K900" i="2"/>
  <c r="L900" i="2" s="1"/>
  <c r="K901" i="2"/>
  <c r="L901" i="2" s="1"/>
  <c r="K902" i="2"/>
  <c r="L902" i="2" s="1"/>
  <c r="K903" i="2"/>
  <c r="L903" i="2" s="1"/>
  <c r="K904" i="2"/>
  <c r="L904" i="2" s="1"/>
  <c r="K905" i="2"/>
  <c r="L905" i="2" s="1"/>
  <c r="K906" i="2"/>
  <c r="L906" i="2" s="1"/>
  <c r="K907" i="2"/>
  <c r="L907" i="2" s="1"/>
  <c r="K908" i="2"/>
  <c r="L908" i="2" s="1"/>
  <c r="K909" i="2"/>
  <c r="L909" i="2" s="1"/>
  <c r="K910" i="2"/>
  <c r="L910" i="2" s="1"/>
  <c r="K911" i="2"/>
  <c r="L911" i="2" s="1"/>
  <c r="K912" i="2"/>
  <c r="L912" i="2" s="1"/>
  <c r="K913" i="2"/>
  <c r="L913" i="2" s="1"/>
  <c r="K914" i="2"/>
  <c r="L914" i="2" s="1"/>
  <c r="K915" i="2"/>
  <c r="L915" i="2" s="1"/>
  <c r="K916" i="2"/>
  <c r="L916" i="2" s="1"/>
  <c r="K917" i="2"/>
  <c r="L917" i="2" s="1"/>
  <c r="K918" i="2"/>
  <c r="L918" i="2" s="1"/>
  <c r="K919" i="2"/>
  <c r="L919" i="2" s="1"/>
  <c r="K920" i="2"/>
  <c r="L920" i="2" s="1"/>
  <c r="K921" i="2"/>
  <c r="L921" i="2" s="1"/>
  <c r="K922" i="2"/>
  <c r="L922" i="2" s="1"/>
  <c r="K923" i="2"/>
  <c r="L923" i="2" s="1"/>
  <c r="K924" i="2"/>
  <c r="L924" i="2" s="1"/>
  <c r="K925" i="2"/>
  <c r="L925" i="2" s="1"/>
  <c r="K926" i="2"/>
  <c r="L926" i="2" s="1"/>
  <c r="K927" i="2"/>
  <c r="L927" i="2" s="1"/>
  <c r="K928" i="2"/>
  <c r="L928" i="2" s="1"/>
  <c r="K929" i="2"/>
  <c r="L929" i="2" s="1"/>
  <c r="K930" i="2"/>
  <c r="L930" i="2" s="1"/>
  <c r="K931" i="2"/>
  <c r="L931" i="2" s="1"/>
  <c r="K932" i="2"/>
  <c r="L932" i="2" s="1"/>
  <c r="K933" i="2"/>
  <c r="L933" i="2" s="1"/>
  <c r="K934" i="2"/>
  <c r="L934" i="2" s="1"/>
  <c r="K935" i="2"/>
  <c r="L935" i="2" s="1"/>
  <c r="K936" i="2"/>
  <c r="L936" i="2" s="1"/>
  <c r="K937" i="2"/>
  <c r="L937" i="2" s="1"/>
  <c r="K938" i="2"/>
  <c r="L938" i="2" s="1"/>
  <c r="K939" i="2"/>
  <c r="L939" i="2" s="1"/>
  <c r="K940" i="2"/>
  <c r="L940" i="2" s="1"/>
  <c r="K941" i="2"/>
  <c r="L941" i="2" s="1"/>
  <c r="K942" i="2"/>
  <c r="L942" i="2" s="1"/>
  <c r="K943" i="2"/>
  <c r="L943" i="2" s="1"/>
  <c r="K944" i="2"/>
  <c r="L944" i="2" s="1"/>
  <c r="K945" i="2"/>
  <c r="L945" i="2" s="1"/>
  <c r="K946" i="2"/>
  <c r="L946" i="2" s="1"/>
  <c r="K947" i="2"/>
  <c r="L947" i="2" s="1"/>
  <c r="K948" i="2"/>
  <c r="L948" i="2" s="1"/>
  <c r="K949" i="2"/>
  <c r="L949" i="2" s="1"/>
  <c r="K950" i="2"/>
  <c r="L950" i="2" s="1"/>
  <c r="K951" i="2"/>
  <c r="L951" i="2" s="1"/>
  <c r="K952" i="2"/>
  <c r="L952" i="2" s="1"/>
  <c r="K953" i="2"/>
  <c r="L953" i="2" s="1"/>
  <c r="K954" i="2"/>
  <c r="L954" i="2" s="1"/>
  <c r="K955" i="2"/>
  <c r="L955" i="2" s="1"/>
  <c r="K956" i="2"/>
  <c r="L956" i="2" s="1"/>
  <c r="K957" i="2"/>
  <c r="L957" i="2" s="1"/>
  <c r="K958" i="2"/>
  <c r="L958" i="2" s="1"/>
  <c r="K959" i="2"/>
  <c r="L959" i="2" s="1"/>
  <c r="K960" i="2"/>
  <c r="L960" i="2" s="1"/>
  <c r="K961" i="2"/>
  <c r="L961" i="2" s="1"/>
  <c r="K962" i="2"/>
  <c r="L962" i="2" s="1"/>
  <c r="K963" i="2"/>
  <c r="L963" i="2" s="1"/>
  <c r="K964" i="2"/>
  <c r="L964" i="2" s="1"/>
  <c r="K965" i="2"/>
  <c r="L965" i="2" s="1"/>
  <c r="K966" i="2"/>
  <c r="L966" i="2" s="1"/>
  <c r="K967" i="2"/>
  <c r="L967" i="2" s="1"/>
  <c r="K968" i="2"/>
  <c r="L968" i="2" s="1"/>
  <c r="K969" i="2"/>
  <c r="L969" i="2" s="1"/>
  <c r="K970" i="2"/>
  <c r="L970" i="2" s="1"/>
  <c r="K971" i="2"/>
  <c r="L971" i="2" s="1"/>
  <c r="K972" i="2"/>
  <c r="L972" i="2" s="1"/>
  <c r="K973" i="2"/>
  <c r="L973" i="2" s="1"/>
  <c r="K974" i="2"/>
  <c r="L974" i="2" s="1"/>
  <c r="K975" i="2"/>
  <c r="L975" i="2" s="1"/>
  <c r="K976" i="2"/>
  <c r="L976" i="2" s="1"/>
  <c r="K977" i="2"/>
  <c r="L977" i="2" s="1"/>
  <c r="K978" i="2"/>
  <c r="L978" i="2" s="1"/>
  <c r="K979" i="2"/>
  <c r="L979" i="2" s="1"/>
  <c r="K980" i="2"/>
  <c r="L980" i="2" s="1"/>
  <c r="K981" i="2"/>
  <c r="L981" i="2" s="1"/>
  <c r="K982" i="2"/>
  <c r="L982" i="2" s="1"/>
  <c r="K983" i="2"/>
  <c r="L983" i="2" s="1"/>
  <c r="K984" i="2"/>
  <c r="L984" i="2" s="1"/>
  <c r="K985" i="2"/>
  <c r="L985" i="2" s="1"/>
  <c r="K986" i="2"/>
  <c r="L986" i="2" s="1"/>
  <c r="K987" i="2"/>
  <c r="L987" i="2" s="1"/>
  <c r="K988" i="2"/>
  <c r="L988" i="2" s="1"/>
  <c r="K989" i="2"/>
  <c r="L989" i="2" s="1"/>
  <c r="K990" i="2"/>
  <c r="L990" i="2" s="1"/>
  <c r="K991" i="2"/>
  <c r="L991" i="2" s="1"/>
  <c r="K992" i="2"/>
  <c r="L992" i="2" s="1"/>
  <c r="K993" i="2"/>
  <c r="L993" i="2" s="1"/>
  <c r="K994" i="2"/>
  <c r="L994" i="2" s="1"/>
  <c r="K995" i="2"/>
  <c r="L995" i="2" s="1"/>
  <c r="K996" i="2"/>
  <c r="L996" i="2" s="1"/>
  <c r="K997" i="2"/>
  <c r="L997" i="2" s="1"/>
  <c r="K998" i="2"/>
  <c r="L998" i="2" s="1"/>
  <c r="K999" i="2"/>
  <c r="L999" i="2" s="1"/>
  <c r="K1000" i="2"/>
  <c r="L1000" i="2" s="1"/>
  <c r="K1001" i="2"/>
  <c r="L1001" i="2" s="1"/>
  <c r="K1002" i="2"/>
  <c r="L1002" i="2" s="1"/>
  <c r="K1003" i="2"/>
  <c r="L1003" i="2" s="1"/>
  <c r="K1004" i="2"/>
  <c r="L1004" i="2" s="1"/>
  <c r="K1005" i="2"/>
  <c r="L1005" i="2" s="1"/>
  <c r="K1006" i="2"/>
  <c r="L1006" i="2" s="1"/>
  <c r="K1007" i="2"/>
  <c r="L1007" i="2" s="1"/>
  <c r="K1008" i="2"/>
  <c r="L1008" i="2" s="1"/>
  <c r="K1009" i="2"/>
  <c r="L1009" i="2" s="1"/>
  <c r="K1010" i="2"/>
  <c r="L1010" i="2" s="1"/>
  <c r="K1011" i="2"/>
  <c r="L1011" i="2" s="1"/>
  <c r="K1012" i="2"/>
  <c r="L1012" i="2" s="1"/>
  <c r="K1013" i="2"/>
  <c r="L1013" i="2" s="1"/>
  <c r="K1014" i="2"/>
  <c r="L1014" i="2" s="1"/>
  <c r="K1015" i="2"/>
  <c r="L1015" i="2" s="1"/>
  <c r="K1016" i="2"/>
  <c r="L1016" i="2" s="1"/>
  <c r="K1017" i="2"/>
  <c r="L1017" i="2" s="1"/>
  <c r="K1018" i="2"/>
  <c r="L1018" i="2" s="1"/>
  <c r="K1019" i="2"/>
  <c r="L1019" i="2" s="1"/>
  <c r="K1020" i="2"/>
  <c r="L1020" i="2" s="1"/>
  <c r="K1021" i="2"/>
  <c r="L1021" i="2" s="1"/>
  <c r="K1022" i="2"/>
  <c r="L1022" i="2" s="1"/>
  <c r="K1023" i="2"/>
  <c r="L1023" i="2" s="1"/>
  <c r="K1024" i="2"/>
  <c r="L1024" i="2" s="1"/>
  <c r="K1025" i="2"/>
  <c r="L1025" i="2" s="1"/>
  <c r="K1026" i="2"/>
  <c r="L1026" i="2" s="1"/>
  <c r="K1027" i="2"/>
  <c r="L1027" i="2" s="1"/>
  <c r="K1028" i="2"/>
  <c r="L1028" i="2" s="1"/>
  <c r="K1029" i="2"/>
  <c r="L1029" i="2" s="1"/>
  <c r="K1030" i="2"/>
  <c r="L1030" i="2" s="1"/>
  <c r="K1031" i="2"/>
  <c r="L1031" i="2" s="1"/>
  <c r="K1032" i="2"/>
  <c r="L1032" i="2" s="1"/>
  <c r="K1033" i="2"/>
  <c r="L1033" i="2" s="1"/>
  <c r="K1034" i="2"/>
  <c r="L1034" i="2" s="1"/>
  <c r="K1035" i="2"/>
  <c r="L1035" i="2" s="1"/>
  <c r="K1036" i="2"/>
  <c r="L1036" i="2" s="1"/>
  <c r="K1037" i="2"/>
  <c r="L1037" i="2" s="1"/>
  <c r="K1038" i="2"/>
  <c r="L1038" i="2" s="1"/>
  <c r="K1039" i="2"/>
  <c r="L1039" i="2" s="1"/>
  <c r="K1040" i="2"/>
  <c r="L1040" i="2" s="1"/>
  <c r="K1041" i="2"/>
  <c r="L1041" i="2" s="1"/>
  <c r="K1042" i="2"/>
  <c r="L1042" i="2" s="1"/>
  <c r="K1043" i="2"/>
  <c r="L1043" i="2" s="1"/>
  <c r="K1044" i="2"/>
  <c r="L1044" i="2" s="1"/>
  <c r="K1045" i="2"/>
  <c r="L1045" i="2" s="1"/>
  <c r="K1046" i="2"/>
  <c r="L1046" i="2" s="1"/>
  <c r="K1047" i="2"/>
  <c r="L1047" i="2" s="1"/>
  <c r="K1048" i="2"/>
  <c r="L1048" i="2" s="1"/>
  <c r="K1049" i="2"/>
  <c r="L1049" i="2" s="1"/>
  <c r="K1050" i="2"/>
  <c r="L1050" i="2" s="1"/>
  <c r="K1051" i="2"/>
  <c r="L1051" i="2" s="1"/>
  <c r="K1052" i="2"/>
  <c r="L1052" i="2" s="1"/>
  <c r="K1053" i="2"/>
  <c r="L1053" i="2" s="1"/>
  <c r="K1054" i="2"/>
  <c r="L1054" i="2" s="1"/>
  <c r="K1055" i="2"/>
  <c r="L1055" i="2" s="1"/>
  <c r="K1056" i="2"/>
  <c r="L1056" i="2" s="1"/>
  <c r="K1057" i="2"/>
  <c r="L1057" i="2" s="1"/>
  <c r="K1058" i="2"/>
  <c r="L1058" i="2" s="1"/>
  <c r="K1059" i="2"/>
  <c r="L1059" i="2" s="1"/>
  <c r="K1060" i="2"/>
  <c r="L1060" i="2" s="1"/>
  <c r="K1061" i="2"/>
  <c r="L1061" i="2" s="1"/>
  <c r="K1062" i="2"/>
  <c r="L1062" i="2" s="1"/>
  <c r="K1063" i="2"/>
  <c r="L1063" i="2" s="1"/>
  <c r="K1064" i="2"/>
  <c r="L1064" i="2" s="1"/>
  <c r="K1065" i="2"/>
  <c r="L1065" i="2" s="1"/>
  <c r="K1066" i="2"/>
  <c r="L1066" i="2" s="1"/>
  <c r="K1067" i="2"/>
  <c r="L1067" i="2" s="1"/>
  <c r="K1068" i="2"/>
  <c r="L1068" i="2" s="1"/>
  <c r="K1069" i="2"/>
  <c r="L1069" i="2" s="1"/>
  <c r="K1070" i="2"/>
  <c r="L1070" i="2" s="1"/>
  <c r="K1071" i="2"/>
  <c r="L1071" i="2" s="1"/>
  <c r="K1072" i="2"/>
  <c r="L1072" i="2" s="1"/>
  <c r="K1073" i="2"/>
  <c r="L1073" i="2" s="1"/>
  <c r="K1074" i="2"/>
  <c r="L1074" i="2" s="1"/>
  <c r="K1075" i="2"/>
  <c r="L1075" i="2" s="1"/>
  <c r="K1076" i="2"/>
  <c r="L1076" i="2" s="1"/>
  <c r="K1077" i="2"/>
  <c r="L1077" i="2" s="1"/>
  <c r="K1078" i="2"/>
  <c r="L1078" i="2" s="1"/>
  <c r="K1079" i="2"/>
  <c r="L1079" i="2" s="1"/>
  <c r="K1080" i="2"/>
  <c r="L1080" i="2" s="1"/>
  <c r="K1081" i="2"/>
  <c r="L1081" i="2" s="1"/>
  <c r="K1082" i="2"/>
  <c r="L1082" i="2" s="1"/>
  <c r="K1083" i="2"/>
  <c r="L1083" i="2" s="1"/>
  <c r="K1084" i="2"/>
  <c r="L1084" i="2" s="1"/>
  <c r="K1085" i="2"/>
  <c r="L1085" i="2" s="1"/>
  <c r="K1086" i="2"/>
  <c r="L1086" i="2" s="1"/>
  <c r="K1087" i="2"/>
  <c r="L1087" i="2" s="1"/>
  <c r="K1088" i="2"/>
  <c r="L1088" i="2" s="1"/>
  <c r="K1089" i="2"/>
  <c r="L1089" i="2" s="1"/>
  <c r="K1090" i="2"/>
  <c r="L1090" i="2" s="1"/>
  <c r="K1091" i="2"/>
  <c r="L1091" i="2" s="1"/>
  <c r="K1092" i="2"/>
  <c r="L1092" i="2" s="1"/>
  <c r="K1093" i="2"/>
  <c r="L1093" i="2" s="1"/>
  <c r="K1094" i="2"/>
  <c r="L1094" i="2" s="1"/>
  <c r="K1095" i="2"/>
  <c r="L1095" i="2" s="1"/>
  <c r="K1096" i="2"/>
  <c r="L1096" i="2" s="1"/>
  <c r="K1097" i="2"/>
  <c r="L1097" i="2" s="1"/>
  <c r="K1098" i="2"/>
  <c r="L1098" i="2" s="1"/>
  <c r="K1099" i="2"/>
  <c r="L1099" i="2" s="1"/>
  <c r="K1100" i="2"/>
  <c r="L1100" i="2" s="1"/>
  <c r="K1101" i="2"/>
  <c r="L1101" i="2" s="1"/>
  <c r="K1102" i="2"/>
  <c r="L1102" i="2" s="1"/>
  <c r="K1103" i="2"/>
  <c r="L1103" i="2" s="1"/>
  <c r="K1104" i="2"/>
  <c r="L1104" i="2" s="1"/>
  <c r="K1105" i="2"/>
  <c r="L1105" i="2" s="1"/>
  <c r="K1106" i="2"/>
  <c r="L1106" i="2" s="1"/>
  <c r="K1107" i="2"/>
  <c r="L1107" i="2" s="1"/>
  <c r="K1108" i="2"/>
  <c r="L1108" i="2" s="1"/>
  <c r="K1109" i="2"/>
  <c r="L1109" i="2" s="1"/>
  <c r="K1110" i="2"/>
  <c r="L1110" i="2" s="1"/>
  <c r="K1111" i="2"/>
  <c r="L1111" i="2" s="1"/>
  <c r="K1112" i="2"/>
  <c r="L1112" i="2" s="1"/>
  <c r="K1113" i="2"/>
  <c r="L1113" i="2" s="1"/>
  <c r="K1114" i="2"/>
  <c r="L1114" i="2" s="1"/>
  <c r="K1115" i="2"/>
  <c r="L1115" i="2" s="1"/>
  <c r="K1116" i="2"/>
  <c r="L1116" i="2" s="1"/>
  <c r="K1117" i="2"/>
  <c r="L1117" i="2" s="1"/>
  <c r="K1118" i="2"/>
  <c r="L1118" i="2" s="1"/>
  <c r="K1119" i="2"/>
  <c r="L1119" i="2" s="1"/>
  <c r="K1120" i="2"/>
  <c r="L1120" i="2" s="1"/>
  <c r="K1121" i="2"/>
  <c r="L1121" i="2" s="1"/>
  <c r="K1122" i="2"/>
  <c r="L1122" i="2" s="1"/>
  <c r="K1123" i="2"/>
  <c r="L1123" i="2" s="1"/>
  <c r="K1124" i="2"/>
  <c r="L1124" i="2" s="1"/>
  <c r="K1125" i="2"/>
  <c r="L1125" i="2" s="1"/>
  <c r="K1126" i="2"/>
  <c r="L1126" i="2" s="1"/>
  <c r="K1127" i="2"/>
  <c r="L1127" i="2" s="1"/>
  <c r="K1128" i="2"/>
  <c r="L1128" i="2" s="1"/>
  <c r="K1129" i="2"/>
  <c r="L1129" i="2" s="1"/>
  <c r="K1130" i="2"/>
  <c r="L1130" i="2" s="1"/>
  <c r="K1131" i="2"/>
  <c r="L1131" i="2" s="1"/>
  <c r="K1132" i="2"/>
  <c r="L1132" i="2" s="1"/>
  <c r="K1133" i="2"/>
  <c r="L1133" i="2" s="1"/>
  <c r="K1134" i="2"/>
  <c r="L1134" i="2" s="1"/>
  <c r="K1135" i="2"/>
  <c r="L1135" i="2" s="1"/>
  <c r="K1136" i="2"/>
  <c r="L1136" i="2" s="1"/>
  <c r="K1137" i="2"/>
  <c r="L1137" i="2" s="1"/>
  <c r="K1138" i="2"/>
  <c r="L1138" i="2" s="1"/>
  <c r="K1139" i="2"/>
  <c r="L1139" i="2" s="1"/>
  <c r="K1140" i="2"/>
  <c r="L1140" i="2" s="1"/>
  <c r="K1141" i="2"/>
  <c r="L1141" i="2" s="1"/>
  <c r="K1142" i="2"/>
  <c r="L1142" i="2" s="1"/>
  <c r="K1143" i="2"/>
  <c r="L1143" i="2" s="1"/>
  <c r="K1144" i="2"/>
  <c r="L1144" i="2" s="1"/>
  <c r="K1145" i="2"/>
  <c r="L1145" i="2" s="1"/>
  <c r="K1146" i="2"/>
  <c r="L1146" i="2" s="1"/>
  <c r="K1147" i="2"/>
  <c r="L1147" i="2" s="1"/>
  <c r="K1148" i="2"/>
  <c r="L1148" i="2" s="1"/>
  <c r="K1149" i="2"/>
  <c r="L1149" i="2" s="1"/>
  <c r="K1150" i="2"/>
  <c r="L1150" i="2" s="1"/>
  <c r="K1151" i="2"/>
  <c r="L1151" i="2" s="1"/>
  <c r="K1152" i="2"/>
  <c r="L1152" i="2" s="1"/>
  <c r="K1153" i="2"/>
  <c r="L1153" i="2" s="1"/>
  <c r="K1154" i="2"/>
  <c r="L1154" i="2" s="1"/>
  <c r="K1155" i="2"/>
  <c r="L1155" i="2" s="1"/>
  <c r="K1156" i="2"/>
  <c r="L1156" i="2" s="1"/>
  <c r="K1157" i="2"/>
  <c r="L1157" i="2" s="1"/>
  <c r="K1158" i="2"/>
  <c r="L1158" i="2" s="1"/>
  <c r="K1159" i="2"/>
  <c r="L1159" i="2" s="1"/>
  <c r="K1160" i="2"/>
  <c r="L1160" i="2" s="1"/>
  <c r="K1161" i="2"/>
  <c r="L1161" i="2" s="1"/>
  <c r="K1162" i="2"/>
  <c r="L1162" i="2" s="1"/>
  <c r="K1163" i="2"/>
  <c r="L1163" i="2" s="1"/>
  <c r="K1164" i="2"/>
  <c r="L1164" i="2" s="1"/>
  <c r="K1165" i="2"/>
  <c r="L1165" i="2" s="1"/>
  <c r="K1166" i="2"/>
  <c r="L1166" i="2" s="1"/>
  <c r="K1167" i="2"/>
  <c r="L1167" i="2" s="1"/>
  <c r="K1168" i="2"/>
  <c r="L1168" i="2" s="1"/>
  <c r="K1169" i="2"/>
  <c r="L1169" i="2" s="1"/>
  <c r="K1170" i="2"/>
  <c r="L1170" i="2" s="1"/>
  <c r="K1171" i="2"/>
  <c r="L1171" i="2" s="1"/>
  <c r="K1172" i="2"/>
  <c r="L1172" i="2" s="1"/>
  <c r="K1173" i="2"/>
  <c r="L1173" i="2" s="1"/>
  <c r="K1174" i="2"/>
  <c r="L1174" i="2" s="1"/>
  <c r="K1175" i="2"/>
  <c r="L1175" i="2" s="1"/>
  <c r="K1176" i="2"/>
  <c r="L1176" i="2" s="1"/>
  <c r="K1177" i="2"/>
  <c r="L1177" i="2" s="1"/>
  <c r="K1178" i="2"/>
  <c r="L1178" i="2" s="1"/>
  <c r="K1179" i="2"/>
  <c r="L1179" i="2" s="1"/>
  <c r="K1180" i="2"/>
  <c r="L1180" i="2" s="1"/>
  <c r="K1181" i="2"/>
  <c r="L1181" i="2" s="1"/>
  <c r="K1182" i="2"/>
  <c r="L1182" i="2" s="1"/>
  <c r="K1183" i="2"/>
  <c r="L1183" i="2" s="1"/>
  <c r="K1184" i="2"/>
  <c r="L1184" i="2" s="1"/>
  <c r="K1185" i="2"/>
  <c r="L1185" i="2" s="1"/>
  <c r="K1186" i="2"/>
  <c r="L1186" i="2" s="1"/>
  <c r="K1187" i="2"/>
  <c r="L1187" i="2" s="1"/>
  <c r="K1188" i="2"/>
  <c r="L1188" i="2" s="1"/>
  <c r="K1189" i="2"/>
  <c r="L1189" i="2" s="1"/>
  <c r="K1190" i="2"/>
  <c r="L1190" i="2" s="1"/>
  <c r="K1191" i="2"/>
  <c r="L1191" i="2" s="1"/>
  <c r="K1192" i="2"/>
  <c r="L1192" i="2" s="1"/>
  <c r="K1193" i="2"/>
  <c r="L1193" i="2" s="1"/>
  <c r="K1194" i="2"/>
  <c r="L1194" i="2" s="1"/>
  <c r="K1195" i="2"/>
  <c r="L1195" i="2" s="1"/>
  <c r="K1196" i="2"/>
  <c r="L1196" i="2" s="1"/>
  <c r="K1197" i="2"/>
  <c r="L1197" i="2" s="1"/>
  <c r="K1198" i="2"/>
  <c r="L1198" i="2" s="1"/>
  <c r="K1199" i="2"/>
  <c r="L1199" i="2" s="1"/>
  <c r="K1200" i="2"/>
  <c r="L1200" i="2" s="1"/>
  <c r="K1201" i="2"/>
  <c r="L1201" i="2" s="1"/>
  <c r="K1202" i="2"/>
  <c r="L1202" i="2" s="1"/>
  <c r="K1203" i="2"/>
  <c r="L1203" i="2" s="1"/>
  <c r="K1204" i="2"/>
  <c r="L1204" i="2" s="1"/>
  <c r="K1205" i="2"/>
  <c r="L1205" i="2" s="1"/>
  <c r="K1206" i="2"/>
  <c r="L1206" i="2" s="1"/>
  <c r="K1207" i="2"/>
  <c r="L1207" i="2" s="1"/>
  <c r="K1208" i="2"/>
  <c r="L1208" i="2" s="1"/>
  <c r="K1209" i="2"/>
  <c r="L1209" i="2" s="1"/>
  <c r="K1210" i="2"/>
  <c r="L1210" i="2" s="1"/>
  <c r="K1211" i="2"/>
  <c r="L1211" i="2" s="1"/>
  <c r="K1212" i="2"/>
  <c r="L1212" i="2" s="1"/>
  <c r="K1213" i="2"/>
  <c r="L1213" i="2" s="1"/>
  <c r="K1214" i="2"/>
  <c r="L1214" i="2" s="1"/>
  <c r="K1215" i="2"/>
  <c r="L1215" i="2" s="1"/>
  <c r="K1216" i="2"/>
  <c r="L1216" i="2" s="1"/>
  <c r="K1217" i="2"/>
  <c r="L1217" i="2" s="1"/>
  <c r="K1218" i="2"/>
  <c r="L1218" i="2" s="1"/>
  <c r="K1219" i="2"/>
  <c r="L1219" i="2" s="1"/>
  <c r="K1220" i="2"/>
  <c r="L1220" i="2" s="1"/>
  <c r="K1221" i="2"/>
  <c r="L1221" i="2" s="1"/>
  <c r="K1222" i="2"/>
  <c r="L1222" i="2" s="1"/>
  <c r="K1223" i="2"/>
  <c r="L1223" i="2" s="1"/>
  <c r="K1224" i="2"/>
  <c r="L1224" i="2" s="1"/>
  <c r="K1225" i="2"/>
  <c r="L1225" i="2" s="1"/>
  <c r="K1226" i="2"/>
  <c r="L1226" i="2" s="1"/>
  <c r="K1227" i="2"/>
  <c r="L1227" i="2" s="1"/>
  <c r="K1228" i="2"/>
  <c r="L1228" i="2" s="1"/>
  <c r="K1229" i="2"/>
  <c r="L1229" i="2" s="1"/>
  <c r="K1230" i="2"/>
  <c r="L1230" i="2" s="1"/>
  <c r="K1231" i="2"/>
  <c r="L1231" i="2" s="1"/>
  <c r="K1232" i="2"/>
  <c r="L1232" i="2" s="1"/>
  <c r="K1233" i="2"/>
  <c r="L1233" i="2" s="1"/>
  <c r="K1234" i="2"/>
  <c r="L1234" i="2" s="1"/>
  <c r="K1235" i="2"/>
  <c r="L1235" i="2" s="1"/>
  <c r="K1236" i="2"/>
  <c r="L1236" i="2" s="1"/>
  <c r="K1237" i="2"/>
  <c r="L1237" i="2" s="1"/>
  <c r="K1238" i="2"/>
  <c r="L1238" i="2" s="1"/>
  <c r="K1239" i="2"/>
  <c r="L1239" i="2" s="1"/>
  <c r="K1240" i="2"/>
  <c r="L1240" i="2" s="1"/>
  <c r="K1241" i="2"/>
  <c r="L1241" i="2" s="1"/>
  <c r="K1242" i="2"/>
  <c r="L1242" i="2" s="1"/>
  <c r="K1243" i="2"/>
  <c r="L1243" i="2" s="1"/>
  <c r="K1244" i="2"/>
  <c r="L1244" i="2" s="1"/>
  <c r="K1245" i="2"/>
  <c r="L1245" i="2" s="1"/>
  <c r="K1246" i="2"/>
  <c r="L1246" i="2" s="1"/>
  <c r="K1247" i="2"/>
  <c r="L1247" i="2" s="1"/>
  <c r="K1248" i="2"/>
  <c r="L1248" i="2" s="1"/>
  <c r="K1249" i="2"/>
  <c r="L1249" i="2" s="1"/>
  <c r="K1250" i="2"/>
  <c r="L1250" i="2" s="1"/>
  <c r="K1251" i="2"/>
  <c r="L1251" i="2" s="1"/>
  <c r="K1252" i="2"/>
  <c r="L1252" i="2" s="1"/>
  <c r="K1253" i="2"/>
  <c r="L1253" i="2" s="1"/>
  <c r="K1254" i="2"/>
  <c r="L1254" i="2" s="1"/>
  <c r="K1255" i="2"/>
  <c r="L1255" i="2" s="1"/>
  <c r="K1256" i="2"/>
  <c r="L1256" i="2" s="1"/>
  <c r="K1257" i="2"/>
  <c r="L1257" i="2" s="1"/>
  <c r="K1258" i="2"/>
  <c r="L1258" i="2" s="1"/>
  <c r="K1259" i="2"/>
  <c r="L1259" i="2" s="1"/>
  <c r="K1260" i="2"/>
  <c r="L1260" i="2" s="1"/>
  <c r="K1261" i="2"/>
  <c r="L1261" i="2" s="1"/>
  <c r="K1262" i="2"/>
  <c r="L1262" i="2" s="1"/>
  <c r="K1263" i="2"/>
  <c r="L1263" i="2" s="1"/>
  <c r="K1264" i="2"/>
  <c r="L1264" i="2" s="1"/>
  <c r="K1265" i="2"/>
  <c r="L1265" i="2" s="1"/>
  <c r="K1266" i="2"/>
  <c r="L1266" i="2" s="1"/>
  <c r="K1267" i="2"/>
  <c r="L1267" i="2" s="1"/>
  <c r="K1268" i="2"/>
  <c r="L1268" i="2" s="1"/>
  <c r="K1269" i="2"/>
  <c r="L1269" i="2" s="1"/>
  <c r="K1270" i="2"/>
  <c r="L1270" i="2" s="1"/>
  <c r="K1271" i="2"/>
  <c r="L1271" i="2" s="1"/>
  <c r="K1272" i="2"/>
  <c r="L1272" i="2" s="1"/>
  <c r="K1273" i="2"/>
  <c r="L1273" i="2" s="1"/>
  <c r="K1274" i="2"/>
  <c r="L1274" i="2" s="1"/>
  <c r="K1275" i="2"/>
  <c r="L1275" i="2" s="1"/>
  <c r="K1276" i="2"/>
  <c r="L1276" i="2" s="1"/>
  <c r="K1277" i="2"/>
  <c r="L1277" i="2" s="1"/>
  <c r="K1278" i="2"/>
  <c r="L1278" i="2" s="1"/>
  <c r="K1279" i="2"/>
  <c r="L1279" i="2" s="1"/>
  <c r="K1280" i="2"/>
  <c r="L1280" i="2" s="1"/>
  <c r="K1281" i="2"/>
  <c r="L1281" i="2" s="1"/>
  <c r="K1282" i="2"/>
  <c r="L1282" i="2" s="1"/>
  <c r="K1283" i="2"/>
  <c r="L1283" i="2" s="1"/>
  <c r="K1284" i="2"/>
  <c r="L1284" i="2" s="1"/>
  <c r="K1285" i="2"/>
  <c r="L1285" i="2" s="1"/>
  <c r="K1286" i="2"/>
  <c r="L1286" i="2" s="1"/>
  <c r="K1287" i="2"/>
  <c r="L1287" i="2" s="1"/>
  <c r="K1288" i="2"/>
  <c r="L1288" i="2" s="1"/>
  <c r="K1289" i="2"/>
  <c r="L1289" i="2" s="1"/>
  <c r="K1290" i="2"/>
  <c r="L1290" i="2" s="1"/>
  <c r="K1291" i="2"/>
  <c r="L1291" i="2" s="1"/>
  <c r="K1292" i="2"/>
  <c r="L1292" i="2" s="1"/>
  <c r="K1293" i="2"/>
  <c r="L1293" i="2" s="1"/>
  <c r="K1294" i="2"/>
  <c r="L1294" i="2" s="1"/>
  <c r="K1295" i="2"/>
  <c r="L1295" i="2" s="1"/>
  <c r="K1296" i="2"/>
  <c r="L1296" i="2" s="1"/>
  <c r="K1297" i="2"/>
  <c r="L1297" i="2" s="1"/>
  <c r="K1298" i="2"/>
  <c r="L1298" i="2" s="1"/>
  <c r="K1299" i="2"/>
  <c r="L1299" i="2" s="1"/>
  <c r="K1300" i="2"/>
  <c r="L1300" i="2" s="1"/>
  <c r="K1301" i="2"/>
  <c r="L1301" i="2" s="1"/>
  <c r="K1302" i="2"/>
  <c r="L1302" i="2" s="1"/>
  <c r="K1303" i="2"/>
  <c r="L1303" i="2" s="1"/>
  <c r="K1304" i="2"/>
  <c r="L1304" i="2" s="1"/>
  <c r="K1305" i="2"/>
  <c r="L1305" i="2" s="1"/>
  <c r="K1306" i="2"/>
  <c r="L1306" i="2" s="1"/>
  <c r="K1307" i="2"/>
  <c r="L1307" i="2" s="1"/>
  <c r="K1308" i="2"/>
  <c r="L1308" i="2" s="1"/>
  <c r="K1309" i="2"/>
  <c r="L1309" i="2" s="1"/>
  <c r="K1310" i="2"/>
  <c r="L1310" i="2" s="1"/>
  <c r="K1311" i="2"/>
  <c r="L1311" i="2" s="1"/>
  <c r="K1312" i="2"/>
  <c r="L1312" i="2" s="1"/>
  <c r="K1313" i="2"/>
  <c r="L1313" i="2" s="1"/>
  <c r="K1314" i="2"/>
  <c r="L1314" i="2" s="1"/>
  <c r="K1315" i="2"/>
  <c r="L1315" i="2" s="1"/>
  <c r="K1316" i="2"/>
  <c r="L1316" i="2" s="1"/>
  <c r="K1317" i="2"/>
  <c r="L1317" i="2" s="1"/>
  <c r="K1318" i="2"/>
  <c r="L1318" i="2" s="1"/>
  <c r="K1319" i="2"/>
  <c r="L1319" i="2" s="1"/>
  <c r="K1320" i="2"/>
  <c r="L1320" i="2" s="1"/>
  <c r="K1321" i="2"/>
  <c r="L1321" i="2" s="1"/>
  <c r="K1322" i="2"/>
  <c r="L1322" i="2" s="1"/>
  <c r="K1323" i="2"/>
  <c r="L1323" i="2" s="1"/>
  <c r="K1324" i="2"/>
  <c r="L1324" i="2" s="1"/>
  <c r="K1325" i="2"/>
  <c r="L1325" i="2" s="1"/>
  <c r="K1326" i="2"/>
  <c r="L1326" i="2" s="1"/>
  <c r="K1327" i="2"/>
  <c r="L1327" i="2" s="1"/>
  <c r="K1328" i="2"/>
  <c r="L1328" i="2" s="1"/>
  <c r="K1329" i="2"/>
  <c r="L1329" i="2" s="1"/>
  <c r="K1330" i="2"/>
  <c r="L1330" i="2" s="1"/>
  <c r="K1331" i="2"/>
  <c r="L1331" i="2" s="1"/>
  <c r="K1332" i="2"/>
  <c r="L1332" i="2" s="1"/>
  <c r="K1333" i="2"/>
  <c r="L1333" i="2" s="1"/>
  <c r="K1334" i="2"/>
  <c r="L1334" i="2" s="1"/>
  <c r="K1335" i="2"/>
  <c r="L1335" i="2" s="1"/>
  <c r="K1336" i="2"/>
  <c r="L1336" i="2" s="1"/>
  <c r="K1337" i="2"/>
  <c r="L1337" i="2" s="1"/>
  <c r="K1338" i="2"/>
  <c r="L1338" i="2" s="1"/>
  <c r="K1339" i="2"/>
  <c r="L1339" i="2" s="1"/>
  <c r="K1340" i="2"/>
  <c r="L1340" i="2" s="1"/>
  <c r="K1341" i="2"/>
  <c r="L1341" i="2" s="1"/>
  <c r="K1342" i="2"/>
  <c r="L1342" i="2" s="1"/>
  <c r="K1343" i="2"/>
  <c r="L1343" i="2" s="1"/>
  <c r="K1344" i="2"/>
  <c r="L1344" i="2" s="1"/>
  <c r="K1345" i="2"/>
  <c r="L1345" i="2" s="1"/>
  <c r="K1346" i="2"/>
  <c r="L1346" i="2" s="1"/>
  <c r="K1347" i="2"/>
  <c r="L1347" i="2" s="1"/>
  <c r="K1348" i="2"/>
  <c r="L1348" i="2" s="1"/>
  <c r="K1349" i="2"/>
  <c r="L1349" i="2" s="1"/>
  <c r="K1350" i="2"/>
  <c r="L1350" i="2" s="1"/>
  <c r="K1351" i="2"/>
  <c r="L1351" i="2" s="1"/>
  <c r="K1352" i="2"/>
  <c r="L1352" i="2" s="1"/>
  <c r="K1353" i="2"/>
  <c r="L1353" i="2" s="1"/>
  <c r="K1354" i="2"/>
  <c r="L1354" i="2" s="1"/>
  <c r="K1355" i="2"/>
  <c r="L1355" i="2" s="1"/>
  <c r="K1356" i="2"/>
  <c r="L1356" i="2" s="1"/>
  <c r="K1357" i="2"/>
  <c r="L1357" i="2" s="1"/>
  <c r="K1358" i="2"/>
  <c r="L1358" i="2" s="1"/>
  <c r="K1359" i="2"/>
  <c r="L1359" i="2" s="1"/>
  <c r="K1360" i="2"/>
  <c r="L1360" i="2" s="1"/>
  <c r="K1361" i="2"/>
  <c r="L1361" i="2" s="1"/>
  <c r="K1362" i="2"/>
  <c r="L1362" i="2" s="1"/>
  <c r="K1363" i="2"/>
  <c r="L1363" i="2" s="1"/>
  <c r="K1364" i="2"/>
  <c r="L1364" i="2" s="1"/>
  <c r="K1365" i="2"/>
  <c r="L1365" i="2" s="1"/>
  <c r="K1366" i="2"/>
  <c r="L1366" i="2" s="1"/>
  <c r="K1367" i="2"/>
  <c r="L1367" i="2" s="1"/>
  <c r="K1368" i="2"/>
  <c r="L1368" i="2" s="1"/>
  <c r="K1369" i="2"/>
  <c r="L1369" i="2" s="1"/>
  <c r="K1370" i="2"/>
  <c r="L1370" i="2" s="1"/>
  <c r="K1371" i="2"/>
  <c r="L1371" i="2" s="1"/>
  <c r="K1372" i="2"/>
  <c r="L1372" i="2" s="1"/>
  <c r="K1373" i="2"/>
  <c r="L1373" i="2" s="1"/>
  <c r="K1374" i="2"/>
  <c r="L1374" i="2" s="1"/>
  <c r="K1375" i="2"/>
  <c r="L1375" i="2" s="1"/>
  <c r="K1376" i="2"/>
  <c r="L1376" i="2" s="1"/>
  <c r="K1377" i="2"/>
  <c r="L1377" i="2" s="1"/>
  <c r="K1378" i="2"/>
  <c r="L1378" i="2" s="1"/>
  <c r="K1379" i="2"/>
  <c r="L1379" i="2" s="1"/>
  <c r="K1380" i="2"/>
  <c r="L1380" i="2" s="1"/>
  <c r="K1381" i="2"/>
  <c r="L1381" i="2" s="1"/>
  <c r="K1382" i="2"/>
  <c r="L1382" i="2" s="1"/>
  <c r="K1383" i="2"/>
  <c r="L1383" i="2" s="1"/>
  <c r="K1384" i="2"/>
  <c r="L1384" i="2" s="1"/>
  <c r="K1385" i="2"/>
  <c r="L1385" i="2" s="1"/>
  <c r="K1386" i="2"/>
  <c r="L1386" i="2" s="1"/>
  <c r="K1387" i="2"/>
  <c r="L1387" i="2" s="1"/>
  <c r="K1388" i="2"/>
  <c r="L1388" i="2" s="1"/>
  <c r="K1389" i="2"/>
  <c r="L1389" i="2" s="1"/>
  <c r="K1390" i="2"/>
  <c r="L1390" i="2" s="1"/>
  <c r="K1391" i="2"/>
  <c r="L1391" i="2" s="1"/>
  <c r="K1392" i="2"/>
  <c r="L1392" i="2" s="1"/>
  <c r="K1393" i="2"/>
  <c r="L1393" i="2" s="1"/>
  <c r="K1394" i="2"/>
  <c r="L1394" i="2" s="1"/>
  <c r="K1395" i="2"/>
  <c r="L1395" i="2" s="1"/>
  <c r="K1396" i="2"/>
  <c r="L1396" i="2" s="1"/>
  <c r="K1397" i="2"/>
  <c r="L1397" i="2" s="1"/>
  <c r="K1398" i="2"/>
  <c r="L1398" i="2" s="1"/>
  <c r="K1399" i="2"/>
  <c r="L1399" i="2" s="1"/>
  <c r="K1400" i="2"/>
  <c r="L1400" i="2" s="1"/>
  <c r="K1401" i="2"/>
  <c r="L1401" i="2" s="1"/>
  <c r="K1402" i="2"/>
  <c r="L1402" i="2" s="1"/>
  <c r="K1403" i="2"/>
  <c r="L1403" i="2" s="1"/>
  <c r="K1404" i="2"/>
  <c r="L1404" i="2" s="1"/>
  <c r="K1405" i="2"/>
  <c r="L1405" i="2" s="1"/>
  <c r="K1406" i="2"/>
  <c r="L1406" i="2" s="1"/>
  <c r="K1407" i="2"/>
  <c r="L1407" i="2" s="1"/>
  <c r="K1408" i="2"/>
  <c r="L1408" i="2" s="1"/>
  <c r="K1409" i="2"/>
  <c r="L1409" i="2" s="1"/>
  <c r="K1410" i="2"/>
  <c r="L1410" i="2" s="1"/>
  <c r="K1411" i="2"/>
  <c r="L1411" i="2" s="1"/>
  <c r="K1412" i="2"/>
  <c r="L1412" i="2" s="1"/>
  <c r="K1413" i="2"/>
  <c r="L1413" i="2" s="1"/>
  <c r="K1414" i="2"/>
  <c r="L1414" i="2" s="1"/>
  <c r="K1415" i="2"/>
  <c r="L1415" i="2" s="1"/>
  <c r="K1416" i="2"/>
  <c r="L1416" i="2" s="1"/>
  <c r="K1417" i="2"/>
  <c r="L1417" i="2" s="1"/>
  <c r="K1418" i="2"/>
  <c r="L1418" i="2" s="1"/>
  <c r="K1419" i="2"/>
  <c r="L1419" i="2" s="1"/>
  <c r="K1420" i="2"/>
  <c r="L1420" i="2" s="1"/>
  <c r="K1421" i="2"/>
  <c r="L1421" i="2" s="1"/>
  <c r="K1422" i="2"/>
  <c r="L1422" i="2" s="1"/>
  <c r="K1423" i="2"/>
  <c r="L1423" i="2" s="1"/>
  <c r="K1424" i="2"/>
  <c r="L1424" i="2" s="1"/>
  <c r="K1425" i="2"/>
  <c r="L1425" i="2" s="1"/>
  <c r="K1426" i="2"/>
  <c r="L1426" i="2" s="1"/>
  <c r="K1427" i="2"/>
  <c r="L1427" i="2" s="1"/>
  <c r="K1428" i="2"/>
  <c r="L1428" i="2" s="1"/>
  <c r="K1429" i="2"/>
  <c r="L1429" i="2" s="1"/>
  <c r="K1430" i="2"/>
  <c r="L1430" i="2" s="1"/>
  <c r="K1431" i="2"/>
  <c r="L1431" i="2" s="1"/>
  <c r="K1432" i="2"/>
  <c r="L1432" i="2" s="1"/>
  <c r="K1433" i="2"/>
  <c r="L1433" i="2" s="1"/>
  <c r="K1434" i="2"/>
  <c r="L1434" i="2" s="1"/>
  <c r="K1435" i="2"/>
  <c r="L1435" i="2" s="1"/>
  <c r="K1436" i="2"/>
  <c r="L1436" i="2" s="1"/>
  <c r="K1437" i="2"/>
  <c r="L1437" i="2" s="1"/>
  <c r="K1438" i="2"/>
  <c r="L1438" i="2" s="1"/>
  <c r="K1439" i="2"/>
  <c r="L1439" i="2" s="1"/>
  <c r="K1440" i="2"/>
  <c r="L1440" i="2" s="1"/>
  <c r="K1441" i="2"/>
  <c r="L1441" i="2" s="1"/>
  <c r="K1442" i="2"/>
  <c r="L1442" i="2" s="1"/>
  <c r="K1443" i="2"/>
  <c r="L1443" i="2" s="1"/>
  <c r="K1444" i="2"/>
  <c r="L1444" i="2" s="1"/>
  <c r="K1445" i="2"/>
  <c r="L1445" i="2" s="1"/>
  <c r="K1446" i="2"/>
  <c r="L1446" i="2" s="1"/>
  <c r="K1447" i="2"/>
  <c r="L1447" i="2" s="1"/>
  <c r="K1448" i="2"/>
  <c r="L1448" i="2" s="1"/>
  <c r="K1449" i="2"/>
  <c r="L1449" i="2" s="1"/>
  <c r="K1450" i="2"/>
  <c r="L1450" i="2" s="1"/>
  <c r="K1451" i="2"/>
  <c r="L1451" i="2" s="1"/>
  <c r="K1452" i="2"/>
  <c r="L1452" i="2" s="1"/>
  <c r="K1453" i="2"/>
  <c r="L1453" i="2" s="1"/>
  <c r="K1454" i="2"/>
  <c r="L1454" i="2" s="1"/>
  <c r="K1455" i="2"/>
  <c r="L1455" i="2" s="1"/>
  <c r="K1456" i="2"/>
  <c r="L1456" i="2" s="1"/>
  <c r="K1457" i="2"/>
  <c r="L1457" i="2" s="1"/>
  <c r="K1458" i="2"/>
  <c r="L1458" i="2" s="1"/>
  <c r="K1459" i="2"/>
  <c r="L1459" i="2" s="1"/>
  <c r="K1460" i="2"/>
  <c r="L1460" i="2" s="1"/>
  <c r="K1461" i="2"/>
  <c r="L1461" i="2" s="1"/>
  <c r="K1462" i="2"/>
  <c r="L1462" i="2" s="1"/>
  <c r="K1463" i="2"/>
  <c r="L1463" i="2" s="1"/>
  <c r="K1464" i="2"/>
  <c r="L1464" i="2" s="1"/>
  <c r="K1465" i="2"/>
  <c r="L1465" i="2" s="1"/>
  <c r="K1466" i="2"/>
  <c r="L1466" i="2" s="1"/>
  <c r="K1467" i="2"/>
  <c r="L1467" i="2" s="1"/>
  <c r="K1468" i="2"/>
  <c r="L1468" i="2" s="1"/>
  <c r="K1469" i="2"/>
  <c r="L1469" i="2" s="1"/>
  <c r="K1470" i="2"/>
  <c r="L1470" i="2" s="1"/>
  <c r="K1471" i="2"/>
  <c r="L1471" i="2" s="1"/>
  <c r="K1472" i="2"/>
  <c r="L1472" i="2" s="1"/>
  <c r="K1473" i="2"/>
  <c r="L1473" i="2" s="1"/>
  <c r="K1474" i="2"/>
  <c r="L1474" i="2" s="1"/>
  <c r="K1475" i="2"/>
  <c r="L1475" i="2" s="1"/>
  <c r="K1476" i="2"/>
  <c r="L1476" i="2" s="1"/>
  <c r="K1477" i="2"/>
  <c r="L1477" i="2" s="1"/>
  <c r="K1478" i="2"/>
  <c r="L1478" i="2" s="1"/>
  <c r="K1479" i="2"/>
  <c r="L1479" i="2" s="1"/>
  <c r="K1480" i="2"/>
  <c r="L1480" i="2" s="1"/>
  <c r="K1481" i="2"/>
  <c r="L1481" i="2" s="1"/>
  <c r="K1482" i="2"/>
  <c r="L1482" i="2" s="1"/>
  <c r="K1483" i="2"/>
  <c r="L1483" i="2" s="1"/>
  <c r="K1484" i="2"/>
  <c r="L1484" i="2" s="1"/>
  <c r="K1485" i="2"/>
  <c r="L1485" i="2" s="1"/>
  <c r="K1486" i="2"/>
  <c r="L1486" i="2" s="1"/>
  <c r="K1487" i="2"/>
  <c r="L1487" i="2" s="1"/>
  <c r="K1488" i="2"/>
  <c r="L1488" i="2" s="1"/>
  <c r="K1489" i="2"/>
  <c r="L1489" i="2" s="1"/>
  <c r="K1490" i="2"/>
  <c r="L1490" i="2" s="1"/>
  <c r="K1491" i="2"/>
  <c r="L1491" i="2" s="1"/>
  <c r="K1492" i="2"/>
  <c r="L1492" i="2" s="1"/>
  <c r="K1493" i="2"/>
  <c r="L1493" i="2" s="1"/>
  <c r="K1494" i="2"/>
  <c r="L1494" i="2" s="1"/>
  <c r="K1495" i="2"/>
  <c r="L1495" i="2" s="1"/>
  <c r="K1496" i="2"/>
  <c r="L1496" i="2" s="1"/>
  <c r="K1497" i="2"/>
  <c r="L1497" i="2" s="1"/>
  <c r="K1498" i="2"/>
  <c r="L1498" i="2" s="1"/>
  <c r="K1499" i="2"/>
  <c r="L1499" i="2" s="1"/>
  <c r="K1500" i="2"/>
  <c r="L1500" i="2" s="1"/>
  <c r="K1501" i="2"/>
  <c r="L1501" i="2" s="1"/>
  <c r="K1502" i="2"/>
  <c r="L1502" i="2" s="1"/>
  <c r="K1503" i="2"/>
  <c r="L1503" i="2" s="1"/>
  <c r="K1504" i="2"/>
  <c r="L1504" i="2" s="1"/>
  <c r="K1505" i="2"/>
  <c r="L1505" i="2" s="1"/>
  <c r="K1506" i="2"/>
  <c r="L1506" i="2" s="1"/>
  <c r="K1507" i="2"/>
  <c r="L1507" i="2" s="1"/>
  <c r="K1508" i="2"/>
  <c r="L1508" i="2" s="1"/>
  <c r="K1509" i="2"/>
  <c r="L1509" i="2" s="1"/>
  <c r="K1510" i="2"/>
  <c r="L1510" i="2" s="1"/>
  <c r="K1511" i="2"/>
  <c r="L1511" i="2" s="1"/>
  <c r="K1512" i="2"/>
  <c r="L1512" i="2" s="1"/>
  <c r="K1513" i="2"/>
  <c r="L1513" i="2" s="1"/>
  <c r="K1514" i="2"/>
  <c r="L1514" i="2" s="1"/>
  <c r="K1515" i="2"/>
  <c r="L1515" i="2" s="1"/>
  <c r="K1516" i="2"/>
  <c r="L1516" i="2" s="1"/>
  <c r="K1517" i="2"/>
  <c r="L1517" i="2" s="1"/>
  <c r="K1518" i="2"/>
  <c r="L1518" i="2" s="1"/>
  <c r="K1519" i="2"/>
  <c r="L1519" i="2" s="1"/>
  <c r="K1520" i="2"/>
  <c r="L1520" i="2" s="1"/>
  <c r="K1521" i="2"/>
  <c r="L1521" i="2" s="1"/>
  <c r="K1522" i="2"/>
  <c r="L1522" i="2" s="1"/>
  <c r="K1523" i="2"/>
  <c r="L1523" i="2" s="1"/>
  <c r="K1524" i="2"/>
  <c r="L1524" i="2" s="1"/>
  <c r="K1525" i="2"/>
  <c r="L1525" i="2" s="1"/>
  <c r="K1526" i="2"/>
  <c r="L1526" i="2" s="1"/>
  <c r="K1527" i="2"/>
  <c r="L1527" i="2" s="1"/>
  <c r="K1528" i="2"/>
  <c r="L1528" i="2" s="1"/>
  <c r="K1529" i="2"/>
  <c r="L1529" i="2" s="1"/>
  <c r="K1530" i="2"/>
  <c r="L1530" i="2" s="1"/>
  <c r="K1531" i="2"/>
  <c r="L1531" i="2" s="1"/>
  <c r="K1532" i="2"/>
  <c r="L1532" i="2" s="1"/>
  <c r="K1533" i="2"/>
  <c r="L1533" i="2" s="1"/>
  <c r="K1534" i="2"/>
  <c r="L1534" i="2" s="1"/>
  <c r="K1535" i="2"/>
  <c r="L1535" i="2" s="1"/>
  <c r="K1536" i="2"/>
  <c r="L1536" i="2" s="1"/>
  <c r="K1537" i="2"/>
  <c r="L1537" i="2" s="1"/>
  <c r="K1538" i="2"/>
  <c r="L1538" i="2" s="1"/>
  <c r="K1539" i="2"/>
  <c r="L1539" i="2" s="1"/>
  <c r="K1540" i="2"/>
  <c r="L1540" i="2" s="1"/>
  <c r="K1541" i="2"/>
  <c r="L1541" i="2" s="1"/>
  <c r="K1542" i="2"/>
  <c r="L1542" i="2" s="1"/>
  <c r="K1543" i="2"/>
  <c r="L1543" i="2" s="1"/>
  <c r="K1544" i="2"/>
  <c r="L1544" i="2" s="1"/>
  <c r="K1545" i="2"/>
  <c r="L1545" i="2" s="1"/>
  <c r="K1546" i="2"/>
  <c r="L1546" i="2" s="1"/>
  <c r="K1547" i="2"/>
  <c r="L1547" i="2" s="1"/>
  <c r="K1548" i="2"/>
  <c r="L1548" i="2" s="1"/>
  <c r="K1549" i="2"/>
  <c r="L1549" i="2" s="1"/>
  <c r="K1550" i="2"/>
  <c r="L1550" i="2" s="1"/>
  <c r="K1551" i="2"/>
  <c r="L1551" i="2" s="1"/>
  <c r="K1552" i="2"/>
  <c r="L1552" i="2" s="1"/>
  <c r="K1553" i="2"/>
  <c r="L1553" i="2" s="1"/>
  <c r="K1554" i="2"/>
  <c r="L1554" i="2" s="1"/>
  <c r="K1555" i="2"/>
  <c r="L1555" i="2" s="1"/>
  <c r="K1556" i="2"/>
  <c r="L1556" i="2" s="1"/>
  <c r="K1557" i="2"/>
  <c r="L1557" i="2" s="1"/>
  <c r="K1558" i="2"/>
  <c r="L1558" i="2" s="1"/>
  <c r="K1559" i="2"/>
  <c r="L1559" i="2" s="1"/>
  <c r="K1560" i="2"/>
  <c r="L1560" i="2" s="1"/>
  <c r="K1561" i="2"/>
  <c r="L1561" i="2" s="1"/>
  <c r="K1562" i="2"/>
  <c r="L1562" i="2" s="1"/>
  <c r="K1563" i="2"/>
  <c r="L1563" i="2" s="1"/>
  <c r="K1564" i="2"/>
  <c r="L1564" i="2" s="1"/>
  <c r="K1565" i="2"/>
  <c r="L1565" i="2" s="1"/>
  <c r="K1566" i="2"/>
  <c r="L1566" i="2" s="1"/>
  <c r="K1567" i="2"/>
  <c r="L1567" i="2" s="1"/>
  <c r="K1568" i="2"/>
  <c r="L1568" i="2" s="1"/>
  <c r="K1569" i="2"/>
  <c r="L1569" i="2" s="1"/>
  <c r="K1570" i="2"/>
  <c r="L1570" i="2" s="1"/>
  <c r="K1571" i="2"/>
  <c r="L1571" i="2" s="1"/>
  <c r="K1572" i="2"/>
  <c r="L1572" i="2" s="1"/>
  <c r="K1573" i="2"/>
  <c r="L1573" i="2" s="1"/>
  <c r="K1574" i="2"/>
  <c r="L1574" i="2" s="1"/>
  <c r="K1575" i="2"/>
  <c r="L1575" i="2" s="1"/>
  <c r="K1576" i="2"/>
  <c r="L1576" i="2" s="1"/>
  <c r="K1577" i="2"/>
  <c r="L1577" i="2" s="1"/>
  <c r="K1578" i="2"/>
  <c r="L1578" i="2" s="1"/>
  <c r="K1579" i="2"/>
  <c r="L1579" i="2" s="1"/>
  <c r="K1580" i="2"/>
  <c r="L1580" i="2" s="1"/>
  <c r="K1581" i="2"/>
  <c r="L1581" i="2" s="1"/>
  <c r="K1582" i="2"/>
  <c r="L1582" i="2" s="1"/>
  <c r="K1583" i="2"/>
  <c r="L1583" i="2" s="1"/>
  <c r="K1584" i="2"/>
  <c r="L1584" i="2" s="1"/>
  <c r="K1585" i="2"/>
  <c r="L1585" i="2" s="1"/>
  <c r="K1586" i="2"/>
  <c r="L1586" i="2" s="1"/>
  <c r="K1587" i="2"/>
  <c r="L1587" i="2" s="1"/>
  <c r="K1588" i="2"/>
  <c r="L1588" i="2" s="1"/>
  <c r="K1589" i="2"/>
  <c r="L1589" i="2" s="1"/>
  <c r="K1590" i="2"/>
  <c r="L1590" i="2" s="1"/>
  <c r="K1591" i="2"/>
  <c r="L1591" i="2" s="1"/>
  <c r="K1592" i="2"/>
  <c r="L1592" i="2" s="1"/>
  <c r="K1593" i="2"/>
  <c r="L1593" i="2" s="1"/>
  <c r="K1594" i="2"/>
  <c r="L1594" i="2" s="1"/>
  <c r="K1595" i="2"/>
  <c r="L1595" i="2" s="1"/>
  <c r="K1596" i="2"/>
  <c r="L1596" i="2" s="1"/>
  <c r="K1597" i="2"/>
  <c r="L1597" i="2" s="1"/>
  <c r="K1598" i="2"/>
  <c r="L1598" i="2" s="1"/>
  <c r="K1599" i="2"/>
  <c r="L1599" i="2" s="1"/>
  <c r="K1600" i="2"/>
  <c r="L1600" i="2" s="1"/>
  <c r="K1601" i="2"/>
  <c r="L1601" i="2" s="1"/>
  <c r="K1602" i="2"/>
  <c r="L1602" i="2" s="1"/>
  <c r="K1603" i="2"/>
  <c r="L1603" i="2" s="1"/>
  <c r="K1604" i="2"/>
  <c r="L1604" i="2" s="1"/>
  <c r="K1605" i="2"/>
  <c r="L1605" i="2" s="1"/>
  <c r="K1606" i="2"/>
  <c r="L1606" i="2" s="1"/>
  <c r="K1607" i="2"/>
  <c r="L1607" i="2" s="1"/>
  <c r="K1608" i="2"/>
  <c r="L1608" i="2" s="1"/>
  <c r="K1609" i="2"/>
  <c r="L1609" i="2" s="1"/>
  <c r="K1610" i="2"/>
  <c r="L1610" i="2" s="1"/>
  <c r="K1611" i="2"/>
  <c r="L1611" i="2" s="1"/>
  <c r="K1612" i="2"/>
  <c r="L1612" i="2" s="1"/>
  <c r="K1613" i="2"/>
  <c r="L1613" i="2" s="1"/>
  <c r="K1614" i="2"/>
  <c r="L1614" i="2" s="1"/>
  <c r="K1615" i="2"/>
  <c r="L1615" i="2" s="1"/>
  <c r="K1616" i="2"/>
  <c r="L1616" i="2" s="1"/>
  <c r="K1617" i="2"/>
  <c r="L1617" i="2" s="1"/>
  <c r="K1618" i="2"/>
  <c r="L1618" i="2" s="1"/>
  <c r="K1619" i="2"/>
  <c r="L1619" i="2" s="1"/>
  <c r="K1620" i="2"/>
  <c r="L1620" i="2" s="1"/>
  <c r="K1621" i="2"/>
  <c r="L1621" i="2" s="1"/>
  <c r="K1622" i="2"/>
  <c r="L1622" i="2" s="1"/>
  <c r="K1623" i="2"/>
  <c r="L1623" i="2" s="1"/>
  <c r="K1624" i="2"/>
  <c r="L1624" i="2" s="1"/>
  <c r="K1625" i="2"/>
  <c r="L1625" i="2" s="1"/>
  <c r="K1626" i="2"/>
  <c r="L1626" i="2" s="1"/>
  <c r="K1627" i="2"/>
  <c r="L1627" i="2" s="1"/>
  <c r="K1628" i="2"/>
  <c r="L1628" i="2" s="1"/>
  <c r="K1629" i="2"/>
  <c r="L1629" i="2" s="1"/>
  <c r="K1630" i="2"/>
  <c r="L1630" i="2" s="1"/>
  <c r="K1631" i="2"/>
  <c r="L1631" i="2" s="1"/>
  <c r="K1632" i="2"/>
  <c r="L1632" i="2" s="1"/>
  <c r="K1633" i="2"/>
  <c r="L1633" i="2" s="1"/>
  <c r="K1634" i="2"/>
  <c r="L1634" i="2" s="1"/>
  <c r="K1635" i="2"/>
  <c r="L1635" i="2" s="1"/>
  <c r="K1636" i="2"/>
  <c r="L1636" i="2" s="1"/>
  <c r="K1637" i="2"/>
  <c r="L1637" i="2" s="1"/>
  <c r="K1638" i="2"/>
  <c r="L1638" i="2" s="1"/>
  <c r="K1639" i="2"/>
  <c r="L1639" i="2" s="1"/>
  <c r="K1640" i="2"/>
  <c r="L1640" i="2" s="1"/>
  <c r="K1641" i="2"/>
  <c r="L1641" i="2" s="1"/>
  <c r="K1642" i="2"/>
  <c r="L1642" i="2" s="1"/>
  <c r="K1643" i="2"/>
  <c r="L1643" i="2" s="1"/>
  <c r="K1644" i="2"/>
  <c r="L1644" i="2" s="1"/>
  <c r="K1645" i="2"/>
  <c r="L1645" i="2" s="1"/>
  <c r="K1646" i="2"/>
  <c r="L1646" i="2" s="1"/>
  <c r="K1647" i="2"/>
  <c r="L1647" i="2" s="1"/>
  <c r="K1648" i="2"/>
  <c r="L1648" i="2" s="1"/>
  <c r="K1649" i="2"/>
  <c r="L1649" i="2" s="1"/>
  <c r="K1650" i="2"/>
  <c r="L1650" i="2" s="1"/>
  <c r="K1651" i="2"/>
  <c r="L1651" i="2" s="1"/>
  <c r="K1652" i="2"/>
  <c r="L1652" i="2" s="1"/>
  <c r="K1653" i="2"/>
  <c r="L1653" i="2" s="1"/>
  <c r="K1654" i="2"/>
  <c r="L1654" i="2" s="1"/>
  <c r="K1655" i="2"/>
  <c r="L1655" i="2" s="1"/>
  <c r="K1656" i="2"/>
  <c r="L1656" i="2" s="1"/>
  <c r="K1657" i="2"/>
  <c r="L1657" i="2" s="1"/>
  <c r="K1658" i="2"/>
  <c r="L1658" i="2" s="1"/>
  <c r="K1659" i="2"/>
  <c r="L1659" i="2" s="1"/>
  <c r="K1660" i="2"/>
  <c r="L1660" i="2" s="1"/>
  <c r="K1661" i="2"/>
  <c r="L1661" i="2" s="1"/>
  <c r="K1662" i="2"/>
  <c r="L1662" i="2" s="1"/>
  <c r="K1663" i="2"/>
  <c r="L1663" i="2" s="1"/>
  <c r="K1664" i="2"/>
  <c r="L1664" i="2" s="1"/>
  <c r="K1665" i="2"/>
  <c r="L1665" i="2" s="1"/>
  <c r="K1666" i="2"/>
  <c r="L1666" i="2" s="1"/>
  <c r="K1667" i="2"/>
  <c r="L1667" i="2" s="1"/>
  <c r="K1668" i="2"/>
  <c r="L1668" i="2" s="1"/>
  <c r="K1669" i="2"/>
  <c r="L1669" i="2" s="1"/>
  <c r="K1670" i="2"/>
  <c r="L1670" i="2" s="1"/>
  <c r="K1671" i="2"/>
  <c r="L1671" i="2" s="1"/>
  <c r="K1672" i="2"/>
  <c r="L1672" i="2" s="1"/>
  <c r="K1673" i="2"/>
  <c r="L1673" i="2" s="1"/>
  <c r="K1674" i="2"/>
  <c r="L1674" i="2" s="1"/>
  <c r="K1675" i="2"/>
  <c r="L1675" i="2" s="1"/>
  <c r="K1676" i="2"/>
  <c r="L1676" i="2" s="1"/>
  <c r="K1677" i="2"/>
  <c r="L1677" i="2" s="1"/>
  <c r="K1678" i="2"/>
  <c r="L1678" i="2" s="1"/>
  <c r="K1679" i="2"/>
  <c r="L1679" i="2" s="1"/>
  <c r="K1680" i="2"/>
  <c r="L1680" i="2" s="1"/>
  <c r="K1681" i="2"/>
  <c r="L1681" i="2" s="1"/>
  <c r="K1682" i="2"/>
  <c r="L1682" i="2" s="1"/>
  <c r="K1683" i="2"/>
  <c r="L1683" i="2" s="1"/>
  <c r="K1684" i="2"/>
  <c r="L1684" i="2" s="1"/>
  <c r="K1685" i="2"/>
  <c r="L1685" i="2" s="1"/>
  <c r="K1686" i="2"/>
  <c r="L1686" i="2" s="1"/>
  <c r="K1687" i="2"/>
  <c r="L1687" i="2" s="1"/>
  <c r="K1688" i="2"/>
  <c r="L1688" i="2" s="1"/>
  <c r="K1689" i="2"/>
  <c r="L1689" i="2" s="1"/>
  <c r="K1690" i="2"/>
  <c r="L1690" i="2" s="1"/>
  <c r="K1691" i="2"/>
  <c r="L1691" i="2" s="1"/>
  <c r="K1692" i="2"/>
  <c r="L1692" i="2" s="1"/>
  <c r="K1693" i="2"/>
  <c r="L1693" i="2" s="1"/>
  <c r="K1694" i="2"/>
  <c r="L1694" i="2" s="1"/>
  <c r="K1695" i="2"/>
  <c r="L1695" i="2" s="1"/>
  <c r="K1696" i="2"/>
  <c r="L1696" i="2" s="1"/>
  <c r="K1697" i="2"/>
  <c r="L1697" i="2" s="1"/>
  <c r="K1698" i="2"/>
  <c r="L1698" i="2" s="1"/>
  <c r="K1699" i="2"/>
  <c r="L1699" i="2" s="1"/>
  <c r="K1700" i="2"/>
  <c r="L1700" i="2" s="1"/>
  <c r="K1701" i="2"/>
  <c r="L1701" i="2" s="1"/>
  <c r="K1702" i="2"/>
  <c r="L1702" i="2" s="1"/>
  <c r="K1703" i="2"/>
  <c r="L1703" i="2" s="1"/>
  <c r="K1704" i="2"/>
  <c r="L1704" i="2" s="1"/>
  <c r="K1705" i="2"/>
  <c r="L1705" i="2" s="1"/>
  <c r="K1706" i="2"/>
  <c r="L1706" i="2" s="1"/>
  <c r="K1707" i="2"/>
  <c r="L1707" i="2" s="1"/>
  <c r="K1708" i="2"/>
  <c r="L1708" i="2" s="1"/>
  <c r="K1709" i="2"/>
  <c r="L1709" i="2" s="1"/>
  <c r="K1710" i="2"/>
  <c r="L1710" i="2" s="1"/>
  <c r="K1711" i="2"/>
  <c r="L1711" i="2" s="1"/>
  <c r="K1712" i="2"/>
  <c r="L1712" i="2" s="1"/>
  <c r="K1713" i="2"/>
  <c r="L1713" i="2" s="1"/>
  <c r="K1714" i="2"/>
  <c r="L1714" i="2" s="1"/>
  <c r="K1715" i="2"/>
  <c r="L1715" i="2" s="1"/>
  <c r="K1716" i="2"/>
  <c r="L1716" i="2" s="1"/>
  <c r="K1717" i="2"/>
  <c r="L1717" i="2" s="1"/>
  <c r="K1718" i="2"/>
  <c r="L1718" i="2" s="1"/>
  <c r="K1719" i="2"/>
  <c r="L1719" i="2" s="1"/>
  <c r="K1720" i="2"/>
  <c r="L1720" i="2" s="1"/>
  <c r="K1721" i="2"/>
  <c r="L1721" i="2" s="1"/>
  <c r="K1722" i="2"/>
  <c r="L1722" i="2" s="1"/>
  <c r="K1723" i="2"/>
  <c r="L1723" i="2" s="1"/>
  <c r="K1724" i="2"/>
  <c r="L1724" i="2" s="1"/>
  <c r="K1725" i="2"/>
  <c r="L1725" i="2" s="1"/>
  <c r="K1726" i="2"/>
  <c r="L1726" i="2" s="1"/>
  <c r="K1727" i="2"/>
  <c r="L1727" i="2" s="1"/>
  <c r="K1728" i="2"/>
  <c r="L1728" i="2" s="1"/>
  <c r="K1729" i="2"/>
  <c r="L1729" i="2" s="1"/>
  <c r="K1730" i="2"/>
  <c r="L1730" i="2" s="1"/>
  <c r="K1731" i="2"/>
  <c r="L1731" i="2" s="1"/>
  <c r="K1732" i="2"/>
  <c r="L1732" i="2" s="1"/>
  <c r="K1733" i="2"/>
  <c r="L1733" i="2" s="1"/>
  <c r="K1734" i="2"/>
  <c r="L1734" i="2" s="1"/>
  <c r="K1735" i="2"/>
  <c r="L1735" i="2" s="1"/>
  <c r="K1736" i="2"/>
  <c r="L1736" i="2" s="1"/>
  <c r="K1737" i="2"/>
  <c r="L1737" i="2" s="1"/>
  <c r="K1738" i="2"/>
  <c r="L1738" i="2" s="1"/>
  <c r="K1739" i="2"/>
  <c r="L1739" i="2" s="1"/>
  <c r="K1740" i="2"/>
  <c r="L1740" i="2" s="1"/>
  <c r="K1741" i="2"/>
  <c r="L1741" i="2" s="1"/>
  <c r="K1742" i="2"/>
  <c r="L1742" i="2" s="1"/>
  <c r="K1743" i="2"/>
  <c r="L1743" i="2" s="1"/>
  <c r="K1744" i="2"/>
  <c r="L1744" i="2" s="1"/>
  <c r="K1745" i="2"/>
  <c r="L1745" i="2" s="1"/>
  <c r="K1746" i="2"/>
  <c r="L1746" i="2" s="1"/>
  <c r="K1747" i="2"/>
  <c r="L1747" i="2" s="1"/>
  <c r="K1748" i="2"/>
  <c r="L1748" i="2" s="1"/>
  <c r="K1749" i="2"/>
  <c r="L1749" i="2" s="1"/>
  <c r="K1750" i="2"/>
  <c r="L1750" i="2" s="1"/>
  <c r="K1751" i="2"/>
  <c r="L1751" i="2" s="1"/>
  <c r="K1752" i="2"/>
  <c r="L1752" i="2" s="1"/>
  <c r="K1753" i="2"/>
  <c r="L1753" i="2" s="1"/>
  <c r="K1754" i="2"/>
  <c r="L1754" i="2" s="1"/>
  <c r="K1755" i="2"/>
  <c r="L1755" i="2" s="1"/>
  <c r="K1756" i="2"/>
  <c r="L1756" i="2" s="1"/>
  <c r="K1757" i="2"/>
  <c r="L1757" i="2" s="1"/>
  <c r="K1758" i="2"/>
  <c r="L1758" i="2" s="1"/>
  <c r="K1759" i="2"/>
  <c r="L1759" i="2" s="1"/>
  <c r="K1760" i="2"/>
  <c r="L1760" i="2" s="1"/>
  <c r="K1761" i="2"/>
  <c r="L1761" i="2" s="1"/>
  <c r="K1762" i="2"/>
  <c r="L1762" i="2" s="1"/>
  <c r="K1763" i="2"/>
  <c r="L1763" i="2" s="1"/>
  <c r="K1764" i="2"/>
  <c r="L1764" i="2" s="1"/>
  <c r="K1765" i="2"/>
  <c r="L1765" i="2" s="1"/>
  <c r="K1766" i="2"/>
  <c r="L1766" i="2" s="1"/>
  <c r="K1767" i="2"/>
  <c r="L1767" i="2" s="1"/>
  <c r="K1768" i="2"/>
  <c r="L1768" i="2" s="1"/>
  <c r="K1769" i="2"/>
  <c r="L1769" i="2" s="1"/>
  <c r="K1770" i="2"/>
  <c r="L1770" i="2" s="1"/>
  <c r="K1771" i="2"/>
  <c r="L1771" i="2" s="1"/>
  <c r="K1772" i="2"/>
  <c r="L1772" i="2" s="1"/>
  <c r="K1773" i="2"/>
  <c r="L1773" i="2" s="1"/>
  <c r="K1774" i="2"/>
  <c r="L1774" i="2" s="1"/>
  <c r="K1775" i="2"/>
  <c r="L1775" i="2" s="1"/>
  <c r="K1776" i="2"/>
  <c r="L1776" i="2" s="1"/>
  <c r="K1777" i="2"/>
  <c r="L1777" i="2" s="1"/>
  <c r="K1778" i="2"/>
  <c r="L1778" i="2" s="1"/>
  <c r="K1779" i="2"/>
  <c r="L1779" i="2" s="1"/>
  <c r="K1780" i="2"/>
  <c r="L1780" i="2" s="1"/>
  <c r="K1781" i="2"/>
  <c r="L1781" i="2" s="1"/>
  <c r="K1782" i="2"/>
  <c r="L1782" i="2" s="1"/>
  <c r="K1783" i="2"/>
  <c r="L1783" i="2" s="1"/>
  <c r="K1784" i="2"/>
  <c r="L1784" i="2" s="1"/>
  <c r="K1785" i="2"/>
  <c r="L1785" i="2" s="1"/>
  <c r="K1786" i="2"/>
  <c r="L1786" i="2" s="1"/>
  <c r="K1787" i="2"/>
  <c r="L1787" i="2" s="1"/>
  <c r="K1788" i="2"/>
  <c r="L1788" i="2" s="1"/>
  <c r="K1789" i="2"/>
  <c r="L1789" i="2" s="1"/>
  <c r="K1790" i="2"/>
  <c r="L1790" i="2" s="1"/>
  <c r="K1791" i="2"/>
  <c r="L1791" i="2" s="1"/>
  <c r="K1792" i="2"/>
  <c r="L1792" i="2" s="1"/>
  <c r="K1793" i="2"/>
  <c r="L1793" i="2" s="1"/>
  <c r="K1794" i="2"/>
  <c r="L1794" i="2" s="1"/>
  <c r="K1795" i="2"/>
  <c r="L1795" i="2" s="1"/>
  <c r="K1796" i="2"/>
  <c r="L1796" i="2" s="1"/>
  <c r="K1797" i="2"/>
  <c r="L1797" i="2" s="1"/>
  <c r="K1798" i="2"/>
  <c r="L1798" i="2" s="1"/>
  <c r="K1799" i="2"/>
  <c r="L1799" i="2" s="1"/>
  <c r="K1800" i="2"/>
  <c r="L1800" i="2" s="1"/>
  <c r="K1801" i="2"/>
  <c r="L1801" i="2" s="1"/>
  <c r="K1802" i="2"/>
  <c r="L1802" i="2" s="1"/>
  <c r="K1803" i="2"/>
  <c r="L1803" i="2" s="1"/>
  <c r="K1804" i="2"/>
  <c r="L1804" i="2" s="1"/>
  <c r="K1805" i="2"/>
  <c r="L1805" i="2" s="1"/>
  <c r="K1806" i="2"/>
  <c r="L1806" i="2" s="1"/>
  <c r="K1807" i="2"/>
  <c r="L1807" i="2" s="1"/>
  <c r="K1808" i="2"/>
  <c r="L1808" i="2" s="1"/>
  <c r="K1809" i="2"/>
  <c r="L1809" i="2" s="1"/>
  <c r="K1810" i="2"/>
  <c r="L1810" i="2" s="1"/>
  <c r="K1811" i="2"/>
  <c r="L1811" i="2" s="1"/>
  <c r="K1812" i="2"/>
  <c r="L1812" i="2" s="1"/>
  <c r="K1813" i="2"/>
  <c r="L1813" i="2" s="1"/>
  <c r="K1814" i="2"/>
  <c r="L1814" i="2" s="1"/>
  <c r="K1815" i="2"/>
  <c r="L1815" i="2" s="1"/>
  <c r="K1816" i="2"/>
  <c r="L1816" i="2" s="1"/>
  <c r="K1817" i="2"/>
  <c r="L1817" i="2" s="1"/>
  <c r="K1818" i="2"/>
  <c r="L1818" i="2" s="1"/>
  <c r="K1819" i="2"/>
  <c r="L1819" i="2" s="1"/>
  <c r="K1820" i="2"/>
  <c r="L1820" i="2" s="1"/>
  <c r="K1821" i="2"/>
  <c r="L1821" i="2" s="1"/>
  <c r="K1822" i="2"/>
  <c r="L1822" i="2" s="1"/>
  <c r="K1823" i="2"/>
  <c r="L1823" i="2" s="1"/>
  <c r="K1824" i="2"/>
  <c r="L1824" i="2" s="1"/>
  <c r="K1825" i="2"/>
  <c r="L1825" i="2" s="1"/>
  <c r="K1826" i="2"/>
  <c r="L1826" i="2" s="1"/>
  <c r="K1827" i="2"/>
  <c r="L1827" i="2" s="1"/>
  <c r="K1828" i="2"/>
  <c r="L1828" i="2" s="1"/>
  <c r="K1829" i="2"/>
  <c r="L1829" i="2" s="1"/>
  <c r="K1830" i="2"/>
  <c r="L1830" i="2" s="1"/>
  <c r="K1831" i="2"/>
  <c r="L1831" i="2" s="1"/>
  <c r="K1832" i="2"/>
  <c r="L1832" i="2" s="1"/>
  <c r="K1833" i="2"/>
  <c r="L1833" i="2" s="1"/>
  <c r="K1834" i="2"/>
  <c r="L1834" i="2" s="1"/>
  <c r="K1835" i="2"/>
  <c r="L1835" i="2" s="1"/>
  <c r="K1836" i="2"/>
  <c r="L1836" i="2" s="1"/>
  <c r="K1837" i="2"/>
  <c r="L1837" i="2" s="1"/>
  <c r="K1838" i="2"/>
  <c r="L1838" i="2" s="1"/>
  <c r="K1839" i="2"/>
  <c r="L1839" i="2" s="1"/>
  <c r="K1840" i="2"/>
  <c r="L1840" i="2" s="1"/>
  <c r="K1841" i="2"/>
  <c r="L1841" i="2" s="1"/>
  <c r="K1842" i="2"/>
  <c r="L1842" i="2" s="1"/>
  <c r="K1843" i="2"/>
  <c r="L1843" i="2" s="1"/>
  <c r="K1844" i="2"/>
  <c r="L1844" i="2" s="1"/>
  <c r="K1845" i="2"/>
  <c r="L1845" i="2" s="1"/>
  <c r="K1846" i="2"/>
  <c r="L1846" i="2" s="1"/>
  <c r="K1847" i="2"/>
  <c r="L1847" i="2" s="1"/>
  <c r="K1848" i="2"/>
  <c r="L1848" i="2" s="1"/>
  <c r="K1849" i="2"/>
  <c r="L1849" i="2" s="1"/>
  <c r="K1850" i="2"/>
  <c r="L1850" i="2" s="1"/>
  <c r="K1851" i="2"/>
  <c r="L1851" i="2" s="1"/>
  <c r="K1852" i="2"/>
  <c r="L1852" i="2" s="1"/>
  <c r="K1853" i="2"/>
  <c r="L1853" i="2" s="1"/>
  <c r="K1854" i="2"/>
  <c r="L1854" i="2" s="1"/>
  <c r="K1855" i="2"/>
  <c r="L1855" i="2" s="1"/>
  <c r="K1856" i="2"/>
  <c r="L1856" i="2" s="1"/>
  <c r="K1857" i="2"/>
  <c r="L1857" i="2" s="1"/>
  <c r="K1858" i="2"/>
  <c r="L1858" i="2" s="1"/>
  <c r="K1859" i="2"/>
  <c r="L1859" i="2" s="1"/>
  <c r="K1860" i="2"/>
  <c r="L1860" i="2" s="1"/>
  <c r="K1861" i="2"/>
  <c r="L1861" i="2" s="1"/>
  <c r="K1862" i="2"/>
  <c r="L1862" i="2" s="1"/>
  <c r="K1863" i="2"/>
  <c r="L1863" i="2" s="1"/>
  <c r="K1864" i="2"/>
  <c r="L1864" i="2" s="1"/>
  <c r="K1865" i="2"/>
  <c r="L1865" i="2" s="1"/>
  <c r="K1866" i="2"/>
  <c r="L1866" i="2" s="1"/>
  <c r="K1867" i="2"/>
  <c r="L1867" i="2" s="1"/>
  <c r="K1868" i="2"/>
  <c r="L1868" i="2" s="1"/>
  <c r="K1869" i="2"/>
  <c r="L1869" i="2" s="1"/>
  <c r="K1870" i="2"/>
  <c r="L1870" i="2" s="1"/>
  <c r="K1871" i="2"/>
  <c r="L1871" i="2" s="1"/>
  <c r="K1872" i="2"/>
  <c r="L1872" i="2" s="1"/>
  <c r="K1873" i="2"/>
  <c r="L1873" i="2" s="1"/>
  <c r="K1874" i="2"/>
  <c r="L1874" i="2" s="1"/>
  <c r="K1875" i="2"/>
  <c r="L1875" i="2" s="1"/>
  <c r="K1876" i="2"/>
  <c r="L1876" i="2" s="1"/>
  <c r="K1877" i="2"/>
  <c r="L1877" i="2" s="1"/>
  <c r="K1878" i="2"/>
  <c r="L1878" i="2" s="1"/>
  <c r="K1879" i="2"/>
  <c r="L1879" i="2" s="1"/>
  <c r="K1880" i="2"/>
  <c r="L1880" i="2" s="1"/>
  <c r="K1881" i="2"/>
  <c r="L1881" i="2" s="1"/>
  <c r="K1882" i="2"/>
  <c r="L1882" i="2" s="1"/>
  <c r="K1883" i="2"/>
  <c r="L1883" i="2" s="1"/>
  <c r="K1884" i="2"/>
  <c r="L1884" i="2" s="1"/>
  <c r="K1885" i="2"/>
  <c r="L1885" i="2" s="1"/>
  <c r="K1886" i="2"/>
  <c r="L1886" i="2" s="1"/>
  <c r="K1887" i="2"/>
  <c r="L1887" i="2" s="1"/>
  <c r="K1888" i="2"/>
  <c r="L1888" i="2" s="1"/>
  <c r="K1889" i="2"/>
  <c r="L1889" i="2" s="1"/>
  <c r="K1890" i="2"/>
  <c r="L1890" i="2" s="1"/>
  <c r="K1891" i="2"/>
  <c r="L1891" i="2" s="1"/>
  <c r="K1892" i="2"/>
  <c r="L1892" i="2" s="1"/>
  <c r="K1893" i="2"/>
  <c r="L1893" i="2" s="1"/>
  <c r="K1894" i="2"/>
  <c r="L1894" i="2" s="1"/>
  <c r="K1895" i="2"/>
  <c r="L1895" i="2" s="1"/>
  <c r="K1896" i="2"/>
  <c r="L1896" i="2" s="1"/>
  <c r="K1897" i="2"/>
  <c r="L1897" i="2" s="1"/>
  <c r="K1898" i="2"/>
  <c r="L1898" i="2" s="1"/>
  <c r="K1899" i="2"/>
  <c r="L1899" i="2" s="1"/>
  <c r="K1900" i="2"/>
  <c r="L1900" i="2" s="1"/>
  <c r="K1901" i="2"/>
  <c r="L1901" i="2" s="1"/>
  <c r="K1902" i="2"/>
  <c r="L1902" i="2" s="1"/>
  <c r="K1903" i="2"/>
  <c r="L1903" i="2" s="1"/>
  <c r="K1904" i="2"/>
  <c r="L1904" i="2" s="1"/>
  <c r="K1905" i="2"/>
  <c r="L1905" i="2" s="1"/>
  <c r="K1906" i="2"/>
  <c r="L1906" i="2" s="1"/>
  <c r="K1907" i="2"/>
  <c r="L1907" i="2" s="1"/>
  <c r="K1908" i="2"/>
  <c r="L1908" i="2" s="1"/>
  <c r="K1909" i="2"/>
  <c r="L1909" i="2" s="1"/>
  <c r="K1910" i="2"/>
  <c r="L1910" i="2" s="1"/>
  <c r="K1911" i="2"/>
  <c r="L1911" i="2" s="1"/>
  <c r="K1912" i="2"/>
  <c r="L1912" i="2" s="1"/>
  <c r="K1913" i="2"/>
  <c r="L1913" i="2" s="1"/>
  <c r="K1914" i="2"/>
  <c r="L1914" i="2" s="1"/>
  <c r="K1915" i="2"/>
  <c r="L1915" i="2" s="1"/>
  <c r="K1916" i="2"/>
  <c r="L1916" i="2" s="1"/>
  <c r="K1917" i="2"/>
  <c r="L1917" i="2" s="1"/>
  <c r="K1918" i="2"/>
  <c r="L1918" i="2" s="1"/>
  <c r="K1919" i="2"/>
  <c r="L1919" i="2" s="1"/>
  <c r="K1920" i="2"/>
  <c r="L1920" i="2" s="1"/>
  <c r="K1921" i="2"/>
  <c r="L1921" i="2" s="1"/>
  <c r="K1922" i="2"/>
  <c r="L1922" i="2" s="1"/>
  <c r="K1923" i="2"/>
  <c r="L1923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1932" i="2" s="1"/>
  <c r="K1933" i="2"/>
  <c r="L1933" i="2" s="1"/>
  <c r="K1934" i="2"/>
  <c r="L1934" i="2" s="1"/>
  <c r="K1935" i="2"/>
  <c r="L1935" i="2" s="1"/>
  <c r="K1936" i="2"/>
  <c r="L1936" i="2" s="1"/>
  <c r="K1937" i="2"/>
  <c r="L1937" i="2" s="1"/>
  <c r="K1938" i="2"/>
  <c r="L1938" i="2" s="1"/>
  <c r="K1939" i="2"/>
  <c r="L1939" i="2" s="1"/>
  <c r="K1940" i="2"/>
  <c r="L1940" i="2" s="1"/>
  <c r="K1941" i="2"/>
  <c r="L1941" i="2" s="1"/>
  <c r="K1942" i="2"/>
  <c r="L1942" i="2" s="1"/>
  <c r="K1943" i="2"/>
  <c r="L1943" i="2" s="1"/>
  <c r="K1944" i="2"/>
  <c r="L1944" i="2" s="1"/>
  <c r="K1945" i="2"/>
  <c r="L1945" i="2" s="1"/>
  <c r="K1946" i="2"/>
  <c r="L1946" i="2" s="1"/>
  <c r="K1947" i="2"/>
  <c r="L1947" i="2" s="1"/>
  <c r="K1948" i="2"/>
  <c r="L1948" i="2" s="1"/>
  <c r="K1949" i="2"/>
  <c r="L1949" i="2" s="1"/>
  <c r="K1950" i="2"/>
  <c r="L1950" i="2" s="1"/>
  <c r="K1951" i="2"/>
  <c r="L1951" i="2" s="1"/>
  <c r="K1952" i="2"/>
  <c r="L1952" i="2" s="1"/>
  <c r="K1953" i="2"/>
  <c r="L1953" i="2" s="1"/>
  <c r="K1954" i="2"/>
  <c r="L1954" i="2" s="1"/>
  <c r="K1955" i="2"/>
  <c r="L1955" i="2" s="1"/>
  <c r="K1956" i="2"/>
  <c r="L1956" i="2" s="1"/>
  <c r="K1957" i="2"/>
  <c r="L1957" i="2" s="1"/>
  <c r="K1958" i="2"/>
  <c r="L1958" i="2" s="1"/>
  <c r="K1959" i="2"/>
  <c r="L1959" i="2" s="1"/>
  <c r="K1960" i="2"/>
  <c r="L1960" i="2" s="1"/>
  <c r="K1961" i="2"/>
  <c r="L1961" i="2" s="1"/>
  <c r="K1962" i="2"/>
  <c r="L1962" i="2" s="1"/>
  <c r="K1963" i="2"/>
  <c r="L1963" i="2" s="1"/>
  <c r="K1964" i="2"/>
  <c r="L1964" i="2" s="1"/>
  <c r="K1965" i="2"/>
  <c r="L1965" i="2" s="1"/>
  <c r="K1966" i="2"/>
  <c r="L1966" i="2" s="1"/>
  <c r="K1967" i="2"/>
  <c r="L1967" i="2" s="1"/>
  <c r="K1968" i="2"/>
  <c r="L1968" i="2" s="1"/>
  <c r="K1969" i="2"/>
  <c r="L1969" i="2" s="1"/>
  <c r="K1970" i="2"/>
  <c r="L1970" i="2" s="1"/>
  <c r="K1971" i="2"/>
  <c r="L1971" i="2" s="1"/>
  <c r="K1972" i="2"/>
  <c r="L1972" i="2" s="1"/>
  <c r="K1973" i="2"/>
  <c r="L1973" i="2" s="1"/>
  <c r="K1974" i="2"/>
  <c r="L1974" i="2" s="1"/>
  <c r="K1975" i="2"/>
  <c r="L1975" i="2" s="1"/>
  <c r="K1976" i="2"/>
  <c r="L1976" i="2" s="1"/>
  <c r="K1977" i="2"/>
  <c r="L1977" i="2" s="1"/>
  <c r="K1978" i="2"/>
  <c r="L1978" i="2" s="1"/>
  <c r="K1979" i="2"/>
  <c r="L1979" i="2" s="1"/>
  <c r="K1980" i="2"/>
  <c r="L1980" i="2" s="1"/>
  <c r="K1981" i="2"/>
  <c r="L1981" i="2" s="1"/>
  <c r="K1982" i="2"/>
  <c r="L1982" i="2" s="1"/>
  <c r="K1983" i="2"/>
  <c r="L1983" i="2" s="1"/>
  <c r="K1984" i="2"/>
  <c r="L1984" i="2" s="1"/>
  <c r="K1985" i="2"/>
  <c r="L1985" i="2" s="1"/>
  <c r="K1986" i="2"/>
  <c r="L1986" i="2" s="1"/>
  <c r="K1987" i="2"/>
  <c r="L1987" i="2" s="1"/>
  <c r="K1988" i="2"/>
  <c r="L1988" i="2" s="1"/>
  <c r="K1989" i="2"/>
  <c r="L1989" i="2" s="1"/>
  <c r="K1990" i="2"/>
  <c r="L1990" i="2" s="1"/>
  <c r="K1991" i="2"/>
  <c r="L1991" i="2" s="1"/>
  <c r="K1992" i="2"/>
  <c r="L1992" i="2" s="1"/>
  <c r="K1993" i="2"/>
  <c r="L1993" i="2" s="1"/>
  <c r="K1994" i="2"/>
  <c r="L1994" i="2" s="1"/>
  <c r="K1995" i="2"/>
  <c r="L1995" i="2" s="1"/>
  <c r="K1996" i="2"/>
  <c r="L1996" i="2" s="1"/>
  <c r="K1997" i="2"/>
  <c r="L1997" i="2" s="1"/>
  <c r="K1998" i="2"/>
  <c r="L1998" i="2" s="1"/>
  <c r="K1999" i="2"/>
  <c r="L1999" i="2" s="1"/>
  <c r="K2000" i="2"/>
  <c r="L2000" i="2" s="1"/>
  <c r="K2001" i="2"/>
  <c r="L2001" i="2" s="1"/>
  <c r="K2002" i="2"/>
  <c r="L2002" i="2" s="1"/>
  <c r="K2003" i="2"/>
  <c r="L2003" i="2" s="1"/>
  <c r="K2004" i="2"/>
  <c r="L2004" i="2" s="1"/>
  <c r="K2005" i="2"/>
  <c r="L2005" i="2" s="1"/>
  <c r="K2006" i="2"/>
  <c r="L2006" i="2" s="1"/>
  <c r="K2007" i="2"/>
  <c r="L2007" i="2" s="1"/>
  <c r="K2008" i="2"/>
  <c r="L2008" i="2" s="1"/>
  <c r="K2009" i="2"/>
  <c r="L2009" i="2" s="1"/>
  <c r="K2010" i="2"/>
  <c r="L2010" i="2" s="1"/>
  <c r="K2011" i="2"/>
  <c r="L2011" i="2" s="1"/>
  <c r="K2012" i="2"/>
  <c r="L2012" i="2" s="1"/>
  <c r="K2013" i="2"/>
  <c r="L2013" i="2" s="1"/>
  <c r="K2014" i="2"/>
  <c r="L2014" i="2" s="1"/>
  <c r="K2015" i="2"/>
  <c r="L2015" i="2" s="1"/>
  <c r="K2016" i="2"/>
  <c r="L2016" i="2" s="1"/>
  <c r="K2017" i="2"/>
  <c r="L2017" i="2" s="1"/>
  <c r="K2018" i="2"/>
  <c r="L2018" i="2" s="1"/>
  <c r="K2019" i="2"/>
  <c r="L2019" i="2" s="1"/>
  <c r="K2020" i="2"/>
  <c r="L2020" i="2" s="1"/>
  <c r="K2021" i="2"/>
  <c r="L2021" i="2" s="1"/>
  <c r="K2022" i="2"/>
  <c r="L2022" i="2" s="1"/>
  <c r="K2023" i="2"/>
  <c r="L2023" i="2" s="1"/>
  <c r="K2024" i="2"/>
  <c r="L2024" i="2" s="1"/>
  <c r="K2025" i="2"/>
  <c r="L2025" i="2" s="1"/>
  <c r="K2026" i="2"/>
  <c r="L2026" i="2" s="1"/>
  <c r="K2027" i="2"/>
  <c r="L2027" i="2" s="1"/>
  <c r="K2028" i="2"/>
  <c r="L2028" i="2" s="1"/>
  <c r="K2029" i="2"/>
  <c r="L2029" i="2" s="1"/>
  <c r="K2030" i="2"/>
  <c r="L2030" i="2" s="1"/>
  <c r="K2031" i="2"/>
  <c r="L2031" i="2" s="1"/>
  <c r="K2032" i="2"/>
  <c r="L2032" i="2" s="1"/>
  <c r="K2033" i="2"/>
  <c r="L2033" i="2" s="1"/>
  <c r="K2034" i="2"/>
  <c r="L2034" i="2" s="1"/>
  <c r="K2035" i="2"/>
  <c r="L2035" i="2" s="1"/>
  <c r="K2036" i="2"/>
  <c r="L2036" i="2" s="1"/>
  <c r="K2037" i="2"/>
  <c r="L2037" i="2" s="1"/>
  <c r="K2038" i="2"/>
  <c r="L2038" i="2" s="1"/>
  <c r="K2039" i="2"/>
  <c r="L2039" i="2" s="1"/>
  <c r="K2040" i="2"/>
  <c r="L2040" i="2" s="1"/>
  <c r="K2041" i="2"/>
  <c r="L2041" i="2" s="1"/>
  <c r="K2042" i="2"/>
  <c r="L2042" i="2" s="1"/>
  <c r="K2043" i="2"/>
  <c r="L2043" i="2" s="1"/>
  <c r="K2044" i="2"/>
  <c r="L2044" i="2" s="1"/>
  <c r="K2045" i="2"/>
  <c r="L2045" i="2" s="1"/>
  <c r="K2046" i="2"/>
  <c r="L2046" i="2" s="1"/>
  <c r="K2047" i="2"/>
  <c r="L2047" i="2" s="1"/>
  <c r="K2048" i="2"/>
  <c r="L2048" i="2" s="1"/>
  <c r="K2049" i="2"/>
  <c r="L2049" i="2" s="1"/>
  <c r="K2050" i="2"/>
  <c r="L2050" i="2" s="1"/>
  <c r="K2051" i="2"/>
  <c r="L2051" i="2" s="1"/>
  <c r="K2052" i="2"/>
  <c r="L2052" i="2" s="1"/>
  <c r="K2053" i="2"/>
  <c r="L2053" i="2" s="1"/>
  <c r="K2054" i="2"/>
  <c r="L2054" i="2" s="1"/>
  <c r="K2055" i="2"/>
  <c r="L2055" i="2" s="1"/>
  <c r="K2056" i="2"/>
  <c r="L2056" i="2" s="1"/>
  <c r="K2057" i="2"/>
  <c r="L2057" i="2" s="1"/>
  <c r="K2058" i="2"/>
  <c r="L2058" i="2" s="1"/>
  <c r="K2059" i="2"/>
  <c r="L2059" i="2" s="1"/>
  <c r="K2060" i="2"/>
  <c r="L2060" i="2" s="1"/>
  <c r="K2061" i="2"/>
  <c r="L2061" i="2" s="1"/>
  <c r="K2062" i="2"/>
  <c r="L2062" i="2" s="1"/>
  <c r="K2063" i="2"/>
  <c r="L2063" i="2" s="1"/>
  <c r="K2064" i="2"/>
  <c r="L2064" i="2" s="1"/>
  <c r="K2065" i="2"/>
  <c r="L2065" i="2" s="1"/>
  <c r="K2066" i="2"/>
  <c r="L2066" i="2" s="1"/>
  <c r="K2067" i="2"/>
  <c r="L2067" i="2" s="1"/>
  <c r="K2068" i="2"/>
  <c r="L2068" i="2" s="1"/>
  <c r="K2069" i="2"/>
  <c r="L2069" i="2" s="1"/>
  <c r="K2070" i="2"/>
  <c r="L2070" i="2" s="1"/>
  <c r="K2071" i="2"/>
  <c r="L2071" i="2" s="1"/>
  <c r="K2072" i="2"/>
  <c r="L2072" i="2" s="1"/>
  <c r="K2073" i="2"/>
  <c r="L2073" i="2" s="1"/>
  <c r="K2074" i="2"/>
  <c r="L2074" i="2" s="1"/>
  <c r="K2075" i="2"/>
  <c r="L2075" i="2" s="1"/>
  <c r="K2076" i="2"/>
  <c r="L2076" i="2" s="1"/>
  <c r="K2077" i="2"/>
  <c r="L2077" i="2" s="1"/>
  <c r="K2078" i="2"/>
  <c r="L2078" i="2" s="1"/>
  <c r="K2079" i="2"/>
  <c r="L2079" i="2" s="1"/>
  <c r="K2080" i="2"/>
  <c r="L2080" i="2" s="1"/>
  <c r="K2081" i="2"/>
  <c r="L2081" i="2" s="1"/>
  <c r="K2082" i="2"/>
  <c r="L2082" i="2" s="1"/>
  <c r="K2083" i="2"/>
  <c r="L2083" i="2" s="1"/>
  <c r="K2084" i="2"/>
  <c r="L2084" i="2" s="1"/>
  <c r="K2085" i="2"/>
  <c r="L2085" i="2" s="1"/>
  <c r="K2086" i="2"/>
  <c r="L2086" i="2" s="1"/>
  <c r="K2087" i="2"/>
  <c r="L2087" i="2" s="1"/>
  <c r="K2088" i="2"/>
  <c r="L2088" i="2" s="1"/>
  <c r="K2089" i="2"/>
  <c r="L2089" i="2" s="1"/>
  <c r="K2090" i="2"/>
  <c r="L2090" i="2" s="1"/>
  <c r="K2091" i="2"/>
  <c r="L2091" i="2" s="1"/>
  <c r="K2092" i="2"/>
  <c r="L2092" i="2" s="1"/>
  <c r="K2093" i="2"/>
  <c r="L2093" i="2" s="1"/>
  <c r="K2094" i="2"/>
  <c r="L2094" i="2" s="1"/>
  <c r="K2095" i="2"/>
  <c r="L2095" i="2" s="1"/>
  <c r="K2096" i="2"/>
  <c r="L2096" i="2" s="1"/>
  <c r="K2097" i="2"/>
  <c r="L2097" i="2" s="1"/>
  <c r="K2098" i="2"/>
  <c r="L2098" i="2" s="1"/>
  <c r="K2099" i="2"/>
  <c r="L2099" i="2" s="1"/>
  <c r="K2100" i="2"/>
  <c r="L2100" i="2" s="1"/>
  <c r="K2101" i="2"/>
  <c r="L2101" i="2" s="1"/>
  <c r="K2102" i="2"/>
  <c r="L2102" i="2" s="1"/>
  <c r="K2103" i="2"/>
  <c r="L2103" i="2" s="1"/>
  <c r="K2104" i="2"/>
  <c r="L2104" i="2" s="1"/>
  <c r="K2105" i="2"/>
  <c r="L2105" i="2" s="1"/>
  <c r="K2106" i="2"/>
  <c r="L2106" i="2" s="1"/>
  <c r="K2107" i="2"/>
  <c r="L2107" i="2" s="1"/>
  <c r="K2108" i="2"/>
  <c r="L2108" i="2" s="1"/>
  <c r="K2109" i="2"/>
  <c r="L2109" i="2" s="1"/>
  <c r="K2110" i="2"/>
  <c r="L2110" i="2" s="1"/>
  <c r="K2111" i="2"/>
  <c r="L2111" i="2" s="1"/>
  <c r="K2112" i="2"/>
  <c r="L2112" i="2" s="1"/>
  <c r="K2113" i="2"/>
  <c r="L2113" i="2" s="1"/>
  <c r="K2114" i="2"/>
  <c r="L2114" i="2" s="1"/>
  <c r="K2115" i="2"/>
  <c r="L2115" i="2" s="1"/>
  <c r="K2116" i="2"/>
  <c r="L2116" i="2" s="1"/>
  <c r="K2117" i="2"/>
  <c r="L2117" i="2" s="1"/>
  <c r="K2118" i="2"/>
  <c r="L2118" i="2" s="1"/>
  <c r="K2119" i="2"/>
  <c r="L2119" i="2" s="1"/>
  <c r="K2120" i="2"/>
  <c r="L2120" i="2" s="1"/>
  <c r="K2121" i="2"/>
  <c r="L2121" i="2" s="1"/>
  <c r="K2122" i="2"/>
  <c r="L2122" i="2" s="1"/>
  <c r="K2123" i="2"/>
  <c r="L2123" i="2" s="1"/>
  <c r="K2124" i="2"/>
  <c r="L2124" i="2" s="1"/>
  <c r="K2125" i="2"/>
  <c r="L2125" i="2" s="1"/>
  <c r="K2126" i="2"/>
  <c r="L2126" i="2" s="1"/>
  <c r="K2127" i="2"/>
  <c r="L2127" i="2" s="1"/>
  <c r="K2128" i="2"/>
  <c r="L2128" i="2" s="1"/>
  <c r="K2129" i="2"/>
  <c r="L2129" i="2" s="1"/>
  <c r="K2130" i="2"/>
  <c r="L2130" i="2" s="1"/>
  <c r="K2131" i="2"/>
  <c r="L2131" i="2" s="1"/>
  <c r="K2132" i="2"/>
  <c r="L2132" i="2" s="1"/>
  <c r="K2133" i="2"/>
  <c r="L2133" i="2" s="1"/>
  <c r="K2134" i="2"/>
  <c r="L2134" i="2" s="1"/>
  <c r="K2135" i="2"/>
  <c r="L2135" i="2" s="1"/>
  <c r="K2136" i="2"/>
  <c r="L2136" i="2" s="1"/>
  <c r="K2137" i="2"/>
  <c r="L2137" i="2" s="1"/>
  <c r="K2138" i="2"/>
  <c r="L2138" i="2" s="1"/>
  <c r="K2139" i="2"/>
  <c r="L2139" i="2" s="1"/>
  <c r="K2140" i="2"/>
  <c r="L2140" i="2" s="1"/>
  <c r="K2141" i="2"/>
  <c r="L2141" i="2" s="1"/>
  <c r="K2142" i="2"/>
  <c r="L2142" i="2" s="1"/>
  <c r="K2143" i="2"/>
  <c r="L2143" i="2" s="1"/>
  <c r="K2144" i="2"/>
  <c r="L2144" i="2" s="1"/>
  <c r="K2145" i="2"/>
  <c r="L2145" i="2" s="1"/>
  <c r="K2146" i="2"/>
  <c r="L2146" i="2" s="1"/>
  <c r="K2147" i="2"/>
  <c r="L2147" i="2" s="1"/>
  <c r="K2148" i="2"/>
  <c r="L2148" i="2" s="1"/>
  <c r="K2149" i="2"/>
  <c r="L2149" i="2" s="1"/>
  <c r="K2150" i="2"/>
  <c r="L2150" i="2" s="1"/>
  <c r="K2151" i="2"/>
  <c r="L2151" i="2" s="1"/>
  <c r="K2152" i="2"/>
  <c r="L2152" i="2" s="1"/>
  <c r="K2153" i="2"/>
  <c r="L2153" i="2" s="1"/>
  <c r="K2154" i="2"/>
  <c r="L2154" i="2" s="1"/>
  <c r="K2155" i="2"/>
  <c r="L2155" i="2" s="1"/>
  <c r="K2156" i="2"/>
  <c r="L2156" i="2" s="1"/>
  <c r="K2157" i="2"/>
  <c r="L2157" i="2" s="1"/>
  <c r="K2158" i="2"/>
  <c r="L2158" i="2" s="1"/>
  <c r="K2159" i="2"/>
  <c r="L2159" i="2" s="1"/>
  <c r="K2160" i="2"/>
  <c r="L2160" i="2" s="1"/>
  <c r="K2161" i="2"/>
  <c r="L2161" i="2" s="1"/>
  <c r="K2162" i="2"/>
  <c r="L2162" i="2" s="1"/>
  <c r="K2163" i="2"/>
  <c r="L2163" i="2" s="1"/>
  <c r="K2164" i="2"/>
  <c r="L2164" i="2" s="1"/>
  <c r="K2165" i="2"/>
  <c r="L2165" i="2" s="1"/>
  <c r="K2166" i="2"/>
  <c r="L2166" i="2" s="1"/>
  <c r="K2167" i="2"/>
  <c r="L2167" i="2" s="1"/>
  <c r="K2168" i="2"/>
  <c r="L2168" i="2" s="1"/>
  <c r="K2169" i="2"/>
  <c r="L2169" i="2" s="1"/>
  <c r="K2170" i="2"/>
  <c r="L2170" i="2" s="1"/>
  <c r="K2171" i="2"/>
  <c r="L2171" i="2" s="1"/>
  <c r="K2172" i="2"/>
  <c r="L2172" i="2" s="1"/>
  <c r="K2173" i="2"/>
  <c r="L2173" i="2" s="1"/>
  <c r="K2174" i="2"/>
  <c r="L2174" i="2" s="1"/>
  <c r="K2175" i="2"/>
  <c r="L2175" i="2" s="1"/>
  <c r="K2176" i="2"/>
  <c r="L2176" i="2" s="1"/>
  <c r="K2177" i="2"/>
  <c r="L2177" i="2" s="1"/>
  <c r="K2178" i="2"/>
  <c r="L2178" i="2" s="1"/>
  <c r="K2179" i="2"/>
  <c r="L2179" i="2" s="1"/>
  <c r="K2180" i="2"/>
  <c r="L2180" i="2" s="1"/>
  <c r="K2181" i="2"/>
  <c r="L2181" i="2" s="1"/>
  <c r="K2182" i="2"/>
  <c r="L2182" i="2" s="1"/>
  <c r="K2183" i="2"/>
  <c r="L2183" i="2" s="1"/>
  <c r="K2184" i="2"/>
  <c r="L2184" i="2" s="1"/>
  <c r="K2185" i="2"/>
  <c r="L2185" i="2" s="1"/>
  <c r="K2186" i="2"/>
  <c r="L2186" i="2" s="1"/>
  <c r="K2187" i="2"/>
  <c r="L2187" i="2" s="1"/>
  <c r="K2188" i="2"/>
  <c r="L2188" i="2" s="1"/>
  <c r="K2189" i="2"/>
  <c r="L2189" i="2" s="1"/>
  <c r="K2190" i="2"/>
  <c r="L2190" i="2" s="1"/>
  <c r="K2191" i="2"/>
  <c r="L2191" i="2" s="1"/>
  <c r="K2192" i="2"/>
  <c r="L2192" i="2" s="1"/>
  <c r="K2193" i="2"/>
  <c r="L2193" i="2" s="1"/>
  <c r="K2194" i="2"/>
  <c r="L2194" i="2" s="1"/>
  <c r="K2195" i="2"/>
  <c r="L2195" i="2" s="1"/>
  <c r="K2196" i="2"/>
  <c r="L2196" i="2" s="1"/>
  <c r="K2197" i="2"/>
  <c r="L2197" i="2" s="1"/>
  <c r="K2198" i="2"/>
  <c r="L2198" i="2" s="1"/>
  <c r="K2199" i="2"/>
  <c r="L2199" i="2" s="1"/>
  <c r="K2200" i="2"/>
  <c r="L2200" i="2" s="1"/>
  <c r="K2201" i="2"/>
  <c r="L2201" i="2" s="1"/>
  <c r="K2202" i="2"/>
  <c r="L2202" i="2" s="1"/>
  <c r="K2203" i="2"/>
  <c r="L2203" i="2" s="1"/>
  <c r="K2204" i="2"/>
  <c r="L2204" i="2" s="1"/>
  <c r="K2205" i="2"/>
  <c r="L2205" i="2" s="1"/>
  <c r="K2206" i="2"/>
  <c r="L2206" i="2" s="1"/>
  <c r="K2207" i="2"/>
  <c r="L2207" i="2" s="1"/>
  <c r="K2208" i="2"/>
  <c r="L2208" i="2" s="1"/>
  <c r="K2209" i="2"/>
  <c r="L2209" i="2" s="1"/>
  <c r="K2210" i="2"/>
  <c r="L2210" i="2" s="1"/>
  <c r="K2211" i="2"/>
  <c r="L2211" i="2" s="1"/>
  <c r="K2212" i="2"/>
  <c r="L2212" i="2" s="1"/>
  <c r="K2213" i="2"/>
  <c r="L2213" i="2" s="1"/>
  <c r="K2214" i="2"/>
  <c r="L2214" i="2" s="1"/>
  <c r="K2215" i="2"/>
  <c r="L2215" i="2" s="1"/>
  <c r="K2216" i="2"/>
  <c r="L2216" i="2" s="1"/>
  <c r="K2217" i="2"/>
  <c r="L2217" i="2" s="1"/>
  <c r="K2218" i="2"/>
  <c r="L2218" i="2" s="1"/>
  <c r="K2219" i="2"/>
  <c r="L2219" i="2" s="1"/>
  <c r="K2220" i="2"/>
  <c r="L2220" i="2" s="1"/>
  <c r="K2221" i="2"/>
  <c r="L2221" i="2" s="1"/>
  <c r="K2222" i="2"/>
  <c r="L2222" i="2" s="1"/>
  <c r="K2223" i="2"/>
  <c r="L2223" i="2" s="1"/>
  <c r="K2224" i="2"/>
  <c r="L2224" i="2" s="1"/>
  <c r="K2225" i="2"/>
  <c r="L2225" i="2" s="1"/>
  <c r="K2226" i="2"/>
  <c r="L2226" i="2" s="1"/>
  <c r="K2227" i="2"/>
  <c r="L2227" i="2" s="1"/>
  <c r="K2228" i="2"/>
  <c r="L2228" i="2" s="1"/>
  <c r="K2229" i="2"/>
  <c r="L2229" i="2" s="1"/>
  <c r="K2230" i="2"/>
  <c r="L2230" i="2" s="1"/>
  <c r="K2231" i="2"/>
  <c r="L2231" i="2" s="1"/>
  <c r="K2232" i="2"/>
  <c r="L2232" i="2" s="1"/>
  <c r="K2233" i="2"/>
  <c r="L2233" i="2" s="1"/>
  <c r="K2234" i="2"/>
  <c r="L2234" i="2" s="1"/>
  <c r="K2235" i="2"/>
  <c r="L2235" i="2" s="1"/>
  <c r="K2236" i="2"/>
  <c r="L2236" i="2" s="1"/>
  <c r="K2237" i="2"/>
  <c r="L2237" i="2" s="1"/>
  <c r="K2238" i="2"/>
  <c r="L2238" i="2" s="1"/>
  <c r="K2239" i="2"/>
  <c r="L2239" i="2" s="1"/>
  <c r="K2240" i="2"/>
  <c r="L2240" i="2" s="1"/>
  <c r="K2241" i="2"/>
  <c r="L2241" i="2" s="1"/>
  <c r="K2242" i="2"/>
  <c r="L2242" i="2" s="1"/>
  <c r="K2243" i="2"/>
  <c r="L2243" i="2" s="1"/>
  <c r="K2244" i="2"/>
  <c r="L2244" i="2" s="1"/>
  <c r="K2245" i="2"/>
  <c r="L2245" i="2" s="1"/>
  <c r="K2246" i="2"/>
  <c r="L2246" i="2" s="1"/>
  <c r="K2247" i="2"/>
  <c r="L2247" i="2" s="1"/>
  <c r="K2248" i="2"/>
  <c r="L2248" i="2" s="1"/>
  <c r="K2249" i="2"/>
  <c r="L2249" i="2" s="1"/>
  <c r="K2250" i="2"/>
  <c r="L2250" i="2" s="1"/>
  <c r="K2251" i="2"/>
  <c r="L2251" i="2" s="1"/>
  <c r="K2252" i="2"/>
  <c r="L2252" i="2" s="1"/>
  <c r="K2253" i="2"/>
  <c r="L2253" i="2" s="1"/>
  <c r="K2254" i="2"/>
  <c r="L2254" i="2" s="1"/>
  <c r="K2255" i="2"/>
  <c r="L2255" i="2" s="1"/>
  <c r="K2256" i="2"/>
  <c r="L2256" i="2" s="1"/>
  <c r="K2257" i="2"/>
  <c r="L2257" i="2" s="1"/>
  <c r="K2258" i="2"/>
  <c r="L2258" i="2" s="1"/>
  <c r="K2259" i="2"/>
  <c r="L2259" i="2" s="1"/>
  <c r="K2260" i="2"/>
  <c r="L2260" i="2" s="1"/>
  <c r="K2261" i="2"/>
  <c r="L2261" i="2" s="1"/>
  <c r="K2262" i="2"/>
  <c r="L2262" i="2" s="1"/>
  <c r="K2263" i="2"/>
  <c r="L2263" i="2" s="1"/>
  <c r="K2264" i="2"/>
  <c r="L2264" i="2" s="1"/>
  <c r="K2265" i="2"/>
  <c r="L2265" i="2" s="1"/>
  <c r="K2266" i="2"/>
  <c r="L2266" i="2" s="1"/>
  <c r="K2267" i="2"/>
  <c r="L2267" i="2" s="1"/>
  <c r="K2268" i="2"/>
  <c r="L2268" i="2" s="1"/>
  <c r="K2269" i="2"/>
  <c r="L2269" i="2" s="1"/>
  <c r="K2270" i="2"/>
  <c r="L2270" i="2" s="1"/>
  <c r="K2271" i="2"/>
  <c r="L2271" i="2" s="1"/>
  <c r="K2272" i="2"/>
  <c r="L2272" i="2" s="1"/>
  <c r="K2273" i="2"/>
  <c r="L2273" i="2" s="1"/>
  <c r="K2274" i="2"/>
  <c r="L2274" i="2" s="1"/>
  <c r="K2275" i="2"/>
  <c r="L2275" i="2" s="1"/>
  <c r="K2276" i="2"/>
  <c r="L2276" i="2" s="1"/>
  <c r="K2277" i="2"/>
  <c r="L2277" i="2" s="1"/>
  <c r="K2278" i="2"/>
  <c r="L2278" i="2" s="1"/>
  <c r="K2279" i="2"/>
  <c r="L2279" i="2" s="1"/>
  <c r="K2280" i="2"/>
  <c r="L2280" i="2" s="1"/>
  <c r="K2281" i="2"/>
  <c r="L2281" i="2" s="1"/>
  <c r="K2282" i="2"/>
  <c r="L2282" i="2" s="1"/>
  <c r="K2283" i="2"/>
  <c r="L2283" i="2" s="1"/>
  <c r="K2284" i="2"/>
  <c r="L2284" i="2" s="1"/>
  <c r="K2285" i="2"/>
  <c r="L2285" i="2" s="1"/>
  <c r="K2286" i="2"/>
  <c r="L2286" i="2" s="1"/>
  <c r="K2287" i="2"/>
  <c r="L2287" i="2" s="1"/>
  <c r="K2288" i="2"/>
  <c r="L2288" i="2" s="1"/>
  <c r="K2289" i="2"/>
  <c r="L2289" i="2" s="1"/>
  <c r="K2290" i="2"/>
  <c r="L2290" i="2" s="1"/>
  <c r="K2291" i="2"/>
  <c r="L2291" i="2" s="1"/>
  <c r="K2292" i="2"/>
  <c r="L2292" i="2" s="1"/>
  <c r="K2293" i="2"/>
  <c r="L2293" i="2" s="1"/>
  <c r="K2294" i="2"/>
  <c r="L2294" i="2" s="1"/>
  <c r="K2295" i="2"/>
  <c r="L2295" i="2" s="1"/>
  <c r="K2296" i="2"/>
  <c r="L2296" i="2" s="1"/>
  <c r="K2297" i="2"/>
  <c r="L2297" i="2" s="1"/>
  <c r="K2298" i="2"/>
  <c r="L2298" i="2" s="1"/>
  <c r="K2299" i="2"/>
  <c r="L2299" i="2" s="1"/>
  <c r="K2300" i="2"/>
  <c r="L2300" i="2" s="1"/>
  <c r="K2301" i="2"/>
  <c r="L2301" i="2" s="1"/>
  <c r="K2302" i="2"/>
  <c r="L2302" i="2" s="1"/>
  <c r="K2303" i="2"/>
  <c r="L2303" i="2" s="1"/>
  <c r="K2304" i="2"/>
  <c r="L2304" i="2" s="1"/>
  <c r="K2305" i="2"/>
  <c r="L2305" i="2" s="1"/>
  <c r="K2306" i="2"/>
  <c r="L2306" i="2" s="1"/>
  <c r="K2307" i="2"/>
  <c r="L2307" i="2" s="1"/>
  <c r="K2308" i="2"/>
  <c r="L2308" i="2" s="1"/>
  <c r="K2309" i="2"/>
  <c r="L2309" i="2" s="1"/>
  <c r="K2310" i="2"/>
  <c r="L2310" i="2" s="1"/>
  <c r="K2311" i="2"/>
  <c r="L2311" i="2" s="1"/>
  <c r="K2312" i="2"/>
  <c r="L2312" i="2" s="1"/>
  <c r="K2313" i="2"/>
  <c r="L2313" i="2" s="1"/>
  <c r="K2314" i="2"/>
  <c r="L2314" i="2" s="1"/>
  <c r="K2315" i="2"/>
  <c r="L2315" i="2" s="1"/>
  <c r="K2316" i="2"/>
  <c r="L2316" i="2" s="1"/>
  <c r="K2317" i="2"/>
  <c r="L2317" i="2" s="1"/>
  <c r="K2318" i="2"/>
  <c r="L2318" i="2" s="1"/>
  <c r="K2319" i="2"/>
  <c r="L2319" i="2" s="1"/>
  <c r="K2320" i="2"/>
  <c r="L2320" i="2" s="1"/>
  <c r="K2321" i="2"/>
  <c r="L2321" i="2" s="1"/>
  <c r="K2322" i="2"/>
  <c r="L2322" i="2" s="1"/>
  <c r="K2323" i="2"/>
  <c r="L2323" i="2" s="1"/>
  <c r="K2324" i="2"/>
  <c r="L2324" i="2" s="1"/>
  <c r="K2325" i="2"/>
  <c r="L2325" i="2" s="1"/>
  <c r="K2326" i="2"/>
  <c r="L2326" i="2" s="1"/>
  <c r="K2327" i="2"/>
  <c r="L2327" i="2" s="1"/>
  <c r="K2328" i="2"/>
  <c r="L2328" i="2" s="1"/>
  <c r="K2329" i="2"/>
  <c r="L2329" i="2" s="1"/>
  <c r="K2330" i="2"/>
  <c r="L2330" i="2" s="1"/>
  <c r="K2331" i="2"/>
  <c r="L2331" i="2" s="1"/>
  <c r="K2332" i="2"/>
  <c r="L2332" i="2" s="1"/>
  <c r="K2333" i="2"/>
  <c r="L2333" i="2" s="1"/>
  <c r="K2334" i="2"/>
  <c r="L2334" i="2" s="1"/>
  <c r="K2335" i="2"/>
  <c r="L2335" i="2" s="1"/>
  <c r="K2336" i="2"/>
  <c r="L2336" i="2" s="1"/>
  <c r="K2337" i="2"/>
  <c r="L2337" i="2" s="1"/>
  <c r="K2338" i="2"/>
  <c r="L2338" i="2" s="1"/>
  <c r="K2339" i="2"/>
  <c r="L2339" i="2" s="1"/>
  <c r="K2340" i="2"/>
  <c r="L2340" i="2" s="1"/>
  <c r="K2341" i="2"/>
  <c r="L2341" i="2" s="1"/>
  <c r="K2342" i="2"/>
  <c r="L2342" i="2" s="1"/>
  <c r="K2343" i="2"/>
  <c r="L2343" i="2" s="1"/>
  <c r="K2344" i="2"/>
  <c r="L2344" i="2" s="1"/>
  <c r="K2345" i="2"/>
  <c r="L2345" i="2" s="1"/>
  <c r="K2346" i="2"/>
  <c r="L2346" i="2" s="1"/>
  <c r="K2347" i="2"/>
  <c r="L2347" i="2" s="1"/>
  <c r="K2348" i="2"/>
  <c r="L2348" i="2" s="1"/>
  <c r="K2349" i="2"/>
  <c r="L2349" i="2" s="1"/>
  <c r="K2350" i="2"/>
  <c r="L2350" i="2" s="1"/>
  <c r="K2351" i="2"/>
  <c r="L2351" i="2" s="1"/>
  <c r="K2352" i="2"/>
  <c r="L2352" i="2" s="1"/>
  <c r="K2353" i="2"/>
  <c r="L2353" i="2" s="1"/>
  <c r="K2354" i="2"/>
  <c r="L2354" i="2" s="1"/>
  <c r="K2355" i="2"/>
  <c r="L2355" i="2" s="1"/>
  <c r="K2356" i="2"/>
  <c r="L2356" i="2" s="1"/>
  <c r="K2357" i="2"/>
  <c r="L2357" i="2" s="1"/>
  <c r="K2358" i="2"/>
  <c r="L2358" i="2" s="1"/>
  <c r="K2359" i="2"/>
  <c r="L2359" i="2" s="1"/>
  <c r="K2360" i="2"/>
  <c r="L2360" i="2" s="1"/>
  <c r="K2361" i="2"/>
  <c r="L2361" i="2" s="1"/>
  <c r="K2362" i="2"/>
  <c r="L2362" i="2" s="1"/>
  <c r="K2363" i="2"/>
  <c r="L2363" i="2" s="1"/>
  <c r="K2364" i="2"/>
  <c r="L2364" i="2" s="1"/>
  <c r="K2365" i="2"/>
  <c r="L2365" i="2" s="1"/>
  <c r="K2366" i="2"/>
  <c r="L2366" i="2" s="1"/>
  <c r="K2367" i="2"/>
  <c r="L2367" i="2" s="1"/>
  <c r="K2368" i="2"/>
  <c r="L2368" i="2" s="1"/>
  <c r="K2369" i="2"/>
  <c r="L2369" i="2" s="1"/>
  <c r="K2370" i="2"/>
  <c r="L2370" i="2" s="1"/>
  <c r="K2371" i="2"/>
  <c r="L2371" i="2" s="1"/>
  <c r="K2372" i="2"/>
  <c r="L2372" i="2" s="1"/>
  <c r="K2373" i="2"/>
  <c r="L2373" i="2" s="1"/>
  <c r="K2374" i="2"/>
  <c r="L2374" i="2" s="1"/>
  <c r="K2375" i="2"/>
  <c r="L2375" i="2" s="1"/>
  <c r="K2376" i="2"/>
  <c r="L2376" i="2" s="1"/>
  <c r="K2377" i="2"/>
  <c r="L2377" i="2" s="1"/>
  <c r="K2378" i="2"/>
  <c r="L2378" i="2" s="1"/>
  <c r="K2379" i="2"/>
  <c r="L2379" i="2" s="1"/>
  <c r="K2380" i="2"/>
  <c r="L2380" i="2" s="1"/>
  <c r="K2381" i="2"/>
  <c r="L2381" i="2" s="1"/>
  <c r="K2382" i="2"/>
  <c r="L2382" i="2" s="1"/>
  <c r="K2383" i="2"/>
  <c r="L2383" i="2" s="1"/>
  <c r="K2384" i="2"/>
  <c r="L2384" i="2" s="1"/>
  <c r="K2385" i="2"/>
  <c r="L2385" i="2" s="1"/>
  <c r="K2386" i="2"/>
  <c r="L2386" i="2" s="1"/>
  <c r="K2387" i="2"/>
  <c r="L2387" i="2" s="1"/>
  <c r="K2388" i="2"/>
  <c r="L2388" i="2" s="1"/>
  <c r="K2389" i="2"/>
  <c r="L2389" i="2" s="1"/>
  <c r="K2390" i="2"/>
  <c r="L2390" i="2" s="1"/>
  <c r="K2391" i="2"/>
  <c r="L2391" i="2" s="1"/>
  <c r="K2392" i="2"/>
  <c r="L2392" i="2" s="1"/>
  <c r="K2393" i="2"/>
  <c r="L2393" i="2" s="1"/>
  <c r="K2394" i="2"/>
  <c r="L2394" i="2" s="1"/>
  <c r="K2395" i="2"/>
  <c r="L2395" i="2" s="1"/>
  <c r="K2396" i="2"/>
  <c r="L2396" i="2" s="1"/>
  <c r="K2397" i="2"/>
  <c r="L2397" i="2" s="1"/>
  <c r="K2398" i="2"/>
  <c r="L2398" i="2" s="1"/>
  <c r="K2399" i="2"/>
  <c r="L2399" i="2" s="1"/>
  <c r="K2400" i="2"/>
  <c r="L2400" i="2" s="1"/>
  <c r="K2401" i="2"/>
  <c r="L2401" i="2" s="1"/>
  <c r="K2402" i="2"/>
  <c r="L2402" i="2" s="1"/>
  <c r="K2403" i="2"/>
  <c r="L2403" i="2" s="1"/>
  <c r="K2404" i="2"/>
  <c r="L2404" i="2" s="1"/>
  <c r="K2405" i="2"/>
  <c r="L2405" i="2" s="1"/>
  <c r="K2406" i="2"/>
  <c r="L2406" i="2" s="1"/>
  <c r="K2407" i="2"/>
  <c r="L2407" i="2" s="1"/>
  <c r="K2408" i="2"/>
  <c r="L2408" i="2" s="1"/>
  <c r="K2409" i="2"/>
  <c r="L2409" i="2" s="1"/>
  <c r="K2410" i="2"/>
  <c r="L2410" i="2" s="1"/>
  <c r="K2411" i="2"/>
  <c r="L2411" i="2" s="1"/>
  <c r="K2412" i="2"/>
  <c r="L2412" i="2" s="1"/>
  <c r="K2413" i="2"/>
  <c r="L2413" i="2" s="1"/>
  <c r="K2414" i="2"/>
  <c r="L2414" i="2" s="1"/>
  <c r="K2415" i="2"/>
  <c r="L2415" i="2" s="1"/>
  <c r="K2416" i="2"/>
  <c r="L2416" i="2" s="1"/>
  <c r="K2417" i="2"/>
  <c r="L2417" i="2" s="1"/>
  <c r="K2418" i="2"/>
  <c r="L2418" i="2" s="1"/>
  <c r="K2419" i="2"/>
  <c r="L2419" i="2" s="1"/>
  <c r="K2420" i="2"/>
  <c r="L2420" i="2" s="1"/>
  <c r="K2421" i="2"/>
  <c r="L2421" i="2" s="1"/>
  <c r="K2422" i="2"/>
  <c r="L2422" i="2" s="1"/>
  <c r="K2423" i="2"/>
  <c r="L2423" i="2" s="1"/>
  <c r="K2424" i="2"/>
  <c r="L2424" i="2" s="1"/>
  <c r="K2425" i="2"/>
  <c r="L2425" i="2" s="1"/>
  <c r="K2426" i="2"/>
  <c r="L2426" i="2" s="1"/>
  <c r="K2427" i="2"/>
  <c r="L2427" i="2" s="1"/>
  <c r="K2428" i="2"/>
  <c r="L2428" i="2" s="1"/>
  <c r="K2429" i="2"/>
  <c r="L2429" i="2" s="1"/>
  <c r="K2430" i="2"/>
  <c r="L2430" i="2" s="1"/>
  <c r="K2431" i="2"/>
  <c r="L2431" i="2" s="1"/>
  <c r="K2432" i="2"/>
  <c r="L2432" i="2" s="1"/>
  <c r="K2433" i="2"/>
  <c r="L2433" i="2" s="1"/>
  <c r="K2434" i="2"/>
  <c r="L2434" i="2" s="1"/>
  <c r="K2435" i="2"/>
  <c r="L2435" i="2" s="1"/>
  <c r="K2436" i="2"/>
  <c r="L2436" i="2" s="1"/>
  <c r="K2437" i="2"/>
  <c r="L2437" i="2" s="1"/>
  <c r="K2438" i="2"/>
  <c r="L2438" i="2" s="1"/>
  <c r="K2439" i="2"/>
  <c r="L2439" i="2" s="1"/>
  <c r="K2440" i="2"/>
  <c r="L2440" i="2" s="1"/>
  <c r="K2441" i="2"/>
  <c r="L2441" i="2" s="1"/>
  <c r="K2442" i="2"/>
  <c r="L2442" i="2" s="1"/>
  <c r="K2443" i="2"/>
  <c r="L2443" i="2" s="1"/>
  <c r="K2444" i="2"/>
  <c r="L2444" i="2" s="1"/>
  <c r="K2445" i="2"/>
  <c r="L2445" i="2" s="1"/>
  <c r="K2446" i="2"/>
  <c r="L2446" i="2" s="1"/>
  <c r="K2447" i="2"/>
  <c r="L2447" i="2" s="1"/>
  <c r="K2448" i="2"/>
  <c r="L2448" i="2" s="1"/>
  <c r="K2449" i="2"/>
  <c r="L2449" i="2" s="1"/>
  <c r="K2450" i="2"/>
  <c r="L2450" i="2" s="1"/>
  <c r="K2451" i="2"/>
  <c r="L2451" i="2" s="1"/>
  <c r="K2452" i="2"/>
  <c r="L2452" i="2" s="1"/>
  <c r="K2453" i="2"/>
  <c r="L2453" i="2" s="1"/>
  <c r="K2454" i="2"/>
  <c r="L2454" i="2" s="1"/>
  <c r="K2455" i="2"/>
  <c r="L2455" i="2" s="1"/>
  <c r="K2456" i="2"/>
  <c r="L2456" i="2" s="1"/>
  <c r="K2457" i="2"/>
  <c r="L2457" i="2" s="1"/>
  <c r="K2458" i="2"/>
  <c r="L2458" i="2" s="1"/>
  <c r="K2459" i="2"/>
  <c r="L2459" i="2" s="1"/>
  <c r="K2460" i="2"/>
  <c r="L2460" i="2" s="1"/>
  <c r="K2461" i="2"/>
  <c r="L2461" i="2" s="1"/>
  <c r="K2462" i="2"/>
  <c r="L2462" i="2" s="1"/>
  <c r="K2463" i="2"/>
  <c r="L2463" i="2" s="1"/>
  <c r="K2464" i="2"/>
  <c r="L2464" i="2" s="1"/>
  <c r="K2465" i="2"/>
  <c r="L2465" i="2" s="1"/>
  <c r="K2466" i="2"/>
  <c r="L2466" i="2" s="1"/>
  <c r="K2467" i="2"/>
  <c r="L2467" i="2" s="1"/>
  <c r="K2468" i="2"/>
  <c r="L2468" i="2" s="1"/>
  <c r="K2469" i="2"/>
  <c r="L2469" i="2" s="1"/>
  <c r="K2470" i="2"/>
  <c r="L2470" i="2" s="1"/>
  <c r="K2471" i="2"/>
  <c r="L2471" i="2" s="1"/>
  <c r="K2472" i="2"/>
  <c r="L2472" i="2" s="1"/>
  <c r="K2473" i="2"/>
  <c r="L2473" i="2" s="1"/>
  <c r="K2474" i="2"/>
  <c r="L2474" i="2" s="1"/>
  <c r="K2475" i="2"/>
  <c r="L2475" i="2" s="1"/>
  <c r="K2476" i="2"/>
  <c r="L2476" i="2" s="1"/>
  <c r="K2477" i="2"/>
  <c r="L2477" i="2" s="1"/>
  <c r="K2478" i="2"/>
  <c r="L2478" i="2" s="1"/>
  <c r="K2479" i="2"/>
  <c r="L2479" i="2" s="1"/>
  <c r="K2480" i="2"/>
  <c r="L2480" i="2" s="1"/>
  <c r="K2481" i="2"/>
  <c r="L2481" i="2" s="1"/>
  <c r="K2482" i="2"/>
  <c r="L2482" i="2" s="1"/>
  <c r="K2483" i="2"/>
  <c r="L2483" i="2" s="1"/>
  <c r="K2484" i="2"/>
  <c r="L2484" i="2" s="1"/>
  <c r="K2485" i="2"/>
  <c r="L2485" i="2" s="1"/>
  <c r="K2486" i="2"/>
  <c r="L2486" i="2" s="1"/>
  <c r="K2487" i="2"/>
  <c r="L2487" i="2" s="1"/>
  <c r="K2488" i="2"/>
  <c r="L2488" i="2" s="1"/>
  <c r="K2489" i="2"/>
  <c r="L2489" i="2" s="1"/>
  <c r="K2490" i="2"/>
  <c r="L2490" i="2" s="1"/>
  <c r="K2491" i="2"/>
  <c r="L2491" i="2" s="1"/>
  <c r="K2492" i="2"/>
  <c r="L2492" i="2" s="1"/>
  <c r="K2493" i="2"/>
  <c r="L2493" i="2" s="1"/>
  <c r="K2494" i="2"/>
  <c r="L2494" i="2" s="1"/>
  <c r="K2495" i="2"/>
  <c r="L2495" i="2" s="1"/>
  <c r="K2496" i="2"/>
  <c r="L2496" i="2" s="1"/>
  <c r="K2497" i="2"/>
  <c r="L2497" i="2" s="1"/>
  <c r="K2498" i="2"/>
  <c r="L2498" i="2" s="1"/>
  <c r="K2499" i="2"/>
  <c r="L2499" i="2" s="1"/>
  <c r="K2500" i="2"/>
  <c r="L2500" i="2" s="1"/>
  <c r="K2501" i="2"/>
  <c r="L2501" i="2" s="1"/>
  <c r="K2502" i="2"/>
  <c r="L2502" i="2" s="1"/>
  <c r="K2503" i="2"/>
  <c r="L2503" i="2" s="1"/>
  <c r="K2504" i="2"/>
  <c r="L2504" i="2" s="1"/>
  <c r="K2505" i="2"/>
  <c r="L2505" i="2" s="1"/>
  <c r="K2506" i="2"/>
  <c r="L2506" i="2" s="1"/>
  <c r="K2507" i="2"/>
  <c r="L2507" i="2" s="1"/>
  <c r="K2508" i="2"/>
  <c r="L2508" i="2" s="1"/>
  <c r="K2509" i="2"/>
  <c r="L2509" i="2" s="1"/>
  <c r="K2510" i="2"/>
  <c r="L2510" i="2" s="1"/>
  <c r="K2511" i="2"/>
  <c r="L2511" i="2" s="1"/>
  <c r="K2512" i="2"/>
  <c r="L2512" i="2" s="1"/>
  <c r="K2513" i="2"/>
  <c r="L2513" i="2" s="1"/>
  <c r="K2514" i="2"/>
  <c r="L2514" i="2" s="1"/>
  <c r="K2515" i="2"/>
  <c r="L2515" i="2" s="1"/>
  <c r="K2516" i="2"/>
  <c r="L2516" i="2" s="1"/>
  <c r="K2517" i="2"/>
  <c r="L2517" i="2" s="1"/>
  <c r="K2518" i="2"/>
  <c r="L2518" i="2" s="1"/>
  <c r="K2519" i="2"/>
  <c r="L2519" i="2" s="1"/>
  <c r="K2520" i="2"/>
  <c r="L2520" i="2" s="1"/>
  <c r="K2521" i="2"/>
  <c r="L2521" i="2" s="1"/>
  <c r="K2522" i="2"/>
  <c r="L2522" i="2" s="1"/>
  <c r="K2523" i="2"/>
  <c r="L2523" i="2" s="1"/>
  <c r="K2524" i="2"/>
  <c r="L2524" i="2" s="1"/>
  <c r="K2525" i="2"/>
  <c r="L2525" i="2" s="1"/>
  <c r="K2526" i="2"/>
  <c r="L2526" i="2" s="1"/>
  <c r="K2527" i="2"/>
  <c r="L2527" i="2" s="1"/>
  <c r="K2528" i="2"/>
  <c r="L2528" i="2" s="1"/>
  <c r="K2529" i="2"/>
  <c r="L2529" i="2" s="1"/>
  <c r="K2530" i="2"/>
  <c r="L2530" i="2" s="1"/>
  <c r="K2531" i="2"/>
  <c r="L2531" i="2" s="1"/>
  <c r="K2532" i="2"/>
  <c r="L2532" i="2" s="1"/>
  <c r="K2533" i="2"/>
  <c r="L2533" i="2" s="1"/>
  <c r="K2534" i="2"/>
  <c r="L2534" i="2" s="1"/>
  <c r="K2535" i="2"/>
  <c r="L2535" i="2" s="1"/>
  <c r="K2536" i="2"/>
  <c r="L2536" i="2" s="1"/>
  <c r="K2537" i="2"/>
  <c r="L2537" i="2" s="1"/>
  <c r="K2538" i="2"/>
  <c r="L2538" i="2" s="1"/>
  <c r="K2539" i="2"/>
  <c r="L2539" i="2" s="1"/>
  <c r="K2540" i="2"/>
  <c r="L2540" i="2" s="1"/>
  <c r="K2541" i="2"/>
  <c r="L2541" i="2" s="1"/>
  <c r="K2542" i="2"/>
  <c r="L2542" i="2" s="1"/>
  <c r="K2543" i="2"/>
  <c r="L2543" i="2" s="1"/>
  <c r="K2544" i="2"/>
  <c r="L2544" i="2" s="1"/>
  <c r="K2545" i="2"/>
  <c r="L2545" i="2" s="1"/>
  <c r="K2546" i="2"/>
  <c r="L2546" i="2" s="1"/>
  <c r="K2547" i="2"/>
  <c r="L2547" i="2" s="1"/>
  <c r="K2548" i="2"/>
  <c r="L2548" i="2" s="1"/>
  <c r="K2549" i="2"/>
  <c r="L2549" i="2" s="1"/>
  <c r="K2550" i="2"/>
  <c r="L2550" i="2" s="1"/>
  <c r="K2551" i="2"/>
  <c r="L2551" i="2" s="1"/>
  <c r="K2552" i="2"/>
  <c r="L2552" i="2" s="1"/>
  <c r="K2553" i="2"/>
  <c r="L2553" i="2" s="1"/>
  <c r="K2554" i="2"/>
  <c r="L2554" i="2" s="1"/>
  <c r="K2555" i="2"/>
  <c r="L2555" i="2" s="1"/>
  <c r="K2556" i="2"/>
  <c r="L2556" i="2" s="1"/>
  <c r="K2557" i="2"/>
  <c r="L2557" i="2" s="1"/>
  <c r="K2558" i="2"/>
  <c r="L2558" i="2" s="1"/>
  <c r="K2559" i="2"/>
  <c r="L2559" i="2" s="1"/>
  <c r="K2560" i="2"/>
  <c r="L2560" i="2" s="1"/>
  <c r="K2561" i="2"/>
  <c r="L2561" i="2" s="1"/>
  <c r="K2562" i="2"/>
  <c r="L2562" i="2" s="1"/>
  <c r="K2563" i="2"/>
  <c r="L2563" i="2" s="1"/>
  <c r="K2564" i="2"/>
  <c r="L2564" i="2" s="1"/>
  <c r="K2565" i="2"/>
  <c r="L2565" i="2" s="1"/>
  <c r="K2566" i="2"/>
  <c r="L2566" i="2" s="1"/>
  <c r="K2567" i="2"/>
  <c r="L2567" i="2" s="1"/>
  <c r="K2568" i="2"/>
  <c r="L2568" i="2" s="1"/>
  <c r="K2569" i="2"/>
  <c r="L2569" i="2" s="1"/>
  <c r="K2570" i="2"/>
  <c r="L2570" i="2" s="1"/>
  <c r="K2571" i="2"/>
  <c r="L2571" i="2" s="1"/>
  <c r="K2572" i="2"/>
  <c r="L2572" i="2" s="1"/>
  <c r="K2573" i="2"/>
  <c r="L2573" i="2" s="1"/>
  <c r="K2574" i="2"/>
  <c r="L2574" i="2" s="1"/>
  <c r="K2575" i="2"/>
  <c r="L2575" i="2" s="1"/>
  <c r="K2576" i="2"/>
  <c r="L2576" i="2" s="1"/>
  <c r="K2577" i="2"/>
  <c r="L2577" i="2" s="1"/>
  <c r="K2578" i="2"/>
  <c r="L2578" i="2" s="1"/>
  <c r="K2579" i="2"/>
  <c r="L2579" i="2" s="1"/>
  <c r="K2580" i="2"/>
  <c r="L2580" i="2" s="1"/>
  <c r="K2581" i="2"/>
  <c r="L2581" i="2" s="1"/>
  <c r="K2582" i="2"/>
  <c r="L2582" i="2" s="1"/>
  <c r="K2583" i="2"/>
  <c r="L2583" i="2" s="1"/>
  <c r="K2584" i="2"/>
  <c r="L2584" i="2" s="1"/>
  <c r="K2585" i="2"/>
  <c r="L2585" i="2" s="1"/>
  <c r="K2586" i="2"/>
  <c r="L2586" i="2" s="1"/>
  <c r="K2587" i="2"/>
  <c r="L2587" i="2" s="1"/>
  <c r="K2588" i="2"/>
  <c r="L2588" i="2" s="1"/>
  <c r="K2589" i="2"/>
  <c r="L2589" i="2" s="1"/>
  <c r="K2590" i="2"/>
  <c r="L2590" i="2" s="1"/>
  <c r="K2591" i="2"/>
  <c r="L2591" i="2" s="1"/>
  <c r="K2592" i="2"/>
  <c r="L2592" i="2" s="1"/>
  <c r="K2593" i="2"/>
  <c r="L2593" i="2" s="1"/>
  <c r="K2594" i="2"/>
  <c r="L2594" i="2" s="1"/>
  <c r="K2595" i="2"/>
  <c r="L2595" i="2" s="1"/>
  <c r="K2596" i="2"/>
  <c r="L2596" i="2" s="1"/>
  <c r="K2597" i="2"/>
  <c r="L2597" i="2" s="1"/>
  <c r="K2598" i="2"/>
  <c r="L2598" i="2" s="1"/>
  <c r="K2599" i="2"/>
  <c r="L2599" i="2" s="1"/>
  <c r="K2600" i="2"/>
  <c r="L2600" i="2" s="1"/>
  <c r="K2601" i="2"/>
  <c r="L2601" i="2" s="1"/>
  <c r="K2602" i="2"/>
  <c r="L2602" i="2" s="1"/>
  <c r="K2603" i="2"/>
  <c r="L2603" i="2" s="1"/>
  <c r="K2604" i="2"/>
  <c r="L2604" i="2" s="1"/>
  <c r="K2605" i="2"/>
  <c r="L2605" i="2" s="1"/>
  <c r="K2606" i="2"/>
  <c r="L2606" i="2" s="1"/>
  <c r="K2607" i="2"/>
  <c r="L2607" i="2" s="1"/>
  <c r="K2608" i="2"/>
  <c r="L2608" i="2" s="1"/>
  <c r="K2609" i="2"/>
  <c r="L2609" i="2" s="1"/>
  <c r="K2610" i="2"/>
  <c r="L2610" i="2" s="1"/>
  <c r="K2611" i="2"/>
  <c r="L2611" i="2" s="1"/>
  <c r="K2612" i="2"/>
  <c r="L2612" i="2" s="1"/>
  <c r="K2613" i="2"/>
  <c r="L2613" i="2" s="1"/>
  <c r="K2614" i="2"/>
  <c r="L2614" i="2" s="1"/>
  <c r="K2615" i="2"/>
  <c r="L2615" i="2" s="1"/>
  <c r="K2616" i="2"/>
  <c r="L2616" i="2" s="1"/>
  <c r="K2617" i="2"/>
  <c r="L2617" i="2" s="1"/>
  <c r="K2618" i="2"/>
  <c r="L2618" i="2" s="1"/>
  <c r="K2619" i="2"/>
  <c r="L2619" i="2" s="1"/>
  <c r="K2620" i="2"/>
  <c r="L2620" i="2" s="1"/>
  <c r="K2621" i="2"/>
  <c r="L2621" i="2" s="1"/>
  <c r="K2622" i="2"/>
  <c r="L2622" i="2" s="1"/>
  <c r="K2623" i="2"/>
  <c r="L2623" i="2" s="1"/>
  <c r="K2624" i="2"/>
  <c r="L2624" i="2" s="1"/>
  <c r="K2625" i="2"/>
  <c r="L2625" i="2" s="1"/>
  <c r="K2626" i="2"/>
  <c r="L2626" i="2" s="1"/>
  <c r="K2627" i="2"/>
  <c r="L2627" i="2" s="1"/>
  <c r="K2628" i="2"/>
  <c r="L2628" i="2" s="1"/>
  <c r="K2629" i="2"/>
  <c r="L2629" i="2" s="1"/>
  <c r="K2630" i="2"/>
  <c r="L2630" i="2" s="1"/>
  <c r="K2631" i="2"/>
  <c r="L2631" i="2" s="1"/>
  <c r="K2632" i="2"/>
  <c r="L2632" i="2" s="1"/>
  <c r="K2633" i="2"/>
  <c r="L2633" i="2" s="1"/>
  <c r="K2634" i="2"/>
  <c r="L2634" i="2" s="1"/>
  <c r="K2635" i="2"/>
  <c r="L2635" i="2" s="1"/>
  <c r="K2636" i="2"/>
  <c r="L2636" i="2" s="1"/>
  <c r="K2637" i="2"/>
  <c r="L2637" i="2" s="1"/>
  <c r="K2638" i="2"/>
  <c r="L2638" i="2" s="1"/>
  <c r="K2639" i="2"/>
  <c r="L2639" i="2" s="1"/>
  <c r="K2640" i="2"/>
  <c r="L2640" i="2" s="1"/>
  <c r="K2641" i="2"/>
  <c r="L2641" i="2" s="1"/>
  <c r="K2642" i="2"/>
  <c r="L2642" i="2" s="1"/>
  <c r="K2643" i="2"/>
  <c r="L2643" i="2" s="1"/>
  <c r="K2644" i="2"/>
  <c r="L2644" i="2" s="1"/>
  <c r="K2645" i="2"/>
  <c r="L2645" i="2" s="1"/>
  <c r="K2646" i="2"/>
  <c r="L2646" i="2" s="1"/>
  <c r="K2647" i="2"/>
  <c r="L2647" i="2" s="1"/>
  <c r="K2648" i="2"/>
  <c r="L2648" i="2" s="1"/>
  <c r="K2649" i="2"/>
  <c r="L2649" i="2" s="1"/>
  <c r="K2650" i="2"/>
  <c r="L2650" i="2" s="1"/>
  <c r="K2651" i="2"/>
  <c r="L2651" i="2" s="1"/>
  <c r="K2652" i="2"/>
  <c r="L2652" i="2" s="1"/>
  <c r="K2653" i="2"/>
  <c r="L2653" i="2" s="1"/>
  <c r="K2654" i="2"/>
  <c r="L2654" i="2" s="1"/>
  <c r="K2655" i="2"/>
  <c r="L2655" i="2" s="1"/>
  <c r="K2656" i="2"/>
  <c r="L2656" i="2" s="1"/>
  <c r="K2657" i="2"/>
  <c r="L2657" i="2" s="1"/>
  <c r="K2658" i="2"/>
  <c r="L2658" i="2" s="1"/>
  <c r="K2659" i="2"/>
  <c r="L2659" i="2" s="1"/>
  <c r="K2660" i="2"/>
  <c r="L2660" i="2" s="1"/>
  <c r="K2661" i="2"/>
  <c r="L2661" i="2" s="1"/>
  <c r="K2662" i="2"/>
  <c r="L2662" i="2" s="1"/>
  <c r="K2663" i="2"/>
  <c r="L2663" i="2" s="1"/>
  <c r="K2664" i="2"/>
  <c r="L2664" i="2" s="1"/>
  <c r="K2665" i="2"/>
  <c r="L2665" i="2" s="1"/>
  <c r="K2666" i="2"/>
  <c r="L2666" i="2" s="1"/>
  <c r="K2667" i="2"/>
  <c r="L2667" i="2" s="1"/>
  <c r="K2668" i="2"/>
  <c r="L2668" i="2" s="1"/>
  <c r="K2669" i="2"/>
  <c r="L2669" i="2" s="1"/>
  <c r="K2670" i="2"/>
  <c r="L2670" i="2" s="1"/>
  <c r="K2671" i="2"/>
  <c r="L2671" i="2" s="1"/>
  <c r="K2672" i="2"/>
  <c r="L2672" i="2" s="1"/>
  <c r="K2673" i="2"/>
  <c r="L2673" i="2" s="1"/>
  <c r="K2674" i="2"/>
  <c r="L2674" i="2" s="1"/>
  <c r="K2675" i="2"/>
  <c r="L2675" i="2" s="1"/>
  <c r="K2676" i="2"/>
  <c r="L2676" i="2" s="1"/>
  <c r="K2677" i="2"/>
  <c r="L2677" i="2" s="1"/>
  <c r="K2678" i="2"/>
  <c r="L2678" i="2" s="1"/>
  <c r="K2679" i="2"/>
  <c r="L2679" i="2" s="1"/>
  <c r="K2680" i="2"/>
  <c r="L2680" i="2" s="1"/>
  <c r="K2681" i="2"/>
  <c r="L2681" i="2" s="1"/>
  <c r="K2682" i="2"/>
  <c r="L2682" i="2" s="1"/>
  <c r="K2683" i="2"/>
  <c r="L2683" i="2" s="1"/>
  <c r="K2684" i="2"/>
  <c r="L2684" i="2" s="1"/>
  <c r="K2685" i="2"/>
  <c r="L2685" i="2" s="1"/>
  <c r="K2686" i="2"/>
  <c r="L2686" i="2" s="1"/>
  <c r="K2687" i="2"/>
  <c r="L2687" i="2" s="1"/>
  <c r="K2688" i="2"/>
  <c r="L2688" i="2" s="1"/>
  <c r="K2689" i="2"/>
  <c r="L2689" i="2" s="1"/>
  <c r="K2690" i="2"/>
  <c r="L2690" i="2" s="1"/>
  <c r="K2691" i="2"/>
  <c r="L2691" i="2" s="1"/>
  <c r="K2692" i="2"/>
  <c r="L2692" i="2" s="1"/>
  <c r="K2693" i="2"/>
  <c r="L2693" i="2" s="1"/>
  <c r="K2694" i="2"/>
  <c r="L2694" i="2" s="1"/>
  <c r="K2695" i="2"/>
  <c r="L2695" i="2" s="1"/>
  <c r="K2696" i="2"/>
  <c r="L2696" i="2" s="1"/>
  <c r="K2697" i="2"/>
  <c r="L2697" i="2" s="1"/>
  <c r="K2698" i="2"/>
  <c r="L2698" i="2" s="1"/>
  <c r="K2699" i="2"/>
  <c r="L2699" i="2" s="1"/>
  <c r="K2700" i="2"/>
  <c r="L2700" i="2" s="1"/>
  <c r="K2701" i="2"/>
  <c r="L2701" i="2" s="1"/>
  <c r="K2702" i="2"/>
  <c r="L2702" i="2" s="1"/>
  <c r="K2703" i="2"/>
  <c r="L2703" i="2" s="1"/>
  <c r="K2704" i="2"/>
  <c r="L2704" i="2" s="1"/>
  <c r="K2705" i="2"/>
  <c r="L2705" i="2" s="1"/>
  <c r="K2706" i="2"/>
  <c r="L2706" i="2" s="1"/>
  <c r="K2707" i="2"/>
  <c r="L2707" i="2" s="1"/>
  <c r="K2708" i="2"/>
  <c r="L2708" i="2" s="1"/>
  <c r="K2709" i="2"/>
  <c r="L2709" i="2" s="1"/>
  <c r="K2710" i="2"/>
  <c r="L2710" i="2" s="1"/>
  <c r="K2711" i="2"/>
  <c r="L2711" i="2" s="1"/>
  <c r="K2712" i="2"/>
  <c r="L2712" i="2" s="1"/>
  <c r="K2713" i="2"/>
  <c r="L2713" i="2" s="1"/>
  <c r="K2714" i="2"/>
  <c r="L2714" i="2" s="1"/>
  <c r="K2715" i="2"/>
  <c r="L2715" i="2" s="1"/>
  <c r="K2716" i="2"/>
  <c r="L2716" i="2" s="1"/>
  <c r="K2717" i="2"/>
  <c r="L2717" i="2" s="1"/>
  <c r="K2718" i="2"/>
  <c r="L2718" i="2" s="1"/>
  <c r="K2719" i="2"/>
  <c r="L2719" i="2" s="1"/>
  <c r="K2720" i="2"/>
  <c r="L2720" i="2" s="1"/>
  <c r="K2721" i="2"/>
  <c r="L2721" i="2" s="1"/>
  <c r="K2722" i="2"/>
  <c r="L2722" i="2" s="1"/>
  <c r="K2723" i="2"/>
  <c r="L2723" i="2" s="1"/>
  <c r="K2724" i="2"/>
  <c r="L2724" i="2" s="1"/>
  <c r="K2725" i="2"/>
  <c r="L2725" i="2" s="1"/>
  <c r="K2726" i="2"/>
  <c r="L2726" i="2" s="1"/>
  <c r="K2727" i="2"/>
  <c r="L2727" i="2" s="1"/>
  <c r="K2728" i="2"/>
  <c r="L2728" i="2" s="1"/>
  <c r="K2729" i="2"/>
  <c r="L2729" i="2" s="1"/>
  <c r="K2730" i="2"/>
  <c r="L2730" i="2" s="1"/>
  <c r="K2731" i="2"/>
  <c r="L2731" i="2" s="1"/>
  <c r="K2732" i="2"/>
  <c r="L2732" i="2" s="1"/>
  <c r="K2733" i="2"/>
  <c r="L2733" i="2" s="1"/>
  <c r="K2734" i="2"/>
  <c r="L2734" i="2" s="1"/>
  <c r="K2735" i="2"/>
  <c r="L2735" i="2" s="1"/>
  <c r="K2736" i="2"/>
  <c r="L2736" i="2" s="1"/>
  <c r="K2737" i="2"/>
  <c r="L2737" i="2" s="1"/>
  <c r="K2738" i="2"/>
  <c r="L2738" i="2" s="1"/>
  <c r="K2739" i="2"/>
  <c r="L2739" i="2" s="1"/>
  <c r="K2740" i="2"/>
  <c r="L2740" i="2" s="1"/>
  <c r="K2741" i="2"/>
  <c r="L2741" i="2" s="1"/>
  <c r="K2742" i="2"/>
  <c r="L2742" i="2" s="1"/>
  <c r="K2743" i="2"/>
  <c r="L2743" i="2" s="1"/>
  <c r="K2744" i="2"/>
  <c r="L2744" i="2" s="1"/>
  <c r="K2745" i="2"/>
  <c r="L2745" i="2" s="1"/>
  <c r="K2746" i="2"/>
  <c r="L2746" i="2" s="1"/>
  <c r="K2747" i="2"/>
  <c r="L2747" i="2" s="1"/>
  <c r="K2748" i="2"/>
  <c r="L2748" i="2" s="1"/>
  <c r="K2749" i="2"/>
  <c r="L2749" i="2" s="1"/>
  <c r="K2750" i="2"/>
  <c r="L2750" i="2" s="1"/>
  <c r="K2751" i="2"/>
  <c r="L2751" i="2" s="1"/>
  <c r="K2752" i="2"/>
  <c r="L2752" i="2" s="1"/>
  <c r="K2753" i="2"/>
  <c r="L2753" i="2" s="1"/>
  <c r="K2754" i="2"/>
  <c r="L2754" i="2" s="1"/>
  <c r="K2755" i="2"/>
  <c r="L2755" i="2" s="1"/>
  <c r="K2756" i="2"/>
  <c r="L2756" i="2" s="1"/>
  <c r="K2757" i="2"/>
  <c r="L2757" i="2" s="1"/>
  <c r="K2758" i="2"/>
  <c r="L2758" i="2" s="1"/>
  <c r="K2759" i="2"/>
  <c r="L2759" i="2" s="1"/>
  <c r="K2760" i="2"/>
  <c r="L2760" i="2" s="1"/>
  <c r="K2761" i="2"/>
  <c r="L2761" i="2" s="1"/>
  <c r="K2762" i="2"/>
  <c r="L2762" i="2" s="1"/>
  <c r="K2763" i="2"/>
  <c r="L2763" i="2" s="1"/>
  <c r="K2764" i="2"/>
  <c r="L2764" i="2" s="1"/>
  <c r="K2765" i="2"/>
  <c r="L2765" i="2" s="1"/>
  <c r="K2766" i="2"/>
  <c r="L2766" i="2" s="1"/>
  <c r="K2767" i="2"/>
  <c r="L2767" i="2" s="1"/>
  <c r="K2768" i="2"/>
  <c r="L2768" i="2" s="1"/>
  <c r="K2769" i="2"/>
  <c r="L2769" i="2" s="1"/>
  <c r="K2770" i="2"/>
  <c r="L2770" i="2" s="1"/>
  <c r="K2771" i="2"/>
  <c r="L2771" i="2" s="1"/>
  <c r="K2772" i="2"/>
  <c r="L2772" i="2" s="1"/>
  <c r="K2773" i="2"/>
  <c r="L2773" i="2" s="1"/>
  <c r="K2774" i="2"/>
  <c r="L2774" i="2" s="1"/>
  <c r="K2775" i="2"/>
  <c r="L2775" i="2" s="1"/>
  <c r="K2776" i="2"/>
  <c r="L2776" i="2" s="1"/>
  <c r="K2777" i="2"/>
  <c r="L2777" i="2" s="1"/>
  <c r="K2778" i="2"/>
  <c r="L2778" i="2" s="1"/>
  <c r="K2779" i="2"/>
  <c r="L2779" i="2" s="1"/>
  <c r="K2780" i="2"/>
  <c r="L2780" i="2" s="1"/>
  <c r="K2781" i="2"/>
  <c r="L2781" i="2" s="1"/>
  <c r="K2782" i="2"/>
  <c r="L2782" i="2" s="1"/>
  <c r="K2783" i="2"/>
  <c r="L2783" i="2" s="1"/>
  <c r="K2784" i="2"/>
  <c r="L2784" i="2" s="1"/>
  <c r="K2785" i="2"/>
  <c r="L2785" i="2" s="1"/>
  <c r="K2786" i="2"/>
  <c r="L2786" i="2" s="1"/>
  <c r="K2787" i="2"/>
  <c r="L2787" i="2" s="1"/>
  <c r="K2788" i="2"/>
  <c r="L2788" i="2" s="1"/>
  <c r="K2789" i="2"/>
  <c r="L2789" i="2" s="1"/>
  <c r="K2790" i="2"/>
  <c r="L2790" i="2" s="1"/>
  <c r="K2791" i="2"/>
  <c r="L2791" i="2" s="1"/>
  <c r="K2792" i="2"/>
  <c r="L2792" i="2" s="1"/>
  <c r="K2793" i="2"/>
  <c r="L2793" i="2" s="1"/>
  <c r="K2794" i="2"/>
  <c r="L2794" i="2" s="1"/>
  <c r="K2795" i="2"/>
  <c r="L2795" i="2" s="1"/>
  <c r="K2796" i="2"/>
  <c r="L2796" i="2" s="1"/>
  <c r="K2797" i="2"/>
  <c r="L2797" i="2" s="1"/>
  <c r="K2798" i="2"/>
  <c r="L2798" i="2" s="1"/>
  <c r="K2799" i="2"/>
  <c r="L2799" i="2" s="1"/>
  <c r="K2800" i="2"/>
  <c r="L2800" i="2" s="1"/>
  <c r="K2801" i="2"/>
  <c r="L2801" i="2" s="1"/>
  <c r="K2802" i="2"/>
  <c r="L2802" i="2" s="1"/>
  <c r="K2803" i="2"/>
  <c r="L2803" i="2" s="1"/>
  <c r="K2804" i="2"/>
  <c r="L2804" i="2" s="1"/>
  <c r="K2805" i="2"/>
  <c r="L2805" i="2" s="1"/>
  <c r="K2806" i="2"/>
  <c r="L2806" i="2" s="1"/>
  <c r="K2807" i="2"/>
  <c r="L2807" i="2" s="1"/>
  <c r="K2808" i="2"/>
  <c r="L2808" i="2" s="1"/>
  <c r="K2809" i="2"/>
  <c r="L2809" i="2" s="1"/>
  <c r="K2810" i="2"/>
  <c r="L2810" i="2" s="1"/>
  <c r="K2811" i="2"/>
  <c r="L2811" i="2" s="1"/>
  <c r="K2812" i="2"/>
  <c r="L2812" i="2" s="1"/>
  <c r="K2813" i="2"/>
  <c r="L2813" i="2" s="1"/>
  <c r="K2814" i="2"/>
  <c r="L2814" i="2" s="1"/>
  <c r="K2815" i="2"/>
  <c r="L2815" i="2" s="1"/>
  <c r="K2816" i="2"/>
  <c r="L2816" i="2" s="1"/>
  <c r="K2817" i="2"/>
  <c r="L2817" i="2" s="1"/>
  <c r="K2818" i="2"/>
  <c r="L2818" i="2" s="1"/>
  <c r="K2819" i="2"/>
  <c r="L2819" i="2" s="1"/>
  <c r="K2820" i="2"/>
  <c r="L2820" i="2" s="1"/>
  <c r="K2821" i="2"/>
  <c r="L2821" i="2" s="1"/>
  <c r="K2822" i="2"/>
  <c r="L2822" i="2" s="1"/>
  <c r="K2823" i="2"/>
  <c r="L2823" i="2" s="1"/>
  <c r="K2824" i="2"/>
  <c r="L2824" i="2" s="1"/>
  <c r="K2825" i="2"/>
  <c r="L2825" i="2" s="1"/>
  <c r="K2826" i="2"/>
  <c r="L2826" i="2" s="1"/>
  <c r="K2827" i="2"/>
  <c r="L2827" i="2" s="1"/>
  <c r="K2828" i="2"/>
  <c r="L2828" i="2" s="1"/>
  <c r="K2829" i="2"/>
  <c r="L2829" i="2" s="1"/>
  <c r="K2830" i="2"/>
  <c r="L2830" i="2" s="1"/>
  <c r="K2831" i="2"/>
  <c r="L2831" i="2" s="1"/>
  <c r="K2832" i="2"/>
  <c r="L2832" i="2" s="1"/>
  <c r="K2833" i="2"/>
  <c r="L2833" i="2" s="1"/>
  <c r="K2834" i="2"/>
  <c r="L2834" i="2" s="1"/>
  <c r="K2835" i="2"/>
  <c r="L2835" i="2" s="1"/>
  <c r="K2836" i="2"/>
  <c r="L2836" i="2" s="1"/>
  <c r="K2837" i="2"/>
  <c r="L2837" i="2" s="1"/>
  <c r="K2838" i="2"/>
  <c r="L2838" i="2" s="1"/>
  <c r="K2839" i="2"/>
  <c r="L2839" i="2" s="1"/>
  <c r="K2840" i="2"/>
  <c r="L2840" i="2" s="1"/>
  <c r="K2841" i="2"/>
  <c r="L2841" i="2" s="1"/>
  <c r="K2842" i="2"/>
  <c r="L2842" i="2" s="1"/>
  <c r="K2843" i="2"/>
  <c r="L2843" i="2" s="1"/>
  <c r="K2844" i="2"/>
  <c r="L2844" i="2" s="1"/>
  <c r="K2845" i="2"/>
  <c r="L2845" i="2" s="1"/>
  <c r="K2846" i="2"/>
  <c r="L2846" i="2" s="1"/>
  <c r="K2847" i="2"/>
  <c r="L2847" i="2" s="1"/>
  <c r="K2848" i="2"/>
  <c r="L2848" i="2" s="1"/>
  <c r="K2849" i="2"/>
  <c r="L2849" i="2" s="1"/>
  <c r="K2850" i="2"/>
  <c r="L2850" i="2" s="1"/>
  <c r="K2851" i="2"/>
  <c r="L2851" i="2" s="1"/>
  <c r="K2852" i="2"/>
  <c r="L2852" i="2" s="1"/>
  <c r="K2853" i="2"/>
  <c r="L2853" i="2" s="1"/>
  <c r="K2854" i="2"/>
  <c r="L2854" i="2" s="1"/>
  <c r="K2855" i="2"/>
  <c r="L2855" i="2" s="1"/>
  <c r="K2856" i="2"/>
  <c r="L2856" i="2" s="1"/>
  <c r="K2857" i="2"/>
  <c r="L2857" i="2" s="1"/>
  <c r="K2858" i="2"/>
  <c r="L2858" i="2" s="1"/>
  <c r="K2859" i="2"/>
  <c r="L2859" i="2" s="1"/>
  <c r="K2860" i="2"/>
  <c r="L2860" i="2" s="1"/>
  <c r="K2861" i="2"/>
  <c r="L2861" i="2" s="1"/>
  <c r="K2862" i="2"/>
  <c r="L2862" i="2" s="1"/>
  <c r="K2863" i="2"/>
  <c r="L2863" i="2" s="1"/>
  <c r="K2864" i="2"/>
  <c r="L2864" i="2" s="1"/>
  <c r="K2865" i="2"/>
  <c r="L2865" i="2" s="1"/>
  <c r="K2866" i="2"/>
  <c r="L2866" i="2" s="1"/>
  <c r="K2867" i="2"/>
  <c r="L2867" i="2" s="1"/>
  <c r="K2868" i="2"/>
  <c r="L2868" i="2" s="1"/>
  <c r="K2869" i="2"/>
  <c r="L2869" i="2" s="1"/>
  <c r="K2870" i="2"/>
  <c r="L2870" i="2" s="1"/>
  <c r="K2871" i="2"/>
  <c r="L2871" i="2" s="1"/>
  <c r="K2872" i="2"/>
  <c r="L2872" i="2" s="1"/>
  <c r="K2873" i="2"/>
  <c r="L2873" i="2" s="1"/>
  <c r="K2874" i="2"/>
  <c r="L2874" i="2" s="1"/>
  <c r="K2875" i="2"/>
  <c r="L2875" i="2" s="1"/>
  <c r="K2876" i="2"/>
  <c r="L2876" i="2" s="1"/>
  <c r="K2877" i="2"/>
  <c r="L2877" i="2" s="1"/>
  <c r="K2878" i="2"/>
  <c r="L2878" i="2" s="1"/>
  <c r="K2879" i="2"/>
  <c r="L2879" i="2" s="1"/>
  <c r="K2880" i="2"/>
  <c r="L2880" i="2" s="1"/>
  <c r="K2881" i="2"/>
  <c r="L2881" i="2" s="1"/>
  <c r="K2882" i="2"/>
  <c r="L2882" i="2" s="1"/>
  <c r="K2883" i="2"/>
  <c r="L2883" i="2" s="1"/>
  <c r="K2884" i="2"/>
  <c r="L2884" i="2" s="1"/>
  <c r="K2885" i="2"/>
  <c r="L2885" i="2" s="1"/>
  <c r="K2886" i="2"/>
  <c r="L2886" i="2" s="1"/>
  <c r="K2887" i="2"/>
  <c r="L2887" i="2" s="1"/>
  <c r="K2888" i="2"/>
  <c r="L2888" i="2" s="1"/>
  <c r="K2889" i="2"/>
  <c r="L2889" i="2" s="1"/>
  <c r="K2890" i="2"/>
  <c r="L2890" i="2" s="1"/>
  <c r="K2891" i="2"/>
  <c r="L2891" i="2" s="1"/>
  <c r="K2892" i="2"/>
  <c r="L2892" i="2" s="1"/>
  <c r="K2893" i="2"/>
  <c r="L2893" i="2" s="1"/>
  <c r="K2894" i="2"/>
  <c r="L2894" i="2" s="1"/>
  <c r="K2895" i="2"/>
  <c r="L2895" i="2" s="1"/>
  <c r="K2896" i="2"/>
  <c r="L2896" i="2" s="1"/>
  <c r="K2897" i="2"/>
  <c r="L2897" i="2" s="1"/>
  <c r="K2898" i="2"/>
  <c r="L2898" i="2" s="1"/>
  <c r="K2899" i="2"/>
  <c r="L2899" i="2" s="1"/>
  <c r="K2900" i="2"/>
  <c r="L2900" i="2" s="1"/>
  <c r="K2901" i="2"/>
  <c r="L2901" i="2" s="1"/>
  <c r="K2902" i="2"/>
  <c r="L2902" i="2" s="1"/>
  <c r="K2903" i="2"/>
  <c r="L2903" i="2" s="1"/>
  <c r="K2904" i="2"/>
  <c r="L2904" i="2" s="1"/>
  <c r="K2905" i="2"/>
  <c r="L2905" i="2" s="1"/>
  <c r="K2906" i="2"/>
  <c r="L2906" i="2" s="1"/>
  <c r="K2907" i="2"/>
  <c r="L2907" i="2" s="1"/>
  <c r="K2908" i="2"/>
  <c r="L2908" i="2" s="1"/>
  <c r="K2909" i="2"/>
  <c r="L2909" i="2" s="1"/>
  <c r="K2910" i="2"/>
  <c r="L2910" i="2" s="1"/>
  <c r="K2911" i="2"/>
  <c r="L2911" i="2" s="1"/>
  <c r="K2912" i="2"/>
  <c r="L2912" i="2" s="1"/>
  <c r="K2913" i="2"/>
  <c r="L2913" i="2" s="1"/>
  <c r="K2914" i="2"/>
  <c r="L2914" i="2" s="1"/>
  <c r="K2915" i="2"/>
  <c r="L2915" i="2" s="1"/>
  <c r="K2916" i="2"/>
  <c r="L2916" i="2" s="1"/>
  <c r="K2917" i="2"/>
  <c r="L2917" i="2" s="1"/>
  <c r="K2918" i="2"/>
  <c r="L2918" i="2" s="1"/>
  <c r="K2919" i="2"/>
  <c r="L2919" i="2" s="1"/>
  <c r="K2920" i="2"/>
  <c r="L2920" i="2" s="1"/>
  <c r="K2921" i="2"/>
  <c r="L2921" i="2" s="1"/>
  <c r="K2922" i="2"/>
  <c r="L2922" i="2" s="1"/>
  <c r="K2923" i="2"/>
  <c r="L2923" i="2" s="1"/>
  <c r="K2924" i="2"/>
  <c r="L2924" i="2" s="1"/>
  <c r="K2925" i="2"/>
  <c r="L2925" i="2" s="1"/>
  <c r="K2926" i="2"/>
  <c r="L2926" i="2" s="1"/>
  <c r="K2927" i="2"/>
  <c r="L2927" i="2" s="1"/>
  <c r="K2928" i="2"/>
  <c r="L2928" i="2" s="1"/>
  <c r="K2929" i="2"/>
  <c r="L2929" i="2" s="1"/>
  <c r="K2930" i="2"/>
  <c r="L2930" i="2" s="1"/>
  <c r="K2931" i="2"/>
  <c r="L2931" i="2" s="1"/>
  <c r="K2932" i="2"/>
  <c r="L2932" i="2" s="1"/>
  <c r="K2933" i="2"/>
  <c r="L2933" i="2" s="1"/>
  <c r="K2934" i="2"/>
  <c r="L2934" i="2" s="1"/>
  <c r="K2935" i="2"/>
  <c r="L2935" i="2" s="1"/>
  <c r="K2936" i="2"/>
  <c r="L2936" i="2" s="1"/>
  <c r="K2937" i="2"/>
  <c r="L2937" i="2" s="1"/>
  <c r="K2938" i="2"/>
  <c r="L2938" i="2" s="1"/>
  <c r="K2939" i="2"/>
  <c r="L2939" i="2" s="1"/>
  <c r="K2940" i="2"/>
  <c r="L2940" i="2" s="1"/>
  <c r="K2941" i="2"/>
  <c r="L2941" i="2" s="1"/>
  <c r="K2942" i="2"/>
  <c r="L2942" i="2" s="1"/>
  <c r="K2943" i="2"/>
  <c r="L2943" i="2" s="1"/>
  <c r="K2944" i="2"/>
  <c r="L2944" i="2" s="1"/>
  <c r="K2945" i="2"/>
  <c r="L2945" i="2" s="1"/>
  <c r="K2946" i="2"/>
  <c r="L2946" i="2" s="1"/>
  <c r="K2947" i="2"/>
  <c r="L2947" i="2" s="1"/>
  <c r="K2948" i="2"/>
  <c r="L2948" i="2" s="1"/>
  <c r="K2949" i="2"/>
  <c r="L2949" i="2" s="1"/>
  <c r="K2950" i="2"/>
  <c r="L2950" i="2" s="1"/>
  <c r="K2951" i="2"/>
  <c r="L2951" i="2" s="1"/>
  <c r="K2952" i="2"/>
  <c r="L2952" i="2" s="1"/>
  <c r="K2953" i="2"/>
  <c r="L2953" i="2" s="1"/>
  <c r="K2954" i="2"/>
  <c r="L2954" i="2" s="1"/>
  <c r="K2955" i="2"/>
  <c r="L2955" i="2" s="1"/>
  <c r="K2956" i="2"/>
  <c r="L2956" i="2" s="1"/>
  <c r="K2957" i="2"/>
  <c r="L2957" i="2" s="1"/>
  <c r="K2958" i="2"/>
  <c r="L2958" i="2" s="1"/>
  <c r="K2959" i="2"/>
  <c r="L2959" i="2" s="1"/>
  <c r="K2960" i="2"/>
  <c r="L2960" i="2" s="1"/>
  <c r="K2961" i="2"/>
  <c r="L2961" i="2" s="1"/>
  <c r="K2962" i="2"/>
  <c r="L2962" i="2" s="1"/>
  <c r="K2963" i="2"/>
  <c r="L2963" i="2" s="1"/>
  <c r="K2964" i="2"/>
  <c r="L2964" i="2" s="1"/>
  <c r="K2965" i="2"/>
  <c r="L2965" i="2" s="1"/>
  <c r="K2966" i="2"/>
  <c r="L2966" i="2" s="1"/>
  <c r="K2967" i="2"/>
  <c r="L2967" i="2" s="1"/>
  <c r="K2968" i="2"/>
  <c r="L2968" i="2" s="1"/>
  <c r="K2969" i="2"/>
  <c r="L2969" i="2" s="1"/>
  <c r="K2970" i="2"/>
  <c r="L2970" i="2" s="1"/>
  <c r="K2971" i="2"/>
  <c r="L2971" i="2" s="1"/>
  <c r="K2972" i="2"/>
  <c r="L2972" i="2" s="1"/>
  <c r="K2973" i="2"/>
  <c r="L2973" i="2" s="1"/>
  <c r="K2974" i="2"/>
  <c r="L2974" i="2" s="1"/>
  <c r="K2975" i="2"/>
  <c r="L2975" i="2" s="1"/>
  <c r="K2976" i="2"/>
  <c r="L2976" i="2" s="1"/>
  <c r="K2977" i="2"/>
  <c r="L2977" i="2" s="1"/>
  <c r="K2978" i="2"/>
  <c r="L2978" i="2" s="1"/>
  <c r="K2979" i="2"/>
  <c r="L2979" i="2" s="1"/>
  <c r="K2980" i="2"/>
  <c r="L2980" i="2" s="1"/>
  <c r="K2981" i="2"/>
  <c r="L2981" i="2" s="1"/>
  <c r="K2982" i="2"/>
  <c r="L2982" i="2" s="1"/>
  <c r="K2983" i="2"/>
  <c r="L2983" i="2" s="1"/>
  <c r="K2984" i="2"/>
  <c r="L2984" i="2" s="1"/>
  <c r="K2985" i="2"/>
  <c r="L2985" i="2" s="1"/>
  <c r="K2986" i="2"/>
  <c r="L2986" i="2" s="1"/>
  <c r="K2987" i="2"/>
  <c r="L2987" i="2" s="1"/>
  <c r="K2988" i="2"/>
  <c r="L2988" i="2" s="1"/>
  <c r="K2989" i="2"/>
  <c r="L2989" i="2" s="1"/>
  <c r="K2990" i="2"/>
  <c r="L2990" i="2" s="1"/>
  <c r="K2991" i="2"/>
  <c r="L2991" i="2" s="1"/>
  <c r="K2992" i="2"/>
  <c r="L2992" i="2" s="1"/>
  <c r="K2993" i="2"/>
  <c r="L2993" i="2" s="1"/>
  <c r="K2994" i="2"/>
  <c r="L2994" i="2" s="1"/>
  <c r="K2995" i="2"/>
  <c r="L2995" i="2" s="1"/>
  <c r="K2996" i="2"/>
  <c r="L2996" i="2" s="1"/>
  <c r="K2997" i="2"/>
  <c r="L2997" i="2" s="1"/>
  <c r="K2998" i="2"/>
  <c r="L2998" i="2" s="1"/>
  <c r="K2999" i="2"/>
  <c r="L2999" i="2" s="1"/>
  <c r="K3000" i="2"/>
  <c r="L3000" i="2" s="1"/>
  <c r="K3001" i="2"/>
  <c r="L3001" i="2" s="1"/>
  <c r="K3002" i="2"/>
  <c r="L3002" i="2" s="1"/>
  <c r="K3003" i="2"/>
  <c r="L3003" i="2" s="1"/>
  <c r="K3004" i="2"/>
  <c r="L3004" i="2" s="1"/>
  <c r="K3005" i="2"/>
  <c r="L3005" i="2" s="1"/>
  <c r="K3006" i="2"/>
  <c r="L3006" i="2" s="1"/>
  <c r="K3007" i="2"/>
  <c r="L3007" i="2" s="1"/>
  <c r="K3008" i="2"/>
  <c r="L3008" i="2" s="1"/>
  <c r="K3009" i="2"/>
  <c r="L3009" i="2" s="1"/>
  <c r="K3010" i="2"/>
  <c r="L3010" i="2" s="1"/>
  <c r="K3011" i="2"/>
  <c r="L3011" i="2" s="1"/>
  <c r="K3012" i="2"/>
  <c r="L3012" i="2" s="1"/>
  <c r="K3013" i="2"/>
  <c r="L3013" i="2" s="1"/>
  <c r="K3014" i="2"/>
  <c r="L3014" i="2" s="1"/>
  <c r="K3015" i="2"/>
  <c r="L3015" i="2" s="1"/>
  <c r="K3016" i="2"/>
  <c r="L3016" i="2" s="1"/>
  <c r="K3017" i="2"/>
  <c r="L3017" i="2" s="1"/>
  <c r="K3018" i="2"/>
  <c r="L3018" i="2" s="1"/>
  <c r="K3019" i="2"/>
  <c r="L3019" i="2" s="1"/>
  <c r="K3020" i="2"/>
  <c r="L3020" i="2" s="1"/>
  <c r="K3021" i="2"/>
  <c r="L3021" i="2" s="1"/>
  <c r="K3022" i="2"/>
  <c r="L3022" i="2" s="1"/>
  <c r="K3023" i="2"/>
  <c r="L3023" i="2" s="1"/>
  <c r="K3024" i="2"/>
  <c r="L3024" i="2" s="1"/>
  <c r="K3025" i="2"/>
  <c r="L3025" i="2" s="1"/>
  <c r="K3026" i="2"/>
  <c r="L3026" i="2" s="1"/>
  <c r="K3027" i="2"/>
  <c r="L3027" i="2" s="1"/>
  <c r="K3028" i="2"/>
  <c r="L3028" i="2" s="1"/>
  <c r="K3029" i="2"/>
  <c r="L3029" i="2" s="1"/>
  <c r="K3030" i="2"/>
  <c r="L3030" i="2" s="1"/>
  <c r="K3031" i="2"/>
  <c r="L3031" i="2" s="1"/>
  <c r="K3032" i="2"/>
  <c r="L3032" i="2" s="1"/>
  <c r="K3033" i="2"/>
  <c r="L3033" i="2" s="1"/>
  <c r="K3034" i="2"/>
  <c r="L3034" i="2" s="1"/>
  <c r="K3035" i="2"/>
  <c r="L3035" i="2" s="1"/>
  <c r="K3036" i="2"/>
  <c r="L3036" i="2" s="1"/>
  <c r="K3037" i="2"/>
  <c r="L3037" i="2" s="1"/>
  <c r="K3038" i="2"/>
  <c r="L3038" i="2" s="1"/>
  <c r="K3039" i="2"/>
  <c r="L3039" i="2" s="1"/>
  <c r="K3040" i="2"/>
  <c r="L3040" i="2" s="1"/>
  <c r="K3041" i="2"/>
  <c r="L3041" i="2" s="1"/>
  <c r="K3042" i="2"/>
  <c r="L3042" i="2" s="1"/>
  <c r="K3043" i="2"/>
  <c r="L3043" i="2" s="1"/>
  <c r="K3044" i="2"/>
  <c r="L3044" i="2" s="1"/>
  <c r="K3045" i="2"/>
  <c r="L3045" i="2" s="1"/>
  <c r="K3046" i="2"/>
  <c r="L3046" i="2" s="1"/>
  <c r="K3047" i="2"/>
  <c r="L3047" i="2" s="1"/>
  <c r="K3048" i="2"/>
  <c r="L3048" i="2" s="1"/>
  <c r="K3049" i="2"/>
  <c r="L3049" i="2" s="1"/>
  <c r="K3050" i="2"/>
  <c r="L3050" i="2" s="1"/>
  <c r="K3051" i="2"/>
  <c r="L3051" i="2" s="1"/>
  <c r="K3052" i="2"/>
  <c r="L3052" i="2" s="1"/>
  <c r="K3053" i="2"/>
  <c r="L3053" i="2" s="1"/>
  <c r="K3054" i="2"/>
  <c r="L3054" i="2" s="1"/>
  <c r="K3055" i="2"/>
  <c r="L3055" i="2" s="1"/>
  <c r="K3056" i="2"/>
  <c r="L3056" i="2" s="1"/>
  <c r="K3057" i="2"/>
  <c r="L3057" i="2" s="1"/>
  <c r="K3058" i="2"/>
  <c r="L3058" i="2" s="1"/>
  <c r="K3059" i="2"/>
  <c r="L3059" i="2" s="1"/>
  <c r="K3060" i="2"/>
  <c r="L3060" i="2" s="1"/>
  <c r="K3061" i="2"/>
  <c r="L3061" i="2" s="1"/>
  <c r="K3062" i="2"/>
  <c r="L3062" i="2" s="1"/>
  <c r="K3063" i="2"/>
  <c r="L3063" i="2" s="1"/>
  <c r="K3064" i="2"/>
  <c r="L3064" i="2" s="1"/>
  <c r="K3065" i="2"/>
  <c r="L3065" i="2" s="1"/>
  <c r="K3066" i="2"/>
  <c r="L3066" i="2" s="1"/>
  <c r="K3067" i="2"/>
  <c r="L3067" i="2" s="1"/>
  <c r="K3068" i="2"/>
  <c r="L3068" i="2" s="1"/>
  <c r="K3069" i="2"/>
  <c r="L3069" i="2" s="1"/>
  <c r="K3070" i="2"/>
  <c r="L3070" i="2" s="1"/>
  <c r="K3071" i="2"/>
  <c r="L3071" i="2" s="1"/>
  <c r="K3072" i="2"/>
  <c r="L3072" i="2" s="1"/>
  <c r="K3073" i="2"/>
  <c r="L3073" i="2" s="1"/>
  <c r="K3074" i="2"/>
  <c r="L3074" i="2" s="1"/>
  <c r="K3075" i="2"/>
  <c r="L3075" i="2" s="1"/>
  <c r="K3076" i="2"/>
  <c r="L3076" i="2" s="1"/>
  <c r="K3077" i="2"/>
  <c r="L3077" i="2" s="1"/>
  <c r="K3078" i="2"/>
  <c r="L3078" i="2" s="1"/>
  <c r="K3079" i="2"/>
  <c r="L3079" i="2" s="1"/>
  <c r="K3080" i="2"/>
  <c r="L3080" i="2" s="1"/>
  <c r="K3081" i="2"/>
  <c r="L3081" i="2" s="1"/>
  <c r="K3082" i="2"/>
  <c r="L3082" i="2" s="1"/>
  <c r="K3083" i="2"/>
  <c r="L3083" i="2" s="1"/>
  <c r="K3084" i="2"/>
  <c r="L3084" i="2" s="1"/>
  <c r="K3085" i="2"/>
  <c r="L3085" i="2" s="1"/>
  <c r="K3086" i="2"/>
  <c r="L3086" i="2" s="1"/>
  <c r="K3087" i="2"/>
  <c r="L3087" i="2" s="1"/>
  <c r="K3088" i="2"/>
  <c r="L3088" i="2" s="1"/>
  <c r="K3089" i="2"/>
  <c r="L3089" i="2" s="1"/>
  <c r="K3090" i="2"/>
  <c r="L3090" i="2" s="1"/>
  <c r="K3091" i="2"/>
  <c r="L3091" i="2" s="1"/>
  <c r="K3092" i="2"/>
  <c r="L3092" i="2" s="1"/>
  <c r="K3093" i="2"/>
  <c r="L3093" i="2" s="1"/>
  <c r="K3094" i="2"/>
  <c r="L3094" i="2" s="1"/>
  <c r="K3095" i="2"/>
  <c r="L3095" i="2" s="1"/>
  <c r="K3096" i="2"/>
  <c r="L3096" i="2" s="1"/>
  <c r="K3097" i="2"/>
  <c r="L3097" i="2" s="1"/>
  <c r="K3098" i="2"/>
  <c r="L3098" i="2" s="1"/>
  <c r="K3099" i="2"/>
  <c r="L3099" i="2" s="1"/>
  <c r="K3100" i="2"/>
  <c r="L3100" i="2" s="1"/>
  <c r="K3101" i="2"/>
  <c r="L3101" i="2" s="1"/>
  <c r="K3102" i="2"/>
  <c r="L3102" i="2" s="1"/>
  <c r="K3103" i="2"/>
  <c r="L3103" i="2" s="1"/>
  <c r="K3104" i="2"/>
  <c r="L3104" i="2" s="1"/>
  <c r="K3105" i="2"/>
  <c r="L3105" i="2" s="1"/>
  <c r="K3106" i="2"/>
  <c r="L3106" i="2" s="1"/>
  <c r="K3107" i="2"/>
  <c r="L3107" i="2" s="1"/>
  <c r="K3108" i="2"/>
  <c r="L3108" i="2" s="1"/>
  <c r="K3109" i="2"/>
  <c r="L3109" i="2" s="1"/>
  <c r="K3110" i="2"/>
  <c r="L3110" i="2" s="1"/>
  <c r="K3111" i="2"/>
  <c r="L3111" i="2" s="1"/>
  <c r="K3112" i="2"/>
  <c r="L3112" i="2" s="1"/>
  <c r="K3113" i="2"/>
  <c r="L3113" i="2" s="1"/>
  <c r="K3114" i="2"/>
  <c r="L3114" i="2" s="1"/>
  <c r="K3115" i="2"/>
  <c r="L3115" i="2" s="1"/>
  <c r="K3116" i="2"/>
  <c r="L3116" i="2" s="1"/>
  <c r="K3117" i="2"/>
  <c r="L3117" i="2" s="1"/>
  <c r="K3118" i="2"/>
  <c r="L3118" i="2" s="1"/>
  <c r="K3119" i="2"/>
  <c r="L3119" i="2" s="1"/>
  <c r="K3120" i="2"/>
  <c r="L3120" i="2" s="1"/>
  <c r="K3121" i="2"/>
  <c r="L3121" i="2" s="1"/>
  <c r="K3122" i="2"/>
  <c r="L3122" i="2" s="1"/>
  <c r="K3123" i="2"/>
  <c r="L3123" i="2" s="1"/>
  <c r="K3124" i="2"/>
  <c r="L3124" i="2" s="1"/>
  <c r="K3125" i="2"/>
  <c r="L3125" i="2" s="1"/>
  <c r="K3126" i="2"/>
  <c r="L3126" i="2" s="1"/>
  <c r="K3127" i="2"/>
  <c r="L3127" i="2" s="1"/>
  <c r="K3128" i="2"/>
  <c r="L3128" i="2" s="1"/>
  <c r="K3129" i="2"/>
  <c r="L3129" i="2" s="1"/>
  <c r="K3130" i="2"/>
  <c r="L3130" i="2" s="1"/>
  <c r="K3131" i="2"/>
  <c r="L3131" i="2" s="1"/>
  <c r="K3132" i="2"/>
  <c r="L3132" i="2" s="1"/>
  <c r="K3133" i="2"/>
  <c r="L3133" i="2" s="1"/>
  <c r="K3134" i="2"/>
  <c r="L3134" i="2" s="1"/>
  <c r="K3135" i="2"/>
  <c r="L3135" i="2" s="1"/>
  <c r="K3136" i="2"/>
  <c r="L3136" i="2" s="1"/>
  <c r="K3137" i="2"/>
  <c r="L3137" i="2" s="1"/>
  <c r="K3138" i="2"/>
  <c r="L3138" i="2" s="1"/>
  <c r="K3139" i="2"/>
  <c r="L3139" i="2" s="1"/>
  <c r="K3140" i="2"/>
  <c r="L3140" i="2" s="1"/>
  <c r="K3141" i="2"/>
  <c r="L3141" i="2" s="1"/>
  <c r="K3142" i="2"/>
  <c r="L3142" i="2" s="1"/>
  <c r="K3143" i="2"/>
  <c r="L3143" i="2" s="1"/>
  <c r="K3144" i="2"/>
  <c r="L3144" i="2" s="1"/>
  <c r="K3145" i="2"/>
  <c r="L3145" i="2" s="1"/>
  <c r="K3146" i="2"/>
  <c r="L3146" i="2" s="1"/>
  <c r="K3147" i="2"/>
  <c r="L3147" i="2" s="1"/>
  <c r="K3148" i="2"/>
  <c r="L3148" i="2" s="1"/>
  <c r="K3149" i="2"/>
  <c r="L3149" i="2" s="1"/>
  <c r="K3150" i="2"/>
  <c r="L3150" i="2" s="1"/>
  <c r="K3151" i="2"/>
  <c r="L3151" i="2" s="1"/>
  <c r="K3152" i="2"/>
  <c r="L3152" i="2" s="1"/>
  <c r="K3153" i="2"/>
  <c r="L3153" i="2" s="1"/>
  <c r="K3154" i="2"/>
  <c r="L3154" i="2" s="1"/>
  <c r="K3155" i="2"/>
  <c r="L3155" i="2" s="1"/>
  <c r="K3156" i="2"/>
  <c r="L3156" i="2" s="1"/>
  <c r="K3157" i="2"/>
  <c r="L3157" i="2" s="1"/>
  <c r="K3158" i="2"/>
  <c r="L3158" i="2" s="1"/>
  <c r="K3159" i="2"/>
  <c r="L3159" i="2" s="1"/>
  <c r="K3160" i="2"/>
  <c r="L3160" i="2" s="1"/>
  <c r="K3161" i="2"/>
  <c r="L3161" i="2" s="1"/>
  <c r="K3162" i="2"/>
  <c r="L3162" i="2" s="1"/>
  <c r="K3163" i="2"/>
  <c r="L3163" i="2" s="1"/>
  <c r="K3164" i="2"/>
  <c r="L3164" i="2" s="1"/>
  <c r="K3165" i="2"/>
  <c r="L3165" i="2" s="1"/>
  <c r="K3166" i="2"/>
  <c r="L3166" i="2" s="1"/>
  <c r="K3167" i="2"/>
  <c r="L3167" i="2" s="1"/>
  <c r="K3168" i="2"/>
  <c r="L3168" i="2" s="1"/>
  <c r="K3169" i="2"/>
  <c r="L3169" i="2" s="1"/>
  <c r="K3170" i="2"/>
  <c r="L3170" i="2" s="1"/>
  <c r="K3171" i="2"/>
  <c r="L3171" i="2" s="1"/>
  <c r="K3172" i="2"/>
  <c r="L3172" i="2" s="1"/>
  <c r="K3173" i="2"/>
  <c r="L3173" i="2" s="1"/>
  <c r="K3174" i="2"/>
  <c r="L3174" i="2" s="1"/>
  <c r="K3175" i="2"/>
  <c r="L3175" i="2" s="1"/>
  <c r="K3176" i="2"/>
  <c r="L3176" i="2" s="1"/>
  <c r="K3177" i="2"/>
  <c r="L3177" i="2" s="1"/>
  <c r="K3178" i="2"/>
  <c r="L3178" i="2" s="1"/>
  <c r="K3179" i="2"/>
  <c r="L3179" i="2" s="1"/>
  <c r="K3180" i="2"/>
  <c r="L3180" i="2" s="1"/>
  <c r="K3181" i="2"/>
  <c r="L3181" i="2" s="1"/>
  <c r="K3182" i="2"/>
  <c r="L3182" i="2" s="1"/>
  <c r="K3183" i="2"/>
  <c r="L3183" i="2" s="1"/>
  <c r="K3184" i="2"/>
  <c r="L3184" i="2" s="1"/>
  <c r="K3185" i="2"/>
  <c r="L3185" i="2" s="1"/>
  <c r="K3186" i="2"/>
  <c r="L3186" i="2" s="1"/>
  <c r="K3187" i="2"/>
  <c r="L3187" i="2" s="1"/>
  <c r="K3188" i="2"/>
  <c r="L3188" i="2" s="1"/>
  <c r="K3189" i="2"/>
  <c r="L3189" i="2" s="1"/>
  <c r="K3190" i="2"/>
  <c r="L3190" i="2" s="1"/>
  <c r="K3191" i="2"/>
  <c r="L3191" i="2" s="1"/>
  <c r="K3192" i="2"/>
  <c r="L3192" i="2" s="1"/>
  <c r="K3193" i="2"/>
  <c r="L3193" i="2" s="1"/>
  <c r="K3194" i="2"/>
  <c r="L3194" i="2" s="1"/>
  <c r="K3195" i="2"/>
  <c r="L3195" i="2" s="1"/>
  <c r="K3196" i="2"/>
  <c r="L3196" i="2" s="1"/>
  <c r="K3197" i="2"/>
  <c r="L3197" i="2" s="1"/>
  <c r="K3198" i="2"/>
  <c r="L3198" i="2" s="1"/>
  <c r="K3199" i="2"/>
  <c r="L3199" i="2" s="1"/>
  <c r="K3200" i="2"/>
  <c r="L3200" i="2" s="1"/>
  <c r="K3201" i="2"/>
  <c r="L3201" i="2" s="1"/>
  <c r="K3202" i="2"/>
  <c r="L3202" i="2" s="1"/>
  <c r="K3203" i="2"/>
  <c r="L3203" i="2" s="1"/>
  <c r="K3204" i="2"/>
  <c r="L3204" i="2" s="1"/>
  <c r="K3205" i="2"/>
  <c r="L3205" i="2" s="1"/>
  <c r="K3206" i="2"/>
  <c r="L3206" i="2" s="1"/>
  <c r="K3207" i="2"/>
  <c r="L3207" i="2" s="1"/>
  <c r="K3208" i="2"/>
  <c r="L3208" i="2" s="1"/>
  <c r="K3209" i="2"/>
  <c r="L3209" i="2" s="1"/>
  <c r="K3210" i="2"/>
  <c r="L3210" i="2" s="1"/>
  <c r="K3211" i="2"/>
  <c r="L3211" i="2" s="1"/>
  <c r="K3212" i="2"/>
  <c r="L3212" i="2" s="1"/>
  <c r="K3213" i="2"/>
  <c r="L3213" i="2" s="1"/>
  <c r="K3214" i="2"/>
  <c r="L3214" i="2" s="1"/>
  <c r="K3215" i="2"/>
  <c r="L3215" i="2" s="1"/>
  <c r="K3216" i="2"/>
  <c r="L3216" i="2" s="1"/>
  <c r="K3217" i="2"/>
  <c r="L3217" i="2" s="1"/>
  <c r="K3218" i="2"/>
  <c r="L3218" i="2" s="1"/>
  <c r="K3219" i="2"/>
  <c r="L3219" i="2" s="1"/>
  <c r="K3220" i="2"/>
  <c r="L3220" i="2" s="1"/>
  <c r="K3221" i="2"/>
  <c r="L3221" i="2" s="1"/>
  <c r="K3222" i="2"/>
  <c r="L3222" i="2" s="1"/>
  <c r="K3223" i="2"/>
  <c r="L3223" i="2" s="1"/>
  <c r="K3224" i="2"/>
  <c r="L3224" i="2" s="1"/>
  <c r="K3225" i="2"/>
  <c r="L3225" i="2" s="1"/>
  <c r="K3226" i="2"/>
  <c r="L3226" i="2" s="1"/>
  <c r="K3227" i="2"/>
  <c r="L3227" i="2" s="1"/>
  <c r="K3228" i="2"/>
  <c r="L3228" i="2" s="1"/>
  <c r="K3229" i="2"/>
  <c r="L3229" i="2" s="1"/>
  <c r="K3230" i="2"/>
  <c r="L3230" i="2" s="1"/>
  <c r="K3231" i="2"/>
  <c r="L3231" i="2" s="1"/>
  <c r="K3232" i="2"/>
  <c r="L3232" i="2" s="1"/>
  <c r="K3233" i="2"/>
  <c r="L3233" i="2" s="1"/>
  <c r="K3234" i="2"/>
  <c r="L3234" i="2" s="1"/>
  <c r="K3235" i="2"/>
  <c r="L3235" i="2" s="1"/>
  <c r="K3236" i="2"/>
  <c r="L3236" i="2" s="1"/>
  <c r="K3237" i="2"/>
  <c r="L3237" i="2" s="1"/>
  <c r="K3238" i="2"/>
  <c r="L3238" i="2" s="1"/>
  <c r="K3239" i="2"/>
  <c r="L3239" i="2" s="1"/>
  <c r="K3240" i="2"/>
  <c r="L3240" i="2" s="1"/>
  <c r="K3241" i="2"/>
  <c r="L3241" i="2" s="1"/>
  <c r="K3242" i="2"/>
  <c r="L3242" i="2" s="1"/>
  <c r="K3243" i="2"/>
  <c r="L3243" i="2" s="1"/>
  <c r="K3244" i="2"/>
  <c r="L3244" i="2" s="1"/>
  <c r="K3245" i="2"/>
  <c r="L3245" i="2" s="1"/>
  <c r="K3246" i="2"/>
  <c r="L3246" i="2" s="1"/>
  <c r="K3247" i="2"/>
  <c r="L3247" i="2" s="1"/>
  <c r="K3248" i="2"/>
  <c r="L3248" i="2" s="1"/>
  <c r="K3249" i="2"/>
  <c r="L3249" i="2" s="1"/>
  <c r="K3250" i="2"/>
  <c r="L3250" i="2" s="1"/>
  <c r="K3251" i="2"/>
  <c r="L3251" i="2" s="1"/>
  <c r="K3252" i="2"/>
  <c r="L3252" i="2" s="1"/>
  <c r="K3253" i="2"/>
  <c r="L3253" i="2" s="1"/>
  <c r="K3254" i="2"/>
  <c r="L3254" i="2" s="1"/>
  <c r="K3255" i="2"/>
  <c r="L3255" i="2" s="1"/>
  <c r="K3256" i="2"/>
  <c r="L3256" i="2" s="1"/>
  <c r="K3257" i="2"/>
  <c r="L3257" i="2" s="1"/>
  <c r="K3258" i="2"/>
  <c r="L3258" i="2" s="1"/>
  <c r="K3259" i="2"/>
  <c r="L3259" i="2" s="1"/>
  <c r="K3260" i="2"/>
  <c r="L3260" i="2" s="1"/>
  <c r="K3261" i="2"/>
  <c r="L3261" i="2" s="1"/>
  <c r="K3262" i="2"/>
  <c r="L3262" i="2" s="1"/>
  <c r="K3263" i="2"/>
  <c r="L3263" i="2" s="1"/>
  <c r="K3264" i="2"/>
  <c r="L3264" i="2" s="1"/>
  <c r="K3265" i="2"/>
  <c r="L3265" i="2" s="1"/>
  <c r="K3266" i="2"/>
  <c r="L3266" i="2" s="1"/>
  <c r="K3267" i="2"/>
  <c r="L3267" i="2" s="1"/>
  <c r="K3268" i="2"/>
  <c r="L3268" i="2" s="1"/>
  <c r="K3269" i="2"/>
  <c r="L3269" i="2" s="1"/>
  <c r="K3270" i="2"/>
  <c r="L3270" i="2" s="1"/>
  <c r="K3271" i="2"/>
  <c r="L3271" i="2" s="1"/>
  <c r="K3272" i="2"/>
  <c r="L3272" i="2" s="1"/>
  <c r="K3273" i="2"/>
  <c r="L3273" i="2" s="1"/>
  <c r="K3274" i="2"/>
  <c r="L3274" i="2" s="1"/>
  <c r="K3275" i="2"/>
  <c r="L3275" i="2" s="1"/>
  <c r="K3276" i="2"/>
  <c r="L3276" i="2" s="1"/>
  <c r="K3277" i="2"/>
  <c r="L3277" i="2" s="1"/>
  <c r="K3278" i="2"/>
  <c r="L3278" i="2" s="1"/>
  <c r="K3279" i="2"/>
  <c r="L3279" i="2" s="1"/>
  <c r="K3280" i="2"/>
  <c r="L3280" i="2" s="1"/>
  <c r="K3281" i="2"/>
  <c r="L3281" i="2" s="1"/>
  <c r="K3282" i="2"/>
  <c r="L3282" i="2" s="1"/>
  <c r="K3283" i="2"/>
  <c r="L3283" i="2" s="1"/>
  <c r="K3284" i="2"/>
  <c r="L3284" i="2" s="1"/>
  <c r="K3285" i="2"/>
  <c r="L3285" i="2" s="1"/>
  <c r="K3286" i="2"/>
  <c r="L3286" i="2" s="1"/>
  <c r="K3287" i="2"/>
  <c r="L3287" i="2" s="1"/>
  <c r="K3288" i="2"/>
  <c r="L3288" i="2" s="1"/>
  <c r="K3289" i="2"/>
  <c r="L3289" i="2" s="1"/>
  <c r="K3290" i="2"/>
  <c r="L3290" i="2" s="1"/>
  <c r="K3291" i="2"/>
  <c r="L3291" i="2" s="1"/>
  <c r="K3292" i="2"/>
  <c r="L3292" i="2" s="1"/>
  <c r="K3293" i="2"/>
  <c r="L3293" i="2" s="1"/>
  <c r="K3294" i="2"/>
  <c r="L3294" i="2" s="1"/>
  <c r="K3295" i="2"/>
  <c r="L3295" i="2" s="1"/>
  <c r="K3296" i="2"/>
  <c r="L3296" i="2" s="1"/>
  <c r="K3297" i="2"/>
  <c r="L3297" i="2" s="1"/>
  <c r="K3298" i="2"/>
  <c r="L3298" i="2" s="1"/>
  <c r="K3299" i="2"/>
  <c r="L3299" i="2" s="1"/>
  <c r="K3300" i="2"/>
  <c r="L3300" i="2" s="1"/>
  <c r="K3301" i="2"/>
  <c r="L3301" i="2" s="1"/>
  <c r="K3302" i="2"/>
  <c r="L3302" i="2" s="1"/>
  <c r="K3303" i="2"/>
  <c r="L3303" i="2" s="1"/>
  <c r="K3304" i="2"/>
  <c r="L3304" i="2" s="1"/>
  <c r="K3305" i="2"/>
  <c r="L3305" i="2" s="1"/>
  <c r="K3306" i="2"/>
  <c r="L3306" i="2" s="1"/>
  <c r="K3307" i="2"/>
  <c r="L3307" i="2" s="1"/>
  <c r="K3308" i="2"/>
  <c r="L3308" i="2" s="1"/>
  <c r="K3309" i="2"/>
  <c r="L3309" i="2" s="1"/>
  <c r="K3310" i="2"/>
  <c r="L3310" i="2" s="1"/>
  <c r="K3311" i="2"/>
  <c r="L3311" i="2" s="1"/>
  <c r="K3312" i="2"/>
  <c r="L3312" i="2" s="1"/>
  <c r="K3313" i="2"/>
  <c r="L3313" i="2" s="1"/>
  <c r="K3314" i="2"/>
  <c r="L3314" i="2" s="1"/>
  <c r="K3315" i="2"/>
  <c r="L3315" i="2" s="1"/>
  <c r="K3316" i="2"/>
  <c r="L3316" i="2" s="1"/>
  <c r="K3317" i="2"/>
  <c r="L3317" i="2" s="1"/>
  <c r="K3318" i="2"/>
  <c r="L3318" i="2" s="1"/>
  <c r="K3319" i="2"/>
  <c r="L3319" i="2" s="1"/>
  <c r="K3320" i="2"/>
  <c r="L3320" i="2" s="1"/>
  <c r="K3321" i="2"/>
  <c r="L3321" i="2" s="1"/>
  <c r="K3322" i="2"/>
  <c r="L3322" i="2" s="1"/>
  <c r="K3323" i="2"/>
  <c r="L3323" i="2" s="1"/>
  <c r="K3324" i="2"/>
  <c r="L3324" i="2" s="1"/>
  <c r="K3325" i="2"/>
  <c r="L3325" i="2" s="1"/>
  <c r="K3326" i="2"/>
  <c r="L3326" i="2" s="1"/>
  <c r="K3327" i="2"/>
  <c r="L3327" i="2" s="1"/>
  <c r="K3328" i="2"/>
  <c r="L3328" i="2" s="1"/>
  <c r="K3329" i="2"/>
  <c r="L3329" i="2" s="1"/>
  <c r="K3330" i="2"/>
  <c r="L3330" i="2" s="1"/>
  <c r="K3331" i="2"/>
  <c r="L3331" i="2" s="1"/>
  <c r="K3332" i="2"/>
  <c r="L3332" i="2" s="1"/>
  <c r="K3333" i="2"/>
  <c r="L3333" i="2" s="1"/>
  <c r="K3334" i="2"/>
  <c r="L3334" i="2" s="1"/>
  <c r="K3335" i="2"/>
  <c r="L3335" i="2" s="1"/>
  <c r="K3336" i="2"/>
  <c r="L3336" i="2" s="1"/>
  <c r="K3337" i="2"/>
  <c r="L3337" i="2" s="1"/>
  <c r="K3338" i="2"/>
  <c r="L3338" i="2" s="1"/>
  <c r="K3339" i="2"/>
  <c r="L3339" i="2" s="1"/>
  <c r="K3340" i="2"/>
  <c r="L3340" i="2" s="1"/>
  <c r="K3341" i="2"/>
  <c r="L3341" i="2" s="1"/>
  <c r="K3342" i="2"/>
  <c r="L3342" i="2" s="1"/>
  <c r="K3343" i="2"/>
  <c r="L3343" i="2" s="1"/>
  <c r="K3344" i="2"/>
  <c r="L3344" i="2" s="1"/>
  <c r="K3345" i="2"/>
  <c r="L3345" i="2" s="1"/>
  <c r="K3346" i="2"/>
  <c r="L3346" i="2" s="1"/>
  <c r="K3347" i="2"/>
  <c r="L3347" i="2" s="1"/>
  <c r="K3348" i="2"/>
  <c r="L3348" i="2" s="1"/>
  <c r="K3349" i="2"/>
  <c r="L3349" i="2" s="1"/>
  <c r="K3350" i="2"/>
  <c r="L3350" i="2" s="1"/>
  <c r="K3351" i="2"/>
  <c r="L3351" i="2" s="1"/>
  <c r="K3352" i="2"/>
  <c r="L3352" i="2" s="1"/>
  <c r="K3353" i="2"/>
  <c r="L3353" i="2" s="1"/>
  <c r="K3354" i="2"/>
  <c r="L3354" i="2" s="1"/>
  <c r="K3355" i="2"/>
  <c r="L3355" i="2" s="1"/>
  <c r="K3356" i="2"/>
  <c r="L3356" i="2" s="1"/>
  <c r="K3357" i="2"/>
  <c r="L3357" i="2" s="1"/>
  <c r="K3358" i="2"/>
  <c r="L3358" i="2" s="1"/>
  <c r="K3359" i="2"/>
  <c r="L3359" i="2" s="1"/>
  <c r="K3360" i="2"/>
  <c r="L3360" i="2" s="1"/>
  <c r="K3361" i="2"/>
  <c r="L3361" i="2" s="1"/>
  <c r="K3362" i="2"/>
  <c r="L3362" i="2" s="1"/>
  <c r="K3363" i="2"/>
  <c r="L3363" i="2" s="1"/>
  <c r="K3364" i="2"/>
  <c r="L3364" i="2" s="1"/>
  <c r="K3365" i="2"/>
  <c r="L3365" i="2" s="1"/>
  <c r="K3366" i="2"/>
  <c r="L3366" i="2" s="1"/>
  <c r="K3367" i="2"/>
  <c r="L3367" i="2" s="1"/>
  <c r="K3368" i="2"/>
  <c r="L3368" i="2" s="1"/>
  <c r="K3369" i="2"/>
  <c r="L3369" i="2" s="1"/>
  <c r="K3370" i="2"/>
  <c r="L3370" i="2" s="1"/>
  <c r="K3371" i="2"/>
  <c r="L3371" i="2" s="1"/>
  <c r="K3372" i="2"/>
  <c r="L3372" i="2" s="1"/>
  <c r="K3373" i="2"/>
  <c r="L3373" i="2" s="1"/>
  <c r="K3374" i="2"/>
  <c r="L3374" i="2" s="1"/>
  <c r="K3375" i="2"/>
  <c r="L3375" i="2" s="1"/>
  <c r="K3376" i="2"/>
  <c r="L3376" i="2" s="1"/>
  <c r="K3377" i="2"/>
  <c r="L3377" i="2" s="1"/>
  <c r="K3378" i="2"/>
  <c r="L3378" i="2" s="1"/>
  <c r="K3379" i="2"/>
  <c r="L3379" i="2" s="1"/>
  <c r="K3380" i="2"/>
  <c r="L3380" i="2" s="1"/>
  <c r="K3381" i="2"/>
  <c r="L3381" i="2" s="1"/>
  <c r="K3382" i="2"/>
  <c r="L3382" i="2" s="1"/>
  <c r="K3383" i="2"/>
  <c r="L3383" i="2" s="1"/>
  <c r="K3384" i="2"/>
  <c r="L3384" i="2" s="1"/>
  <c r="K3385" i="2"/>
  <c r="L3385" i="2" s="1"/>
  <c r="K3386" i="2"/>
  <c r="L3386" i="2" s="1"/>
  <c r="K3387" i="2"/>
  <c r="L3387" i="2" s="1"/>
  <c r="K3388" i="2"/>
  <c r="L3388" i="2" s="1"/>
  <c r="K3389" i="2"/>
  <c r="L3389" i="2" s="1"/>
  <c r="K3390" i="2"/>
  <c r="L3390" i="2" s="1"/>
  <c r="K3391" i="2"/>
  <c r="L3391" i="2" s="1"/>
  <c r="K3392" i="2"/>
  <c r="L3392" i="2" s="1"/>
  <c r="K3393" i="2"/>
  <c r="L3393" i="2" s="1"/>
  <c r="K3394" i="2"/>
  <c r="L3394" i="2" s="1"/>
  <c r="K3395" i="2"/>
  <c r="L3395" i="2" s="1"/>
  <c r="K3396" i="2"/>
  <c r="L3396" i="2" s="1"/>
  <c r="K3397" i="2"/>
  <c r="L3397" i="2" s="1"/>
  <c r="K3398" i="2"/>
  <c r="L3398" i="2" s="1"/>
  <c r="K3399" i="2"/>
  <c r="L3399" i="2" s="1"/>
  <c r="K3400" i="2"/>
  <c r="L3400" i="2" s="1"/>
  <c r="K3401" i="2"/>
  <c r="L3401" i="2" s="1"/>
  <c r="K3402" i="2"/>
  <c r="L3402" i="2" s="1"/>
  <c r="K3403" i="2"/>
  <c r="L3403" i="2" s="1"/>
  <c r="K3404" i="2"/>
  <c r="L3404" i="2" s="1"/>
  <c r="K3405" i="2"/>
  <c r="L3405" i="2" s="1"/>
  <c r="K3406" i="2"/>
  <c r="L3406" i="2" s="1"/>
  <c r="K3407" i="2"/>
  <c r="L3407" i="2" s="1"/>
  <c r="K3408" i="2"/>
  <c r="L3408" i="2" s="1"/>
  <c r="K3409" i="2"/>
  <c r="L3409" i="2" s="1"/>
  <c r="K3410" i="2"/>
  <c r="L3410" i="2" s="1"/>
  <c r="K3411" i="2"/>
  <c r="L3411" i="2" s="1"/>
  <c r="K3412" i="2"/>
  <c r="L3412" i="2" s="1"/>
  <c r="K3413" i="2"/>
  <c r="L3413" i="2" s="1"/>
  <c r="K3414" i="2"/>
  <c r="L3414" i="2" s="1"/>
  <c r="K3415" i="2"/>
  <c r="L3415" i="2" s="1"/>
  <c r="K3416" i="2"/>
  <c r="L3416" i="2" s="1"/>
  <c r="K3417" i="2"/>
  <c r="L3417" i="2" s="1"/>
  <c r="K3418" i="2"/>
  <c r="L3418" i="2" s="1"/>
  <c r="K3419" i="2"/>
  <c r="L3419" i="2" s="1"/>
  <c r="K3420" i="2"/>
  <c r="L3420" i="2" s="1"/>
  <c r="K3421" i="2"/>
  <c r="L3421" i="2" s="1"/>
  <c r="K3422" i="2"/>
  <c r="L3422" i="2" s="1"/>
  <c r="K3423" i="2"/>
  <c r="L3423" i="2" s="1"/>
  <c r="K3424" i="2"/>
  <c r="L3424" i="2" s="1"/>
  <c r="K3425" i="2"/>
  <c r="L3425" i="2" s="1"/>
  <c r="K3426" i="2"/>
  <c r="L3426" i="2" s="1"/>
  <c r="K3427" i="2"/>
  <c r="L3427" i="2" s="1"/>
  <c r="K3428" i="2"/>
  <c r="L3428" i="2" s="1"/>
  <c r="K3429" i="2"/>
  <c r="L3429" i="2" s="1"/>
  <c r="K3430" i="2"/>
  <c r="L3430" i="2" s="1"/>
  <c r="K3431" i="2"/>
  <c r="L3431" i="2" s="1"/>
  <c r="K3432" i="2"/>
  <c r="L3432" i="2" s="1"/>
  <c r="K3433" i="2"/>
  <c r="L3433" i="2" s="1"/>
  <c r="K3434" i="2"/>
  <c r="L3434" i="2" s="1"/>
  <c r="K3435" i="2"/>
  <c r="L3435" i="2" s="1"/>
  <c r="K3436" i="2"/>
  <c r="L3436" i="2" s="1"/>
  <c r="K3437" i="2"/>
  <c r="L3437" i="2" s="1"/>
  <c r="K3438" i="2"/>
  <c r="L3438" i="2" s="1"/>
  <c r="K3439" i="2"/>
  <c r="L3439" i="2" s="1"/>
  <c r="K3440" i="2"/>
  <c r="L3440" i="2" s="1"/>
  <c r="K3441" i="2"/>
  <c r="L3441" i="2" s="1"/>
  <c r="K3442" i="2"/>
  <c r="L3442" i="2" s="1"/>
  <c r="K3443" i="2"/>
  <c r="L3443" i="2" s="1"/>
  <c r="K3444" i="2"/>
  <c r="L3444" i="2" s="1"/>
  <c r="K3445" i="2"/>
  <c r="L3445" i="2" s="1"/>
  <c r="K3446" i="2"/>
  <c r="L3446" i="2" s="1"/>
  <c r="K3447" i="2"/>
  <c r="L3447" i="2" s="1"/>
  <c r="K3448" i="2"/>
  <c r="L3448" i="2" s="1"/>
  <c r="K3449" i="2"/>
  <c r="L3449" i="2" s="1"/>
  <c r="K3450" i="2"/>
  <c r="L3450" i="2" s="1"/>
  <c r="K3451" i="2"/>
  <c r="L3451" i="2" s="1"/>
  <c r="K3452" i="2"/>
  <c r="L3452" i="2" s="1"/>
  <c r="K3453" i="2"/>
  <c r="L3453" i="2" s="1"/>
  <c r="K3454" i="2"/>
  <c r="L3454" i="2" s="1"/>
  <c r="K3455" i="2"/>
  <c r="L3455" i="2" s="1"/>
  <c r="K3456" i="2"/>
  <c r="L3456" i="2" s="1"/>
  <c r="K3457" i="2"/>
  <c r="L3457" i="2" s="1"/>
  <c r="K3458" i="2"/>
  <c r="L3458" i="2" s="1"/>
  <c r="K3459" i="2"/>
  <c r="L3459" i="2" s="1"/>
  <c r="K3460" i="2"/>
  <c r="L3460" i="2" s="1"/>
  <c r="K3461" i="2"/>
  <c r="L3461" i="2" s="1"/>
  <c r="K3462" i="2"/>
  <c r="L3462" i="2" s="1"/>
  <c r="K3463" i="2"/>
  <c r="L3463" i="2" s="1"/>
  <c r="K3464" i="2"/>
  <c r="L3464" i="2" s="1"/>
  <c r="K3465" i="2"/>
  <c r="L3465" i="2" s="1"/>
  <c r="K3466" i="2"/>
  <c r="L3466" i="2" s="1"/>
  <c r="K3467" i="2"/>
  <c r="L3467" i="2" s="1"/>
  <c r="K3468" i="2"/>
  <c r="L3468" i="2" s="1"/>
  <c r="K3469" i="2"/>
  <c r="L3469" i="2" s="1"/>
  <c r="K3470" i="2"/>
  <c r="L3470" i="2" s="1"/>
  <c r="K3471" i="2"/>
  <c r="L3471" i="2" s="1"/>
  <c r="K3472" i="2"/>
  <c r="L3472" i="2" s="1"/>
  <c r="K3473" i="2"/>
  <c r="L3473" i="2" s="1"/>
  <c r="K3474" i="2"/>
  <c r="L3474" i="2" s="1"/>
  <c r="K3475" i="2"/>
  <c r="L3475" i="2" s="1"/>
  <c r="K3476" i="2"/>
  <c r="L3476" i="2" s="1"/>
  <c r="K3477" i="2"/>
  <c r="L3477" i="2" s="1"/>
  <c r="K3478" i="2"/>
  <c r="L3478" i="2" s="1"/>
  <c r="K3479" i="2"/>
  <c r="L3479" i="2" s="1"/>
  <c r="K3480" i="2"/>
  <c r="L3480" i="2" s="1"/>
  <c r="K3481" i="2"/>
  <c r="L3481" i="2" s="1"/>
  <c r="K3482" i="2"/>
  <c r="L3482" i="2" s="1"/>
  <c r="K3483" i="2"/>
  <c r="L3483" i="2" s="1"/>
  <c r="K3484" i="2"/>
  <c r="L3484" i="2" s="1"/>
  <c r="K3485" i="2"/>
  <c r="L3485" i="2" s="1"/>
  <c r="K3486" i="2"/>
  <c r="L3486" i="2" s="1"/>
  <c r="K3487" i="2"/>
  <c r="L3487" i="2" s="1"/>
  <c r="K3488" i="2"/>
  <c r="L3488" i="2" s="1"/>
  <c r="K3489" i="2"/>
  <c r="L3489" i="2" s="1"/>
  <c r="K3490" i="2"/>
  <c r="L3490" i="2" s="1"/>
  <c r="K3491" i="2"/>
  <c r="L3491" i="2" s="1"/>
  <c r="K3492" i="2"/>
  <c r="L3492" i="2" s="1"/>
  <c r="K3493" i="2"/>
  <c r="L3493" i="2" s="1"/>
  <c r="K3494" i="2"/>
  <c r="L3494" i="2" s="1"/>
  <c r="K3495" i="2"/>
  <c r="L3495" i="2" s="1"/>
  <c r="K3496" i="2"/>
  <c r="L3496" i="2" s="1"/>
  <c r="K3497" i="2"/>
  <c r="L3497" i="2" s="1"/>
  <c r="K3498" i="2"/>
  <c r="L3498" i="2" s="1"/>
  <c r="K3499" i="2"/>
  <c r="L3499" i="2" s="1"/>
  <c r="K3500" i="2"/>
  <c r="L3500" i="2" s="1"/>
  <c r="K3501" i="2"/>
  <c r="L3501" i="2" s="1"/>
  <c r="K3502" i="2"/>
  <c r="L3502" i="2" s="1"/>
  <c r="K3503" i="2"/>
  <c r="L3503" i="2" s="1"/>
  <c r="K3504" i="2"/>
  <c r="L3504" i="2" s="1"/>
  <c r="K3505" i="2"/>
  <c r="L3505" i="2" s="1"/>
  <c r="K3506" i="2"/>
  <c r="L3506" i="2" s="1"/>
  <c r="K3507" i="2"/>
  <c r="L3507" i="2" s="1"/>
  <c r="K3508" i="2"/>
  <c r="L3508" i="2" s="1"/>
  <c r="K3509" i="2"/>
  <c r="L3509" i="2" s="1"/>
  <c r="K3510" i="2"/>
  <c r="L3510" i="2" s="1"/>
  <c r="K3511" i="2"/>
  <c r="L3511" i="2" s="1"/>
  <c r="K3512" i="2"/>
  <c r="L3512" i="2" s="1"/>
  <c r="K3513" i="2"/>
  <c r="L3513" i="2" s="1"/>
  <c r="K3514" i="2"/>
  <c r="L3514" i="2" s="1"/>
  <c r="K3515" i="2"/>
  <c r="L3515" i="2" s="1"/>
  <c r="K3516" i="2"/>
  <c r="L3516" i="2" s="1"/>
  <c r="K3517" i="2"/>
  <c r="L3517" i="2" s="1"/>
  <c r="K3518" i="2"/>
  <c r="L3518" i="2" s="1"/>
  <c r="K3519" i="2"/>
  <c r="L3519" i="2" s="1"/>
  <c r="K3520" i="2"/>
  <c r="L3520" i="2" s="1"/>
  <c r="K3521" i="2"/>
  <c r="L3521" i="2" s="1"/>
  <c r="K3522" i="2"/>
  <c r="L3522" i="2" s="1"/>
  <c r="K3523" i="2"/>
  <c r="L3523" i="2" s="1"/>
  <c r="K3524" i="2"/>
  <c r="L3524" i="2" s="1"/>
  <c r="K3525" i="2"/>
  <c r="L3525" i="2" s="1"/>
  <c r="K3526" i="2"/>
  <c r="L3526" i="2" s="1"/>
  <c r="K3527" i="2"/>
  <c r="L3527" i="2" s="1"/>
  <c r="K3528" i="2"/>
  <c r="L3528" i="2" s="1"/>
  <c r="K3529" i="2"/>
  <c r="L3529" i="2" s="1"/>
  <c r="K3530" i="2"/>
  <c r="L3530" i="2" s="1"/>
  <c r="K3531" i="2"/>
  <c r="L3531" i="2" s="1"/>
  <c r="K3532" i="2"/>
  <c r="L3532" i="2" s="1"/>
  <c r="K3533" i="2"/>
  <c r="L3533" i="2" s="1"/>
  <c r="K3534" i="2"/>
  <c r="L3534" i="2" s="1"/>
  <c r="K3535" i="2"/>
  <c r="L3535" i="2" s="1"/>
  <c r="K3536" i="2"/>
  <c r="L3536" i="2" s="1"/>
  <c r="K3537" i="2"/>
  <c r="L3537" i="2" s="1"/>
  <c r="K3538" i="2"/>
  <c r="L3538" i="2" s="1"/>
  <c r="K3539" i="2"/>
  <c r="L3539" i="2" s="1"/>
  <c r="K3540" i="2"/>
  <c r="L3540" i="2" s="1"/>
  <c r="K3541" i="2"/>
  <c r="L3541" i="2" s="1"/>
  <c r="K3542" i="2"/>
  <c r="L3542" i="2" s="1"/>
  <c r="K3543" i="2"/>
  <c r="L3543" i="2" s="1"/>
  <c r="K3544" i="2"/>
  <c r="L3544" i="2" s="1"/>
  <c r="K3545" i="2"/>
  <c r="L3545" i="2" s="1"/>
  <c r="K3546" i="2"/>
  <c r="L3546" i="2" s="1"/>
  <c r="K3547" i="2"/>
  <c r="L3547" i="2" s="1"/>
  <c r="K3548" i="2"/>
  <c r="L3548" i="2" s="1"/>
  <c r="K3549" i="2"/>
  <c r="L3549" i="2" s="1"/>
  <c r="K3550" i="2"/>
  <c r="L3550" i="2" s="1"/>
  <c r="K3551" i="2"/>
  <c r="L3551" i="2" s="1"/>
  <c r="K3552" i="2"/>
  <c r="L3552" i="2" s="1"/>
  <c r="K3553" i="2"/>
  <c r="L3553" i="2" s="1"/>
  <c r="K3554" i="2"/>
  <c r="L3554" i="2" s="1"/>
  <c r="K3555" i="2"/>
  <c r="L3555" i="2" s="1"/>
  <c r="K3556" i="2"/>
  <c r="L3556" i="2" s="1"/>
  <c r="K3557" i="2"/>
  <c r="L3557" i="2" s="1"/>
  <c r="K3558" i="2"/>
  <c r="L3558" i="2" s="1"/>
  <c r="K3559" i="2"/>
  <c r="L3559" i="2" s="1"/>
  <c r="K3560" i="2"/>
  <c r="L3560" i="2" s="1"/>
  <c r="K3561" i="2"/>
  <c r="L3561" i="2" s="1"/>
  <c r="K3562" i="2"/>
  <c r="L3562" i="2" s="1"/>
  <c r="K3563" i="2"/>
  <c r="L3563" i="2" s="1"/>
  <c r="K3564" i="2"/>
  <c r="L3564" i="2" s="1"/>
  <c r="K3565" i="2"/>
  <c r="L3565" i="2" s="1"/>
  <c r="K3566" i="2"/>
  <c r="L3566" i="2" s="1"/>
  <c r="K3567" i="2"/>
  <c r="L3567" i="2" s="1"/>
  <c r="K3568" i="2"/>
  <c r="L3568" i="2" s="1"/>
  <c r="K3569" i="2"/>
  <c r="L3569" i="2" s="1"/>
  <c r="K3570" i="2"/>
  <c r="L3570" i="2" s="1"/>
  <c r="K3571" i="2"/>
  <c r="L3571" i="2" s="1"/>
  <c r="K3572" i="2"/>
  <c r="L3572" i="2" s="1"/>
  <c r="K3573" i="2"/>
  <c r="L3573" i="2" s="1"/>
  <c r="K3574" i="2"/>
  <c r="L3574" i="2" s="1"/>
  <c r="K3575" i="2"/>
  <c r="L3575" i="2" s="1"/>
  <c r="K3576" i="2"/>
  <c r="L3576" i="2" s="1"/>
  <c r="K3577" i="2"/>
  <c r="L3577" i="2" s="1"/>
  <c r="K3578" i="2"/>
  <c r="L3578" i="2" s="1"/>
  <c r="K3579" i="2"/>
  <c r="L3579" i="2" s="1"/>
  <c r="K3580" i="2"/>
  <c r="L3580" i="2" s="1"/>
  <c r="K3581" i="2"/>
  <c r="L3581" i="2" s="1"/>
  <c r="K3582" i="2"/>
  <c r="L3582" i="2" s="1"/>
  <c r="K3583" i="2"/>
  <c r="L3583" i="2" s="1"/>
  <c r="K3584" i="2"/>
  <c r="L3584" i="2" s="1"/>
  <c r="K3585" i="2"/>
  <c r="L3585" i="2" s="1"/>
  <c r="K3586" i="2"/>
  <c r="L3586" i="2" s="1"/>
  <c r="K3587" i="2"/>
  <c r="L3587" i="2" s="1"/>
  <c r="K3588" i="2"/>
  <c r="L3588" i="2" s="1"/>
  <c r="K3589" i="2"/>
  <c r="L3589" i="2" s="1"/>
  <c r="K3590" i="2"/>
  <c r="L3590" i="2" s="1"/>
  <c r="K3591" i="2"/>
  <c r="L3591" i="2" s="1"/>
  <c r="K3592" i="2"/>
  <c r="L3592" i="2" s="1"/>
  <c r="K3593" i="2"/>
  <c r="L3593" i="2" s="1"/>
  <c r="K3594" i="2"/>
  <c r="L3594" i="2" s="1"/>
  <c r="K3595" i="2"/>
  <c r="L3595" i="2" s="1"/>
  <c r="K3596" i="2"/>
  <c r="L3596" i="2" s="1"/>
  <c r="K3597" i="2"/>
  <c r="L3597" i="2" s="1"/>
  <c r="K3598" i="2"/>
  <c r="L3598" i="2" s="1"/>
  <c r="K3599" i="2"/>
  <c r="L3599" i="2" s="1"/>
  <c r="K3600" i="2"/>
  <c r="L3600" i="2" s="1"/>
  <c r="K3601" i="2"/>
  <c r="L3601" i="2" s="1"/>
  <c r="K3602" i="2"/>
  <c r="L3602" i="2" s="1"/>
  <c r="K3603" i="2"/>
  <c r="L3603" i="2" s="1"/>
  <c r="K3604" i="2"/>
  <c r="L3604" i="2" s="1"/>
  <c r="K3605" i="2"/>
  <c r="L3605" i="2" s="1"/>
  <c r="K3606" i="2"/>
  <c r="L3606" i="2" s="1"/>
  <c r="K3607" i="2"/>
  <c r="L3607" i="2" s="1"/>
  <c r="K3608" i="2"/>
  <c r="L3608" i="2" s="1"/>
  <c r="K3609" i="2"/>
  <c r="L3609" i="2" s="1"/>
  <c r="K3610" i="2"/>
  <c r="L3610" i="2" s="1"/>
  <c r="K3611" i="2"/>
  <c r="L3611" i="2" s="1"/>
  <c r="K3612" i="2"/>
  <c r="L3612" i="2" s="1"/>
  <c r="K3613" i="2"/>
  <c r="L3613" i="2" s="1"/>
  <c r="K3614" i="2"/>
  <c r="L3614" i="2" s="1"/>
  <c r="K3615" i="2"/>
  <c r="L3615" i="2" s="1"/>
  <c r="K3616" i="2"/>
  <c r="L3616" i="2" s="1"/>
  <c r="K3617" i="2"/>
  <c r="L3617" i="2" s="1"/>
  <c r="K3618" i="2"/>
  <c r="L3618" i="2" s="1"/>
  <c r="K3619" i="2"/>
  <c r="L3619" i="2" s="1"/>
  <c r="K3620" i="2"/>
  <c r="L3620" i="2" s="1"/>
  <c r="K3621" i="2"/>
  <c r="L3621" i="2" s="1"/>
  <c r="K3622" i="2"/>
  <c r="L3622" i="2" s="1"/>
  <c r="K3623" i="2"/>
  <c r="L3623" i="2" s="1"/>
  <c r="K3624" i="2"/>
  <c r="L3624" i="2" s="1"/>
  <c r="K3625" i="2"/>
  <c r="L3625" i="2" s="1"/>
  <c r="K3626" i="2"/>
  <c r="L3626" i="2" s="1"/>
  <c r="K3627" i="2"/>
  <c r="L3627" i="2" s="1"/>
  <c r="K3628" i="2"/>
  <c r="L3628" i="2" s="1"/>
  <c r="K3629" i="2"/>
  <c r="L3629" i="2" s="1"/>
  <c r="K3630" i="2"/>
  <c r="L3630" i="2" s="1"/>
  <c r="K3631" i="2"/>
  <c r="L3631" i="2" s="1"/>
  <c r="K3632" i="2"/>
  <c r="L3632" i="2" s="1"/>
  <c r="K3633" i="2"/>
  <c r="L3633" i="2" s="1"/>
  <c r="K3634" i="2"/>
  <c r="L3634" i="2" s="1"/>
  <c r="K3635" i="2"/>
  <c r="L3635" i="2" s="1"/>
  <c r="K3636" i="2"/>
  <c r="L3636" i="2" s="1"/>
  <c r="K3637" i="2"/>
  <c r="L3637" i="2" s="1"/>
  <c r="K3638" i="2"/>
  <c r="L3638" i="2" s="1"/>
  <c r="K3639" i="2"/>
  <c r="L3639" i="2" s="1"/>
  <c r="K3640" i="2"/>
  <c r="L3640" i="2" s="1"/>
  <c r="K3641" i="2"/>
  <c r="L3641" i="2" s="1"/>
  <c r="K3642" i="2"/>
  <c r="L3642" i="2" s="1"/>
  <c r="K3643" i="2"/>
  <c r="L3643" i="2" s="1"/>
  <c r="K3644" i="2"/>
  <c r="L3644" i="2" s="1"/>
  <c r="K3645" i="2"/>
  <c r="L3645" i="2" s="1"/>
  <c r="K3646" i="2"/>
  <c r="L3646" i="2" s="1"/>
  <c r="K3647" i="2"/>
  <c r="L3647" i="2" s="1"/>
  <c r="K3648" i="2"/>
  <c r="L3648" i="2" s="1"/>
  <c r="K3649" i="2"/>
  <c r="L3649" i="2" s="1"/>
  <c r="K3650" i="2"/>
  <c r="L3650" i="2" s="1"/>
  <c r="K3651" i="2"/>
  <c r="L3651" i="2" s="1"/>
  <c r="K3652" i="2"/>
  <c r="L3652" i="2" s="1"/>
  <c r="K3653" i="2"/>
  <c r="L3653" i="2" s="1"/>
  <c r="K3654" i="2"/>
  <c r="L3654" i="2" s="1"/>
  <c r="K3655" i="2"/>
  <c r="L3655" i="2" s="1"/>
  <c r="K3656" i="2"/>
  <c r="L3656" i="2" s="1"/>
  <c r="K3657" i="2"/>
  <c r="L3657" i="2" s="1"/>
  <c r="K3658" i="2"/>
  <c r="L3658" i="2" s="1"/>
  <c r="K3659" i="2"/>
  <c r="L3659" i="2" s="1"/>
  <c r="K3660" i="2"/>
  <c r="L3660" i="2" s="1"/>
  <c r="K3661" i="2"/>
  <c r="L3661" i="2" s="1"/>
  <c r="K3662" i="2"/>
  <c r="L3662" i="2" s="1"/>
  <c r="K3663" i="2"/>
  <c r="L3663" i="2" s="1"/>
  <c r="K3664" i="2"/>
  <c r="L3664" i="2" s="1"/>
  <c r="K3665" i="2"/>
  <c r="L3665" i="2" s="1"/>
  <c r="K3666" i="2"/>
  <c r="L3666" i="2" s="1"/>
  <c r="K3667" i="2"/>
  <c r="L3667" i="2" s="1"/>
  <c r="K3668" i="2"/>
  <c r="L3668" i="2" s="1"/>
  <c r="K3669" i="2"/>
  <c r="L3669" i="2" s="1"/>
  <c r="K3670" i="2"/>
  <c r="L3670" i="2" s="1"/>
  <c r="K3671" i="2"/>
  <c r="L3671" i="2" s="1"/>
  <c r="K3672" i="2"/>
  <c r="L3672" i="2" s="1"/>
  <c r="K3673" i="2"/>
  <c r="L3673" i="2" s="1"/>
  <c r="K3674" i="2"/>
  <c r="L3674" i="2" s="1"/>
  <c r="K3675" i="2"/>
  <c r="L3675" i="2" s="1"/>
  <c r="K3676" i="2"/>
  <c r="L3676" i="2" s="1"/>
  <c r="K3677" i="2"/>
  <c r="L3677" i="2" s="1"/>
  <c r="K3678" i="2"/>
  <c r="L3678" i="2" s="1"/>
  <c r="K3679" i="2"/>
  <c r="L3679" i="2" s="1"/>
  <c r="K3680" i="2"/>
  <c r="L3680" i="2" s="1"/>
  <c r="K3681" i="2"/>
  <c r="L3681" i="2" s="1"/>
  <c r="K3682" i="2"/>
  <c r="L3682" i="2" s="1"/>
  <c r="K3683" i="2"/>
  <c r="L3683" i="2" s="1"/>
  <c r="K3684" i="2"/>
  <c r="L3684" i="2" s="1"/>
  <c r="K3685" i="2"/>
  <c r="L3685" i="2" s="1"/>
  <c r="K3686" i="2"/>
  <c r="L3686" i="2" s="1"/>
  <c r="K3687" i="2"/>
  <c r="L3687" i="2" s="1"/>
  <c r="K3688" i="2"/>
  <c r="L3688" i="2" s="1"/>
  <c r="K3689" i="2"/>
  <c r="L3689" i="2" s="1"/>
  <c r="K3690" i="2"/>
  <c r="L3690" i="2" s="1"/>
  <c r="K3691" i="2"/>
  <c r="L3691" i="2" s="1"/>
  <c r="K3692" i="2"/>
  <c r="L3692" i="2" s="1"/>
  <c r="K3693" i="2"/>
  <c r="L3693" i="2" s="1"/>
  <c r="K3694" i="2"/>
  <c r="L3694" i="2" s="1"/>
  <c r="K3695" i="2"/>
  <c r="L3695" i="2" s="1"/>
  <c r="K3696" i="2"/>
  <c r="L3696" i="2" s="1"/>
  <c r="K3697" i="2"/>
  <c r="L3697" i="2" s="1"/>
  <c r="K3698" i="2"/>
  <c r="L3698" i="2" s="1"/>
  <c r="K3699" i="2"/>
  <c r="L3699" i="2" s="1"/>
  <c r="K3700" i="2"/>
  <c r="L3700" i="2" s="1"/>
  <c r="K3701" i="2"/>
  <c r="L3701" i="2" s="1"/>
  <c r="K3702" i="2"/>
  <c r="L3702" i="2" s="1"/>
  <c r="K3703" i="2"/>
  <c r="L3703" i="2" s="1"/>
  <c r="K3704" i="2"/>
  <c r="L3704" i="2" s="1"/>
  <c r="K3705" i="2"/>
  <c r="L3705" i="2" s="1"/>
  <c r="K3706" i="2"/>
  <c r="L3706" i="2" s="1"/>
  <c r="K3707" i="2"/>
  <c r="L3707" i="2" s="1"/>
  <c r="K3708" i="2"/>
  <c r="L3708" i="2" s="1"/>
  <c r="K3709" i="2"/>
  <c r="L3709" i="2" s="1"/>
  <c r="K3710" i="2"/>
  <c r="L3710" i="2" s="1"/>
  <c r="K3711" i="2"/>
  <c r="L3711" i="2" s="1"/>
  <c r="K3712" i="2"/>
  <c r="L3712" i="2" s="1"/>
  <c r="K3713" i="2"/>
  <c r="L3713" i="2" s="1"/>
  <c r="K3714" i="2"/>
  <c r="L3714" i="2" s="1"/>
  <c r="K3715" i="2"/>
  <c r="L3715" i="2" s="1"/>
  <c r="K3716" i="2"/>
  <c r="L3716" i="2" s="1"/>
  <c r="K3717" i="2"/>
  <c r="L3717" i="2" s="1"/>
  <c r="K3718" i="2"/>
  <c r="L3718" i="2" s="1"/>
  <c r="K3719" i="2"/>
  <c r="L3719" i="2" s="1"/>
  <c r="K3720" i="2"/>
  <c r="L3720" i="2" s="1"/>
  <c r="K3721" i="2"/>
  <c r="L3721" i="2" s="1"/>
  <c r="K3722" i="2"/>
  <c r="L3722" i="2" s="1"/>
  <c r="K3723" i="2"/>
  <c r="L3723" i="2" s="1"/>
  <c r="K3724" i="2"/>
  <c r="L3724" i="2" s="1"/>
  <c r="K3725" i="2"/>
  <c r="L3725" i="2" s="1"/>
  <c r="K3726" i="2"/>
  <c r="L3726" i="2" s="1"/>
  <c r="K3727" i="2"/>
  <c r="L3727" i="2" s="1"/>
  <c r="K3728" i="2"/>
  <c r="L3728" i="2" s="1"/>
  <c r="K3729" i="2"/>
  <c r="L3729" i="2" s="1"/>
  <c r="K3730" i="2"/>
  <c r="L3730" i="2" s="1"/>
  <c r="K3731" i="2"/>
  <c r="L3731" i="2" s="1"/>
  <c r="K3732" i="2"/>
  <c r="L3732" i="2" s="1"/>
  <c r="K3733" i="2"/>
  <c r="L3733" i="2" s="1"/>
  <c r="K3734" i="2"/>
  <c r="L3734" i="2" s="1"/>
  <c r="K3735" i="2"/>
  <c r="L3735" i="2" s="1"/>
  <c r="K3736" i="2"/>
  <c r="L3736" i="2" s="1"/>
  <c r="K3737" i="2"/>
  <c r="L3737" i="2" s="1"/>
  <c r="K3738" i="2"/>
  <c r="L3738" i="2" s="1"/>
  <c r="K3739" i="2"/>
  <c r="L3739" i="2" s="1"/>
  <c r="K3740" i="2"/>
  <c r="L3740" i="2" s="1"/>
  <c r="K3741" i="2"/>
  <c r="L3741" i="2" s="1"/>
  <c r="K3742" i="2"/>
  <c r="L3742" i="2" s="1"/>
  <c r="K3743" i="2"/>
  <c r="L3743" i="2" s="1"/>
  <c r="K3744" i="2"/>
  <c r="L3744" i="2" s="1"/>
  <c r="K3745" i="2"/>
  <c r="L3745" i="2" s="1"/>
  <c r="K3746" i="2"/>
  <c r="L3746" i="2" s="1"/>
  <c r="K3747" i="2"/>
  <c r="L3747" i="2" s="1"/>
  <c r="K3748" i="2"/>
  <c r="L3748" i="2" s="1"/>
  <c r="K3749" i="2"/>
  <c r="L3749" i="2" s="1"/>
  <c r="K3750" i="2"/>
  <c r="L3750" i="2" s="1"/>
  <c r="K3751" i="2"/>
  <c r="L3751" i="2" s="1"/>
  <c r="K3752" i="2"/>
  <c r="L3752" i="2" s="1"/>
  <c r="K3753" i="2"/>
  <c r="L3753" i="2" s="1"/>
  <c r="K3754" i="2"/>
  <c r="L3754" i="2" s="1"/>
  <c r="K3755" i="2"/>
  <c r="L3755" i="2" s="1"/>
  <c r="K3756" i="2"/>
  <c r="L3756" i="2" s="1"/>
  <c r="K3757" i="2"/>
  <c r="L3757" i="2" s="1"/>
  <c r="K3758" i="2"/>
  <c r="L3758" i="2" s="1"/>
  <c r="K3759" i="2"/>
  <c r="L3759" i="2" s="1"/>
  <c r="K3760" i="2"/>
  <c r="L3760" i="2" s="1"/>
  <c r="K3761" i="2"/>
  <c r="L3761" i="2" s="1"/>
  <c r="K3762" i="2"/>
  <c r="L3762" i="2" s="1"/>
  <c r="K3763" i="2"/>
  <c r="L3763" i="2" s="1"/>
  <c r="K3764" i="2"/>
  <c r="L3764" i="2" s="1"/>
  <c r="K3765" i="2"/>
  <c r="L3765" i="2" s="1"/>
  <c r="K3766" i="2"/>
  <c r="L3766" i="2" s="1"/>
  <c r="K3767" i="2"/>
  <c r="L3767" i="2" s="1"/>
  <c r="K3768" i="2"/>
  <c r="L3768" i="2" s="1"/>
  <c r="K3769" i="2"/>
  <c r="L3769" i="2" s="1"/>
  <c r="K3770" i="2"/>
  <c r="L3770" i="2" s="1"/>
  <c r="K3771" i="2"/>
  <c r="L3771" i="2" s="1"/>
  <c r="K3772" i="2"/>
  <c r="L3772" i="2" s="1"/>
  <c r="K3773" i="2"/>
  <c r="L3773" i="2" s="1"/>
  <c r="K3774" i="2"/>
  <c r="L3774" i="2" s="1"/>
  <c r="K3775" i="2"/>
  <c r="L3775" i="2" s="1"/>
  <c r="K3776" i="2"/>
  <c r="L3776" i="2" s="1"/>
  <c r="K3777" i="2"/>
  <c r="L3777" i="2" s="1"/>
  <c r="K3778" i="2"/>
  <c r="L3778" i="2" s="1"/>
  <c r="K3779" i="2"/>
  <c r="L3779" i="2" s="1"/>
  <c r="K3780" i="2"/>
  <c r="L3780" i="2" s="1"/>
  <c r="K3781" i="2"/>
  <c r="L3781" i="2" s="1"/>
  <c r="K3782" i="2"/>
  <c r="L3782" i="2" s="1"/>
  <c r="K3783" i="2"/>
  <c r="L3783" i="2" s="1"/>
  <c r="K3784" i="2"/>
  <c r="L3784" i="2" s="1"/>
  <c r="K3785" i="2"/>
  <c r="L3785" i="2" s="1"/>
  <c r="K3786" i="2"/>
  <c r="L3786" i="2" s="1"/>
  <c r="K3787" i="2"/>
  <c r="L3787" i="2" s="1"/>
  <c r="K3788" i="2"/>
  <c r="L3788" i="2" s="1"/>
  <c r="K3789" i="2"/>
  <c r="L3789" i="2" s="1"/>
  <c r="K3790" i="2"/>
  <c r="L3790" i="2" s="1"/>
  <c r="K3791" i="2"/>
  <c r="L3791" i="2" s="1"/>
  <c r="K3792" i="2"/>
  <c r="L3792" i="2" s="1"/>
  <c r="K3793" i="2"/>
  <c r="L3793" i="2" s="1"/>
  <c r="K3794" i="2"/>
  <c r="L3794" i="2" s="1"/>
  <c r="K3795" i="2"/>
  <c r="L3795" i="2" s="1"/>
  <c r="K3796" i="2"/>
  <c r="L3796" i="2" s="1"/>
  <c r="K3797" i="2"/>
  <c r="L3797" i="2" s="1"/>
  <c r="K3798" i="2"/>
  <c r="L3798" i="2" s="1"/>
  <c r="K3799" i="2"/>
  <c r="L3799" i="2" s="1"/>
  <c r="K3800" i="2"/>
  <c r="L3800" i="2" s="1"/>
  <c r="K3801" i="2"/>
  <c r="L3801" i="2" s="1"/>
  <c r="K3802" i="2"/>
  <c r="L3802" i="2" s="1"/>
  <c r="K3803" i="2"/>
  <c r="L3803" i="2" s="1"/>
  <c r="K3804" i="2"/>
  <c r="L3804" i="2" s="1"/>
  <c r="K3805" i="2"/>
  <c r="L3805" i="2" s="1"/>
  <c r="K3806" i="2"/>
  <c r="L3806" i="2" s="1"/>
  <c r="K3807" i="2"/>
  <c r="L3807" i="2" s="1"/>
  <c r="K3808" i="2"/>
  <c r="L3808" i="2" s="1"/>
  <c r="K3809" i="2"/>
  <c r="L3809" i="2" s="1"/>
  <c r="K3810" i="2"/>
  <c r="L3810" i="2" s="1"/>
  <c r="K3811" i="2"/>
  <c r="L3811" i="2" s="1"/>
  <c r="K3812" i="2"/>
  <c r="L3812" i="2" s="1"/>
  <c r="K3813" i="2"/>
  <c r="L3813" i="2" s="1"/>
  <c r="K3814" i="2"/>
  <c r="L3814" i="2" s="1"/>
  <c r="K3815" i="2"/>
  <c r="L3815" i="2" s="1"/>
  <c r="K3816" i="2"/>
  <c r="L3816" i="2" s="1"/>
  <c r="K3817" i="2"/>
  <c r="L3817" i="2" s="1"/>
  <c r="K3818" i="2"/>
  <c r="L3818" i="2" s="1"/>
  <c r="K3819" i="2"/>
  <c r="L3819" i="2" s="1"/>
  <c r="K3820" i="2"/>
  <c r="L3820" i="2" s="1"/>
  <c r="K3821" i="2"/>
  <c r="L3821" i="2" s="1"/>
  <c r="K3822" i="2"/>
  <c r="L3822" i="2" s="1"/>
  <c r="K3823" i="2"/>
  <c r="L3823" i="2" s="1"/>
  <c r="K3824" i="2"/>
  <c r="L3824" i="2" s="1"/>
  <c r="K3825" i="2"/>
  <c r="L3825" i="2" s="1"/>
  <c r="K3826" i="2"/>
  <c r="L3826" i="2" s="1"/>
  <c r="K3827" i="2"/>
  <c r="L3827" i="2" s="1"/>
  <c r="K3828" i="2"/>
  <c r="L3828" i="2" s="1"/>
  <c r="K3829" i="2"/>
  <c r="L3829" i="2" s="1"/>
  <c r="K3830" i="2"/>
  <c r="L3830" i="2" s="1"/>
  <c r="K3831" i="2"/>
  <c r="L3831" i="2" s="1"/>
  <c r="K3832" i="2"/>
  <c r="L3832" i="2" s="1"/>
  <c r="K3833" i="2"/>
  <c r="L3833" i="2" s="1"/>
  <c r="K3834" i="2"/>
  <c r="L3834" i="2" s="1"/>
  <c r="K3835" i="2"/>
  <c r="L3835" i="2" s="1"/>
  <c r="K3836" i="2"/>
  <c r="L3836" i="2" s="1"/>
  <c r="K3837" i="2"/>
  <c r="L3837" i="2" s="1"/>
  <c r="K3838" i="2"/>
  <c r="L3838" i="2" s="1"/>
  <c r="K3839" i="2"/>
  <c r="L3839" i="2" s="1"/>
  <c r="K3840" i="2"/>
  <c r="L3840" i="2" s="1"/>
  <c r="K3841" i="2"/>
  <c r="L3841" i="2" s="1"/>
  <c r="K3842" i="2"/>
  <c r="L3842" i="2" s="1"/>
  <c r="K3843" i="2"/>
  <c r="L3843" i="2" s="1"/>
  <c r="K3844" i="2"/>
  <c r="L3844" i="2" s="1"/>
  <c r="K3845" i="2"/>
  <c r="L3845" i="2" s="1"/>
  <c r="K3846" i="2"/>
  <c r="L3846" i="2" s="1"/>
  <c r="K3847" i="2"/>
  <c r="L3847" i="2" s="1"/>
  <c r="K3848" i="2"/>
  <c r="L3848" i="2" s="1"/>
  <c r="K3849" i="2"/>
  <c r="L3849" i="2" s="1"/>
  <c r="K3850" i="2"/>
  <c r="L3850" i="2" s="1"/>
  <c r="K3851" i="2"/>
  <c r="L3851" i="2" s="1"/>
  <c r="K3852" i="2"/>
  <c r="L3852" i="2" s="1"/>
  <c r="K3853" i="2"/>
  <c r="L3853" i="2" s="1"/>
  <c r="K3854" i="2"/>
  <c r="L3854" i="2" s="1"/>
  <c r="K3855" i="2"/>
  <c r="L3855" i="2" s="1"/>
  <c r="K3856" i="2"/>
  <c r="L3856" i="2" s="1"/>
  <c r="K3857" i="2"/>
  <c r="L3857" i="2" s="1"/>
  <c r="K3858" i="2"/>
  <c r="L3858" i="2" s="1"/>
  <c r="K3859" i="2"/>
  <c r="L3859" i="2" s="1"/>
  <c r="K3860" i="2"/>
  <c r="L3860" i="2" s="1"/>
  <c r="K3861" i="2"/>
  <c r="L3861" i="2" s="1"/>
  <c r="K3862" i="2"/>
  <c r="L3862" i="2" s="1"/>
  <c r="K3863" i="2"/>
  <c r="L3863" i="2" s="1"/>
  <c r="K3864" i="2"/>
  <c r="L3864" i="2" s="1"/>
  <c r="K3865" i="2"/>
  <c r="L3865" i="2" s="1"/>
  <c r="K3866" i="2"/>
  <c r="L3866" i="2" s="1"/>
  <c r="K3867" i="2"/>
  <c r="L3867" i="2" s="1"/>
  <c r="K3868" i="2"/>
  <c r="L3868" i="2" s="1"/>
  <c r="K3869" i="2"/>
  <c r="L3869" i="2" s="1"/>
  <c r="K3870" i="2"/>
  <c r="L3870" i="2" s="1"/>
  <c r="K3871" i="2"/>
  <c r="L3871" i="2" s="1"/>
  <c r="K3872" i="2"/>
  <c r="L3872" i="2" s="1"/>
  <c r="K3873" i="2"/>
  <c r="L3873" i="2" s="1"/>
  <c r="K3874" i="2"/>
  <c r="L3874" i="2" s="1"/>
  <c r="K3875" i="2"/>
  <c r="L3875" i="2" s="1"/>
  <c r="K3876" i="2"/>
  <c r="L3876" i="2" s="1"/>
  <c r="K3877" i="2"/>
  <c r="L3877" i="2" s="1"/>
  <c r="K3878" i="2"/>
  <c r="L3878" i="2" s="1"/>
  <c r="K3879" i="2"/>
  <c r="L3879" i="2" s="1"/>
  <c r="K3880" i="2"/>
  <c r="L3880" i="2" s="1"/>
  <c r="K3881" i="2"/>
  <c r="L3881" i="2" s="1"/>
  <c r="K3882" i="2"/>
  <c r="L3882" i="2" s="1"/>
  <c r="K3883" i="2"/>
  <c r="L3883" i="2" s="1"/>
  <c r="K3884" i="2"/>
  <c r="L3884" i="2" s="1"/>
  <c r="K3885" i="2"/>
  <c r="L3885" i="2" s="1"/>
  <c r="K3886" i="2"/>
  <c r="L3886" i="2" s="1"/>
  <c r="K3887" i="2"/>
  <c r="L3887" i="2" s="1"/>
  <c r="K3888" i="2"/>
  <c r="L3888" i="2" s="1"/>
  <c r="K3889" i="2"/>
  <c r="L3889" i="2" s="1"/>
  <c r="K3890" i="2"/>
  <c r="L3890" i="2" s="1"/>
  <c r="K3891" i="2"/>
  <c r="L3891" i="2" s="1"/>
  <c r="K3892" i="2"/>
  <c r="L3892" i="2" s="1"/>
  <c r="K3893" i="2"/>
  <c r="L3893" i="2" s="1"/>
  <c r="K3894" i="2"/>
  <c r="L3894" i="2" s="1"/>
  <c r="K3895" i="2"/>
  <c r="L3895" i="2" s="1"/>
  <c r="K3896" i="2"/>
  <c r="L3896" i="2" s="1"/>
  <c r="K3897" i="2"/>
  <c r="L3897" i="2" s="1"/>
  <c r="K3898" i="2"/>
  <c r="L3898" i="2" s="1"/>
  <c r="K3899" i="2"/>
  <c r="L3899" i="2" s="1"/>
  <c r="K3900" i="2"/>
  <c r="L3900" i="2" s="1"/>
  <c r="K3901" i="2"/>
  <c r="L3901" i="2" s="1"/>
  <c r="K3902" i="2"/>
  <c r="L3902" i="2" s="1"/>
  <c r="K3903" i="2"/>
  <c r="L3903" i="2" s="1"/>
  <c r="K3904" i="2"/>
  <c r="L3904" i="2" s="1"/>
  <c r="K3905" i="2"/>
  <c r="L3905" i="2" s="1"/>
  <c r="K3906" i="2"/>
  <c r="L3906" i="2" s="1"/>
  <c r="K3907" i="2"/>
  <c r="L3907" i="2" s="1"/>
  <c r="K3908" i="2"/>
  <c r="L3908" i="2" s="1"/>
  <c r="K3909" i="2"/>
  <c r="L3909" i="2" s="1"/>
  <c r="K3910" i="2"/>
  <c r="L3910" i="2" s="1"/>
  <c r="K3911" i="2"/>
  <c r="L3911" i="2" s="1"/>
  <c r="K3912" i="2"/>
  <c r="L3912" i="2" s="1"/>
  <c r="K3913" i="2"/>
  <c r="L3913" i="2" s="1"/>
  <c r="K3914" i="2"/>
  <c r="L3914" i="2" s="1"/>
  <c r="K3915" i="2"/>
  <c r="L3915" i="2" s="1"/>
  <c r="K3916" i="2"/>
  <c r="L3916" i="2" s="1"/>
  <c r="K3917" i="2"/>
  <c r="L3917" i="2" s="1"/>
  <c r="K3918" i="2"/>
  <c r="L3918" i="2" s="1"/>
  <c r="K3919" i="2"/>
  <c r="L3919" i="2" s="1"/>
  <c r="K3920" i="2"/>
  <c r="L3920" i="2" s="1"/>
  <c r="K3921" i="2"/>
  <c r="L3921" i="2" s="1"/>
  <c r="K3922" i="2"/>
  <c r="L3922" i="2" s="1"/>
  <c r="K3923" i="2"/>
  <c r="L3923" i="2" s="1"/>
  <c r="K3924" i="2"/>
  <c r="L3924" i="2" s="1"/>
  <c r="K3925" i="2"/>
  <c r="L3925" i="2" s="1"/>
  <c r="K3926" i="2"/>
  <c r="L3926" i="2" s="1"/>
  <c r="K3927" i="2"/>
  <c r="L3927" i="2" s="1"/>
  <c r="K3928" i="2"/>
  <c r="L3928" i="2" s="1"/>
  <c r="K3929" i="2"/>
  <c r="L3929" i="2" s="1"/>
  <c r="K3930" i="2"/>
  <c r="L3930" i="2" s="1"/>
  <c r="K3931" i="2"/>
  <c r="L3931" i="2" s="1"/>
  <c r="K3932" i="2"/>
  <c r="L3932" i="2" s="1"/>
  <c r="K3933" i="2"/>
  <c r="L3933" i="2" s="1"/>
  <c r="K3934" i="2"/>
  <c r="L3934" i="2" s="1"/>
  <c r="K3935" i="2"/>
  <c r="L3935" i="2" s="1"/>
  <c r="K3936" i="2"/>
  <c r="L3936" i="2" s="1"/>
  <c r="K3937" i="2"/>
  <c r="L3937" i="2" s="1"/>
  <c r="K3938" i="2"/>
  <c r="L3938" i="2" s="1"/>
  <c r="K3939" i="2"/>
  <c r="L3939" i="2" s="1"/>
  <c r="K3940" i="2"/>
  <c r="L3940" i="2" s="1"/>
  <c r="K3941" i="2"/>
  <c r="L3941" i="2" s="1"/>
  <c r="K3942" i="2"/>
  <c r="L3942" i="2" s="1"/>
  <c r="K3943" i="2"/>
  <c r="L3943" i="2" s="1"/>
  <c r="K3944" i="2"/>
  <c r="L3944" i="2" s="1"/>
  <c r="K3945" i="2"/>
  <c r="L3945" i="2" s="1"/>
  <c r="K3946" i="2"/>
  <c r="L3946" i="2" s="1"/>
  <c r="K3947" i="2"/>
  <c r="L3947" i="2" s="1"/>
  <c r="K3948" i="2"/>
  <c r="L3948" i="2" s="1"/>
  <c r="K3949" i="2"/>
  <c r="L3949" i="2" s="1"/>
  <c r="K3950" i="2"/>
  <c r="L3950" i="2" s="1"/>
  <c r="K3951" i="2"/>
  <c r="L3951" i="2" s="1"/>
  <c r="K3952" i="2"/>
  <c r="L3952" i="2" s="1"/>
  <c r="K3953" i="2"/>
  <c r="L3953" i="2" s="1"/>
  <c r="K3954" i="2"/>
  <c r="L3954" i="2" s="1"/>
  <c r="K3955" i="2"/>
  <c r="L3955" i="2" s="1"/>
  <c r="K3956" i="2"/>
  <c r="L3956" i="2" s="1"/>
  <c r="K3957" i="2"/>
  <c r="L3957" i="2" s="1"/>
  <c r="K3958" i="2"/>
  <c r="L3958" i="2" s="1"/>
  <c r="K3959" i="2"/>
  <c r="L3959" i="2" s="1"/>
  <c r="K3960" i="2"/>
  <c r="L3960" i="2" s="1"/>
  <c r="K3961" i="2"/>
  <c r="L3961" i="2" s="1"/>
  <c r="K3962" i="2"/>
  <c r="L3962" i="2" s="1"/>
  <c r="K3963" i="2"/>
  <c r="L3963" i="2" s="1"/>
  <c r="K3964" i="2"/>
  <c r="L3964" i="2" s="1"/>
  <c r="K3965" i="2"/>
  <c r="L3965" i="2" s="1"/>
  <c r="K3966" i="2"/>
  <c r="L3966" i="2" s="1"/>
  <c r="K3967" i="2"/>
  <c r="L3967" i="2" s="1"/>
  <c r="K3968" i="2"/>
  <c r="L3968" i="2" s="1"/>
  <c r="K3969" i="2"/>
  <c r="L3969" i="2" s="1"/>
  <c r="K3970" i="2"/>
  <c r="L3970" i="2" s="1"/>
  <c r="K3971" i="2"/>
  <c r="L3971" i="2" s="1"/>
  <c r="K3972" i="2"/>
  <c r="L3972" i="2" s="1"/>
  <c r="K3973" i="2"/>
  <c r="L3973" i="2" s="1"/>
  <c r="K3974" i="2"/>
  <c r="L3974" i="2" s="1"/>
  <c r="K3975" i="2"/>
  <c r="L3975" i="2" s="1"/>
  <c r="K3976" i="2"/>
  <c r="L3976" i="2" s="1"/>
  <c r="K3977" i="2"/>
  <c r="L3977" i="2" s="1"/>
  <c r="K3978" i="2"/>
  <c r="L3978" i="2" s="1"/>
  <c r="K3979" i="2"/>
  <c r="L3979" i="2" s="1"/>
  <c r="K3980" i="2"/>
  <c r="L3980" i="2" s="1"/>
  <c r="K3981" i="2"/>
  <c r="L3981" i="2" s="1"/>
  <c r="K3982" i="2"/>
  <c r="L3982" i="2" s="1"/>
  <c r="K3983" i="2"/>
  <c r="L3983" i="2" s="1"/>
  <c r="K3984" i="2"/>
  <c r="L3984" i="2" s="1"/>
  <c r="K3985" i="2"/>
  <c r="L3985" i="2" s="1"/>
  <c r="K3986" i="2"/>
  <c r="L3986" i="2" s="1"/>
  <c r="K3987" i="2"/>
  <c r="L3987" i="2" s="1"/>
  <c r="K3988" i="2"/>
  <c r="L3988" i="2" s="1"/>
  <c r="K3989" i="2"/>
  <c r="L3989" i="2" s="1"/>
  <c r="K3990" i="2"/>
  <c r="L3990" i="2" s="1"/>
  <c r="K3991" i="2"/>
  <c r="L3991" i="2" s="1"/>
  <c r="K3992" i="2"/>
  <c r="L3992" i="2" s="1"/>
  <c r="K3993" i="2"/>
  <c r="L3993" i="2" s="1"/>
  <c r="K3994" i="2"/>
  <c r="L3994" i="2" s="1"/>
  <c r="K3995" i="2"/>
  <c r="L3995" i="2" s="1"/>
  <c r="K3996" i="2"/>
  <c r="L3996" i="2" s="1"/>
  <c r="K3997" i="2"/>
  <c r="L3997" i="2" s="1"/>
  <c r="K3998" i="2"/>
  <c r="L3998" i="2" s="1"/>
  <c r="K3999" i="2"/>
  <c r="L3999" i="2" s="1"/>
  <c r="K4000" i="2"/>
  <c r="L4000" i="2" s="1"/>
  <c r="K4001" i="2"/>
  <c r="L4001" i="2" s="1"/>
  <c r="K4002" i="2"/>
  <c r="L4002" i="2" s="1"/>
  <c r="K4003" i="2"/>
  <c r="L4003" i="2" s="1"/>
  <c r="K4004" i="2"/>
  <c r="L4004" i="2" s="1"/>
  <c r="K4005" i="2"/>
  <c r="L4005" i="2" s="1"/>
  <c r="K4006" i="2"/>
  <c r="L4006" i="2" s="1"/>
  <c r="K4007" i="2"/>
  <c r="L4007" i="2" s="1"/>
  <c r="K4008" i="2"/>
  <c r="L4008" i="2" s="1"/>
  <c r="K4009" i="2"/>
  <c r="L4009" i="2" s="1"/>
  <c r="K4010" i="2"/>
  <c r="L4010" i="2" s="1"/>
  <c r="K4011" i="2"/>
  <c r="L4011" i="2" s="1"/>
  <c r="K4012" i="2"/>
  <c r="L4012" i="2" s="1"/>
  <c r="K4013" i="2"/>
  <c r="L4013" i="2" s="1"/>
  <c r="K4014" i="2"/>
  <c r="L4014" i="2" s="1"/>
  <c r="K4015" i="2"/>
  <c r="L4015" i="2" s="1"/>
  <c r="K4016" i="2"/>
  <c r="L4016" i="2" s="1"/>
  <c r="K4017" i="2"/>
  <c r="L4017" i="2" s="1"/>
  <c r="K4018" i="2"/>
  <c r="L4018" i="2" s="1"/>
  <c r="K4019" i="2"/>
  <c r="L4019" i="2" s="1"/>
  <c r="K4020" i="2"/>
  <c r="L4020" i="2" s="1"/>
  <c r="K4021" i="2"/>
  <c r="L4021" i="2" s="1"/>
  <c r="K4022" i="2"/>
  <c r="L4022" i="2" s="1"/>
  <c r="K4023" i="2"/>
  <c r="L4023" i="2" s="1"/>
  <c r="K4024" i="2"/>
  <c r="L4024" i="2" s="1"/>
  <c r="K4025" i="2"/>
  <c r="L4025" i="2" s="1"/>
  <c r="K4026" i="2"/>
  <c r="L4026" i="2" s="1"/>
  <c r="K4027" i="2"/>
  <c r="L4027" i="2" s="1"/>
  <c r="K4028" i="2"/>
  <c r="L4028" i="2" s="1"/>
  <c r="K4029" i="2"/>
  <c r="L4029" i="2" s="1"/>
  <c r="K4030" i="2"/>
  <c r="L4030" i="2" s="1"/>
  <c r="K4031" i="2"/>
  <c r="L4031" i="2" s="1"/>
  <c r="K4032" i="2"/>
  <c r="L4032" i="2" s="1"/>
  <c r="K4033" i="2"/>
  <c r="L4033" i="2" s="1"/>
  <c r="K4034" i="2"/>
  <c r="L4034" i="2" s="1"/>
  <c r="K4035" i="2"/>
  <c r="L4035" i="2" s="1"/>
  <c r="K4036" i="2"/>
  <c r="L4036" i="2" s="1"/>
  <c r="K4037" i="2"/>
  <c r="L4037" i="2" s="1"/>
  <c r="K4038" i="2"/>
  <c r="L4038" i="2" s="1"/>
  <c r="K4039" i="2"/>
  <c r="L4039" i="2" s="1"/>
  <c r="K4040" i="2"/>
  <c r="L4040" i="2" s="1"/>
  <c r="K4041" i="2"/>
  <c r="L4041" i="2" s="1"/>
  <c r="K4042" i="2"/>
  <c r="L4042" i="2" s="1"/>
  <c r="K4043" i="2"/>
  <c r="L4043" i="2" s="1"/>
  <c r="K4044" i="2"/>
  <c r="L4044" i="2" s="1"/>
  <c r="K4045" i="2"/>
  <c r="L4045" i="2" s="1"/>
  <c r="K4046" i="2"/>
  <c r="L4046" i="2" s="1"/>
  <c r="K4047" i="2"/>
  <c r="L4047" i="2" s="1"/>
  <c r="K4048" i="2"/>
  <c r="L4048" i="2" s="1"/>
  <c r="K4049" i="2"/>
  <c r="L4049" i="2" s="1"/>
  <c r="K4050" i="2"/>
  <c r="L4050" i="2" s="1"/>
  <c r="K4051" i="2"/>
  <c r="L4051" i="2" s="1"/>
  <c r="K4052" i="2"/>
  <c r="L4052" i="2" s="1"/>
  <c r="K4053" i="2"/>
  <c r="L4053" i="2" s="1"/>
  <c r="K4054" i="2"/>
  <c r="L4054" i="2" s="1"/>
  <c r="K4055" i="2"/>
  <c r="L4055" i="2" s="1"/>
  <c r="K4056" i="2"/>
  <c r="L4056" i="2" s="1"/>
  <c r="K4057" i="2"/>
  <c r="L4057" i="2" s="1"/>
  <c r="K4058" i="2"/>
  <c r="L4058" i="2" s="1"/>
  <c r="K4059" i="2"/>
  <c r="L4059" i="2" s="1"/>
  <c r="K4060" i="2"/>
  <c r="L4060" i="2" s="1"/>
  <c r="K4061" i="2"/>
  <c r="L4061" i="2" s="1"/>
  <c r="K4062" i="2"/>
  <c r="L4062" i="2" s="1"/>
  <c r="K4063" i="2"/>
  <c r="L4063" i="2" s="1"/>
  <c r="K4064" i="2"/>
  <c r="L4064" i="2" s="1"/>
  <c r="K4065" i="2"/>
  <c r="L4065" i="2" s="1"/>
  <c r="K4066" i="2"/>
  <c r="L4066" i="2" s="1"/>
  <c r="K4067" i="2"/>
  <c r="L4067" i="2" s="1"/>
  <c r="K4068" i="2"/>
  <c r="L4068" i="2" s="1"/>
  <c r="K4069" i="2"/>
  <c r="L4069" i="2" s="1"/>
  <c r="K4070" i="2"/>
  <c r="L4070" i="2" s="1"/>
  <c r="K4071" i="2"/>
  <c r="L4071" i="2" s="1"/>
  <c r="K4072" i="2"/>
  <c r="L4072" i="2" s="1"/>
  <c r="K4073" i="2"/>
  <c r="L4073" i="2" s="1"/>
  <c r="K4074" i="2"/>
  <c r="L4074" i="2" s="1"/>
  <c r="K4075" i="2"/>
  <c r="L4075" i="2" s="1"/>
  <c r="K4076" i="2"/>
  <c r="L4076" i="2" s="1"/>
  <c r="K4077" i="2"/>
  <c r="L4077" i="2" s="1"/>
  <c r="K4078" i="2"/>
  <c r="L4078" i="2" s="1"/>
  <c r="K4079" i="2"/>
  <c r="L4079" i="2" s="1"/>
  <c r="K4080" i="2"/>
  <c r="L4080" i="2" s="1"/>
  <c r="K4081" i="2"/>
  <c r="L4081" i="2" s="1"/>
  <c r="K4082" i="2"/>
  <c r="L4082" i="2" s="1"/>
  <c r="K4083" i="2"/>
  <c r="L4083" i="2" s="1"/>
  <c r="K4084" i="2"/>
  <c r="L4084" i="2" s="1"/>
  <c r="K4085" i="2"/>
  <c r="L4085" i="2" s="1"/>
  <c r="K4086" i="2"/>
  <c r="L4086" i="2" s="1"/>
  <c r="K4087" i="2"/>
  <c r="L4087" i="2" s="1"/>
  <c r="K4088" i="2"/>
  <c r="L4088" i="2" s="1"/>
  <c r="K4089" i="2"/>
  <c r="L4089" i="2" s="1"/>
  <c r="K4090" i="2"/>
  <c r="L4090" i="2" s="1"/>
  <c r="K4091" i="2"/>
  <c r="L4091" i="2" s="1"/>
  <c r="K4092" i="2"/>
  <c r="L4092" i="2" s="1"/>
  <c r="K4093" i="2"/>
  <c r="L4093" i="2" s="1"/>
  <c r="K4094" i="2"/>
  <c r="L4094" i="2" s="1"/>
  <c r="K4095" i="2"/>
  <c r="L4095" i="2" s="1"/>
  <c r="K4096" i="2"/>
  <c r="L4096" i="2" s="1"/>
  <c r="K4097" i="2"/>
  <c r="L4097" i="2" s="1"/>
  <c r="K4098" i="2"/>
  <c r="L4098" i="2" s="1"/>
  <c r="K4099" i="2"/>
  <c r="L4099" i="2" s="1"/>
  <c r="K4100" i="2"/>
  <c r="L4100" i="2" s="1"/>
  <c r="K4101" i="2"/>
  <c r="L4101" i="2" s="1"/>
  <c r="K4102" i="2"/>
  <c r="L4102" i="2" s="1"/>
  <c r="K4103" i="2"/>
  <c r="L4103" i="2" s="1"/>
  <c r="K4104" i="2"/>
  <c r="L4104" i="2" s="1"/>
  <c r="K4105" i="2"/>
  <c r="L4105" i="2" s="1"/>
  <c r="K4106" i="2"/>
  <c r="L4106" i="2" s="1"/>
  <c r="K4107" i="2"/>
  <c r="L4107" i="2" s="1"/>
  <c r="K4108" i="2"/>
  <c r="L4108" i="2" s="1"/>
  <c r="K4109" i="2"/>
  <c r="L4109" i="2" s="1"/>
  <c r="K4110" i="2"/>
  <c r="L4110" i="2" s="1"/>
  <c r="K4111" i="2"/>
  <c r="L4111" i="2" s="1"/>
  <c r="K4112" i="2"/>
  <c r="L4112" i="2" s="1"/>
  <c r="K4113" i="2"/>
  <c r="L4113" i="2" s="1"/>
  <c r="K4114" i="2"/>
  <c r="L4114" i="2" s="1"/>
  <c r="K4115" i="2"/>
  <c r="L4115" i="2" s="1"/>
  <c r="K4116" i="2"/>
  <c r="L4116" i="2" s="1"/>
  <c r="K4117" i="2"/>
  <c r="L4117" i="2" s="1"/>
  <c r="K4118" i="2"/>
  <c r="L4118" i="2" s="1"/>
  <c r="K4119" i="2"/>
  <c r="L4119" i="2" s="1"/>
  <c r="K4120" i="2"/>
  <c r="L4120" i="2" s="1"/>
  <c r="K4121" i="2"/>
  <c r="L4121" i="2" s="1"/>
  <c r="K4122" i="2"/>
  <c r="L4122" i="2" s="1"/>
  <c r="K4123" i="2"/>
  <c r="L4123" i="2" s="1"/>
  <c r="K4124" i="2"/>
  <c r="L4124" i="2" s="1"/>
  <c r="K4125" i="2"/>
  <c r="L4125" i="2" s="1"/>
  <c r="K4126" i="2"/>
  <c r="L4126" i="2" s="1"/>
  <c r="K4127" i="2"/>
  <c r="L4127" i="2" s="1"/>
  <c r="K4128" i="2"/>
  <c r="L4128" i="2" s="1"/>
  <c r="K4129" i="2"/>
  <c r="L4129" i="2" s="1"/>
  <c r="K4130" i="2"/>
  <c r="L4130" i="2" s="1"/>
  <c r="K4131" i="2"/>
  <c r="L4131" i="2" s="1"/>
  <c r="K4132" i="2"/>
  <c r="L4132" i="2" s="1"/>
  <c r="K4133" i="2"/>
  <c r="L4133" i="2" s="1"/>
  <c r="K4134" i="2"/>
  <c r="L4134" i="2" s="1"/>
  <c r="K4135" i="2"/>
  <c r="L4135" i="2" s="1"/>
  <c r="K4136" i="2"/>
  <c r="L4136" i="2" s="1"/>
  <c r="K4137" i="2"/>
  <c r="L4137" i="2" s="1"/>
  <c r="K4138" i="2"/>
  <c r="L4138" i="2" s="1"/>
  <c r="K4139" i="2"/>
  <c r="L4139" i="2" s="1"/>
  <c r="K4140" i="2"/>
  <c r="L4140" i="2" s="1"/>
  <c r="K4141" i="2"/>
  <c r="L4141" i="2" s="1"/>
  <c r="K4142" i="2"/>
  <c r="L4142" i="2" s="1"/>
  <c r="K4143" i="2"/>
  <c r="L4143" i="2" s="1"/>
  <c r="K4144" i="2"/>
  <c r="L4144" i="2" s="1"/>
  <c r="K4145" i="2"/>
  <c r="L4145" i="2" s="1"/>
  <c r="K4146" i="2"/>
  <c r="L4146" i="2" s="1"/>
  <c r="K4147" i="2"/>
  <c r="L4147" i="2" s="1"/>
  <c r="K4148" i="2"/>
  <c r="L4148" i="2" s="1"/>
  <c r="K4149" i="2"/>
  <c r="L4149" i="2" s="1"/>
  <c r="K4150" i="2"/>
  <c r="L4150" i="2" s="1"/>
  <c r="K4151" i="2"/>
  <c r="L4151" i="2" s="1"/>
  <c r="K4152" i="2"/>
  <c r="L4152" i="2" s="1"/>
  <c r="K4153" i="2"/>
  <c r="L4153" i="2" s="1"/>
  <c r="K4154" i="2"/>
  <c r="L4154" i="2" s="1"/>
  <c r="K4155" i="2"/>
  <c r="L4155" i="2" s="1"/>
  <c r="K4156" i="2"/>
  <c r="L4156" i="2" s="1"/>
  <c r="K4157" i="2"/>
  <c r="L4157" i="2" s="1"/>
  <c r="K4158" i="2"/>
  <c r="L4158" i="2" s="1"/>
  <c r="K4159" i="2"/>
  <c r="L4159" i="2" s="1"/>
  <c r="K4160" i="2"/>
  <c r="L4160" i="2" s="1"/>
  <c r="K4161" i="2"/>
  <c r="L4161" i="2" s="1"/>
  <c r="K4162" i="2"/>
  <c r="L4162" i="2" s="1"/>
  <c r="K4163" i="2"/>
  <c r="L4163" i="2" s="1"/>
  <c r="K4164" i="2"/>
  <c r="L4164" i="2" s="1"/>
  <c r="K4165" i="2"/>
  <c r="L4165" i="2" s="1"/>
  <c r="K4166" i="2"/>
  <c r="L4166" i="2" s="1"/>
  <c r="K4167" i="2"/>
  <c r="L4167" i="2" s="1"/>
  <c r="K4168" i="2"/>
  <c r="L4168" i="2" s="1"/>
  <c r="K4169" i="2"/>
  <c r="L4169" i="2" s="1"/>
  <c r="K4170" i="2"/>
  <c r="L4170" i="2" s="1"/>
  <c r="K4171" i="2"/>
  <c r="L4171" i="2" s="1"/>
  <c r="K4172" i="2"/>
  <c r="L4172" i="2" s="1"/>
  <c r="K4173" i="2"/>
  <c r="L4173" i="2" s="1"/>
  <c r="K4174" i="2"/>
  <c r="L4174" i="2" s="1"/>
  <c r="K4175" i="2"/>
  <c r="L4175" i="2" s="1"/>
  <c r="K4176" i="2"/>
  <c r="L4176" i="2" s="1"/>
  <c r="K4177" i="2"/>
  <c r="L4177" i="2" s="1"/>
  <c r="K4178" i="2"/>
  <c r="L4178" i="2" s="1"/>
  <c r="K4179" i="2"/>
  <c r="L4179" i="2" s="1"/>
  <c r="K4180" i="2"/>
  <c r="L4180" i="2" s="1"/>
  <c r="K4181" i="2"/>
  <c r="L4181" i="2" s="1"/>
  <c r="K4182" i="2"/>
  <c r="L4182" i="2" s="1"/>
  <c r="K4183" i="2"/>
  <c r="L4183" i="2" s="1"/>
  <c r="K4184" i="2"/>
  <c r="L4184" i="2" s="1"/>
  <c r="K4185" i="2"/>
  <c r="L4185" i="2" s="1"/>
  <c r="K4186" i="2"/>
  <c r="L4186" i="2" s="1"/>
  <c r="K4187" i="2"/>
  <c r="L4187" i="2" s="1"/>
  <c r="K4188" i="2"/>
  <c r="L4188" i="2" s="1"/>
  <c r="K4189" i="2"/>
  <c r="L4189" i="2" s="1"/>
  <c r="K4190" i="2"/>
  <c r="L4190" i="2" s="1"/>
  <c r="K4191" i="2"/>
  <c r="L4191" i="2" s="1"/>
  <c r="K4192" i="2"/>
  <c r="L4192" i="2" s="1"/>
  <c r="K4193" i="2"/>
  <c r="L4193" i="2" s="1"/>
  <c r="K4194" i="2"/>
  <c r="L4194" i="2" s="1"/>
  <c r="K4195" i="2"/>
  <c r="L4195" i="2" s="1"/>
  <c r="K4196" i="2"/>
  <c r="L4196" i="2" s="1"/>
  <c r="K4197" i="2"/>
  <c r="L4197" i="2" s="1"/>
  <c r="K4198" i="2"/>
  <c r="L4198" i="2" s="1"/>
  <c r="K4199" i="2"/>
  <c r="L4199" i="2" s="1"/>
  <c r="K4200" i="2"/>
  <c r="L4200" i="2" s="1"/>
  <c r="K4201" i="2"/>
  <c r="L4201" i="2" s="1"/>
  <c r="K4202" i="2"/>
  <c r="L4202" i="2" s="1"/>
  <c r="K4203" i="2"/>
  <c r="L4203" i="2" s="1"/>
  <c r="K4204" i="2"/>
  <c r="L4204" i="2" s="1"/>
  <c r="K4205" i="2"/>
  <c r="L4205" i="2" s="1"/>
  <c r="K4206" i="2"/>
  <c r="L4206" i="2" s="1"/>
  <c r="K4207" i="2"/>
  <c r="L4207" i="2" s="1"/>
  <c r="K4208" i="2"/>
  <c r="L4208" i="2" s="1"/>
  <c r="K4209" i="2"/>
  <c r="L4209" i="2" s="1"/>
  <c r="K4210" i="2"/>
  <c r="L4210" i="2" s="1"/>
  <c r="K4211" i="2"/>
  <c r="L4211" i="2" s="1"/>
  <c r="K4212" i="2"/>
  <c r="L4212" i="2" s="1"/>
  <c r="K4213" i="2"/>
  <c r="L4213" i="2" s="1"/>
  <c r="K4214" i="2"/>
  <c r="L4214" i="2" s="1"/>
  <c r="K4215" i="2"/>
  <c r="L4215" i="2" s="1"/>
  <c r="K4216" i="2"/>
  <c r="L4216" i="2" s="1"/>
  <c r="K4217" i="2"/>
  <c r="L4217" i="2" s="1"/>
  <c r="K4218" i="2"/>
  <c r="L4218" i="2" s="1"/>
  <c r="K4219" i="2"/>
  <c r="L4219" i="2" s="1"/>
  <c r="K4220" i="2"/>
  <c r="L4220" i="2" s="1"/>
  <c r="K4221" i="2"/>
  <c r="L4221" i="2" s="1"/>
  <c r="K4222" i="2"/>
  <c r="L4222" i="2" s="1"/>
  <c r="K4223" i="2"/>
  <c r="L4223" i="2" s="1"/>
  <c r="K4224" i="2"/>
  <c r="L4224" i="2" s="1"/>
  <c r="K4225" i="2"/>
  <c r="L4225" i="2" s="1"/>
  <c r="K4226" i="2"/>
  <c r="L4226" i="2" s="1"/>
  <c r="K4227" i="2"/>
  <c r="L4227" i="2" s="1"/>
  <c r="K4228" i="2"/>
  <c r="L4228" i="2" s="1"/>
  <c r="K4229" i="2"/>
  <c r="L4229" i="2" s="1"/>
  <c r="K4230" i="2"/>
  <c r="L4230" i="2" s="1"/>
  <c r="K4231" i="2"/>
  <c r="L4231" i="2" s="1"/>
  <c r="K4232" i="2"/>
  <c r="L4232" i="2" s="1"/>
  <c r="K4233" i="2"/>
  <c r="L4233" i="2" s="1"/>
  <c r="K4234" i="2"/>
  <c r="L4234" i="2" s="1"/>
  <c r="K4235" i="2"/>
  <c r="L4235" i="2" s="1"/>
  <c r="K4236" i="2"/>
  <c r="L4236" i="2" s="1"/>
  <c r="K4237" i="2"/>
  <c r="L4237" i="2" s="1"/>
  <c r="K4238" i="2"/>
  <c r="L4238" i="2" s="1"/>
  <c r="K4239" i="2"/>
  <c r="L4239" i="2" s="1"/>
  <c r="K4240" i="2"/>
  <c r="L4240" i="2" s="1"/>
  <c r="K4241" i="2"/>
  <c r="L4241" i="2" s="1"/>
  <c r="K4242" i="2"/>
  <c r="L4242" i="2" s="1"/>
  <c r="K4243" i="2"/>
  <c r="L4243" i="2" s="1"/>
  <c r="K4244" i="2"/>
  <c r="L4244" i="2" s="1"/>
  <c r="K4245" i="2"/>
  <c r="L4245" i="2" s="1"/>
  <c r="K4246" i="2"/>
  <c r="L4246" i="2" s="1"/>
  <c r="K4247" i="2"/>
  <c r="L4247" i="2" s="1"/>
  <c r="K4248" i="2"/>
  <c r="L4248" i="2" s="1"/>
  <c r="K4249" i="2"/>
  <c r="L4249" i="2" s="1"/>
  <c r="K4250" i="2"/>
  <c r="L4250" i="2" s="1"/>
  <c r="K4251" i="2"/>
  <c r="L4251" i="2" s="1"/>
  <c r="K4252" i="2"/>
  <c r="L4252" i="2" s="1"/>
  <c r="K4253" i="2"/>
  <c r="L4253" i="2" s="1"/>
  <c r="K4254" i="2"/>
  <c r="L4254" i="2" s="1"/>
  <c r="K4255" i="2"/>
  <c r="L4255" i="2" s="1"/>
  <c r="K4256" i="2"/>
  <c r="L4256" i="2" s="1"/>
  <c r="K4257" i="2"/>
  <c r="L4257" i="2" s="1"/>
  <c r="K4258" i="2"/>
  <c r="L4258" i="2" s="1"/>
  <c r="K4259" i="2"/>
  <c r="L4259" i="2" s="1"/>
  <c r="K4260" i="2"/>
  <c r="L4260" i="2" s="1"/>
  <c r="K4261" i="2"/>
  <c r="L4261" i="2" s="1"/>
  <c r="K4262" i="2"/>
  <c r="L4262" i="2" s="1"/>
  <c r="K4263" i="2"/>
  <c r="L4263" i="2" s="1"/>
  <c r="K4264" i="2"/>
  <c r="L4264" i="2" s="1"/>
  <c r="K4265" i="2"/>
  <c r="L4265" i="2" s="1"/>
  <c r="K4266" i="2"/>
  <c r="L4266" i="2" s="1"/>
  <c r="K4267" i="2"/>
  <c r="L4267" i="2" s="1"/>
  <c r="K4268" i="2"/>
  <c r="L4268" i="2" s="1"/>
  <c r="K4269" i="2"/>
  <c r="L4269" i="2" s="1"/>
  <c r="K4270" i="2"/>
  <c r="L4270" i="2" s="1"/>
  <c r="K4271" i="2"/>
  <c r="L4271" i="2" s="1"/>
  <c r="K4272" i="2"/>
  <c r="L4272" i="2" s="1"/>
  <c r="K4273" i="2"/>
  <c r="L4273" i="2" s="1"/>
  <c r="K4274" i="2"/>
  <c r="L4274" i="2" s="1"/>
  <c r="K4275" i="2"/>
  <c r="L4275" i="2" s="1"/>
  <c r="K4276" i="2"/>
  <c r="L4276" i="2" s="1"/>
  <c r="K4277" i="2"/>
  <c r="L4277" i="2" s="1"/>
  <c r="K4278" i="2"/>
  <c r="L4278" i="2" s="1"/>
  <c r="K4279" i="2"/>
  <c r="L4279" i="2" s="1"/>
  <c r="K4280" i="2"/>
  <c r="L4280" i="2" s="1"/>
  <c r="K4281" i="2"/>
  <c r="L4281" i="2" s="1"/>
  <c r="K4282" i="2"/>
  <c r="L4282" i="2" s="1"/>
  <c r="K4283" i="2"/>
  <c r="L4283" i="2" s="1"/>
  <c r="K4284" i="2"/>
  <c r="L4284" i="2" s="1"/>
  <c r="K4285" i="2"/>
  <c r="L4285" i="2" s="1"/>
  <c r="K4286" i="2"/>
  <c r="L4286" i="2" s="1"/>
  <c r="K4287" i="2"/>
  <c r="L4287" i="2" s="1"/>
  <c r="K4288" i="2"/>
  <c r="L4288" i="2" s="1"/>
  <c r="K4289" i="2"/>
  <c r="L4289" i="2" s="1"/>
  <c r="K4290" i="2"/>
  <c r="L4290" i="2" s="1"/>
  <c r="K4291" i="2"/>
  <c r="L4291" i="2" s="1"/>
  <c r="K4292" i="2"/>
  <c r="L4292" i="2" s="1"/>
  <c r="K4293" i="2"/>
  <c r="L4293" i="2" s="1"/>
  <c r="K4294" i="2"/>
  <c r="L4294" i="2" s="1"/>
  <c r="K4295" i="2"/>
  <c r="L4295" i="2" s="1"/>
  <c r="K4296" i="2"/>
  <c r="L4296" i="2" s="1"/>
  <c r="K4297" i="2"/>
  <c r="L4297" i="2" s="1"/>
  <c r="K4298" i="2"/>
  <c r="L4298" i="2" s="1"/>
  <c r="K4299" i="2"/>
  <c r="L4299" i="2" s="1"/>
  <c r="K4300" i="2"/>
  <c r="L4300" i="2" s="1"/>
  <c r="K4301" i="2"/>
  <c r="L4301" i="2" s="1"/>
  <c r="K4302" i="2"/>
  <c r="L4302" i="2" s="1"/>
  <c r="K4303" i="2"/>
  <c r="L4303" i="2" s="1"/>
  <c r="K4304" i="2"/>
  <c r="L4304" i="2" s="1"/>
  <c r="K4305" i="2"/>
  <c r="L4305" i="2" s="1"/>
  <c r="K4306" i="2"/>
  <c r="L4306" i="2" s="1"/>
  <c r="K4307" i="2"/>
  <c r="L4307" i="2" s="1"/>
  <c r="K4308" i="2"/>
  <c r="L4308" i="2" s="1"/>
  <c r="K4309" i="2"/>
  <c r="L4309" i="2" s="1"/>
  <c r="K4310" i="2"/>
  <c r="L4310" i="2" s="1"/>
  <c r="K4311" i="2"/>
  <c r="L4311" i="2" s="1"/>
  <c r="K4312" i="2"/>
  <c r="L4312" i="2" s="1"/>
  <c r="K4313" i="2"/>
  <c r="L4313" i="2" s="1"/>
  <c r="K4314" i="2"/>
  <c r="L4314" i="2" s="1"/>
  <c r="K4315" i="2"/>
  <c r="L4315" i="2" s="1"/>
  <c r="K4316" i="2"/>
  <c r="L4316" i="2" s="1"/>
  <c r="K4317" i="2"/>
  <c r="L4317" i="2" s="1"/>
  <c r="K4318" i="2"/>
  <c r="L4318" i="2" s="1"/>
  <c r="K4319" i="2"/>
  <c r="L4319" i="2" s="1"/>
  <c r="K4320" i="2"/>
  <c r="L4320" i="2" s="1"/>
  <c r="K4321" i="2"/>
  <c r="L4321" i="2" s="1"/>
  <c r="K4322" i="2"/>
  <c r="L4322" i="2" s="1"/>
  <c r="K4323" i="2"/>
  <c r="L4323" i="2" s="1"/>
  <c r="K4324" i="2"/>
  <c r="L4324" i="2" s="1"/>
  <c r="K4325" i="2"/>
  <c r="L4325" i="2" s="1"/>
  <c r="K4326" i="2"/>
  <c r="L4326" i="2" s="1"/>
  <c r="K4327" i="2"/>
  <c r="L4327" i="2" s="1"/>
  <c r="K4328" i="2"/>
  <c r="L4328" i="2" s="1"/>
  <c r="K4329" i="2"/>
  <c r="L4329" i="2" s="1"/>
  <c r="K4330" i="2"/>
  <c r="L4330" i="2" s="1"/>
  <c r="K4331" i="2"/>
  <c r="L4331" i="2" s="1"/>
  <c r="K4332" i="2"/>
  <c r="L4332" i="2" s="1"/>
  <c r="K4333" i="2"/>
  <c r="L4333" i="2" s="1"/>
  <c r="K4334" i="2"/>
  <c r="L4334" i="2" s="1"/>
  <c r="K4335" i="2"/>
  <c r="L4335" i="2" s="1"/>
  <c r="K4336" i="2"/>
  <c r="L4336" i="2" s="1"/>
  <c r="K4337" i="2"/>
  <c r="L4337" i="2" s="1"/>
  <c r="K4338" i="2"/>
  <c r="L4338" i="2" s="1"/>
  <c r="K4339" i="2"/>
  <c r="L4339" i="2" s="1"/>
  <c r="K4340" i="2"/>
  <c r="L4340" i="2" s="1"/>
  <c r="K4341" i="2"/>
  <c r="L4341" i="2" s="1"/>
  <c r="K4342" i="2"/>
  <c r="L4342" i="2" s="1"/>
  <c r="K4343" i="2"/>
  <c r="L4343" i="2" s="1"/>
  <c r="K4344" i="2"/>
  <c r="L4344" i="2" s="1"/>
  <c r="K4345" i="2"/>
  <c r="L4345" i="2" s="1"/>
  <c r="K4346" i="2"/>
  <c r="L4346" i="2" s="1"/>
  <c r="K4347" i="2"/>
  <c r="L4347" i="2" s="1"/>
  <c r="K4348" i="2"/>
  <c r="L4348" i="2" s="1"/>
  <c r="K4349" i="2"/>
  <c r="L4349" i="2" s="1"/>
  <c r="K4350" i="2"/>
  <c r="L4350" i="2" s="1"/>
  <c r="K4351" i="2"/>
  <c r="L4351" i="2" s="1"/>
  <c r="K4352" i="2"/>
  <c r="L4352" i="2" s="1"/>
  <c r="K4353" i="2"/>
  <c r="L4353" i="2" s="1"/>
  <c r="K4354" i="2"/>
  <c r="L4354" i="2" s="1"/>
  <c r="K4355" i="2"/>
  <c r="L4355" i="2" s="1"/>
  <c r="K4356" i="2"/>
  <c r="L4356" i="2" s="1"/>
  <c r="K4357" i="2"/>
  <c r="L4357" i="2" s="1"/>
  <c r="K4358" i="2"/>
  <c r="L4358" i="2" s="1"/>
  <c r="K4359" i="2"/>
  <c r="L4359" i="2" s="1"/>
  <c r="K4360" i="2"/>
  <c r="L4360" i="2" s="1"/>
  <c r="K4361" i="2"/>
  <c r="L4361" i="2" s="1"/>
  <c r="K4362" i="2"/>
  <c r="L4362" i="2" s="1"/>
  <c r="K4363" i="2"/>
  <c r="L4363" i="2" s="1"/>
  <c r="K4364" i="2"/>
  <c r="L4364" i="2" s="1"/>
  <c r="K4365" i="2"/>
  <c r="L4365" i="2" s="1"/>
  <c r="K4366" i="2"/>
  <c r="L4366" i="2" s="1"/>
  <c r="K4367" i="2"/>
  <c r="L4367" i="2" s="1"/>
  <c r="K4368" i="2"/>
  <c r="L4368" i="2" s="1"/>
  <c r="K4369" i="2"/>
  <c r="L4369" i="2" s="1"/>
  <c r="K4370" i="2"/>
  <c r="L4370" i="2" s="1"/>
  <c r="K4371" i="2"/>
  <c r="L4371" i="2" s="1"/>
  <c r="K4372" i="2"/>
  <c r="L4372" i="2" s="1"/>
  <c r="K4373" i="2"/>
  <c r="L4373" i="2" s="1"/>
  <c r="K4374" i="2"/>
  <c r="L4374" i="2" s="1"/>
  <c r="K4375" i="2"/>
  <c r="L4375" i="2" s="1"/>
  <c r="K4376" i="2"/>
  <c r="L4376" i="2" s="1"/>
  <c r="K4377" i="2"/>
  <c r="L4377" i="2" s="1"/>
  <c r="K4378" i="2"/>
  <c r="L4378" i="2" s="1"/>
  <c r="K4379" i="2"/>
  <c r="L4379" i="2" s="1"/>
  <c r="K4380" i="2"/>
  <c r="L4380" i="2" s="1"/>
  <c r="K4381" i="2"/>
  <c r="L4381" i="2" s="1"/>
  <c r="K4382" i="2"/>
  <c r="L4382" i="2" s="1"/>
  <c r="K4383" i="2"/>
  <c r="L4383" i="2" s="1"/>
  <c r="K4384" i="2"/>
  <c r="L4384" i="2" s="1"/>
  <c r="K4385" i="2"/>
  <c r="L4385" i="2" s="1"/>
  <c r="K4386" i="2"/>
  <c r="L4386" i="2" s="1"/>
  <c r="K4387" i="2"/>
  <c r="L4387" i="2" s="1"/>
  <c r="K4388" i="2"/>
  <c r="L4388" i="2" s="1"/>
  <c r="K4389" i="2"/>
  <c r="L4389" i="2" s="1"/>
  <c r="K4390" i="2"/>
  <c r="L4390" i="2" s="1"/>
  <c r="K4391" i="2"/>
  <c r="L4391" i="2" s="1"/>
  <c r="K4392" i="2"/>
  <c r="L4392" i="2" s="1"/>
  <c r="K4393" i="2"/>
  <c r="L4393" i="2" s="1"/>
  <c r="K4394" i="2"/>
  <c r="L4394" i="2" s="1"/>
  <c r="K4395" i="2"/>
  <c r="L4395" i="2" s="1"/>
  <c r="K4396" i="2"/>
  <c r="L4396" i="2" s="1"/>
  <c r="K4397" i="2"/>
  <c r="L4397" i="2" s="1"/>
  <c r="K4398" i="2"/>
  <c r="L4398" i="2" s="1"/>
  <c r="K4399" i="2"/>
  <c r="L4399" i="2" s="1"/>
  <c r="K4400" i="2"/>
  <c r="L4400" i="2" s="1"/>
  <c r="K4401" i="2"/>
  <c r="L4401" i="2" s="1"/>
  <c r="K4402" i="2"/>
  <c r="L4402" i="2" s="1"/>
  <c r="K4403" i="2"/>
  <c r="L4403" i="2" s="1"/>
  <c r="K4404" i="2"/>
  <c r="L4404" i="2" s="1"/>
  <c r="K4405" i="2"/>
  <c r="L4405" i="2" s="1"/>
  <c r="K4406" i="2"/>
  <c r="L4406" i="2" s="1"/>
  <c r="K4407" i="2"/>
  <c r="L4407" i="2" s="1"/>
  <c r="K4408" i="2"/>
  <c r="L4408" i="2" s="1"/>
  <c r="K4409" i="2"/>
  <c r="L4409" i="2" s="1"/>
  <c r="K4410" i="2"/>
  <c r="L4410" i="2" s="1"/>
  <c r="K4411" i="2"/>
  <c r="L4411" i="2" s="1"/>
  <c r="K4412" i="2"/>
  <c r="L4412" i="2" s="1"/>
  <c r="K4413" i="2"/>
  <c r="L4413" i="2" s="1"/>
  <c r="K4414" i="2"/>
  <c r="L4414" i="2" s="1"/>
  <c r="K4415" i="2"/>
  <c r="L4415" i="2" s="1"/>
  <c r="K4416" i="2"/>
  <c r="L4416" i="2" s="1"/>
  <c r="K4417" i="2"/>
  <c r="L4417" i="2" s="1"/>
  <c r="K4418" i="2"/>
  <c r="L4418" i="2" s="1"/>
  <c r="K4419" i="2"/>
  <c r="L4419" i="2" s="1"/>
  <c r="K4420" i="2"/>
  <c r="L4420" i="2" s="1"/>
  <c r="K4421" i="2"/>
  <c r="L4421" i="2" s="1"/>
  <c r="K4422" i="2"/>
  <c r="L4422" i="2" s="1"/>
  <c r="K4423" i="2"/>
  <c r="L4423" i="2" s="1"/>
  <c r="K4424" i="2"/>
  <c r="L4424" i="2" s="1"/>
  <c r="K4425" i="2"/>
  <c r="L4425" i="2" s="1"/>
  <c r="K4426" i="2"/>
  <c r="L4426" i="2" s="1"/>
  <c r="K4427" i="2"/>
  <c r="L4427" i="2" s="1"/>
  <c r="K4428" i="2"/>
  <c r="L4428" i="2" s="1"/>
  <c r="K4429" i="2"/>
  <c r="L4429" i="2" s="1"/>
  <c r="K4430" i="2"/>
  <c r="L4430" i="2" s="1"/>
  <c r="K4431" i="2"/>
  <c r="L4431" i="2" s="1"/>
  <c r="K4432" i="2"/>
  <c r="L4432" i="2" s="1"/>
  <c r="K4433" i="2"/>
  <c r="L4433" i="2" s="1"/>
  <c r="K4434" i="2"/>
  <c r="L4434" i="2" s="1"/>
  <c r="K4435" i="2"/>
  <c r="L4435" i="2" s="1"/>
  <c r="K4436" i="2"/>
  <c r="L4436" i="2" s="1"/>
  <c r="K4437" i="2"/>
  <c r="L4437" i="2" s="1"/>
  <c r="K4438" i="2"/>
  <c r="L4438" i="2" s="1"/>
  <c r="K4439" i="2"/>
  <c r="L4439" i="2" s="1"/>
  <c r="K4440" i="2"/>
  <c r="L4440" i="2" s="1"/>
  <c r="K4441" i="2"/>
  <c r="L4441" i="2" s="1"/>
  <c r="K4442" i="2"/>
  <c r="L4442" i="2" s="1"/>
  <c r="K4443" i="2"/>
  <c r="L4443" i="2" s="1"/>
  <c r="K4444" i="2"/>
  <c r="L4444" i="2" s="1"/>
  <c r="K4445" i="2"/>
  <c r="L4445" i="2" s="1"/>
  <c r="K4446" i="2"/>
  <c r="L4446" i="2" s="1"/>
  <c r="K4447" i="2"/>
  <c r="L4447" i="2" s="1"/>
  <c r="K4448" i="2"/>
  <c r="L4448" i="2" s="1"/>
  <c r="K4449" i="2"/>
  <c r="L4449" i="2" s="1"/>
  <c r="K4450" i="2"/>
  <c r="L4450" i="2" s="1"/>
  <c r="K4451" i="2"/>
  <c r="L4451" i="2" s="1"/>
  <c r="K4452" i="2"/>
  <c r="L4452" i="2" s="1"/>
  <c r="K4453" i="2"/>
  <c r="L4453" i="2" s="1"/>
  <c r="K4454" i="2"/>
  <c r="L4454" i="2" s="1"/>
  <c r="K4455" i="2"/>
  <c r="L4455" i="2" s="1"/>
  <c r="K4456" i="2"/>
  <c r="L4456" i="2" s="1"/>
  <c r="K4457" i="2"/>
  <c r="L4457" i="2" s="1"/>
  <c r="K4458" i="2"/>
  <c r="L4458" i="2" s="1"/>
  <c r="K4459" i="2"/>
  <c r="L4459" i="2" s="1"/>
  <c r="K4460" i="2"/>
  <c r="L4460" i="2" s="1"/>
  <c r="K4461" i="2"/>
  <c r="L4461" i="2" s="1"/>
  <c r="K4462" i="2"/>
  <c r="L4462" i="2" s="1"/>
  <c r="K4463" i="2"/>
  <c r="L4463" i="2" s="1"/>
  <c r="K4464" i="2"/>
  <c r="L4464" i="2" s="1"/>
  <c r="K4465" i="2"/>
  <c r="L4465" i="2" s="1"/>
  <c r="K4466" i="2"/>
  <c r="L4466" i="2" s="1"/>
  <c r="K4467" i="2"/>
  <c r="L4467" i="2" s="1"/>
  <c r="K4468" i="2"/>
  <c r="L4468" i="2" s="1"/>
  <c r="K4469" i="2"/>
  <c r="L4469" i="2" s="1"/>
  <c r="K4470" i="2"/>
  <c r="L4470" i="2" s="1"/>
  <c r="K4471" i="2"/>
  <c r="L4471" i="2" s="1"/>
  <c r="K4472" i="2"/>
  <c r="L4472" i="2" s="1"/>
  <c r="K4473" i="2"/>
  <c r="L4473" i="2" s="1"/>
  <c r="K4474" i="2"/>
  <c r="L4474" i="2" s="1"/>
  <c r="K4475" i="2"/>
  <c r="L4475" i="2" s="1"/>
  <c r="K4476" i="2"/>
  <c r="L4476" i="2" s="1"/>
  <c r="K4477" i="2"/>
  <c r="L4477" i="2" s="1"/>
  <c r="K4478" i="2"/>
  <c r="L4478" i="2" s="1"/>
  <c r="K4479" i="2"/>
  <c r="L4479" i="2" s="1"/>
  <c r="K4480" i="2"/>
  <c r="L4480" i="2" s="1"/>
  <c r="K4481" i="2"/>
  <c r="L4481" i="2" s="1"/>
  <c r="K4482" i="2"/>
  <c r="L4482" i="2" s="1"/>
  <c r="K4483" i="2"/>
  <c r="L4483" i="2" s="1"/>
  <c r="K4484" i="2"/>
  <c r="L4484" i="2" s="1"/>
  <c r="K4485" i="2"/>
  <c r="L4485" i="2" s="1"/>
  <c r="K4486" i="2"/>
  <c r="L4486" i="2" s="1"/>
  <c r="K4487" i="2"/>
  <c r="L4487" i="2" s="1"/>
  <c r="K4488" i="2"/>
  <c r="L4488" i="2" s="1"/>
  <c r="K4489" i="2"/>
  <c r="L4489" i="2" s="1"/>
  <c r="K4490" i="2"/>
  <c r="L4490" i="2" s="1"/>
  <c r="K4491" i="2"/>
  <c r="L4491" i="2" s="1"/>
  <c r="K4492" i="2"/>
  <c r="L4492" i="2" s="1"/>
  <c r="K4493" i="2"/>
  <c r="L4493" i="2" s="1"/>
  <c r="K4494" i="2"/>
  <c r="L4494" i="2" s="1"/>
  <c r="K4495" i="2"/>
  <c r="L4495" i="2" s="1"/>
  <c r="K4496" i="2"/>
  <c r="L4496" i="2" s="1"/>
  <c r="K4497" i="2"/>
  <c r="L4497" i="2" s="1"/>
  <c r="K4498" i="2"/>
  <c r="L4498" i="2" s="1"/>
  <c r="K4499" i="2"/>
  <c r="L4499" i="2" s="1"/>
  <c r="K4500" i="2"/>
  <c r="L4500" i="2" s="1"/>
  <c r="K4501" i="2"/>
  <c r="L4501" i="2" s="1"/>
  <c r="K4502" i="2"/>
  <c r="L4502" i="2" s="1"/>
  <c r="K4503" i="2"/>
  <c r="L4503" i="2" s="1"/>
  <c r="K4504" i="2"/>
  <c r="L4504" i="2" s="1"/>
  <c r="K4505" i="2"/>
  <c r="L4505" i="2" s="1"/>
  <c r="K4506" i="2"/>
  <c r="L4506" i="2" s="1"/>
  <c r="K4507" i="2"/>
  <c r="L4507" i="2" s="1"/>
  <c r="K4508" i="2"/>
  <c r="L4508" i="2" s="1"/>
  <c r="K4509" i="2"/>
  <c r="L4509" i="2" s="1"/>
  <c r="K4510" i="2"/>
  <c r="L4510" i="2" s="1"/>
  <c r="K4511" i="2"/>
  <c r="L4511" i="2" s="1"/>
  <c r="K4512" i="2"/>
  <c r="L4512" i="2" s="1"/>
  <c r="K4513" i="2"/>
  <c r="L4513" i="2" s="1"/>
  <c r="K4514" i="2"/>
  <c r="L4514" i="2" s="1"/>
  <c r="K4515" i="2"/>
  <c r="L4515" i="2" s="1"/>
  <c r="K4516" i="2"/>
  <c r="L4516" i="2" s="1"/>
  <c r="K4517" i="2"/>
  <c r="L4517" i="2" s="1"/>
  <c r="K4518" i="2"/>
  <c r="L4518" i="2" s="1"/>
  <c r="K4519" i="2"/>
  <c r="L4519" i="2" s="1"/>
  <c r="K4520" i="2"/>
  <c r="L4520" i="2" s="1"/>
  <c r="K4521" i="2"/>
  <c r="L4521" i="2" s="1"/>
  <c r="K4522" i="2"/>
  <c r="L4522" i="2" s="1"/>
  <c r="K4523" i="2"/>
  <c r="L4523" i="2" s="1"/>
  <c r="K4524" i="2"/>
  <c r="L4524" i="2" s="1"/>
  <c r="K4525" i="2"/>
  <c r="L4525" i="2" s="1"/>
  <c r="K4526" i="2"/>
  <c r="L4526" i="2" s="1"/>
  <c r="K4527" i="2"/>
  <c r="L4527" i="2" s="1"/>
  <c r="K4528" i="2"/>
  <c r="L4528" i="2" s="1"/>
  <c r="K4529" i="2"/>
  <c r="L4529" i="2" s="1"/>
  <c r="K4530" i="2"/>
  <c r="L4530" i="2" s="1"/>
  <c r="K4531" i="2"/>
  <c r="L4531" i="2" s="1"/>
  <c r="K4532" i="2"/>
  <c r="L4532" i="2" s="1"/>
  <c r="K4533" i="2"/>
  <c r="L4533" i="2" s="1"/>
  <c r="K4534" i="2"/>
  <c r="L4534" i="2" s="1"/>
  <c r="K4535" i="2"/>
  <c r="L4535" i="2" s="1"/>
  <c r="K4536" i="2"/>
  <c r="L4536" i="2" s="1"/>
  <c r="K4537" i="2"/>
  <c r="L4537" i="2" s="1"/>
  <c r="K4538" i="2"/>
  <c r="L4538" i="2" s="1"/>
  <c r="K4539" i="2"/>
  <c r="L4539" i="2" s="1"/>
  <c r="K4540" i="2"/>
  <c r="L4540" i="2" s="1"/>
  <c r="K4541" i="2"/>
  <c r="L4541" i="2" s="1"/>
  <c r="K4542" i="2"/>
  <c r="L4542" i="2" s="1"/>
  <c r="K4543" i="2"/>
  <c r="L4543" i="2" s="1"/>
  <c r="K4544" i="2"/>
  <c r="L4544" i="2" s="1"/>
  <c r="K4545" i="2"/>
  <c r="L4545" i="2" s="1"/>
  <c r="K4546" i="2"/>
  <c r="L4546" i="2" s="1"/>
  <c r="K4547" i="2"/>
  <c r="L4547" i="2" s="1"/>
  <c r="K4548" i="2"/>
  <c r="L4548" i="2" s="1"/>
  <c r="K4549" i="2"/>
  <c r="L4549" i="2" s="1"/>
  <c r="K4550" i="2"/>
  <c r="L4550" i="2" s="1"/>
  <c r="K4551" i="2"/>
  <c r="L4551" i="2" s="1"/>
  <c r="K4552" i="2"/>
  <c r="L4552" i="2" s="1"/>
  <c r="K4553" i="2"/>
  <c r="L4553" i="2" s="1"/>
  <c r="K4554" i="2"/>
  <c r="L4554" i="2" s="1"/>
  <c r="K4555" i="2"/>
  <c r="L4555" i="2" s="1"/>
  <c r="K4556" i="2"/>
  <c r="L4556" i="2" s="1"/>
  <c r="K4557" i="2"/>
  <c r="L4557" i="2" s="1"/>
  <c r="K4558" i="2"/>
  <c r="L4558" i="2" s="1"/>
  <c r="K4559" i="2"/>
  <c r="L4559" i="2" s="1"/>
  <c r="K4560" i="2"/>
  <c r="L4560" i="2" s="1"/>
  <c r="K4561" i="2"/>
  <c r="L4561" i="2" s="1"/>
  <c r="K4562" i="2"/>
  <c r="L4562" i="2" s="1"/>
  <c r="K4563" i="2"/>
  <c r="L4563" i="2" s="1"/>
  <c r="K4564" i="2"/>
  <c r="L4564" i="2" s="1"/>
  <c r="K4565" i="2"/>
  <c r="L4565" i="2" s="1"/>
  <c r="K4566" i="2"/>
  <c r="L4566" i="2" s="1"/>
  <c r="K4567" i="2"/>
  <c r="L4567" i="2" s="1"/>
  <c r="K4568" i="2"/>
  <c r="L4568" i="2" s="1"/>
  <c r="K4569" i="2"/>
  <c r="L4569" i="2" s="1"/>
  <c r="K4570" i="2"/>
  <c r="L4570" i="2" s="1"/>
  <c r="K4571" i="2"/>
  <c r="L4571" i="2" s="1"/>
  <c r="K4572" i="2"/>
  <c r="L4572" i="2" s="1"/>
  <c r="K4573" i="2"/>
  <c r="L4573" i="2" s="1"/>
  <c r="K4574" i="2"/>
  <c r="L4574" i="2" s="1"/>
  <c r="K4575" i="2"/>
  <c r="L4575" i="2" s="1"/>
  <c r="K4576" i="2"/>
  <c r="L4576" i="2" s="1"/>
  <c r="K4577" i="2"/>
  <c r="L4577" i="2" s="1"/>
  <c r="K4578" i="2"/>
  <c r="L4578" i="2" s="1"/>
  <c r="K4579" i="2"/>
  <c r="L4579" i="2" s="1"/>
  <c r="K4580" i="2"/>
  <c r="L4580" i="2" s="1"/>
  <c r="K4581" i="2"/>
  <c r="L4581" i="2" s="1"/>
  <c r="K4582" i="2"/>
  <c r="L4582" i="2" s="1"/>
  <c r="K4583" i="2"/>
  <c r="L4583" i="2" s="1"/>
  <c r="K4584" i="2"/>
  <c r="L4584" i="2" s="1"/>
  <c r="K4585" i="2"/>
  <c r="L4585" i="2" s="1"/>
  <c r="K4586" i="2"/>
  <c r="L4586" i="2" s="1"/>
  <c r="K4587" i="2"/>
  <c r="L4587" i="2" s="1"/>
  <c r="K4588" i="2"/>
  <c r="L4588" i="2" s="1"/>
  <c r="K4589" i="2"/>
  <c r="L4589" i="2" s="1"/>
  <c r="K4590" i="2"/>
  <c r="L4590" i="2" s="1"/>
  <c r="K4591" i="2"/>
  <c r="L4591" i="2" s="1"/>
  <c r="K4592" i="2"/>
  <c r="L4592" i="2" s="1"/>
  <c r="K4593" i="2"/>
  <c r="L4593" i="2" s="1"/>
  <c r="K4594" i="2"/>
  <c r="L4594" i="2" s="1"/>
  <c r="K4595" i="2"/>
  <c r="L4595" i="2" s="1"/>
  <c r="K4596" i="2"/>
  <c r="L4596" i="2" s="1"/>
  <c r="K4597" i="2"/>
  <c r="L4597" i="2" s="1"/>
  <c r="K4598" i="2"/>
  <c r="L4598" i="2" s="1"/>
  <c r="K4599" i="2"/>
  <c r="L4599" i="2" s="1"/>
  <c r="K4600" i="2"/>
  <c r="L4600" i="2" s="1"/>
  <c r="K4601" i="2"/>
  <c r="L4601" i="2" s="1"/>
  <c r="K4602" i="2"/>
  <c r="L4602" i="2" s="1"/>
  <c r="K4603" i="2"/>
  <c r="L4603" i="2" s="1"/>
  <c r="K4604" i="2"/>
  <c r="L4604" i="2" s="1"/>
  <c r="K4605" i="2"/>
  <c r="L4605" i="2" s="1"/>
  <c r="K4606" i="2"/>
  <c r="L4606" i="2" s="1"/>
  <c r="K4607" i="2"/>
  <c r="L4607" i="2" s="1"/>
  <c r="K4608" i="2"/>
  <c r="L4608" i="2" s="1"/>
  <c r="K4609" i="2"/>
  <c r="L4609" i="2" s="1"/>
  <c r="K4610" i="2"/>
  <c r="L4610" i="2" s="1"/>
  <c r="K4611" i="2"/>
  <c r="L4611" i="2" s="1"/>
  <c r="K4612" i="2"/>
  <c r="L4612" i="2" s="1"/>
  <c r="K4613" i="2"/>
  <c r="L4613" i="2" s="1"/>
  <c r="K4614" i="2"/>
  <c r="L4614" i="2" s="1"/>
  <c r="K4615" i="2"/>
  <c r="L4615" i="2" s="1"/>
  <c r="K4616" i="2"/>
  <c r="L4616" i="2" s="1"/>
  <c r="K4617" i="2"/>
  <c r="L4617" i="2" s="1"/>
  <c r="K4618" i="2"/>
  <c r="L4618" i="2" s="1"/>
  <c r="K4619" i="2"/>
  <c r="L4619" i="2" s="1"/>
  <c r="K4620" i="2"/>
  <c r="L4620" i="2" s="1"/>
  <c r="K4621" i="2"/>
  <c r="L4621" i="2" s="1"/>
  <c r="K4622" i="2"/>
  <c r="L4622" i="2" s="1"/>
  <c r="K4623" i="2"/>
  <c r="L4623" i="2" s="1"/>
  <c r="K4624" i="2"/>
  <c r="L4624" i="2" s="1"/>
  <c r="K4625" i="2"/>
  <c r="L4625" i="2" s="1"/>
  <c r="K4626" i="2"/>
  <c r="L4626" i="2" s="1"/>
  <c r="K4627" i="2"/>
  <c r="L4627" i="2" s="1"/>
  <c r="K4628" i="2"/>
  <c r="L4628" i="2" s="1"/>
  <c r="K4629" i="2"/>
  <c r="L4629" i="2" s="1"/>
  <c r="K4630" i="2"/>
  <c r="L4630" i="2" s="1"/>
  <c r="K4631" i="2"/>
  <c r="L4631" i="2" s="1"/>
  <c r="K4632" i="2"/>
  <c r="L4632" i="2" s="1"/>
  <c r="K4633" i="2"/>
  <c r="L4633" i="2" s="1"/>
  <c r="K4634" i="2"/>
  <c r="L4634" i="2" s="1"/>
  <c r="K4635" i="2"/>
  <c r="L4635" i="2" s="1"/>
  <c r="K4636" i="2"/>
  <c r="L4636" i="2" s="1"/>
  <c r="K4637" i="2"/>
  <c r="L4637" i="2" s="1"/>
  <c r="K4638" i="2"/>
  <c r="L4638" i="2" s="1"/>
  <c r="K4639" i="2"/>
  <c r="L4639" i="2" s="1"/>
  <c r="K4640" i="2"/>
  <c r="L4640" i="2" s="1"/>
  <c r="K4641" i="2"/>
  <c r="L4641" i="2" s="1"/>
  <c r="K4642" i="2"/>
  <c r="L4642" i="2" s="1"/>
  <c r="K4643" i="2"/>
  <c r="L4643" i="2" s="1"/>
  <c r="K4644" i="2"/>
  <c r="L4644" i="2" s="1"/>
  <c r="K4645" i="2"/>
  <c r="L4645" i="2" s="1"/>
  <c r="K4646" i="2"/>
  <c r="L4646" i="2" s="1"/>
  <c r="K4647" i="2"/>
  <c r="L4647" i="2" s="1"/>
  <c r="K4648" i="2"/>
  <c r="L4648" i="2" s="1"/>
  <c r="K4649" i="2"/>
  <c r="L4649" i="2" s="1"/>
  <c r="K4650" i="2"/>
  <c r="L4650" i="2" s="1"/>
  <c r="K4651" i="2"/>
  <c r="L4651" i="2" s="1"/>
  <c r="K4652" i="2"/>
  <c r="L4652" i="2" s="1"/>
  <c r="K4653" i="2"/>
  <c r="L4653" i="2" s="1"/>
  <c r="K4654" i="2"/>
  <c r="L4654" i="2" s="1"/>
  <c r="K4655" i="2"/>
  <c r="L4655" i="2" s="1"/>
  <c r="K4656" i="2"/>
  <c r="L4656" i="2" s="1"/>
  <c r="K4657" i="2"/>
  <c r="L4657" i="2" s="1"/>
  <c r="K4658" i="2"/>
  <c r="L4658" i="2" s="1"/>
  <c r="K4659" i="2"/>
  <c r="L4659" i="2" s="1"/>
  <c r="K4660" i="2"/>
  <c r="L4660" i="2" s="1"/>
  <c r="K4661" i="2"/>
  <c r="L4661" i="2" s="1"/>
  <c r="K4662" i="2"/>
  <c r="L4662" i="2" s="1"/>
  <c r="K4663" i="2"/>
  <c r="L4663" i="2" s="1"/>
  <c r="K4664" i="2"/>
  <c r="L4664" i="2" s="1"/>
  <c r="K4665" i="2"/>
  <c r="L4665" i="2" s="1"/>
  <c r="K4666" i="2"/>
  <c r="L4666" i="2" s="1"/>
  <c r="K4667" i="2"/>
  <c r="L4667" i="2" s="1"/>
  <c r="K4668" i="2"/>
  <c r="L4668" i="2" s="1"/>
  <c r="K4669" i="2"/>
  <c r="L4669" i="2" s="1"/>
  <c r="K4670" i="2"/>
  <c r="L4670" i="2" s="1"/>
  <c r="K4671" i="2"/>
  <c r="L4671" i="2" s="1"/>
  <c r="K4672" i="2"/>
  <c r="L4672" i="2" s="1"/>
  <c r="K4673" i="2"/>
  <c r="L4673" i="2" s="1"/>
  <c r="K4674" i="2"/>
  <c r="L4674" i="2" s="1"/>
  <c r="K4675" i="2"/>
  <c r="L4675" i="2" s="1"/>
  <c r="K4676" i="2"/>
  <c r="L4676" i="2" s="1"/>
  <c r="K4677" i="2"/>
  <c r="L4677" i="2" s="1"/>
  <c r="K4678" i="2"/>
  <c r="L4678" i="2" s="1"/>
  <c r="K4679" i="2"/>
  <c r="L4679" i="2" s="1"/>
  <c r="K4680" i="2"/>
  <c r="L4680" i="2" s="1"/>
  <c r="K4681" i="2"/>
  <c r="L4681" i="2" s="1"/>
  <c r="K4682" i="2"/>
  <c r="L4682" i="2" s="1"/>
  <c r="K4683" i="2"/>
  <c r="L4683" i="2" s="1"/>
  <c r="K4684" i="2"/>
  <c r="L4684" i="2" s="1"/>
  <c r="K4685" i="2"/>
  <c r="L4685" i="2" s="1"/>
  <c r="K4686" i="2"/>
  <c r="L4686" i="2" s="1"/>
  <c r="K4687" i="2"/>
  <c r="L4687" i="2" s="1"/>
  <c r="K4688" i="2"/>
  <c r="L4688" i="2" s="1"/>
  <c r="K4689" i="2"/>
  <c r="L4689" i="2" s="1"/>
  <c r="K4690" i="2"/>
  <c r="L4690" i="2" s="1"/>
  <c r="K4691" i="2"/>
  <c r="L4691" i="2" s="1"/>
  <c r="K4692" i="2"/>
  <c r="L4692" i="2" s="1"/>
  <c r="K4693" i="2"/>
  <c r="L4693" i="2" s="1"/>
  <c r="K4694" i="2"/>
  <c r="L4694" i="2" s="1"/>
  <c r="K4695" i="2"/>
  <c r="L4695" i="2" s="1"/>
  <c r="K4696" i="2"/>
  <c r="L4696" i="2" s="1"/>
  <c r="K4697" i="2"/>
  <c r="L4697" i="2" s="1"/>
  <c r="K4698" i="2"/>
  <c r="L4698" i="2" s="1"/>
  <c r="K4699" i="2"/>
  <c r="L4699" i="2" s="1"/>
  <c r="K4700" i="2"/>
  <c r="L4700" i="2" s="1"/>
  <c r="K4701" i="2"/>
  <c r="L4701" i="2" s="1"/>
  <c r="K4702" i="2"/>
  <c r="L4702" i="2" s="1"/>
  <c r="K4703" i="2"/>
  <c r="L4703" i="2" s="1"/>
  <c r="K4704" i="2"/>
  <c r="L4704" i="2" s="1"/>
  <c r="K4705" i="2"/>
  <c r="L4705" i="2" s="1"/>
  <c r="K4706" i="2"/>
  <c r="L4706" i="2" s="1"/>
  <c r="K4707" i="2"/>
  <c r="L4707" i="2" s="1"/>
  <c r="K4708" i="2"/>
  <c r="L4708" i="2" s="1"/>
  <c r="K4709" i="2"/>
  <c r="L4709" i="2" s="1"/>
  <c r="K4710" i="2"/>
  <c r="L4710" i="2" s="1"/>
  <c r="K4711" i="2"/>
  <c r="L4711" i="2" s="1"/>
  <c r="K4712" i="2"/>
  <c r="L4712" i="2" s="1"/>
  <c r="K4713" i="2"/>
  <c r="L4713" i="2" s="1"/>
  <c r="K4714" i="2"/>
  <c r="L4714" i="2" s="1"/>
  <c r="K4715" i="2"/>
  <c r="L4715" i="2" s="1"/>
  <c r="K4716" i="2"/>
  <c r="L4716" i="2" s="1"/>
  <c r="K4717" i="2"/>
  <c r="L4717" i="2" s="1"/>
  <c r="K4718" i="2"/>
  <c r="L4718" i="2" s="1"/>
  <c r="K4719" i="2"/>
  <c r="L4719" i="2" s="1"/>
  <c r="K4720" i="2"/>
  <c r="L4720" i="2" s="1"/>
  <c r="K4721" i="2"/>
  <c r="L4721" i="2" s="1"/>
  <c r="K4722" i="2"/>
  <c r="L4722" i="2" s="1"/>
  <c r="K4723" i="2"/>
  <c r="L4723" i="2" s="1"/>
  <c r="K4724" i="2"/>
  <c r="L4724" i="2" s="1"/>
  <c r="K4725" i="2"/>
  <c r="L4725" i="2" s="1"/>
  <c r="K4726" i="2"/>
  <c r="L4726" i="2" s="1"/>
  <c r="K4727" i="2"/>
  <c r="L4727" i="2" s="1"/>
  <c r="K4728" i="2"/>
  <c r="L4728" i="2" s="1"/>
  <c r="K4729" i="2"/>
  <c r="L4729" i="2" s="1"/>
  <c r="K4730" i="2"/>
  <c r="L4730" i="2" s="1"/>
  <c r="K4731" i="2"/>
  <c r="L4731" i="2" s="1"/>
  <c r="K4732" i="2"/>
  <c r="L4732" i="2" s="1"/>
  <c r="K4733" i="2"/>
  <c r="L4733" i="2" s="1"/>
  <c r="K4734" i="2"/>
  <c r="L4734" i="2" s="1"/>
  <c r="K4735" i="2"/>
  <c r="L4735" i="2" s="1"/>
  <c r="K4736" i="2"/>
  <c r="L4736" i="2" s="1"/>
  <c r="K4737" i="2"/>
  <c r="L4737" i="2" s="1"/>
  <c r="K4738" i="2"/>
  <c r="L4738" i="2" s="1"/>
  <c r="K4739" i="2"/>
  <c r="L4739" i="2" s="1"/>
  <c r="K4740" i="2"/>
  <c r="L4740" i="2" s="1"/>
  <c r="K4741" i="2"/>
  <c r="L4741" i="2" s="1"/>
  <c r="K4742" i="2"/>
  <c r="L4742" i="2" s="1"/>
  <c r="K4743" i="2"/>
  <c r="L4743" i="2" s="1"/>
  <c r="K4744" i="2"/>
  <c r="L4744" i="2" s="1"/>
  <c r="K4745" i="2"/>
  <c r="L4745" i="2" s="1"/>
  <c r="K4746" i="2"/>
  <c r="L4746" i="2" s="1"/>
  <c r="K4747" i="2"/>
  <c r="L4747" i="2" s="1"/>
  <c r="K4748" i="2"/>
  <c r="L4748" i="2" s="1"/>
  <c r="K4749" i="2"/>
  <c r="L4749" i="2" s="1"/>
  <c r="K4750" i="2"/>
  <c r="L4750" i="2" s="1"/>
  <c r="K4751" i="2"/>
  <c r="L4751" i="2" s="1"/>
  <c r="K4752" i="2"/>
  <c r="L4752" i="2" s="1"/>
  <c r="K4753" i="2"/>
  <c r="L4753" i="2" s="1"/>
  <c r="K4754" i="2"/>
  <c r="L4754" i="2" s="1"/>
  <c r="K4755" i="2"/>
  <c r="L4755" i="2" s="1"/>
  <c r="K4756" i="2"/>
  <c r="L4756" i="2" s="1"/>
  <c r="K4757" i="2"/>
  <c r="L4757" i="2" s="1"/>
  <c r="K4758" i="2"/>
  <c r="L4758" i="2" s="1"/>
  <c r="K4759" i="2"/>
  <c r="L4759" i="2" s="1"/>
  <c r="K4760" i="2"/>
  <c r="L4760" i="2" s="1"/>
  <c r="K4761" i="2"/>
  <c r="L4761" i="2" s="1"/>
  <c r="K4762" i="2"/>
  <c r="L4762" i="2" s="1"/>
  <c r="K4763" i="2"/>
  <c r="L4763" i="2" s="1"/>
  <c r="K4764" i="2"/>
  <c r="L4764" i="2" s="1"/>
  <c r="K4765" i="2"/>
  <c r="L4765" i="2" s="1"/>
  <c r="K4766" i="2"/>
  <c r="L4766" i="2" s="1"/>
  <c r="K4767" i="2"/>
  <c r="L4767" i="2" s="1"/>
  <c r="K4768" i="2"/>
  <c r="L4768" i="2" s="1"/>
  <c r="K4769" i="2"/>
  <c r="L4769" i="2" s="1"/>
  <c r="K4770" i="2"/>
  <c r="L4770" i="2" s="1"/>
  <c r="K4771" i="2"/>
  <c r="L4771" i="2" s="1"/>
  <c r="K4772" i="2"/>
  <c r="L4772" i="2" s="1"/>
  <c r="K4773" i="2"/>
  <c r="L4773" i="2" s="1"/>
  <c r="K4774" i="2"/>
  <c r="L4774" i="2" s="1"/>
  <c r="K4775" i="2"/>
  <c r="L4775" i="2" s="1"/>
  <c r="K4776" i="2"/>
  <c r="L4776" i="2" s="1"/>
  <c r="K4777" i="2"/>
  <c r="L4777" i="2" s="1"/>
  <c r="K4778" i="2"/>
  <c r="L4778" i="2" s="1"/>
  <c r="K4779" i="2"/>
  <c r="L4779" i="2" s="1"/>
  <c r="K4780" i="2"/>
  <c r="L4780" i="2" s="1"/>
  <c r="K4781" i="2"/>
  <c r="L4781" i="2" s="1"/>
  <c r="K4782" i="2"/>
  <c r="L4782" i="2" s="1"/>
  <c r="K4783" i="2"/>
  <c r="L4783" i="2" s="1"/>
  <c r="K4784" i="2"/>
  <c r="L4784" i="2" s="1"/>
  <c r="K4785" i="2"/>
  <c r="L4785" i="2" s="1"/>
  <c r="K4786" i="2"/>
  <c r="L4786" i="2" s="1"/>
  <c r="K4787" i="2"/>
  <c r="L4787" i="2" s="1"/>
  <c r="K4788" i="2"/>
  <c r="L4788" i="2" s="1"/>
  <c r="K4789" i="2"/>
  <c r="L4789" i="2" s="1"/>
  <c r="K4790" i="2"/>
  <c r="L4790" i="2" s="1"/>
  <c r="K4791" i="2"/>
  <c r="L4791" i="2" s="1"/>
  <c r="K4792" i="2"/>
  <c r="L4792" i="2" s="1"/>
  <c r="K4793" i="2"/>
  <c r="L4793" i="2" s="1"/>
  <c r="K4794" i="2"/>
  <c r="L4794" i="2" s="1"/>
  <c r="K4795" i="2"/>
  <c r="L4795" i="2" s="1"/>
  <c r="K4796" i="2"/>
  <c r="L4796" i="2" s="1"/>
  <c r="K4797" i="2"/>
  <c r="L4797" i="2" s="1"/>
  <c r="K4798" i="2"/>
  <c r="L4798" i="2" s="1"/>
  <c r="K4799" i="2"/>
  <c r="L4799" i="2" s="1"/>
  <c r="K4800" i="2"/>
  <c r="L4800" i="2" s="1"/>
  <c r="K4801" i="2"/>
  <c r="L4801" i="2" s="1"/>
  <c r="K4802" i="2"/>
  <c r="L4802" i="2" s="1"/>
  <c r="K4803" i="2"/>
  <c r="L4803" i="2" s="1"/>
  <c r="K4804" i="2"/>
  <c r="L4804" i="2" s="1"/>
  <c r="K4805" i="2"/>
  <c r="L4805" i="2" s="1"/>
  <c r="K4806" i="2"/>
  <c r="L4806" i="2" s="1"/>
  <c r="K4807" i="2"/>
  <c r="L4807" i="2" s="1"/>
  <c r="K4808" i="2"/>
  <c r="L4808" i="2" s="1"/>
  <c r="K4809" i="2"/>
  <c r="L4809" i="2" s="1"/>
  <c r="K4810" i="2"/>
  <c r="L4810" i="2" s="1"/>
  <c r="K4811" i="2"/>
  <c r="L4811" i="2" s="1"/>
  <c r="K4812" i="2"/>
  <c r="L4812" i="2" s="1"/>
  <c r="K4813" i="2"/>
  <c r="L4813" i="2" s="1"/>
  <c r="K4814" i="2"/>
  <c r="L4814" i="2" s="1"/>
  <c r="K4815" i="2"/>
  <c r="L4815" i="2" s="1"/>
  <c r="K4816" i="2"/>
  <c r="L4816" i="2" s="1"/>
  <c r="K4817" i="2"/>
  <c r="L4817" i="2" s="1"/>
  <c r="K4818" i="2"/>
  <c r="L4818" i="2" s="1"/>
  <c r="K4819" i="2"/>
  <c r="L4819" i="2" s="1"/>
  <c r="K4820" i="2"/>
  <c r="L4820" i="2" s="1"/>
  <c r="K4821" i="2"/>
  <c r="L4821" i="2" s="1"/>
  <c r="K4822" i="2"/>
  <c r="L4822" i="2" s="1"/>
  <c r="K4823" i="2"/>
  <c r="L4823" i="2" s="1"/>
  <c r="K4824" i="2"/>
  <c r="L4824" i="2" s="1"/>
  <c r="K4825" i="2"/>
  <c r="L4825" i="2" s="1"/>
  <c r="K4826" i="2"/>
  <c r="L4826" i="2" s="1"/>
  <c r="K4827" i="2"/>
  <c r="L4827" i="2" s="1"/>
  <c r="K4828" i="2"/>
  <c r="L4828" i="2" s="1"/>
  <c r="K4829" i="2"/>
  <c r="L4829" i="2" s="1"/>
  <c r="K4830" i="2"/>
  <c r="L4830" i="2" s="1"/>
  <c r="K4831" i="2"/>
  <c r="L4831" i="2" s="1"/>
  <c r="K4832" i="2"/>
  <c r="L4832" i="2" s="1"/>
  <c r="K4833" i="2"/>
  <c r="L4833" i="2" s="1"/>
  <c r="K4834" i="2"/>
  <c r="L4834" i="2" s="1"/>
  <c r="K4835" i="2"/>
  <c r="L4835" i="2" s="1"/>
  <c r="K4836" i="2"/>
  <c r="L4836" i="2" s="1"/>
  <c r="K4837" i="2"/>
  <c r="L4837" i="2" s="1"/>
  <c r="K4838" i="2"/>
  <c r="L4838" i="2" s="1"/>
  <c r="K4839" i="2"/>
  <c r="L4839" i="2" s="1"/>
  <c r="K4840" i="2"/>
  <c r="L4840" i="2" s="1"/>
  <c r="K4841" i="2"/>
  <c r="L4841" i="2" s="1"/>
  <c r="K4842" i="2"/>
  <c r="L4842" i="2" s="1"/>
  <c r="K4843" i="2"/>
  <c r="L4843" i="2" s="1"/>
  <c r="K4844" i="2"/>
  <c r="L4844" i="2" s="1"/>
  <c r="K4845" i="2"/>
  <c r="L4845" i="2" s="1"/>
  <c r="K4846" i="2"/>
  <c r="L4846" i="2" s="1"/>
  <c r="K4847" i="2"/>
  <c r="L4847" i="2" s="1"/>
  <c r="K4848" i="2"/>
  <c r="L4848" i="2" s="1"/>
  <c r="K4849" i="2"/>
  <c r="L4849" i="2" s="1"/>
  <c r="K4850" i="2"/>
  <c r="L4850" i="2" s="1"/>
  <c r="K4851" i="2"/>
  <c r="L4851" i="2" s="1"/>
  <c r="K4852" i="2"/>
  <c r="L4852" i="2" s="1"/>
  <c r="K4853" i="2"/>
  <c r="L4853" i="2" s="1"/>
  <c r="K4854" i="2"/>
  <c r="L4854" i="2" s="1"/>
  <c r="K4855" i="2"/>
  <c r="L4855" i="2" s="1"/>
  <c r="K4856" i="2"/>
  <c r="L4856" i="2" s="1"/>
  <c r="K4857" i="2"/>
  <c r="L4857" i="2" s="1"/>
  <c r="K4858" i="2"/>
  <c r="L4858" i="2" s="1"/>
  <c r="K4859" i="2"/>
  <c r="L4859" i="2" s="1"/>
  <c r="K4860" i="2"/>
  <c r="L4860" i="2" s="1"/>
  <c r="K4861" i="2"/>
  <c r="L4861" i="2" s="1"/>
  <c r="K4862" i="2"/>
  <c r="L4862" i="2" s="1"/>
  <c r="K4863" i="2"/>
  <c r="L4863" i="2" s="1"/>
  <c r="K4864" i="2"/>
  <c r="L4864" i="2" s="1"/>
  <c r="K4865" i="2"/>
  <c r="L4865" i="2" s="1"/>
  <c r="K4866" i="2"/>
  <c r="L4866" i="2" s="1"/>
  <c r="K4867" i="2"/>
  <c r="L4867" i="2" s="1"/>
  <c r="K4868" i="2"/>
  <c r="L4868" i="2" s="1"/>
  <c r="K4869" i="2"/>
  <c r="L4869" i="2" s="1"/>
  <c r="K4870" i="2"/>
  <c r="L4870" i="2" s="1"/>
  <c r="K4871" i="2"/>
  <c r="L4871" i="2" s="1"/>
  <c r="K4872" i="2"/>
  <c r="L4872" i="2" s="1"/>
  <c r="K4873" i="2"/>
  <c r="L4873" i="2" s="1"/>
  <c r="K4874" i="2"/>
  <c r="L4874" i="2" s="1"/>
  <c r="K4875" i="2"/>
  <c r="L4875" i="2" s="1"/>
  <c r="K4876" i="2"/>
  <c r="L4876" i="2" s="1"/>
  <c r="K4877" i="2"/>
  <c r="L4877" i="2" s="1"/>
  <c r="K4878" i="2"/>
  <c r="L4878" i="2" s="1"/>
  <c r="K4879" i="2"/>
  <c r="L4879" i="2" s="1"/>
  <c r="K4880" i="2"/>
  <c r="L4880" i="2" s="1"/>
  <c r="K4881" i="2"/>
  <c r="L4881" i="2" s="1"/>
  <c r="K4882" i="2"/>
  <c r="L4882" i="2" s="1"/>
  <c r="K4883" i="2"/>
  <c r="L4883" i="2" s="1"/>
  <c r="K4884" i="2"/>
  <c r="L4884" i="2" s="1"/>
  <c r="K4885" i="2"/>
  <c r="L4885" i="2" s="1"/>
  <c r="K4886" i="2"/>
  <c r="L4886" i="2" s="1"/>
  <c r="K4887" i="2"/>
  <c r="L4887" i="2" s="1"/>
  <c r="K4888" i="2"/>
  <c r="L4888" i="2" s="1"/>
  <c r="K4889" i="2"/>
  <c r="L4889" i="2" s="1"/>
  <c r="K4890" i="2"/>
  <c r="L4890" i="2" s="1"/>
  <c r="K4891" i="2"/>
  <c r="L4891" i="2" s="1"/>
  <c r="K4892" i="2"/>
  <c r="L4892" i="2" s="1"/>
  <c r="K4893" i="2"/>
  <c r="L4893" i="2" s="1"/>
  <c r="K4894" i="2"/>
  <c r="L4894" i="2" s="1"/>
  <c r="K4895" i="2"/>
  <c r="L4895" i="2" s="1"/>
  <c r="K4896" i="2"/>
  <c r="L4896" i="2" s="1"/>
  <c r="K4897" i="2"/>
  <c r="L4897" i="2" s="1"/>
  <c r="K4898" i="2"/>
  <c r="L4898" i="2" s="1"/>
  <c r="K4899" i="2"/>
  <c r="L4899" i="2" s="1"/>
  <c r="K4900" i="2"/>
  <c r="L4900" i="2" s="1"/>
  <c r="K4901" i="2"/>
  <c r="L4901" i="2" s="1"/>
  <c r="K4902" i="2"/>
  <c r="L4902" i="2" s="1"/>
  <c r="K4903" i="2"/>
  <c r="L4903" i="2" s="1"/>
  <c r="K4904" i="2"/>
  <c r="L4904" i="2" s="1"/>
  <c r="K4905" i="2"/>
  <c r="L4905" i="2" s="1"/>
  <c r="K4906" i="2"/>
  <c r="L4906" i="2" s="1"/>
  <c r="K4907" i="2"/>
  <c r="L4907" i="2" s="1"/>
  <c r="K4908" i="2"/>
  <c r="L4908" i="2" s="1"/>
  <c r="K4909" i="2"/>
  <c r="L4909" i="2" s="1"/>
  <c r="K4910" i="2"/>
  <c r="L4910" i="2" s="1"/>
  <c r="K4911" i="2"/>
  <c r="L4911" i="2" s="1"/>
  <c r="K4912" i="2"/>
  <c r="L4912" i="2" s="1"/>
  <c r="K4913" i="2"/>
  <c r="L4913" i="2" s="1"/>
  <c r="K4914" i="2"/>
  <c r="L4914" i="2" s="1"/>
  <c r="K4915" i="2"/>
  <c r="L4915" i="2" s="1"/>
  <c r="K4916" i="2"/>
  <c r="L4916" i="2" s="1"/>
  <c r="K4917" i="2"/>
  <c r="L4917" i="2" s="1"/>
  <c r="K4918" i="2"/>
  <c r="L4918" i="2" s="1"/>
  <c r="K4919" i="2"/>
  <c r="L4919" i="2" s="1"/>
  <c r="K4920" i="2"/>
  <c r="L4920" i="2" s="1"/>
  <c r="K4921" i="2"/>
  <c r="L4921" i="2" s="1"/>
  <c r="K4922" i="2"/>
  <c r="L4922" i="2" s="1"/>
  <c r="K4923" i="2"/>
  <c r="L4923" i="2" s="1"/>
  <c r="K4924" i="2"/>
  <c r="L4924" i="2" s="1"/>
  <c r="K4925" i="2"/>
  <c r="L4925" i="2" s="1"/>
  <c r="K4926" i="2"/>
  <c r="L4926" i="2" s="1"/>
  <c r="K4927" i="2"/>
  <c r="L4927" i="2" s="1"/>
  <c r="K4928" i="2"/>
  <c r="L4928" i="2" s="1"/>
  <c r="K4929" i="2"/>
  <c r="L4929" i="2" s="1"/>
  <c r="K4930" i="2"/>
  <c r="L4930" i="2" s="1"/>
  <c r="K4931" i="2"/>
  <c r="L4931" i="2" s="1"/>
  <c r="K4932" i="2"/>
  <c r="L4932" i="2" s="1"/>
  <c r="K4933" i="2"/>
  <c r="L4933" i="2" s="1"/>
  <c r="K4934" i="2"/>
  <c r="L4934" i="2" s="1"/>
  <c r="K4935" i="2"/>
  <c r="L4935" i="2" s="1"/>
  <c r="K4936" i="2"/>
  <c r="L4936" i="2" s="1"/>
  <c r="K4937" i="2"/>
  <c r="L4937" i="2" s="1"/>
  <c r="K4938" i="2"/>
  <c r="L4938" i="2" s="1"/>
  <c r="K4939" i="2"/>
  <c r="L4939" i="2" s="1"/>
  <c r="K4940" i="2"/>
  <c r="L4940" i="2" s="1"/>
  <c r="K4941" i="2"/>
  <c r="L4941" i="2" s="1"/>
  <c r="K4942" i="2"/>
  <c r="L4942" i="2" s="1"/>
  <c r="K4943" i="2"/>
  <c r="L4943" i="2" s="1"/>
  <c r="K4944" i="2"/>
  <c r="L4944" i="2" s="1"/>
  <c r="K4945" i="2"/>
  <c r="L4945" i="2" s="1"/>
  <c r="K4946" i="2"/>
  <c r="L4946" i="2" s="1"/>
  <c r="K4947" i="2"/>
  <c r="L4947" i="2" s="1"/>
  <c r="K4948" i="2"/>
  <c r="L4948" i="2" s="1"/>
  <c r="K4949" i="2"/>
  <c r="L4949" i="2" s="1"/>
  <c r="K4950" i="2"/>
  <c r="L4950" i="2" s="1"/>
  <c r="K4951" i="2"/>
  <c r="L4951" i="2" s="1"/>
  <c r="K4952" i="2"/>
  <c r="L4952" i="2" s="1"/>
  <c r="K4953" i="2"/>
  <c r="L4953" i="2" s="1"/>
  <c r="K4954" i="2"/>
  <c r="L4954" i="2" s="1"/>
  <c r="K4955" i="2"/>
  <c r="L4955" i="2" s="1"/>
  <c r="K4956" i="2"/>
  <c r="L4956" i="2" s="1"/>
  <c r="K4957" i="2"/>
  <c r="L4957" i="2" s="1"/>
  <c r="K4958" i="2"/>
  <c r="L4958" i="2" s="1"/>
  <c r="K4959" i="2"/>
  <c r="L4959" i="2" s="1"/>
  <c r="K4960" i="2"/>
  <c r="L4960" i="2" s="1"/>
  <c r="K4961" i="2"/>
  <c r="L4961" i="2" s="1"/>
  <c r="K4962" i="2"/>
  <c r="L4962" i="2" s="1"/>
  <c r="K4963" i="2"/>
  <c r="L4963" i="2" s="1"/>
  <c r="K4964" i="2"/>
  <c r="L4964" i="2" s="1"/>
  <c r="K4965" i="2"/>
  <c r="L4965" i="2" s="1"/>
  <c r="K4966" i="2"/>
  <c r="L4966" i="2" s="1"/>
  <c r="K4967" i="2"/>
  <c r="L4967" i="2" s="1"/>
  <c r="K4968" i="2"/>
  <c r="L4968" i="2" s="1"/>
  <c r="K4969" i="2"/>
  <c r="L4969" i="2" s="1"/>
  <c r="K4970" i="2"/>
  <c r="L4970" i="2" s="1"/>
  <c r="K4971" i="2"/>
  <c r="L4971" i="2" s="1"/>
  <c r="K4972" i="2"/>
  <c r="L4972" i="2" s="1"/>
  <c r="K4973" i="2"/>
  <c r="L4973" i="2" s="1"/>
  <c r="K4974" i="2"/>
  <c r="L4974" i="2" s="1"/>
  <c r="K4975" i="2"/>
  <c r="L4975" i="2" s="1"/>
  <c r="K4976" i="2"/>
  <c r="L4976" i="2" s="1"/>
  <c r="K4977" i="2"/>
  <c r="L4977" i="2" s="1"/>
  <c r="K4978" i="2"/>
  <c r="L4978" i="2" s="1"/>
  <c r="K4979" i="2"/>
  <c r="L4979" i="2" s="1"/>
  <c r="K4980" i="2"/>
  <c r="L4980" i="2" s="1"/>
  <c r="K4981" i="2"/>
  <c r="L4981" i="2" s="1"/>
  <c r="K4982" i="2"/>
  <c r="L4982" i="2" s="1"/>
  <c r="K4983" i="2"/>
  <c r="L4983" i="2" s="1"/>
  <c r="K4984" i="2"/>
  <c r="L4984" i="2" s="1"/>
  <c r="K4985" i="2"/>
  <c r="L4985" i="2" s="1"/>
  <c r="K4986" i="2"/>
  <c r="L4986" i="2" s="1"/>
  <c r="K4987" i="2"/>
  <c r="L4987" i="2" s="1"/>
  <c r="K4988" i="2"/>
  <c r="L4988" i="2" s="1"/>
  <c r="K4989" i="2"/>
  <c r="L4989" i="2" s="1"/>
  <c r="K4990" i="2"/>
  <c r="L4990" i="2" s="1"/>
  <c r="K4991" i="2"/>
  <c r="L4991" i="2" s="1"/>
  <c r="K4992" i="2"/>
  <c r="L4992" i="2" s="1"/>
  <c r="K4993" i="2"/>
  <c r="L4993" i="2" s="1"/>
  <c r="K4994" i="2"/>
  <c r="L4994" i="2" s="1"/>
  <c r="K4995" i="2"/>
  <c r="L4995" i="2" s="1"/>
  <c r="K4996" i="2"/>
  <c r="L4996" i="2" s="1"/>
  <c r="K4997" i="2"/>
  <c r="L4997" i="2" s="1"/>
  <c r="K4998" i="2"/>
  <c r="L4998" i="2" s="1"/>
  <c r="K4999" i="2"/>
  <c r="L4999" i="2" s="1"/>
  <c r="K5000" i="2"/>
  <c r="L5000" i="2" s="1"/>
  <c r="K5001" i="2"/>
  <c r="L5001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457C42-2A2C-4BE1-8B46-CF4DCEE07090}" keepAlive="1" name="Consulta - datos_ventas" description="Conexión a la consulta 'datos_ventas' en el libro." type="5" refreshedVersion="8" background="1" saveData="1">
    <dbPr connection="Provider=Microsoft.Mashup.OleDb.1;Data Source=$Workbook$;Location=datos_ventas;Extended Properties=&quot;&quot;" command="SELECT * FROM [datos_ventas]"/>
  </connection>
  <connection id="2" xr16:uid="{741F5035-DC0B-41A8-8AF1-9455234A4DA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3640C00-FED3-4E78-A67B-927684CA141A}" name="WorksheetConnection_Datos_ventas.xlsx!datos_ventas" type="102" refreshedVersion="8" minRefreshableVersion="5">
    <extLst>
      <ext xmlns:x15="http://schemas.microsoft.com/office/spreadsheetml/2010/11/main" uri="{DE250136-89BD-433C-8126-D09CA5730AF9}">
        <x15:connection id="datos_ventas" autoDelete="1">
          <x15:rangePr sourceName="_xlcn.WorksheetConnection_Datos_ventas.xlsxdatos_ventas1"/>
        </x15:connection>
      </ext>
    </extLst>
  </connection>
</connections>
</file>

<file path=xl/sharedStrings.xml><?xml version="1.0" encoding="utf-8"?>
<sst xmlns="http://schemas.openxmlformats.org/spreadsheetml/2006/main" count="20095" uniqueCount="78">
  <si>
    <t>ID_Pedido</t>
  </si>
  <si>
    <t>Fecha</t>
  </si>
  <si>
    <t>Producto</t>
  </si>
  <si>
    <t>Categoria</t>
  </si>
  <si>
    <t>Cantidad</t>
  </si>
  <si>
    <t>Precio_Unitario</t>
  </si>
  <si>
    <t>Costo_Envio</t>
  </si>
  <si>
    <t>Ciudad</t>
  </si>
  <si>
    <t>Metodo_Pago</t>
  </si>
  <si>
    <t>Satisfaccion</t>
  </si>
  <si>
    <t>Teclado</t>
  </si>
  <si>
    <t>Accesorios</t>
  </si>
  <si>
    <t>Málaga</t>
  </si>
  <si>
    <t>Efectivo</t>
  </si>
  <si>
    <t>Madrid</t>
  </si>
  <si>
    <t>Transferencia</t>
  </si>
  <si>
    <t>Auriculares</t>
  </si>
  <si>
    <t>Laptop</t>
  </si>
  <si>
    <t>Electrónica</t>
  </si>
  <si>
    <t>Tarjeta Credito</t>
  </si>
  <si>
    <t>Reloj Inteligente</t>
  </si>
  <si>
    <t>Gadgets</t>
  </si>
  <si>
    <t>Valencia</t>
  </si>
  <si>
    <t>Smartphone</t>
  </si>
  <si>
    <t>Monitor</t>
  </si>
  <si>
    <t>Hardware</t>
  </si>
  <si>
    <t>Tablet</t>
  </si>
  <si>
    <t>Sevilla</t>
  </si>
  <si>
    <t>PayPal</t>
  </si>
  <si>
    <t>Cámara</t>
  </si>
  <si>
    <t>Fotografía</t>
  </si>
  <si>
    <t>Bilbao</t>
  </si>
  <si>
    <t>Barcelona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</si>
  <si>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</si>
  <si>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</si>
  <si>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</si>
  <si>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</si>
  <si>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</si>
  <si>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</si>
  <si>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</si>
  <si>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</si>
  <si>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</si>
  <si>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</si>
  <si>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</si>
  <si>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</si>
  <si>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</si>
  <si>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</si>
  <si>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Recuento de Producto</t>
  </si>
  <si>
    <t>Productos más comprados</t>
  </si>
  <si>
    <t>Mes</t>
  </si>
  <si>
    <t>Semana</t>
  </si>
  <si>
    <t>Suma de Cantidad</t>
  </si>
  <si>
    <t>Donde se gastan más los clientes</t>
  </si>
  <si>
    <t>Provincia</t>
  </si>
  <si>
    <t>Ciudades</t>
  </si>
  <si>
    <t>Provincias</t>
  </si>
  <si>
    <t>Comunidades</t>
  </si>
  <si>
    <t>Vizcaya</t>
  </si>
  <si>
    <t>Comunidad de Madrid</t>
  </si>
  <si>
    <t>Andalucía</t>
  </si>
  <si>
    <t>País Vasco</t>
  </si>
  <si>
    <t>Cataluña</t>
  </si>
  <si>
    <t>Comunidad Valenciana</t>
  </si>
  <si>
    <t>Comunidad</t>
  </si>
  <si>
    <t>¿De donde son nuestros clientes?</t>
  </si>
  <si>
    <t>Metodo de pago preferido por los clientes</t>
  </si>
  <si>
    <t>Recuento de Metodo_Pago</t>
  </si>
  <si>
    <t>Recuento de Satisfaccion</t>
  </si>
  <si>
    <t>Satisfacción del cliente</t>
  </si>
  <si>
    <t>Ventas en el año</t>
  </si>
  <si>
    <t>nº veces</t>
  </si>
  <si>
    <t>informe explicativo del análisis</t>
  </si>
  <si>
    <t>1. El mes con más producto vendido es agosto con 444</t>
  </si>
  <si>
    <t>2. El mes con menos producto vendido es febrero</t>
  </si>
  <si>
    <t>3. Los clientes donde más se gastan es la electrónica</t>
  </si>
  <si>
    <t>4. Siendo laptop el producto por excelencia</t>
  </si>
  <si>
    <t>5. Los clientes suelen hacer compras por paypal</t>
  </si>
  <si>
    <t>6. La tienda de Malaga es la que mayor productos vende con un total de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</si>
</sst>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segmentación de datos 1" pivot="0" table="0" count="5" xr9:uid="{BB84C2C9-AE66-4191-9608-1791F789B752}">
      <tableStyleElement type="wholeTable" dxfId="10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0" tint="-0.24994659260841701"/>
            </patternFill>
          </fill>
        </dxf>
        <dxf>
          <fill>
            <patternFill>
              <bgColor theme="1"/>
            </patternFill>
          </fill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microsoft.com/office/2007/relationships/slicerCache" Target="slicerCaches/slicerCache5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en</a:t>
            </a:r>
            <a:r>
              <a:rPr lang="es-ES" baseline="0"/>
              <a:t> el año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tablas_dinamicas!$A$3:$A$15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tablas_dinamicas!$B$3:$B$15</c:f>
              <c:numCache>
                <c:formatCode>General</c:formatCode>
                <c:ptCount val="12"/>
                <c:pt idx="0">
                  <c:v>174</c:v>
                </c:pt>
                <c:pt idx="1">
                  <c:v>143</c:v>
                </c:pt>
                <c:pt idx="2">
                  <c:v>150</c:v>
                </c:pt>
                <c:pt idx="3">
                  <c:v>136</c:v>
                </c:pt>
                <c:pt idx="4">
                  <c:v>185</c:v>
                </c:pt>
                <c:pt idx="5">
                  <c:v>155</c:v>
                </c:pt>
                <c:pt idx="6">
                  <c:v>169</c:v>
                </c:pt>
                <c:pt idx="7">
                  <c:v>166</c:v>
                </c:pt>
                <c:pt idx="8">
                  <c:v>130</c:v>
                </c:pt>
                <c:pt idx="9">
                  <c:v>167</c:v>
                </c:pt>
                <c:pt idx="10">
                  <c:v>150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8-46EA-BEFD-0FDA848D45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2778864"/>
        <c:axId val="372779344"/>
      </c:lineChart>
      <c:catAx>
        <c:axId val="37277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79344"/>
        <c:crosses val="autoZero"/>
        <c:auto val="1"/>
        <c:lblAlgn val="ctr"/>
        <c:lblOffset val="100"/>
        <c:noMultiLvlLbl val="0"/>
      </c:catAx>
      <c:valAx>
        <c:axId val="3727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7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</a:t>
            </a:r>
            <a:r>
              <a:rPr lang="en-US" baseline="0"/>
              <a:t> más comprados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tablas_dinamicas!$A$20:$A$24</c:f>
              <c:multiLvlStrCache>
                <c:ptCount val="3"/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Tablet</c:v>
                  </c:pt>
                </c:lvl>
                <c:lvl>
                  <c:pt idx="0">
                    <c:v>Electrónica</c:v>
                  </c:pt>
                </c:lvl>
              </c:multiLvlStrCache>
            </c:multiLvlStrRef>
          </c:cat>
          <c:val>
            <c:numRef>
              <c:f>tablas_dinamicas!$B$20:$B$24</c:f>
              <c:numCache>
                <c:formatCode>General</c:formatCode>
                <c:ptCount val="3"/>
                <c:pt idx="0">
                  <c:v>1910</c:v>
                </c:pt>
                <c:pt idx="1">
                  <c:v>1860</c:v>
                </c:pt>
                <c:pt idx="2">
                  <c:v>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5-4A3E-9F8F-62E64193E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719824"/>
        <c:axId val="372722704"/>
      </c:barChart>
      <c:catAx>
        <c:axId val="3727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22704"/>
        <c:crosses val="autoZero"/>
        <c:auto val="1"/>
        <c:lblAlgn val="ctr"/>
        <c:lblOffset val="100"/>
        <c:noMultiLvlLbl val="0"/>
      </c:catAx>
      <c:valAx>
        <c:axId val="3727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1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Donde se gastan más los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tablas_dinamicas!$B$37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94-4B27-B90F-66EEFBE914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94-4B27-B90F-66EEFBE914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94-4B27-B90F-66EEFBE914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94-4B27-B90F-66EEFBE914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594-4B27-B90F-66EEFBE91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tablas_dinamicas!$A$38:$A$39</c:f>
              <c:strCache>
                <c:ptCount val="1"/>
                <c:pt idx="0">
                  <c:v>Electrónica</c:v>
                </c:pt>
              </c:strCache>
            </c:strRef>
          </c:cat>
          <c:val>
            <c:numRef>
              <c:f>tablas_dinamicas!$B$38:$B$39</c:f>
              <c:numCache>
                <c:formatCode>General</c:formatCode>
                <c:ptCount val="1"/>
                <c:pt idx="0">
                  <c:v>5590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5-4871-B7C5-1757FC0B3D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paperSize="9" orientation="landscape" horizontalDpi="1200" verticalDpi="120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¿De</a:t>
            </a:r>
            <a:r>
              <a:rPr lang="en-US" baseline="0"/>
              <a:t> donde son nuestros clientes?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tablas_dinamicas!$A$56:$A$62</c:f>
              <c:strCache>
                <c:ptCount val="6"/>
                <c:pt idx="0">
                  <c:v>Málaga</c:v>
                </c:pt>
                <c:pt idx="1">
                  <c:v>Madrid</c:v>
                </c:pt>
                <c:pt idx="2">
                  <c:v>Sevilla</c:v>
                </c:pt>
                <c:pt idx="3">
                  <c:v>Valencia</c:v>
                </c:pt>
                <c:pt idx="4">
                  <c:v>Bilbao</c:v>
                </c:pt>
                <c:pt idx="5">
                  <c:v>Barcelona</c:v>
                </c:pt>
              </c:strCache>
            </c:strRef>
          </c:cat>
          <c:val>
            <c:numRef>
              <c:f>tablas_dinamicas!$B$56:$B$62</c:f>
              <c:numCache>
                <c:formatCode>General</c:formatCode>
                <c:ptCount val="6"/>
                <c:pt idx="0">
                  <c:v>336</c:v>
                </c:pt>
                <c:pt idx="1">
                  <c:v>310</c:v>
                </c:pt>
                <c:pt idx="2">
                  <c:v>306</c:v>
                </c:pt>
                <c:pt idx="3">
                  <c:v>304</c:v>
                </c:pt>
                <c:pt idx="4">
                  <c:v>303</c:v>
                </c:pt>
                <c:pt idx="5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C1-4421-99D8-291B7D8A2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8890560"/>
        <c:axId val="1888899200"/>
      </c:barChart>
      <c:catAx>
        <c:axId val="18888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8899200"/>
        <c:crosses val="autoZero"/>
        <c:auto val="1"/>
        <c:lblAlgn val="ctr"/>
        <c:lblOffset val="100"/>
        <c:noMultiLvlLbl val="0"/>
      </c:catAx>
      <c:valAx>
        <c:axId val="18888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88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Metodo de pago preferido por los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tablas_dinamicas!$A$73:$A$77</c:f>
              <c:strCache>
                <c:ptCount val="4"/>
                <c:pt idx="0">
                  <c:v>PayPal</c:v>
                </c:pt>
                <c:pt idx="1">
                  <c:v>Efectivo</c:v>
                </c:pt>
                <c:pt idx="2">
                  <c:v>Tarjeta Credito</c:v>
                </c:pt>
                <c:pt idx="3">
                  <c:v>Transferencia</c:v>
                </c:pt>
              </c:strCache>
            </c:strRef>
          </c:cat>
          <c:val>
            <c:numRef>
              <c:f>tablas_dinamicas!$B$73:$B$77</c:f>
              <c:numCache>
                <c:formatCode>General</c:formatCode>
                <c:ptCount val="4"/>
                <c:pt idx="0">
                  <c:v>484</c:v>
                </c:pt>
                <c:pt idx="1">
                  <c:v>467</c:v>
                </c:pt>
                <c:pt idx="2">
                  <c:v>457</c:v>
                </c:pt>
                <c:pt idx="3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CE6-AC41-DEB0AEE16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056432"/>
        <c:axId val="1981053072"/>
      </c:barChart>
      <c:catAx>
        <c:axId val="19810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1053072"/>
        <c:crosses val="autoZero"/>
        <c:auto val="1"/>
        <c:lblAlgn val="ctr"/>
        <c:lblOffset val="100"/>
        <c:noMultiLvlLbl val="0"/>
      </c:catAx>
      <c:valAx>
        <c:axId val="19810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105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Satisfacción del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tablas_dinamicas!$A$90:$A$95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</c:strCache>
            </c:strRef>
          </c:cat>
          <c:val>
            <c:numRef>
              <c:f>tablas_dinamicas!$B$90:$B$95</c:f>
              <c:numCache>
                <c:formatCode>General</c:formatCode>
                <c:ptCount val="5"/>
                <c:pt idx="0">
                  <c:v>410</c:v>
                </c:pt>
                <c:pt idx="1">
                  <c:v>390</c:v>
                </c:pt>
                <c:pt idx="2">
                  <c:v>376</c:v>
                </c:pt>
                <c:pt idx="3">
                  <c:v>340</c:v>
                </c:pt>
                <c:pt idx="4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1-4D89-B007-F26B4805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244464"/>
        <c:axId val="699246384"/>
      </c:barChart>
      <c:catAx>
        <c:axId val="69924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9246384"/>
        <c:crosses val="autoZero"/>
        <c:auto val="1"/>
        <c:lblAlgn val="ctr"/>
        <c:lblOffset val="100"/>
        <c:noMultiLvlLbl val="0"/>
      </c:catAx>
      <c:valAx>
        <c:axId val="69924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924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en el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tablas_dinamicas!$A$3:$A$15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tablas_dinamicas!$B$3:$B$15</c:f>
              <c:numCache>
                <c:formatCode>General</c:formatCode>
                <c:ptCount val="12"/>
                <c:pt idx="0">
                  <c:v>174</c:v>
                </c:pt>
                <c:pt idx="1">
                  <c:v>143</c:v>
                </c:pt>
                <c:pt idx="2">
                  <c:v>150</c:v>
                </c:pt>
                <c:pt idx="3">
                  <c:v>136</c:v>
                </c:pt>
                <c:pt idx="4">
                  <c:v>185</c:v>
                </c:pt>
                <c:pt idx="5">
                  <c:v>155</c:v>
                </c:pt>
                <c:pt idx="6">
                  <c:v>169</c:v>
                </c:pt>
                <c:pt idx="7">
                  <c:v>166</c:v>
                </c:pt>
                <c:pt idx="8">
                  <c:v>130</c:v>
                </c:pt>
                <c:pt idx="9">
                  <c:v>167</c:v>
                </c:pt>
                <c:pt idx="10">
                  <c:v>150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0-416D-B714-E44BD9F99B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2778864"/>
        <c:axId val="372779344"/>
      </c:lineChart>
      <c:catAx>
        <c:axId val="37277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79344"/>
        <c:crosses val="autoZero"/>
        <c:auto val="1"/>
        <c:lblAlgn val="ctr"/>
        <c:lblOffset val="100"/>
        <c:noMultiLvlLbl val="0"/>
      </c:catAx>
      <c:valAx>
        <c:axId val="3727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7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Productos más comprados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tablas_dinamicas!$A$20:$A$24</c:f>
              <c:multiLvlStrCache>
                <c:ptCount val="3"/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Tablet</c:v>
                  </c:pt>
                </c:lvl>
                <c:lvl>
                  <c:pt idx="0">
                    <c:v>Electrónica</c:v>
                  </c:pt>
                </c:lvl>
              </c:multiLvlStrCache>
            </c:multiLvlStrRef>
          </c:cat>
          <c:val>
            <c:numRef>
              <c:f>tablas_dinamicas!$B$20:$B$24</c:f>
              <c:numCache>
                <c:formatCode>General</c:formatCode>
                <c:ptCount val="3"/>
                <c:pt idx="0">
                  <c:v>1910</c:v>
                </c:pt>
                <c:pt idx="1">
                  <c:v>1860</c:v>
                </c:pt>
                <c:pt idx="2">
                  <c:v>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B-4677-9081-4985F656A6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719824"/>
        <c:axId val="372722704"/>
      </c:barChart>
      <c:catAx>
        <c:axId val="3727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22704"/>
        <c:crosses val="autoZero"/>
        <c:auto val="1"/>
        <c:lblAlgn val="ctr"/>
        <c:lblOffset val="100"/>
        <c:noMultiLvlLbl val="0"/>
      </c:catAx>
      <c:valAx>
        <c:axId val="3727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271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Donde se gastan más los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tablas_dinamicas!$B$37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34-4866-B7D9-F6BF6C79ED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34-4866-B7D9-F6BF6C79ED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34-4866-B7D9-F6BF6C79ED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34-4866-B7D9-F6BF6C79ED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34-4866-B7D9-F6BF6C79ED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tablas_dinamicas!$A$38:$A$39</c:f>
              <c:strCache>
                <c:ptCount val="1"/>
                <c:pt idx="0">
                  <c:v>Electrónica</c:v>
                </c:pt>
              </c:strCache>
            </c:strRef>
          </c:cat>
          <c:val>
            <c:numRef>
              <c:f>tablas_dinamicas!$B$38:$B$39</c:f>
              <c:numCache>
                <c:formatCode>General</c:formatCode>
                <c:ptCount val="1"/>
                <c:pt idx="0">
                  <c:v>5590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34-4866-B7D9-F6BF6C79ED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66644971647595"/>
          <c:y val="0.34396835812190141"/>
          <c:w val="0.19053694561574547"/>
          <c:h val="0.39062773403324585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 paperSize="9" orientation="landscape" horizontalDpi="1200" verticalDpi="120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¿De donde son nuestros clientes?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tablas_dinamicas!$A$56:$A$62</c:f>
              <c:strCache>
                <c:ptCount val="6"/>
                <c:pt idx="0">
                  <c:v>Málaga</c:v>
                </c:pt>
                <c:pt idx="1">
                  <c:v>Madrid</c:v>
                </c:pt>
                <c:pt idx="2">
                  <c:v>Sevilla</c:v>
                </c:pt>
                <c:pt idx="3">
                  <c:v>Valencia</c:v>
                </c:pt>
                <c:pt idx="4">
                  <c:v>Bilbao</c:v>
                </c:pt>
                <c:pt idx="5">
                  <c:v>Barcelona</c:v>
                </c:pt>
              </c:strCache>
            </c:strRef>
          </c:cat>
          <c:val>
            <c:numRef>
              <c:f>tablas_dinamicas!$B$56:$B$62</c:f>
              <c:numCache>
                <c:formatCode>General</c:formatCode>
                <c:ptCount val="6"/>
                <c:pt idx="0">
                  <c:v>336</c:v>
                </c:pt>
                <c:pt idx="1">
                  <c:v>310</c:v>
                </c:pt>
                <c:pt idx="2">
                  <c:v>306</c:v>
                </c:pt>
                <c:pt idx="3">
                  <c:v>304</c:v>
                </c:pt>
                <c:pt idx="4">
                  <c:v>303</c:v>
                </c:pt>
                <c:pt idx="5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1-4556-B5F9-3B031E7390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8890560"/>
        <c:axId val="1888899200"/>
      </c:barChart>
      <c:catAx>
        <c:axId val="18888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8899200"/>
        <c:crosses val="autoZero"/>
        <c:auto val="1"/>
        <c:lblAlgn val="ctr"/>
        <c:lblOffset val="100"/>
        <c:noMultiLvlLbl val="0"/>
      </c:catAx>
      <c:valAx>
        <c:axId val="18888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88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[Datos_ventas.xlsx]tablas_dinamicas!TablaDinámica5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Metodo de pago preferido por los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tablas_dinamicas!$A$73:$A$77</c:f>
              <c:strCache>
                <c:ptCount val="4"/>
                <c:pt idx="0">
                  <c:v>PayPal</c:v>
                </c:pt>
                <c:pt idx="1">
                  <c:v>Efectivo</c:v>
                </c:pt>
                <c:pt idx="2">
                  <c:v>Tarjeta Credito</c:v>
                </c:pt>
                <c:pt idx="3">
                  <c:v>Transferencia</c:v>
                </c:pt>
              </c:strCache>
            </c:strRef>
          </c:cat>
          <c:val>
            <c:numRef>
              <c:f>tablas_dinamicas!$B$73:$B$77</c:f>
              <c:numCache>
                <c:formatCode>General</c:formatCode>
                <c:ptCount val="4"/>
                <c:pt idx="0">
                  <c:v>484</c:v>
                </c:pt>
                <c:pt idx="1">
                  <c:v>467</c:v>
                </c:pt>
                <c:pt idx="2">
                  <c:v>457</c:v>
                </c:pt>
                <c:pt idx="3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5-4EDF-B683-22256ED1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056432"/>
        <c:axId val="1981053072"/>
      </c:barChart>
      <c:catAx>
        <c:axId val="19810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1053072"/>
        <c:crosses val="autoZero"/>
        <c:auto val="1"/>
        <c:lblAlgn val="ctr"/>
        <c:lblOffset val="100"/>
        <c:noMultiLvlLbl val="0"/>
      </c:catAx>
      <c:valAx>
        <c:axId val="19810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105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</xdr:row>
      <xdr:rowOff>119062</xdr:rowOff>
    </xdr:from>
    <xdr:to>
      <xdr:col>11</xdr:col>
      <xdr:colOff>295275</xdr:colOff>
      <xdr:row>12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1D6F38-BEDE-06B9-2C0D-568E2A02D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504824</xdr:colOff>
      <xdr:row>16</xdr:row>
      <xdr:rowOff>80962</xdr:rowOff>
    </xdr:from>
    <xdr:to>
      <xdr:col>13</xdr:col>
      <xdr:colOff>533400</xdr:colOff>
      <xdr:row>30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2A9EBB-8D38-7789-38AA-C65722731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523874</xdr:colOff>
      <xdr:row>32</xdr:row>
      <xdr:rowOff>128587</xdr:rowOff>
    </xdr:from>
    <xdr:to>
      <xdr:col>11</xdr:col>
      <xdr:colOff>304799</xdr:colOff>
      <xdr:row>47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0A3628-AE06-6899-C3AD-51C900CF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485775</xdr:colOff>
      <xdr:row>50</xdr:row>
      <xdr:rowOff>109537</xdr:rowOff>
    </xdr:from>
    <xdr:to>
      <xdr:col>9</xdr:col>
      <xdr:colOff>485775</xdr:colOff>
      <xdr:row>64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6D6F748-EB32-298B-322B-1748A0EF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638175</xdr:colOff>
      <xdr:row>67</xdr:row>
      <xdr:rowOff>23812</xdr:rowOff>
    </xdr:from>
    <xdr:to>
      <xdr:col>9</xdr:col>
      <xdr:colOff>638175</xdr:colOff>
      <xdr:row>81</xdr:row>
      <xdr:rowOff>100012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3D10FF-76BF-2E61-1C6A-0743964B8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600075</xdr:colOff>
      <xdr:row>82</xdr:row>
      <xdr:rowOff>176212</xdr:rowOff>
    </xdr:from>
    <xdr:to>
      <xdr:col>9</xdr:col>
      <xdr:colOff>600075</xdr:colOff>
      <xdr:row>97</xdr:row>
      <xdr:rowOff>61912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23A0811-DF8A-E591-1D20-46079F598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455570</xdr:colOff>
      <xdr:row>7</xdr:row>
      <xdr:rowOff>23431</xdr:rowOff>
    </xdr:from>
    <xdr:to>
      <xdr:col>21</xdr:col>
      <xdr:colOff>484145</xdr:colOff>
      <xdr:row>53</xdr:row>
      <xdr:rowOff>109156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B045E61-3558-47A6-9A3F-D8D9D63CBD65}"/>
            </a:ext>
          </a:extLst>
        </xdr:cNvPr>
        <xdr:cNvSpPr/>
      </xdr:nvSpPr>
      <xdr:spPr>
        <a:xfrm>
          <a:off x="3503570" y="1356931"/>
          <a:ext cx="12982575" cy="8848725"/>
        </a:xfrm>
        <a:prstGeom prst="roundRect">
          <a:avLst>
            <a:gd name="adj" fmla="val 4365"/>
          </a:avLst>
        </a:prstGeom>
        <a:solidFill>
          <a:schemeClr val="bg1"/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181534</xdr:colOff>
      <xdr:row>7</xdr:row>
      <xdr:rowOff>180975</xdr:rowOff>
    </xdr:from>
    <xdr:to>
      <xdr:col>16</xdr:col>
      <xdr:colOff>581584</xdr:colOff>
      <xdr:row>11</xdr:row>
      <xdr:rowOff>66675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06D2D7F-F3A3-0B5F-9AAF-0896510AEF18}"/>
            </a:ext>
          </a:extLst>
        </xdr:cNvPr>
        <xdr:cNvSpPr txBox="1"/>
      </xdr:nvSpPr>
      <xdr:spPr>
        <a:xfrm>
          <a:off x="7039534" y="1514475"/>
          <a:ext cx="573405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3200">
              <a:solidFill>
                <a:sysClr val="windowText" lastClr="000000"/>
              </a:solidFill>
              <a:latin typeface="Noto Sans" panose="020B0802040504020204" pitchFamily="34"/>
              <a:ea typeface="Noto Sans" panose="020B0802040504020204" pitchFamily="34"/>
              <a:cs typeface="Noto Sans" panose="020B0802040504020204" pitchFamily="34"/>
            </a:rPr>
            <a:t>DASHBOARD</a:t>
          </a:r>
        </a:p>
      </xdr:txBody>
    </xdr:sp>
    <xdr:clientData/>
  </xdr:twoCellAnchor>
  <xdr:twoCellAnchor editAs="oneCell">
    <xdr:from>
      <xdr:col>4</xdr:col>
      <xdr:colOff>632415</xdr:colOff>
      <xdr:row>2</xdr:row>
      <xdr:rowOff>75508</xdr:rowOff>
    </xdr:from>
    <xdr:to>
      <xdr:col>20</xdr:col>
      <xdr:colOff>590191</xdr:colOff>
      <xdr:row>6</xdr:row>
      <xdr:rowOff>33508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echa (mes)">
              <a:extLst>
                <a:ext uri="{FF2B5EF4-FFF2-40B4-BE49-F238E27FC236}">
                  <a16:creationId xmlns:a16="http://schemas.microsoft.com/office/drawing/2014/main" id="{316D9B68-21C2-4AAB-B0C8-764314126D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me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0415" y="456508"/>
              <a:ext cx="12149776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415419</xdr:colOff>
      <xdr:row>10</xdr:row>
      <xdr:rowOff>175610</xdr:rowOff>
    </xdr:from>
    <xdr:to>
      <xdr:col>20</xdr:col>
      <xdr:colOff>571500</xdr:colOff>
      <xdr:row>20</xdr:row>
      <xdr:rowOff>145675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E8FFD6-12B2-445C-B750-0A6FB8EAB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15768</xdr:colOff>
      <xdr:row>22</xdr:row>
      <xdr:rowOff>190178</xdr:rowOff>
    </xdr:from>
    <xdr:to>
      <xdr:col>13</xdr:col>
      <xdr:colOff>605118</xdr:colOff>
      <xdr:row>34</xdr:row>
      <xdr:rowOff>136071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C245BC1-A4FC-400F-B6B5-50B017995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655121</xdr:colOff>
      <xdr:row>2</xdr:row>
      <xdr:rowOff>185920</xdr:rowOff>
    </xdr:from>
    <xdr:to>
      <xdr:col>4</xdr:col>
      <xdr:colOff>19121</xdr:colOff>
      <xdr:row>10</xdr:row>
      <xdr:rowOff>173920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o">
              <a:extLst>
                <a:ext uri="{FF2B5EF4-FFF2-40B4-BE49-F238E27FC236}">
                  <a16:creationId xmlns:a16="http://schemas.microsoft.com/office/drawing/2014/main" id="{B00B3DA4-A4EE-4923-A808-EBCC5BBB7C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121" y="566920"/>
              <a:ext cx="2412000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650601</xdr:colOff>
      <xdr:row>28</xdr:row>
      <xdr:rowOff>182138</xdr:rowOff>
    </xdr:from>
    <xdr:to>
      <xdr:col>4</xdr:col>
      <xdr:colOff>103908</xdr:colOff>
      <xdr:row>40</xdr:row>
      <xdr:rowOff>51955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C666E0E9-05BD-487D-8219-50D6F9B9C5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601" y="5516138"/>
              <a:ext cx="2501307" cy="21558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40</xdr:row>
      <xdr:rowOff>186098</xdr:rowOff>
    </xdr:from>
    <xdr:to>
      <xdr:col>4</xdr:col>
      <xdr:colOff>34635</xdr:colOff>
      <xdr:row>44</xdr:row>
      <xdr:rowOff>121228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atisfaccion">
              <a:extLst>
                <a:ext uri="{FF2B5EF4-FFF2-40B4-BE49-F238E27FC236}">
                  <a16:creationId xmlns:a16="http://schemas.microsoft.com/office/drawing/2014/main" id="{AE9B8DD1-B234-48D3-B208-B111989A4B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tisfac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57" y="7806098"/>
              <a:ext cx="2402278" cy="697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680536</xdr:colOff>
      <xdr:row>22</xdr:row>
      <xdr:rowOff>156902</xdr:rowOff>
    </xdr:from>
    <xdr:to>
      <xdr:col>4</xdr:col>
      <xdr:colOff>155863</xdr:colOff>
      <xdr:row>28</xdr:row>
      <xdr:rowOff>74220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etodo_Pago">
              <a:extLst>
                <a:ext uri="{FF2B5EF4-FFF2-40B4-BE49-F238E27FC236}">
                  <a16:creationId xmlns:a16="http://schemas.microsoft.com/office/drawing/2014/main" id="{C60BC483-1A88-48C1-8F60-3CF3DC9BAD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_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536" y="4347902"/>
              <a:ext cx="2523327" cy="1060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714927</xdr:colOff>
      <xdr:row>11</xdr:row>
      <xdr:rowOff>157027</xdr:rowOff>
    </xdr:from>
    <xdr:to>
      <xdr:col>4</xdr:col>
      <xdr:colOff>103909</xdr:colOff>
      <xdr:row>22</xdr:row>
      <xdr:rowOff>34636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ia">
              <a:extLst>
                <a:ext uri="{FF2B5EF4-FFF2-40B4-BE49-F238E27FC236}">
                  <a16:creationId xmlns:a16="http://schemas.microsoft.com/office/drawing/2014/main" id="{75906469-BD2F-476F-9E28-9B3E9E9548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927" y="2252527"/>
              <a:ext cx="2436982" cy="19731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124997</xdr:colOff>
      <xdr:row>8</xdr:row>
      <xdr:rowOff>37039</xdr:rowOff>
    </xdr:from>
    <xdr:to>
      <xdr:col>11</xdr:col>
      <xdr:colOff>190501</xdr:colOff>
      <xdr:row>22</xdr:row>
      <xdr:rowOff>113239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2F9BC67-9AB0-4DBD-A58C-D5CF8596D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16138</xdr:colOff>
      <xdr:row>38</xdr:row>
      <xdr:rowOff>22411</xdr:rowOff>
    </xdr:from>
    <xdr:to>
      <xdr:col>15</xdr:col>
      <xdr:colOff>515471</xdr:colOff>
      <xdr:row>52</xdr:row>
      <xdr:rowOff>31594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9E4C2C6-B886-4855-8918-FA3A5ACF5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291484</xdr:colOff>
      <xdr:row>21</xdr:row>
      <xdr:rowOff>22412</xdr:rowOff>
    </xdr:from>
    <xdr:to>
      <xdr:col>20</xdr:col>
      <xdr:colOff>414618</xdr:colOff>
      <xdr:row>38</xdr:row>
      <xdr:rowOff>106834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66E5219-01C4-4C3B-9D1E-4AFEE4789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419260</xdr:colOff>
      <xdr:row>43</xdr:row>
      <xdr:rowOff>63234</xdr:rowOff>
    </xdr:from>
    <xdr:to>
      <xdr:col>20</xdr:col>
      <xdr:colOff>112060</xdr:colOff>
      <xdr:row>44</xdr:row>
      <xdr:rowOff>125506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0DE441FF-7DB9-1A62-FB82-8E94DC58447D}"/>
            </a:ext>
          </a:extLst>
        </xdr:cNvPr>
        <xdr:cNvGrpSpPr/>
      </xdr:nvGrpSpPr>
      <xdr:grpSpPr>
        <a:xfrm>
          <a:off x="14135260" y="8254734"/>
          <a:ext cx="1216800" cy="252772"/>
          <a:chOff x="11647554" y="7414293"/>
          <a:chExt cx="1216800" cy="252772"/>
        </a:xfrm>
      </xdr:grpSpPr>
      <xdr:sp macro="" textlink="">
        <xdr:nvSpPr>
          <xdr:cNvPr id="20" name="Estrella: 5 puntas 19">
            <a:extLst>
              <a:ext uri="{FF2B5EF4-FFF2-40B4-BE49-F238E27FC236}">
                <a16:creationId xmlns:a16="http://schemas.microsoft.com/office/drawing/2014/main" id="{2E932F32-E355-410C-8303-1D6618175991}"/>
              </a:ext>
            </a:extLst>
          </xdr:cNvPr>
          <xdr:cNvSpPr/>
        </xdr:nvSpPr>
        <xdr:spPr>
          <a:xfrm>
            <a:off x="11647554" y="7427739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1" name="Estrella: 5 puntas 20">
            <a:extLst>
              <a:ext uri="{FF2B5EF4-FFF2-40B4-BE49-F238E27FC236}">
                <a16:creationId xmlns:a16="http://schemas.microsoft.com/office/drawing/2014/main" id="{11E9CD8E-E128-40AC-BA29-929DE9B3F0DD}"/>
              </a:ext>
            </a:extLst>
          </xdr:cNvPr>
          <xdr:cNvSpPr/>
        </xdr:nvSpPr>
        <xdr:spPr>
          <a:xfrm>
            <a:off x="11968042" y="7423257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4" name="Estrella: 5 puntas 23">
            <a:extLst>
              <a:ext uri="{FF2B5EF4-FFF2-40B4-BE49-F238E27FC236}">
                <a16:creationId xmlns:a16="http://schemas.microsoft.com/office/drawing/2014/main" id="{2BFC2939-6B7B-481D-8549-CD7C9F6EF8B0}"/>
              </a:ext>
            </a:extLst>
          </xdr:cNvPr>
          <xdr:cNvSpPr/>
        </xdr:nvSpPr>
        <xdr:spPr>
          <a:xfrm>
            <a:off x="12254914" y="7418775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5" name="Estrella: 5 puntas 24">
            <a:extLst>
              <a:ext uri="{FF2B5EF4-FFF2-40B4-BE49-F238E27FC236}">
                <a16:creationId xmlns:a16="http://schemas.microsoft.com/office/drawing/2014/main" id="{1927874C-B83C-4640-97C1-4E22CBE47ACC}"/>
              </a:ext>
            </a:extLst>
          </xdr:cNvPr>
          <xdr:cNvSpPr/>
        </xdr:nvSpPr>
        <xdr:spPr>
          <a:xfrm>
            <a:off x="12575402" y="7414293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18</xdr:col>
      <xdr:colOff>394607</xdr:colOff>
      <xdr:row>41</xdr:row>
      <xdr:rowOff>87886</xdr:rowOff>
    </xdr:from>
    <xdr:to>
      <xdr:col>20</xdr:col>
      <xdr:colOff>401171</xdr:colOff>
      <xdr:row>42</xdr:row>
      <xdr:rowOff>145677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E851C90A-8298-AFB0-0F5B-E044F1AE9391}"/>
            </a:ext>
          </a:extLst>
        </xdr:cNvPr>
        <xdr:cNvGrpSpPr/>
      </xdr:nvGrpSpPr>
      <xdr:grpSpPr>
        <a:xfrm>
          <a:off x="14110607" y="7898386"/>
          <a:ext cx="1530564" cy="248291"/>
          <a:chOff x="11634107" y="7080357"/>
          <a:chExt cx="1530564" cy="248291"/>
        </a:xfrm>
      </xdr:grpSpPr>
      <xdr:sp macro="" textlink="">
        <xdr:nvSpPr>
          <xdr:cNvPr id="15" name="Estrella: 5 puntas 14">
            <a:extLst>
              <a:ext uri="{FF2B5EF4-FFF2-40B4-BE49-F238E27FC236}">
                <a16:creationId xmlns:a16="http://schemas.microsoft.com/office/drawing/2014/main" id="{7C6A905E-04B2-2ACE-E944-6B0DAED96570}"/>
              </a:ext>
            </a:extLst>
          </xdr:cNvPr>
          <xdr:cNvSpPr/>
        </xdr:nvSpPr>
        <xdr:spPr>
          <a:xfrm>
            <a:off x="11634107" y="7089322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17" name="Estrella: 5 puntas 16">
            <a:extLst>
              <a:ext uri="{FF2B5EF4-FFF2-40B4-BE49-F238E27FC236}">
                <a16:creationId xmlns:a16="http://schemas.microsoft.com/office/drawing/2014/main" id="{1A14F43A-78C5-4C45-9BD6-29C1E06A6A8F}"/>
              </a:ext>
            </a:extLst>
          </xdr:cNvPr>
          <xdr:cNvSpPr/>
        </xdr:nvSpPr>
        <xdr:spPr>
          <a:xfrm>
            <a:off x="11954595" y="7084840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18" name="Estrella: 5 puntas 17">
            <a:extLst>
              <a:ext uri="{FF2B5EF4-FFF2-40B4-BE49-F238E27FC236}">
                <a16:creationId xmlns:a16="http://schemas.microsoft.com/office/drawing/2014/main" id="{D4BC8EEF-4587-474D-8720-549B8F6C1767}"/>
              </a:ext>
            </a:extLst>
          </xdr:cNvPr>
          <xdr:cNvSpPr/>
        </xdr:nvSpPr>
        <xdr:spPr>
          <a:xfrm>
            <a:off x="12257154" y="7084839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19" name="Estrella: 5 puntas 18">
            <a:extLst>
              <a:ext uri="{FF2B5EF4-FFF2-40B4-BE49-F238E27FC236}">
                <a16:creationId xmlns:a16="http://schemas.microsoft.com/office/drawing/2014/main" id="{9E82FA8F-7502-47A9-AF0F-6AF8ABC4A24C}"/>
              </a:ext>
            </a:extLst>
          </xdr:cNvPr>
          <xdr:cNvSpPr/>
        </xdr:nvSpPr>
        <xdr:spPr>
          <a:xfrm>
            <a:off x="12577642" y="7080357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6" name="Estrella: 5 puntas 25">
            <a:extLst>
              <a:ext uri="{FF2B5EF4-FFF2-40B4-BE49-F238E27FC236}">
                <a16:creationId xmlns:a16="http://schemas.microsoft.com/office/drawing/2014/main" id="{DBE5AF72-2515-4F43-8D49-E3929D283FC6}"/>
              </a:ext>
            </a:extLst>
          </xdr:cNvPr>
          <xdr:cNvSpPr/>
        </xdr:nvSpPr>
        <xdr:spPr>
          <a:xfrm>
            <a:off x="12875719" y="7087081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18</xdr:col>
      <xdr:colOff>425984</xdr:colOff>
      <xdr:row>45</xdr:row>
      <xdr:rowOff>52027</xdr:rowOff>
    </xdr:from>
    <xdr:to>
      <xdr:col>19</xdr:col>
      <xdr:colOff>582707</xdr:colOff>
      <xdr:row>46</xdr:row>
      <xdr:rowOff>109817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6859E371-FCDF-14EC-7629-60A9F263F687}"/>
            </a:ext>
          </a:extLst>
        </xdr:cNvPr>
        <xdr:cNvGrpSpPr/>
      </xdr:nvGrpSpPr>
      <xdr:grpSpPr>
        <a:xfrm>
          <a:off x="14141984" y="8624527"/>
          <a:ext cx="918723" cy="248290"/>
          <a:chOff x="11665484" y="7761675"/>
          <a:chExt cx="918723" cy="248290"/>
        </a:xfrm>
      </xdr:grpSpPr>
      <xdr:sp macro="" textlink="">
        <xdr:nvSpPr>
          <xdr:cNvPr id="22" name="Estrella: 5 puntas 21">
            <a:extLst>
              <a:ext uri="{FF2B5EF4-FFF2-40B4-BE49-F238E27FC236}">
                <a16:creationId xmlns:a16="http://schemas.microsoft.com/office/drawing/2014/main" id="{1386E8C0-744D-4C77-83B1-82926C9525C1}"/>
              </a:ext>
            </a:extLst>
          </xdr:cNvPr>
          <xdr:cNvSpPr/>
        </xdr:nvSpPr>
        <xdr:spPr>
          <a:xfrm>
            <a:off x="11665484" y="7770639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3" name="Estrella: 5 puntas 22">
            <a:extLst>
              <a:ext uri="{FF2B5EF4-FFF2-40B4-BE49-F238E27FC236}">
                <a16:creationId xmlns:a16="http://schemas.microsoft.com/office/drawing/2014/main" id="{A728B1D8-3FF0-4116-9908-DE944F6D53AB}"/>
              </a:ext>
            </a:extLst>
          </xdr:cNvPr>
          <xdr:cNvSpPr/>
        </xdr:nvSpPr>
        <xdr:spPr>
          <a:xfrm>
            <a:off x="11985972" y="7766157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2" name="Estrella: 5 puntas 31">
            <a:extLst>
              <a:ext uri="{FF2B5EF4-FFF2-40B4-BE49-F238E27FC236}">
                <a16:creationId xmlns:a16="http://schemas.microsoft.com/office/drawing/2014/main" id="{EE5262EE-16BB-4346-B4AE-AE7EF4AA8562}"/>
              </a:ext>
            </a:extLst>
          </xdr:cNvPr>
          <xdr:cNvSpPr/>
        </xdr:nvSpPr>
        <xdr:spPr>
          <a:xfrm>
            <a:off x="12295255" y="7761675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18</xdr:col>
      <xdr:colOff>457361</xdr:colOff>
      <xdr:row>47</xdr:row>
      <xdr:rowOff>36339</xdr:rowOff>
    </xdr:from>
    <xdr:to>
      <xdr:col>19</xdr:col>
      <xdr:colOff>293595</xdr:colOff>
      <xdr:row>48</xdr:row>
      <xdr:rowOff>91888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B9152EC7-8FDD-1C8A-0D7D-CD365538F12A}"/>
            </a:ext>
          </a:extLst>
        </xdr:cNvPr>
        <xdr:cNvGrpSpPr/>
      </xdr:nvGrpSpPr>
      <xdr:grpSpPr>
        <a:xfrm>
          <a:off x="14173361" y="8989839"/>
          <a:ext cx="598234" cy="246049"/>
          <a:chOff x="11685655" y="8093369"/>
          <a:chExt cx="598234" cy="246049"/>
        </a:xfrm>
      </xdr:grpSpPr>
      <xdr:sp macro="" textlink="">
        <xdr:nvSpPr>
          <xdr:cNvPr id="33" name="Estrella: 5 puntas 32">
            <a:extLst>
              <a:ext uri="{FF2B5EF4-FFF2-40B4-BE49-F238E27FC236}">
                <a16:creationId xmlns:a16="http://schemas.microsoft.com/office/drawing/2014/main" id="{455BB39E-D263-46C7-B7B8-E9C87F0B1E66}"/>
              </a:ext>
            </a:extLst>
          </xdr:cNvPr>
          <xdr:cNvSpPr/>
        </xdr:nvSpPr>
        <xdr:spPr>
          <a:xfrm>
            <a:off x="11685655" y="8093369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4" name="Estrella: 5 puntas 33">
            <a:extLst>
              <a:ext uri="{FF2B5EF4-FFF2-40B4-BE49-F238E27FC236}">
                <a16:creationId xmlns:a16="http://schemas.microsoft.com/office/drawing/2014/main" id="{871FADE6-D446-48A6-B0DF-086B6FEC0829}"/>
              </a:ext>
            </a:extLst>
          </xdr:cNvPr>
          <xdr:cNvSpPr/>
        </xdr:nvSpPr>
        <xdr:spPr>
          <a:xfrm>
            <a:off x="11994937" y="8100092"/>
            <a:ext cx="288952" cy="239326"/>
          </a:xfrm>
          <a:prstGeom prst="star5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18</xdr:col>
      <xdr:colOff>470808</xdr:colOff>
      <xdr:row>49</xdr:row>
      <xdr:rowOff>60992</xdr:rowOff>
    </xdr:from>
    <xdr:to>
      <xdr:col>18</xdr:col>
      <xdr:colOff>759760</xdr:colOff>
      <xdr:row>50</xdr:row>
      <xdr:rowOff>109818</xdr:rowOff>
    </xdr:to>
    <xdr:sp macro="" textlink="">
      <xdr:nvSpPr>
        <xdr:cNvPr id="35" name="Estrella: 5 puntas 34">
          <a:extLst>
            <a:ext uri="{FF2B5EF4-FFF2-40B4-BE49-F238E27FC236}">
              <a16:creationId xmlns:a16="http://schemas.microsoft.com/office/drawing/2014/main" id="{943B2D7D-31AE-4453-840B-41BDF3702C87}"/>
            </a:ext>
          </a:extLst>
        </xdr:cNvPr>
        <xdr:cNvSpPr/>
      </xdr:nvSpPr>
      <xdr:spPr>
        <a:xfrm>
          <a:off x="14186808" y="9395492"/>
          <a:ext cx="288952" cy="239326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22411</xdr:colOff>
      <xdr:row>37</xdr:row>
      <xdr:rowOff>190499</xdr:rowOff>
    </xdr:from>
    <xdr:to>
      <xdr:col>21</xdr:col>
      <xdr:colOff>425824</xdr:colOff>
      <xdr:row>41</xdr:row>
      <xdr:rowOff>76199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8AAD1227-FB63-40BA-BDA7-7757F3C0F7B4}"/>
            </a:ext>
          </a:extLst>
        </xdr:cNvPr>
        <xdr:cNvSpPr txBox="1"/>
      </xdr:nvSpPr>
      <xdr:spPr>
        <a:xfrm>
          <a:off x="12214411" y="7238999"/>
          <a:ext cx="4213413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>
              <a:solidFill>
                <a:sysClr val="windowText" lastClr="000000"/>
              </a:solidFill>
              <a:latin typeface="Noto Sans" panose="020B0802040504020204" pitchFamily="34"/>
              <a:ea typeface="Noto Sans" panose="020B0802040504020204" pitchFamily="34"/>
              <a:cs typeface="Noto Sans" panose="020B0802040504020204" pitchFamily="34"/>
            </a:rPr>
            <a:t>Satisfacción</a:t>
          </a:r>
          <a:r>
            <a:rPr lang="es-ES" sz="1400" baseline="0">
              <a:solidFill>
                <a:sysClr val="windowText" lastClr="000000"/>
              </a:solidFill>
              <a:latin typeface="Noto Sans" panose="020B0802040504020204" pitchFamily="34"/>
              <a:ea typeface="Noto Sans" panose="020B0802040504020204" pitchFamily="34"/>
              <a:cs typeface="Noto Sans" panose="020B0802040504020204" pitchFamily="34"/>
            </a:rPr>
            <a:t> del Cliente</a:t>
          </a:r>
          <a:endParaRPr lang="es-ES" sz="1400">
            <a:solidFill>
              <a:sysClr val="windowText" lastClr="000000"/>
            </a:solidFill>
            <a:latin typeface="Noto Sans" panose="020B0802040504020204" pitchFamily="34"/>
            <a:ea typeface="Noto Sans" panose="020B0802040504020204" pitchFamily="34"/>
            <a:cs typeface="Noto Sans" panose="020B0802040504020204" pitchFamily="34"/>
          </a:endParaRPr>
        </a:p>
      </xdr:txBody>
    </xdr:sp>
    <xdr:clientData/>
  </xdr:twoCellAnchor>
  <xdr:twoCellAnchor>
    <xdr:from>
      <xdr:col>17</xdr:col>
      <xdr:colOff>470648</xdr:colOff>
      <xdr:row>41</xdr:row>
      <xdr:rowOff>11206</xdr:rowOff>
    </xdr:from>
    <xdr:to>
      <xdr:col>18</xdr:col>
      <xdr:colOff>313766</xdr:colOff>
      <xdr:row>42</xdr:row>
      <xdr:rowOff>112059</xdr:rowOff>
    </xdr:to>
    <xdr:sp macro="" textlink="tablas_dinamicas!B103">
      <xdr:nvSpPr>
        <xdr:cNvPr id="62" name="CuadroTexto 61">
          <a:extLst>
            <a:ext uri="{FF2B5EF4-FFF2-40B4-BE49-F238E27FC236}">
              <a16:creationId xmlns:a16="http://schemas.microsoft.com/office/drawing/2014/main" id="{C867D156-24EF-135C-EEBD-A7D10F7980C6}"/>
            </a:ext>
          </a:extLst>
        </xdr:cNvPr>
        <xdr:cNvSpPr txBox="1"/>
      </xdr:nvSpPr>
      <xdr:spPr>
        <a:xfrm>
          <a:off x="13424648" y="7821706"/>
          <a:ext cx="605118" cy="291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08477F2-F9B7-42C9-BF8C-71138ACF258F}" type="TxLink">
            <a:rPr lang="en-US" sz="20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t>985</a:t>
          </a:fld>
          <a:endParaRPr lang="es-ES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17</xdr:col>
      <xdr:colOff>477981</xdr:colOff>
      <xdr:row>43</xdr:row>
      <xdr:rowOff>12225</xdr:rowOff>
    </xdr:from>
    <xdr:to>
      <xdr:col>18</xdr:col>
      <xdr:colOff>321099</xdr:colOff>
      <xdr:row>44</xdr:row>
      <xdr:rowOff>113078</xdr:rowOff>
    </xdr:to>
    <xdr:sp macro="" textlink="tablas_dinamicas!B104">
      <xdr:nvSpPr>
        <xdr:cNvPr id="63" name="CuadroTexto 62">
          <a:extLst>
            <a:ext uri="{FF2B5EF4-FFF2-40B4-BE49-F238E27FC236}">
              <a16:creationId xmlns:a16="http://schemas.microsoft.com/office/drawing/2014/main" id="{6FF80809-228C-4D3F-967B-01ED63C41545}"/>
            </a:ext>
          </a:extLst>
        </xdr:cNvPr>
        <xdr:cNvSpPr txBox="1"/>
      </xdr:nvSpPr>
      <xdr:spPr>
        <a:xfrm>
          <a:off x="13431981" y="8203725"/>
          <a:ext cx="605118" cy="291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B525E1-A014-4BF1-B272-5427190161F4}" type="TxLink">
            <a:rPr lang="en-US" sz="20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t>969</a:t>
          </a:fld>
          <a:endParaRPr lang="es-ES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17</xdr:col>
      <xdr:colOff>484704</xdr:colOff>
      <xdr:row>45</xdr:row>
      <xdr:rowOff>18948</xdr:rowOff>
    </xdr:from>
    <xdr:to>
      <xdr:col>18</xdr:col>
      <xdr:colOff>327822</xdr:colOff>
      <xdr:row>46</xdr:row>
      <xdr:rowOff>119801</xdr:rowOff>
    </xdr:to>
    <xdr:sp macro="" textlink="tablas_dinamicas!B105">
      <xdr:nvSpPr>
        <xdr:cNvPr id="64" name="CuadroTexto 63">
          <a:extLst>
            <a:ext uri="{FF2B5EF4-FFF2-40B4-BE49-F238E27FC236}">
              <a16:creationId xmlns:a16="http://schemas.microsoft.com/office/drawing/2014/main" id="{6647950B-D792-4AE3-BD6C-1C33536903B1}"/>
            </a:ext>
          </a:extLst>
        </xdr:cNvPr>
        <xdr:cNvSpPr txBox="1"/>
      </xdr:nvSpPr>
      <xdr:spPr>
        <a:xfrm>
          <a:off x="13438704" y="8591448"/>
          <a:ext cx="605118" cy="291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0469C24-8F8D-4FBD-B982-2CF823D69FCF}" type="TxLink">
            <a:rPr lang="en-US" sz="20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t>1066</a:t>
          </a:fld>
          <a:endParaRPr lang="es-ES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17</xdr:col>
      <xdr:colOff>491426</xdr:colOff>
      <xdr:row>46</xdr:row>
      <xdr:rowOff>168088</xdr:rowOff>
    </xdr:from>
    <xdr:to>
      <xdr:col>18</xdr:col>
      <xdr:colOff>334544</xdr:colOff>
      <xdr:row>48</xdr:row>
      <xdr:rowOff>137731</xdr:rowOff>
    </xdr:to>
    <xdr:sp macro="" textlink="tablas_dinamicas!B106">
      <xdr:nvSpPr>
        <xdr:cNvPr id="65" name="CuadroTexto 64">
          <a:extLst>
            <a:ext uri="{FF2B5EF4-FFF2-40B4-BE49-F238E27FC236}">
              <a16:creationId xmlns:a16="http://schemas.microsoft.com/office/drawing/2014/main" id="{B11D8F01-1AF6-42EB-B55A-ED42396C4035}"/>
            </a:ext>
          </a:extLst>
        </xdr:cNvPr>
        <xdr:cNvSpPr txBox="1"/>
      </xdr:nvSpPr>
      <xdr:spPr>
        <a:xfrm>
          <a:off x="13445426" y="8931088"/>
          <a:ext cx="605118" cy="3506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3BBFF5-C6DB-4644-8769-CF92FAC9722A}" type="TxLink">
            <a:rPr lang="en-US" sz="20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t>956</a:t>
          </a:fld>
          <a:endParaRPr lang="es-ES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17</xdr:col>
      <xdr:colOff>498149</xdr:colOff>
      <xdr:row>48</xdr:row>
      <xdr:rowOff>166864</xdr:rowOff>
    </xdr:from>
    <xdr:to>
      <xdr:col>18</xdr:col>
      <xdr:colOff>341267</xdr:colOff>
      <xdr:row>50</xdr:row>
      <xdr:rowOff>77217</xdr:rowOff>
    </xdr:to>
    <xdr:sp macro="" textlink="tablas_dinamicas!B107">
      <xdr:nvSpPr>
        <xdr:cNvPr id="66" name="CuadroTexto 65">
          <a:extLst>
            <a:ext uri="{FF2B5EF4-FFF2-40B4-BE49-F238E27FC236}">
              <a16:creationId xmlns:a16="http://schemas.microsoft.com/office/drawing/2014/main" id="{32DC6E8B-B5C6-48DA-AFB8-92919C6FD4E2}"/>
            </a:ext>
          </a:extLst>
        </xdr:cNvPr>
        <xdr:cNvSpPr txBox="1"/>
      </xdr:nvSpPr>
      <xdr:spPr>
        <a:xfrm>
          <a:off x="13452149" y="9310864"/>
          <a:ext cx="605118" cy="291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44B37FC-8E2E-4C78-874B-ED12BEA33C6A}" type="TxLink">
            <a:rPr lang="en-US" sz="20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t>1024</a:t>
          </a:fld>
          <a:endParaRPr lang="es-ES" sz="20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5.976676157406" backgroundQuery="1" createdVersion="8" refreshedVersion="8" minRefreshableVersion="3" recordCount="0" supportSubquery="1" supportAdvancedDrill="1" xr:uid="{8A0E2939-00B3-460C-BA99-BA47728C806B}">
  <cacheSource type="external" connectionId="2"/>
  <cacheFields count="3">
    <cacheField name="[datos_ventas].[Ciudad].[Ciudad]" caption="Ciudad" numFmtId="0" hierarchy="9" level="1">
      <sharedItems count="6">
        <s v="Barcelona"/>
        <s v="Bilbao"/>
        <s v="Madrid"/>
        <s v="Málaga"/>
        <s v="Sevilla"/>
        <s v="Valencia"/>
      </sharedItems>
    </cacheField>
    <cacheField name="[Measures].[Recuento de Producto]" caption="Recuento de Producto" numFmtId="0" hierarchy="18" level="32767"/>
    <cacheField name="[datos_ventas].[Categoria].[Categoria]" caption="Categoria" numFmtId="0" hierarchy="5" level="1">
      <sharedItems containsSemiMixedTypes="0" containsNonDate="0" containsString="0"/>
    </cacheField>
  </cacheFields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0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0" memberValueDatatype="7" unbalanced="0"/>
    <cacheHierarchy uniqueName="[datos_ventas].[Mes]" caption="Mes" attribute="1" defaultMemberUniqueName="[datos_ventas].[Mes].[All]" allUniqueName="[datos_ventas].[Mes].[All]" dimensionUniqueName="[datos_ventas]" displayFolder="" count="0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0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/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>
      <fieldsUsage count="2">
        <fieldUsage x="-1"/>
        <fieldUsage x="2"/>
      </fieldsUsage>
    </cacheHierarchy>
    <cacheHierarchy uniqueName="[datos_ventas].[Cantidad]" caption="Cantidad" attribute="1" defaultMemberUniqueName="[datos_ventas].[Cantidad].[All]" allUniqueName="[datos_ventas].[Cantidad].[All]" dimensionUniqueName="[datos_ventas]" displayFolder="" count="0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0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0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>
      <fieldsUsage count="2">
        <fieldUsage x="-1"/>
        <fieldUsage x="0"/>
      </fieldsUsage>
    </cacheHierarchy>
    <cacheHierarchy uniqueName="[datos_ventas].[Provincia]" caption="Provincia" attribute="1" defaultMemberUniqueName="[datos_ventas].[Provincia].[All]" allUniqueName="[datos_ventas].[Provincia].[All]" dimensionUniqueName="[datos_ventas]" displayFolder="" count="0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0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/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/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/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0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atos_ventas" uniqueName="[datos_ventas]" caption="datos_ventas"/>
    <dimension measure="1" name="Measures" uniqueName="[Measures]" caption="Measures"/>
  </dimensions>
  <measureGroups count="1">
    <measureGroup name="datos_ventas" caption="datos_vent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5.976676620368" backgroundQuery="1" createdVersion="8" refreshedVersion="8" minRefreshableVersion="3" recordCount="0" supportSubquery="1" supportAdvancedDrill="1" xr:uid="{0004A927-94BD-4B66-BB4F-A2F2618CED9A}">
  <cacheSource type="external" connectionId="2"/>
  <cacheFields count="4">
    <cacheField name="[datos_ventas].[Fecha].[Fecha]" caption="Fecha" numFmtId="0" hierarchy="1" level="1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datos_ventas].[Fecha (mes)].[Fecha (mes)]" caption="Fecha (mes)" numFmtId="0" hierarchy="14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Recuento de Producto]" caption="Recuento de Producto" numFmtId="0" hierarchy="18" level="32767"/>
    <cacheField name="[datos_ventas].[Categoria].[Categoria]" caption="Categoria" numFmtId="0" hierarchy="5" level="1">
      <sharedItems containsSemiMixedTypes="0" containsNonDate="0" containsString="0"/>
    </cacheField>
  </cacheFields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2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2" memberValueDatatype="7" unbalanced="0">
      <fieldsUsage count="2">
        <fieldUsage x="-1"/>
        <fieldUsage x="0"/>
      </fieldsUsage>
    </cacheHierarchy>
    <cacheHierarchy uniqueName="[datos_ventas].[Mes]" caption="Mes" attribute="1" defaultMemberUniqueName="[datos_ventas].[Mes].[All]" allUniqueName="[datos_ventas].[Mes].[All]" dimensionUniqueName="[datos_ventas]" displayFolder="" count="2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2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/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>
      <fieldsUsage count="2">
        <fieldUsage x="-1"/>
        <fieldUsage x="3"/>
      </fieldsUsage>
    </cacheHierarchy>
    <cacheHierarchy uniqueName="[datos_ventas].[Cantidad]" caption="Cantidad" attribute="1" defaultMemberUniqueName="[datos_ventas].[Cantidad].[All]" allUniqueName="[datos_ventas].[Cantidad].[All]" dimensionUniqueName="[datos_ventas]" displayFolder="" count="2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2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2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/>
    <cacheHierarchy uniqueName="[datos_ventas].[Provincia]" caption="Provincia" attribute="1" defaultMemberUniqueName="[datos_ventas].[Provincia].[All]" allUniqueName="[datos_ventas].[Provincia].[All]" dimensionUniqueName="[datos_ventas]" displayFolder="" count="2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2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/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/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>
      <fieldsUsage count="2">
        <fieldUsage x="-1"/>
        <fieldUsage x="1"/>
      </fieldsUsage>
    </cacheHierarchy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2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atos_ventas" uniqueName="[datos_ventas]" caption="datos_ventas"/>
    <dimension measure="1" name="Measures" uniqueName="[Measures]" caption="Measures"/>
  </dimensions>
  <measureGroups count="1">
    <measureGroup name="datos_ventas" caption="datos_vent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5.976677430554" backgroundQuery="1" createdVersion="8" refreshedVersion="8" minRefreshableVersion="3" recordCount="0" supportSubquery="1" supportAdvancedDrill="1" xr:uid="{2841A761-59B6-4350-9B39-D0BA6194F412}">
  <cacheSource type="external" connectionId="2"/>
  <cacheFields count="3">
    <cacheField name="[datos_ventas].[Metodo_Pago].[Metodo_Pago]" caption="Metodo_Pago" numFmtId="0" hierarchy="12" level="1">
      <sharedItems count="4">
        <s v="Efectivo"/>
        <s v="PayPal"/>
        <s v="Tarjeta Credito"/>
        <s v="Transferencia"/>
      </sharedItems>
    </cacheField>
    <cacheField name="[Measures].[Recuento de Metodo_Pago]" caption="Recuento de Metodo_Pago" numFmtId="0" hierarchy="22" level="32767"/>
    <cacheField name="[datos_ventas].[Categoria].[Categoria]" caption="Categoria" numFmtId="0" hierarchy="5" level="1">
      <sharedItems containsSemiMixedTypes="0" containsNonDate="0" containsString="0"/>
    </cacheField>
  </cacheFields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0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0" memberValueDatatype="7" unbalanced="0"/>
    <cacheHierarchy uniqueName="[datos_ventas].[Mes]" caption="Mes" attribute="1" defaultMemberUniqueName="[datos_ventas].[Mes].[All]" allUniqueName="[datos_ventas].[Mes].[All]" dimensionUniqueName="[datos_ventas]" displayFolder="" count="0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0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/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>
      <fieldsUsage count="2">
        <fieldUsage x="-1"/>
        <fieldUsage x="2"/>
      </fieldsUsage>
    </cacheHierarchy>
    <cacheHierarchy uniqueName="[datos_ventas].[Cantidad]" caption="Cantidad" attribute="1" defaultMemberUniqueName="[datos_ventas].[Cantidad].[All]" allUniqueName="[datos_ventas].[Cantidad].[All]" dimensionUniqueName="[datos_ventas]" displayFolder="" count="0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0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0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/>
    <cacheHierarchy uniqueName="[datos_ventas].[Provincia]" caption="Provincia" attribute="1" defaultMemberUniqueName="[datos_ventas].[Provincia].[All]" allUniqueName="[datos_ventas].[Provincia].[All]" dimensionUniqueName="[datos_ventas]" displayFolder="" count="0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0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>
      <fieldsUsage count="2">
        <fieldUsage x="-1"/>
        <fieldUsage x="0"/>
      </fieldsUsage>
    </cacheHierarchy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/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/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0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atos_ventas" uniqueName="[datos_ventas]" caption="datos_ventas"/>
    <dimension measure="1" name="Measures" uniqueName="[Measures]" caption="Measures"/>
  </dimensions>
  <measureGroups count="1">
    <measureGroup name="datos_ventas" caption="datos_vent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5.976677777777" backgroundQuery="1" createdVersion="8" refreshedVersion="8" minRefreshableVersion="3" recordCount="0" supportSubquery="1" supportAdvancedDrill="1" xr:uid="{3FB4358B-F238-450E-81A4-00879C37E441}">
  <cacheSource type="external" connectionId="2"/>
  <cacheFields count="3">
    <cacheField name="[datos_ventas].[Satisfaccion].[Satisfaccion]" caption="Satisfaccion" numFmtId="0" hierarchy="13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datos_ventas].[Satisfaccion].&amp;[1]"/>
            <x15:cachedUniqueName index="1" name="[datos_ventas].[Satisfaccion].&amp;[2]"/>
            <x15:cachedUniqueName index="2" name="[datos_ventas].[Satisfaccion].&amp;[3]"/>
            <x15:cachedUniqueName index="3" name="[datos_ventas].[Satisfaccion].&amp;[4]"/>
            <x15:cachedUniqueName index="4" name="[datos_ventas].[Satisfaccion].&amp;[5]"/>
          </x15:cachedUniqueNames>
        </ext>
      </extLst>
    </cacheField>
    <cacheField name="[Measures].[Recuento de Satisfaccion]" caption="Recuento de Satisfaccion" numFmtId="0" hierarchy="24" level="32767"/>
    <cacheField name="[datos_ventas].[Categoria].[Categoria]" caption="Categoria" numFmtId="0" hierarchy="5" level="1">
      <sharedItems containsSemiMixedTypes="0" containsNonDate="0" containsString="0"/>
    </cacheField>
  </cacheFields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0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0" memberValueDatatype="7" unbalanced="0"/>
    <cacheHierarchy uniqueName="[datos_ventas].[Mes]" caption="Mes" attribute="1" defaultMemberUniqueName="[datos_ventas].[Mes].[All]" allUniqueName="[datos_ventas].[Mes].[All]" dimensionUniqueName="[datos_ventas]" displayFolder="" count="0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0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/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>
      <fieldsUsage count="2">
        <fieldUsage x="-1"/>
        <fieldUsage x="2"/>
      </fieldsUsage>
    </cacheHierarchy>
    <cacheHierarchy uniqueName="[datos_ventas].[Cantidad]" caption="Cantidad" attribute="1" defaultMemberUniqueName="[datos_ventas].[Cantidad].[All]" allUniqueName="[datos_ventas].[Cantidad].[All]" dimensionUniqueName="[datos_ventas]" displayFolder="" count="0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0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0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/>
    <cacheHierarchy uniqueName="[datos_ventas].[Provincia]" caption="Provincia" attribute="1" defaultMemberUniqueName="[datos_ventas].[Provincia].[All]" allUniqueName="[datos_ventas].[Provincia].[All]" dimensionUniqueName="[datos_ventas]" displayFolder="" count="0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0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/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>
      <fieldsUsage count="2">
        <fieldUsage x="-1"/>
        <fieldUsage x="0"/>
      </fieldsUsage>
    </cacheHierarchy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/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0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atos_ventas" uniqueName="[datos_ventas]" caption="datos_ventas"/>
    <dimension measure="1" name="Measures" uniqueName="[Measures]" caption="Measures"/>
  </dimensions>
  <measureGroups count="1">
    <measureGroup name="datos_ventas" caption="datos_vent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5.976675925929" backgroundQuery="1" createdVersion="8" refreshedVersion="8" minRefreshableVersion="3" recordCount="0" supportSubquery="1" supportAdvancedDrill="1" xr:uid="{3F0C5F53-6891-4019-B5A4-044591F67B6F}">
  <cacheSource type="external" connectionId="2"/>
  <cacheFields count="3">
    <cacheField name="[datos_ventas].[Producto].[Producto]" caption="Producto" numFmtId="0" hierarchy="4" level="1">
      <sharedItems count="3">
        <s v="Laptop"/>
        <s v="Smartphone"/>
        <s v="Tablet"/>
      </sharedItems>
    </cacheField>
    <cacheField name="[datos_ventas].[Categoria].[Categoria]" caption="Categoria" numFmtId="0" hierarchy="5" level="1">
      <sharedItems count="1">
        <s v="Electrónica"/>
      </sharedItems>
    </cacheField>
    <cacheField name="[Measures].[Suma de Cantidad]" caption="Suma de Cantidad" numFmtId="0" hierarchy="20" level="32767"/>
  </cacheFields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2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2" memberValueDatatype="7" unbalanced="0"/>
    <cacheHierarchy uniqueName="[datos_ventas].[Mes]" caption="Mes" attribute="1" defaultMemberUniqueName="[datos_ventas].[Mes].[All]" allUniqueName="[datos_ventas].[Mes].[All]" dimensionUniqueName="[datos_ventas]" displayFolder="" count="2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2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>
      <fieldsUsage count="2">
        <fieldUsage x="-1"/>
        <fieldUsage x="0"/>
      </fieldsUsage>
    </cacheHierarchy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>
      <fieldsUsage count="2">
        <fieldUsage x="-1"/>
        <fieldUsage x="1"/>
      </fieldsUsage>
    </cacheHierarchy>
    <cacheHierarchy uniqueName="[datos_ventas].[Cantidad]" caption="Cantidad" attribute="1" defaultMemberUniqueName="[datos_ventas].[Cantidad].[All]" allUniqueName="[datos_ventas].[Cantidad].[All]" dimensionUniqueName="[datos_ventas]" displayFolder="" count="2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2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2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/>
    <cacheHierarchy uniqueName="[datos_ventas].[Provincia]" caption="Provincia" attribute="1" defaultMemberUniqueName="[datos_ventas].[Provincia].[All]" allUniqueName="[datos_ventas].[Provincia].[All]" dimensionUniqueName="[datos_ventas]" displayFolder="" count="2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2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/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/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/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2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atos_ventas" uniqueName="[datos_ventas]" caption="datos_ventas"/>
    <dimension measure="1" name="Measures" uniqueName="[Measures]" caption="Measures"/>
  </dimensions>
  <measureGroups count="1">
    <measureGroup name="datos_ventas" caption="datos_vent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5.97667708333" backgroundQuery="1" createdVersion="8" refreshedVersion="8" minRefreshableVersion="3" recordCount="0" supportSubquery="1" supportAdvancedDrill="1" xr:uid="{794A8888-3DD7-4A5F-ABD7-F330AE390913}">
  <cacheSource type="external" connectionId="2"/>
  <cacheFields count="2">
    <cacheField name="[datos_ventas].[Categoria].[Categoria]" caption="Categoria" numFmtId="0" hierarchy="5" level="1">
      <sharedItems count="5">
        <s v="Electrónica"/>
        <s v="Accesorios" u="1"/>
        <s v="Fotografía" u="1"/>
        <s v="Gadgets" u="1"/>
        <s v="Hardware" u="1"/>
      </sharedItems>
    </cacheField>
    <cacheField name="[Measures].[Suma de Cantidad]" caption="Suma de Cantidad" numFmtId="0" hierarchy="20" level="32767"/>
  </cacheFields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0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0" memberValueDatatype="7" unbalanced="0"/>
    <cacheHierarchy uniqueName="[datos_ventas].[Mes]" caption="Mes" attribute="1" defaultMemberUniqueName="[datos_ventas].[Mes].[All]" allUniqueName="[datos_ventas].[Mes].[All]" dimensionUniqueName="[datos_ventas]" displayFolder="" count="0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0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/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>
      <fieldsUsage count="2">
        <fieldUsage x="-1"/>
        <fieldUsage x="0"/>
      </fieldsUsage>
    </cacheHierarchy>
    <cacheHierarchy uniqueName="[datos_ventas].[Cantidad]" caption="Cantidad" attribute="1" defaultMemberUniqueName="[datos_ventas].[Cantidad].[All]" allUniqueName="[datos_ventas].[Cantidad].[All]" dimensionUniqueName="[datos_ventas]" displayFolder="" count="0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0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0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/>
    <cacheHierarchy uniqueName="[datos_ventas].[Provincia]" caption="Provincia" attribute="1" defaultMemberUniqueName="[datos_ventas].[Provincia].[All]" allUniqueName="[datos_ventas].[Provincia].[All]" dimensionUniqueName="[datos_ventas]" displayFolder="" count="0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0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/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/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/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0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datos_ventas" uniqueName="[datos_ventas]" caption="datos_ventas"/>
    <dimension measure="1" name="Measures" uniqueName="[Measures]" caption="Measures"/>
  </dimensions>
  <measureGroups count="1">
    <measureGroup name="datos_ventas" caption="datos_vent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ul salva" refreshedDate="46064.980018634262" backgroundQuery="1" createdVersion="3" refreshedVersion="8" minRefreshableVersion="3" recordCount="0" supportSubquery="1" supportAdvancedDrill="1" xr:uid="{76A21FE4-DA8A-4BB7-B41A-1A26150861D1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5">
    <cacheHierarchy uniqueName="[datos_ventas].[ID_Pedido]" caption="ID_Pedido" attribute="1" defaultMemberUniqueName="[datos_ventas].[ID_Pedido].[All]" allUniqueName="[datos_ventas].[ID_Pedido].[All]" dimensionUniqueName="[datos_ventas]" displayFolder="" count="0" memberValueDatatype="20" unbalanced="0"/>
    <cacheHierarchy uniqueName="[datos_ventas].[Fecha]" caption="Fecha" attribute="1" time="1" defaultMemberUniqueName="[datos_ventas].[Fecha].[All]" allUniqueName="[datos_ventas].[Fecha].[All]" dimensionUniqueName="[datos_ventas]" displayFolder="" count="0" memberValueDatatype="7" unbalanced="0"/>
    <cacheHierarchy uniqueName="[datos_ventas].[Mes]" caption="Mes" attribute="1" defaultMemberUniqueName="[datos_ventas].[Mes].[All]" allUniqueName="[datos_ventas].[Mes].[All]" dimensionUniqueName="[datos_ventas]" displayFolder="" count="0" memberValueDatatype="20" unbalanced="0"/>
    <cacheHierarchy uniqueName="[datos_ventas].[Semana]" caption="Semana" attribute="1" defaultMemberUniqueName="[datos_ventas].[Semana].[All]" allUniqueName="[datos_ventas].[Semana].[All]" dimensionUniqueName="[datos_ventas]" displayFolder="" count="0" memberValueDatatype="20" unbalanced="0"/>
    <cacheHierarchy uniqueName="[datos_ventas].[Producto]" caption="Producto" attribute="1" defaultMemberUniqueName="[datos_ventas].[Producto].[All]" allUniqueName="[datos_ventas].[Producto].[All]" dimensionUniqueName="[datos_ventas]" displayFolder="" count="2" memberValueDatatype="130" unbalanced="0"/>
    <cacheHierarchy uniqueName="[datos_ventas].[Categoria]" caption="Categoria" attribute="1" defaultMemberUniqueName="[datos_ventas].[Categoria].[All]" allUniqueName="[datos_ventas].[Categoria].[All]" dimensionUniqueName="[datos_ventas]" displayFolder="" count="2" memberValueDatatype="130" unbalanced="0"/>
    <cacheHierarchy uniqueName="[datos_ventas].[Cantidad]" caption="Cantidad" attribute="1" defaultMemberUniqueName="[datos_ventas].[Cantidad].[All]" allUniqueName="[datos_ventas].[Cantidad].[All]" dimensionUniqueName="[datos_ventas]" displayFolder="" count="0" memberValueDatatype="20" unbalanced="0"/>
    <cacheHierarchy uniqueName="[datos_ventas].[Precio_Unitario]" caption="Precio_Unitario" attribute="1" defaultMemberUniqueName="[datos_ventas].[Precio_Unitario].[All]" allUniqueName="[datos_ventas].[Precio_Unitario].[All]" dimensionUniqueName="[datos_ventas]" displayFolder="" count="0" memberValueDatatype="20" unbalanced="0"/>
    <cacheHierarchy uniqueName="[datos_ventas].[Costo_Envio]" caption="Costo_Envio" attribute="1" defaultMemberUniqueName="[datos_ventas].[Costo_Envio].[All]" allUniqueName="[datos_ventas].[Costo_Envio].[All]" dimensionUniqueName="[datos_ventas]" displayFolder="" count="0" memberValueDatatype="20" unbalanced="0"/>
    <cacheHierarchy uniqueName="[datos_ventas].[Ciudad]" caption="Ciudad" attribute="1" defaultMemberUniqueName="[datos_ventas].[Ciudad].[All]" allUniqueName="[datos_ventas].[Ciudad].[All]" dimensionUniqueName="[datos_ventas]" displayFolder="" count="2" memberValueDatatype="130" unbalanced="0"/>
    <cacheHierarchy uniqueName="[datos_ventas].[Provincia]" caption="Provincia" attribute="1" defaultMemberUniqueName="[datos_ventas].[Provincia].[All]" allUniqueName="[datos_ventas].[Provincia].[All]" dimensionUniqueName="[datos_ventas]" displayFolder="" count="0" memberValueDatatype="130" unbalanced="0"/>
    <cacheHierarchy uniqueName="[datos_ventas].[Comunidad]" caption="Comunidad" attribute="1" defaultMemberUniqueName="[datos_ventas].[Comunidad].[All]" allUniqueName="[datos_ventas].[Comunidad].[All]" dimensionUniqueName="[datos_ventas]" displayFolder="" count="0" memberValueDatatype="130" unbalanced="0"/>
    <cacheHierarchy uniqueName="[datos_ventas].[Metodo_Pago]" caption="Metodo_Pago" attribute="1" defaultMemberUniqueName="[datos_ventas].[Metodo_Pago].[All]" allUniqueName="[datos_ventas].[Metodo_Pago].[All]" dimensionUniqueName="[datos_ventas]" displayFolder="" count="2" memberValueDatatype="130" unbalanced="0"/>
    <cacheHierarchy uniqueName="[datos_ventas].[Satisfaccion]" caption="Satisfaccion" attribute="1" defaultMemberUniqueName="[datos_ventas].[Satisfaccion].[All]" allUniqueName="[datos_ventas].[Satisfaccion].[All]" dimensionUniqueName="[datos_ventas]" displayFolder="" count="2" memberValueDatatype="20" unbalanced="0"/>
    <cacheHierarchy uniqueName="[datos_ventas].[Fecha (mes)]" caption="Fecha (mes)" attribute="1" defaultMemberUniqueName="[datos_ventas].[Fecha (mes)].[All]" allUniqueName="[datos_ventas].[Fecha (mes)].[All]" dimensionUniqueName="[datos_ventas]" displayFolder="" count="2" memberValueDatatype="130" unbalanced="0"/>
    <cacheHierarchy uniqueName="[datos_ventas].[Fecha (índice de meses)]" caption="Fecha (índice de meses)" attribute="1" defaultMemberUniqueName="[datos_ventas].[Fecha (índice de meses)].[All]" allUniqueName="[datos_ventas].[Fecha (índice de meses)].[All]" dimensionUniqueName="[datos_ventas]" displayFolder="" count="0" memberValueDatatype="20" unbalanced="0" hidden="1"/>
    <cacheHierarchy uniqueName="[Measures].[__XL_Count datos_ventas]" caption="__XL_Count datos_ventas" measure="1" displayFolder="" measureGroup="datos_ventas" count="0" hidden="1"/>
    <cacheHierarchy uniqueName="[Measures].[__No measures defined]" caption="__No measures defined" measure="1" displayFolder="" count="0" hidden="1"/>
    <cacheHierarchy uniqueName="[Measures].[Recuento de Producto]" caption="Recuento de Producto" measure="1" displayFolder="" measureGroup="datos_venta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Categoria]" caption="Recuento de Categoria" measure="1" displayFolder="" measureGroup="datos_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venta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ID_Pedido]" caption="Suma de ID_Pedido" measure="1" displayFolder="" measureGroup="datos_venta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etodo_Pago]" caption="Recuento de Metodo_Pago" measure="1" displayFolder="" measureGroup="datos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Satisfaccion]" caption="Suma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Satisfaccion]" caption="Recuento de Satisfaccion" measure="1" displayFolder="" measureGroup="datos_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5047631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0368B-6025-4EC3-889F-0CCD76BC0786}" name="TablaDinámica1" cacheId="10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A55:B62" firstHeaderRow="1" firstDataRow="1" firstDataCol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 v="3"/>
    </i>
    <i>
      <x v="2"/>
    </i>
    <i>
      <x v="4"/>
    </i>
    <i>
      <x v="5"/>
    </i>
    <i>
      <x v="1"/>
    </i>
    <i>
      <x/>
    </i>
    <i t="grand">
      <x/>
    </i>
  </rowItems>
  <colItems count="1">
    <i/>
  </colItems>
  <dataFields count="1">
    <dataField name="Recuento de Producto" fld="1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datos_ventas].[Categoria].&amp;[Electrónica]"/>
      </members>
    </pivotHierarchy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_ventas.xlsx!datos_ventas">
        <x15:activeTabTopLevelEntity name="[datos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ABA57-2065-41AD-88B5-E0AB248BE844}" name="TablaDinámica4" cacheId="11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A37:B39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a de Cantidad" fld="1" baseField="0" baseItem="0"/>
  </dataFields>
  <chartFormats count="1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_ventas.xlsx!datos_ventas">
        <x15:activeTabTopLevelEntity name="[datos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B78F2-E9DF-4A89-A5FF-8AD75C64325F}" name="TablaDinámica3" cacheId="10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A19:B24" firstHeaderRow="1" firstDataRow="1" firstDataCol="1"/>
  <pivotFields count="3">
    <pivotField axis="axisRow" allDrilled="1" subtotalTop="0" showAll="0" defaultSubtotal="0" defaultAttributeDrillState="1">
      <items count="3">
        <item x="0"/>
        <item x="1"/>
        <item x="2"/>
      </items>
    </pivotField>
    <pivotField axis="axisRow" allDrilled="1" subtotalTop="0" showAll="0" defaultSubtotal="0" defaultAttributeDrillState="1">
      <items count="1">
        <item s="1" x="0"/>
      </items>
    </pivotField>
    <pivotField dataField="1" subtotalTop="0" showAll="0" defaultSubtotal="0"/>
  </pivotFields>
  <rowFields count="2">
    <field x="1"/>
    <field x="0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Suma de Cantidad" fld="2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_ventas.xlsx!datos_ventas">
        <x15:activeTabTopLevelEntity name="[datos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60922-C2C4-4947-B60B-CF84227FD4F7}" name="TablaDinámica2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2:B15" firstHeaderRow="1" firstDataRow="1" firstDataCol="1"/>
  <pivotFields count="4"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cuento de Producto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datos_ventas].[Categoria].&amp;[Electrónica]"/>
      </members>
    </pivotHierarchy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_ventas.xlsx!datos_ventas">
        <x15:activeTabTopLevelEntity name="[datos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F3C33-B46A-461F-9E97-3132FC513DB7}" name="TablaDinámica6" cacheId="11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A89:B95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Recuento de Satisfaccion" fld="1" subtotal="count" baseField="0" baseItem="4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datos_ventas].[Categoria].&amp;[Electrónica]"/>
      </members>
    </pivotHierarchy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Satisfaccion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_ventas.xlsx!datos_ventas">
        <x15:activeTabTopLevelEntity name="[datos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428D-6BAB-4931-9818-279D72F5C88C}" name="TablaDinámica5" cacheId="11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72:B77" firstHeaderRow="1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Recuento de Metodo_Pago" fld="1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datos_ventas].[Categoria].&amp;[Electrónica]"/>
      </members>
    </pivotHierarchy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_ventas.xlsx!datos_ventas">
        <x15:activeTabTopLevelEntity name="[datos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F78C1C-A53F-4602-9EFC-2275F5289ACB}" autoFormatId="16" applyNumberFormats="0" applyBorderFormats="0" applyFontFormats="0" applyPatternFormats="0" applyAlignmentFormats="0" applyWidthHeightFormats="0">
  <queryTableRefresh nextId="15">
    <queryTableFields count="14">
      <queryTableField id="1" name="ID_Pedido" tableColumnId="1"/>
      <queryTableField id="2" name="Fecha" tableColumnId="2"/>
      <queryTableField id="11" dataBound="0" tableColumnId="11"/>
      <queryTableField id="12" dataBound="0" tableColumnId="12"/>
      <queryTableField id="3" name="Producto" tableColumnId="3"/>
      <queryTableField id="4" name="Categoria" tableColumnId="4"/>
      <queryTableField id="5" name="Cantidad" tableColumnId="5"/>
      <queryTableField id="6" name="Precio_Unitario" tableColumnId="6"/>
      <queryTableField id="7" name="Costo_Envio" tableColumnId="7"/>
      <queryTableField id="8" name="Ciudad" tableColumnId="8"/>
      <queryTableField id="13" dataBound="0" tableColumnId="13"/>
      <queryTableField id="14" dataBound="0" tableColumnId="14"/>
      <queryTableField id="9" name="Metodo_Pago" tableColumnId="9"/>
      <queryTableField id="10" name="Satisfaccion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mes" xr10:uid="{F92E76D2-84BC-4FD8-A81D-25A794092D9B}" sourceName="[datos_ventas].[Fecha (mes)]">
  <pivotTables>
    <pivotTable tabId="1" name="TablaDinámica2"/>
    <pivotTable tabId="1" name="TablaDinámica1"/>
    <pivotTable tabId="1" name="TablaDinámica3"/>
    <pivotTable tabId="1" name="TablaDinámica4"/>
    <pivotTable tabId="1" name="TablaDinámica5"/>
    <pivotTable tabId="1" name="TablaDinámica6"/>
  </pivotTables>
  <data>
    <olap pivotCacheId="550476317">
      <levels count="2">
        <level uniqueName="[datos_ventas].[Fecha (mes)].[(All)]" sourceCaption="(All)" count="0"/>
        <level uniqueName="[datos_ventas].[Fecha (mes)].[Fecha (mes)]" sourceCaption="Fecha (mes)" count="12">
          <ranges>
            <range startItem="0">
              <i n="[datos_ventas].[Fecha (mes)].&amp;[ene]" c="ene"/>
              <i n="[datos_ventas].[Fecha (mes)].&amp;[feb]" c="feb"/>
              <i n="[datos_ventas].[Fecha (mes)].&amp;[mar]" c="mar"/>
              <i n="[datos_ventas].[Fecha (mes)].&amp;[abr]" c="abr"/>
              <i n="[datos_ventas].[Fecha (mes)].&amp;[may]" c="may"/>
              <i n="[datos_ventas].[Fecha (mes)].&amp;[jun]" c="jun"/>
              <i n="[datos_ventas].[Fecha (mes)].&amp;[jul]" c="jul"/>
              <i n="[datos_ventas].[Fecha (mes)].&amp;[ago]" c="ago"/>
              <i n="[datos_ventas].[Fecha (mes)].&amp;[sep]" c="sep"/>
              <i n="[datos_ventas].[Fecha (mes)].&amp;[oct]" c="oct"/>
              <i n="[datos_ventas].[Fecha (mes)].&amp;[nov]" c="nov"/>
              <i n="[datos_ventas].[Fecha (mes)].&amp;[dic]" c="dic"/>
            </range>
          </ranges>
        </level>
      </levels>
      <selections count="1">
        <selection n="[datos_ventas].[Fecha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66551960-FF20-429E-9EB5-2A1BF7A55927}" sourceName="[datos_ventas].[Producto]">
  <pivotTables>
    <pivotTable tabId="1" name="TablaDinámica3"/>
    <pivotTable tabId="1" name="TablaDinámica1"/>
    <pivotTable tabId="1" name="TablaDinámica2"/>
    <pivotTable tabId="1" name="TablaDinámica4"/>
    <pivotTable tabId="1" name="TablaDinámica5"/>
    <pivotTable tabId="1" name="TablaDinámica6"/>
  </pivotTables>
  <data>
    <olap pivotCacheId="550476317">
      <levels count="2">
        <level uniqueName="[datos_ventas].[Producto].[(All)]" sourceCaption="(All)" count="0"/>
        <level uniqueName="[datos_ventas].[Producto].[Producto]" sourceCaption="Producto" count="8">
          <ranges>
            <range startItem="0">
              <i n="[datos_ventas].[Producto].&amp;[Laptop]" c="Laptop"/>
              <i n="[datos_ventas].[Producto].&amp;[Smartphone]" c="Smartphone"/>
              <i n="[datos_ventas].[Producto].&amp;[Tablet]" c="Tablet"/>
              <i n="[datos_ventas].[Producto].&amp;[Auriculares]" c="Auriculares" nd="1"/>
              <i n="[datos_ventas].[Producto].&amp;[Cámara]" c="Cámara" nd="1"/>
              <i n="[datos_ventas].[Producto].&amp;[Monitor]" c="Monitor" nd="1"/>
              <i n="[datos_ventas].[Producto].&amp;[Reloj Inteligente]" c="Reloj Inteligente" nd="1"/>
              <i n="[datos_ventas].[Producto].&amp;[Teclado]" c="Teclado" nd="1"/>
            </range>
          </ranges>
        </level>
      </levels>
      <selections count="1">
        <selection n="[datos_ventas].[Produc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DF515516-E12B-4451-93CD-73C944ED76CF}" sourceName="[datos_ventas].[Ciudad]">
  <pivotTables>
    <pivotTable tabId="1" name="TablaDinámica3"/>
    <pivotTable tabId="1" name="TablaDinámica1"/>
    <pivotTable tabId="1" name="TablaDinámica2"/>
    <pivotTable tabId="1" name="TablaDinámica4"/>
    <pivotTable tabId="1" name="TablaDinámica5"/>
    <pivotTable tabId="1" name="TablaDinámica6"/>
  </pivotTables>
  <data>
    <olap pivotCacheId="550476317">
      <levels count="2">
        <level uniqueName="[datos_ventas].[Ciudad].[(All)]" sourceCaption="(All)" count="0"/>
        <level uniqueName="[datos_ventas].[Ciudad].[Ciudad]" sourceCaption="Ciudad" count="6">
          <ranges>
            <range startItem="0">
              <i n="[datos_ventas].[Ciudad].&amp;[Barcelona]" c="Barcelona"/>
              <i n="[datos_ventas].[Ciudad].&amp;[Bilbao]" c="Bilbao"/>
              <i n="[datos_ventas].[Ciudad].&amp;[Madrid]" c="Madrid"/>
              <i n="[datos_ventas].[Ciudad].&amp;[Málaga]" c="Málaga"/>
              <i n="[datos_ventas].[Ciudad].&amp;[Sevilla]" c="Sevilla"/>
              <i n="[datos_ventas].[Ciudad].&amp;[Valencia]" c="Valencia"/>
            </range>
          </ranges>
        </level>
      </levels>
      <selections count="1">
        <selection n="[datos_ventas].[Ciudad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tisfaccion" xr10:uid="{CA47FA70-DBD4-4D6B-B994-6265BDA1034F}" sourceName="[datos_ventas].[Satisfaccion]">
  <pivotTables>
    <pivotTable tabId="1" name="TablaDinámica3"/>
    <pivotTable tabId="1" name="TablaDinámica1"/>
    <pivotTable tabId="1" name="TablaDinámica2"/>
    <pivotTable tabId="1" name="TablaDinámica4"/>
    <pivotTable tabId="1" name="TablaDinámica5"/>
    <pivotTable tabId="1" name="TablaDinámica6"/>
  </pivotTables>
  <data>
    <olap pivotCacheId="550476317">
      <levels count="2">
        <level uniqueName="[datos_ventas].[Satisfaccion].[(All)]" sourceCaption="(All)" count="0"/>
        <level uniqueName="[datos_ventas].[Satisfaccion].[Satisfaccion]" sourceCaption="Satisfaccion" count="5">
          <ranges>
            <range startItem="0">
              <i n="[datos_ventas].[Satisfaccion].&amp;[1]" c="1"/>
              <i n="[datos_ventas].[Satisfaccion].&amp;[2]" c="2"/>
              <i n="[datos_ventas].[Satisfaccion].&amp;[3]" c="3"/>
              <i n="[datos_ventas].[Satisfaccion].&amp;[4]" c="4"/>
              <i n="[datos_ventas].[Satisfaccion].&amp;[5]" c="5"/>
            </range>
          </ranges>
        </level>
      </levels>
      <selections count="1">
        <selection n="[datos_ventas].[Satisfaccion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todo_Pago" xr10:uid="{990BB33B-A6BE-411A-A1D3-20E8E74C5FEB}" sourceName="[datos_ventas].[Metodo_Pago]">
  <pivotTables>
    <pivotTable tabId="1" name="TablaDinámica3"/>
    <pivotTable tabId="1" name="TablaDinámica1"/>
    <pivotTable tabId="1" name="TablaDinámica2"/>
    <pivotTable tabId="1" name="TablaDinámica4"/>
    <pivotTable tabId="1" name="TablaDinámica5"/>
    <pivotTable tabId="1" name="TablaDinámica6"/>
  </pivotTables>
  <data>
    <olap pivotCacheId="550476317">
      <levels count="2">
        <level uniqueName="[datos_ventas].[Metodo_Pago].[(All)]" sourceCaption="(All)" count="0"/>
        <level uniqueName="[datos_ventas].[Metodo_Pago].[Metodo_Pago]" sourceCaption="Metodo_Pago" count="4">
          <ranges>
            <range startItem="0">
              <i n="[datos_ventas].[Metodo_Pago].&amp;[Efectivo]" c="Efectivo"/>
              <i n="[datos_ventas].[Metodo_Pago].&amp;[PayPal]" c="PayPal"/>
              <i n="[datos_ventas].[Metodo_Pago].&amp;[Tarjeta Credito]" c="Tarjeta Credito"/>
              <i n="[datos_ventas].[Metodo_Pago].&amp;[Transferencia]" c="Transferencia"/>
            </range>
          </ranges>
        </level>
      </levels>
      <selections count="1">
        <selection n="[datos_ventas].[Metodo_Pago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EC281140-8442-43E5-BFEC-DF1D801259E5}" sourceName="[datos_ventas].[Categoria]">
  <pivotTables>
    <pivotTable tabId="1" name="TablaDinámica3"/>
    <pivotTable tabId="1" name="TablaDinámica1"/>
    <pivotTable tabId="1" name="TablaDinámica2"/>
    <pivotTable tabId="1" name="TablaDinámica4"/>
    <pivotTable tabId="1" name="TablaDinámica5"/>
    <pivotTable tabId="1" name="TablaDinámica6"/>
  </pivotTables>
  <data>
    <olap pivotCacheId="550476317">
      <levels count="2">
        <level uniqueName="[datos_ventas].[Categoria].[(All)]" sourceCaption="(All)" count="0"/>
        <level uniqueName="[datos_ventas].[Categoria].[Categoria]" sourceCaption="Categoria" count="5">
          <ranges>
            <range startItem="0">
              <i n="[datos_ventas].[Categoria].&amp;[Accesorios]" c="Accesorios"/>
              <i n="[datos_ventas].[Categoria].&amp;[Electrónica]" c="Electrónica"/>
              <i n="[datos_ventas].[Categoria].&amp;[Fotografía]" c="Fotografía"/>
              <i n="[datos_ventas].[Categoria].&amp;[Gadgets]" c="Gadgets"/>
              <i n="[datos_ventas].[Categoria].&amp;[Hardware]" c="Hardware"/>
            </range>
          </ranges>
        </level>
      </levels>
      <selections count="1">
        <selection n="[datos_ventas].[Categoria].&amp;[Electrónica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(mes)" xr10:uid="{D8F8F399-C53A-40E8-A83C-C87FAB2D63AD}" cache="SegmentaciónDeDatos_Fecha__mes" caption="Fecha (mes)" columnCount="12" level="1" style="SlicerStyleOther1" rowHeight="324000"/>
  <slicer name="Producto" xr10:uid="{404BAF2D-E864-49F4-9D6D-C2F8E2152B46}" cache="SegmentaciónDeDatos_Producto" caption="Producto" columnCount="2" level="1" style="SlicerStyleOther1" rowHeight="257175"/>
  <slicer name="Ciudad" xr10:uid="{ED375C7F-459B-42EB-809B-2D958A84E3D9}" cache="SegmentaciónDeDatos_Ciudad" caption="Ciudad" level="1" style="SlicerStyleOther1" rowHeight="257175"/>
  <slicer name="Satisfaccion" xr10:uid="{380EA8A7-E532-4180-AEA5-00CA5C9FA249}" cache="SegmentaciónDeDatos_Satisfaccion" caption="Satisfaccion" columnCount="5" level="1" style="SlicerStyleOther1" rowHeight="257175"/>
  <slicer name="Metodo_Pago" xr10:uid="{41A92679-A0E4-4875-94A5-73CC6868CB54}" cache="SegmentaciónDeDatos_Metodo_Pago" caption="Metodo_Pago" columnCount="2" level="1" style="SlicerStyleOther1" rowHeight="257175"/>
  <slicer name="Categoria" xr10:uid="{F503F97B-53DA-4BC9-9E48-51C9D0581A03}" cache="SegmentaciónDeDatos_Categoria" caption="Categoria" level="1" style="SlicerStyleOther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B82C5-CA74-4DEA-9E89-AF05A9527CA1}" name="datos_ventas" displayName="datos_ventas" ref="A1:N5001" tableType="queryTable" totalsRowShown="0">
  <autoFilter ref="A1:N5001" xr:uid="{276B82C5-CA74-4DEA-9E89-AF05A9527CA1}"/>
  <tableColumns count="14">
    <tableColumn id="1" xr3:uid="{34234AEA-A0E4-4421-AE72-7CDC62839BE4}" uniqueName="1" name="ID_Pedido" queryTableFieldId="1"/>
    <tableColumn id="2" xr3:uid="{9721C041-0CBA-43AA-A11D-35097FA3CADA}" uniqueName="2" name="Fecha" queryTableFieldId="2" dataDxfId="8"/>
    <tableColumn id="11" xr3:uid="{4BBFCB99-84EF-4EC6-B883-974E5370BD44}" uniqueName="11" name="Mes" queryTableFieldId="11" dataDxfId="7">
      <calculatedColumnFormula>MONTH(datos_ventas[[#This Row],[Fecha]])</calculatedColumnFormula>
    </tableColumn>
    <tableColumn id="12" xr3:uid="{07EEABC1-5AC8-4F78-BB76-0F5ABA8C0FD3}" uniqueName="12" name="Semana" queryTableFieldId="12" dataDxfId="6">
      <calculatedColumnFormula>WEEKNUM(datos_ventas[[#This Row],[Fecha]],2)</calculatedColumnFormula>
    </tableColumn>
    <tableColumn id="3" xr3:uid="{B0793933-3D66-4844-9D90-4FEFE51C8BAA}" uniqueName="3" name="Producto" queryTableFieldId="3" dataDxfId="5"/>
    <tableColumn id="4" xr3:uid="{A171310B-716E-4DA6-89FB-A1997FED088F}" uniqueName="4" name="Categoria" queryTableFieldId="4" dataDxfId="4"/>
    <tableColumn id="5" xr3:uid="{E76258EC-7DD3-42B6-B001-DA6F48C0EC4D}" uniqueName="5" name="Cantidad" queryTableFieldId="5"/>
    <tableColumn id="6" xr3:uid="{18F4486C-4BCE-43A7-8590-A19860284F61}" uniqueName="6" name="Precio_Unitario" queryTableFieldId="6"/>
    <tableColumn id="7" xr3:uid="{FA9694B7-F211-416B-8756-A740FFBC42E5}" uniqueName="7" name="Costo_Envio" queryTableFieldId="7"/>
    <tableColumn id="8" xr3:uid="{ED0CE1AA-1ED7-4BCB-8F2F-77BEE4BA9CD6}" uniqueName="8" name="Ciudad" queryTableFieldId="8" dataDxfId="3"/>
    <tableColumn id="13" xr3:uid="{86FFD0C6-853C-4EFE-869D-C55751F30B0C}" uniqueName="13" name="Provincia" queryTableFieldId="13" dataDxfId="2">
      <calculatedColumnFormula>_xlfn.XLOOKUP(datos_ventas[[#This Row],[Ciudad]],Tabla2[Ciudades],Tabla2[Provincias],"no se encuentra")</calculatedColumnFormula>
    </tableColumn>
    <tableColumn id="14" xr3:uid="{79EFC131-85B4-4A28-8B00-364998F32637}" uniqueName="14" name="Comunidad" queryTableFieldId="14" dataDxfId="1">
      <calculatedColumnFormula>_xlfn.XLOOKUP(datos_ventas[[#This Row],[Provincia]],Tabla2[Provincias],Tabla2[Comunidades],"no se encuentra")</calculatedColumnFormula>
    </tableColumn>
    <tableColumn id="9" xr3:uid="{BFC538B4-E6A2-46BE-B8EC-E3FBA706866D}" uniqueName="9" name="Metodo_Pago" queryTableFieldId="9" dataDxfId="0"/>
    <tableColumn id="10" xr3:uid="{ABA3675A-397B-4F44-BEA0-3C253C67EF48}" uniqueName="10" name="Satisfaccion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3B4733-BFCC-44A5-837B-7F7C24806AD7}" name="Tabla2" displayName="Tabla2" ref="A1:C7" totalsRowShown="0">
  <autoFilter ref="A1:C7" xr:uid="{263B4733-BFCC-44A5-837B-7F7C24806AD7}"/>
  <tableColumns count="3">
    <tableColumn id="1" xr3:uid="{3CF8560A-6686-426F-B233-7D79B1325B78}" name="Ciudades"/>
    <tableColumn id="2" xr3:uid="{98CE70EC-1582-4620-84D2-96FA2B05CA76}" name="Provincias"/>
    <tableColumn id="3" xr3:uid="{8C958363-FEF2-4943-8EBE-51EDA97B07C7}" name="Comunida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FFA135-5A82-4114-A5BB-1815311C87CA}" name="Tabla3" displayName="Tabla3" ref="A102:B107" totalsRowShown="0">
  <autoFilter ref="A102:B107" xr:uid="{F4FFA135-5A82-4114-A5BB-1815311C87CA}"/>
  <tableColumns count="2">
    <tableColumn id="1" xr3:uid="{B660E886-23C3-4D9D-85A2-FA9A4F2A12FB}" name="Satisfacción del cliente"/>
    <tableColumn id="2" xr3:uid="{61D356E6-D296-425F-8B8B-FF144073AC70}" name="nº v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6DE1-126C-42A1-A326-683BB92236F8}">
  <dimension ref="A1:N5001"/>
  <sheetViews>
    <sheetView zoomScale="115" zoomScaleNormal="115" workbookViewId="0">
      <selection activeCell="C19" sqref="C19"/>
    </sheetView>
  </sheetViews>
  <sheetFormatPr baseColWidth="10" defaultRowHeight="15" x14ac:dyDescent="0.25"/>
  <cols>
    <col min="1" max="1" width="12.42578125" bestFit="1" customWidth="1"/>
    <col min="2" max="2" width="10.42578125" bestFit="1" customWidth="1"/>
    <col min="3" max="4" width="10.42578125" customWidth="1"/>
    <col min="5" max="5" width="15" bestFit="1" customWidth="1"/>
    <col min="6" max="6" width="12" bestFit="1" customWidth="1"/>
    <col min="8" max="8" width="17" bestFit="1" customWidth="1"/>
    <col min="9" max="9" width="14.5703125" bestFit="1" customWidth="1"/>
    <col min="10" max="10" width="10" bestFit="1" customWidth="1"/>
    <col min="11" max="11" width="11.5703125" bestFit="1" customWidth="1"/>
    <col min="12" max="12" width="22" bestFit="1" customWidth="1"/>
    <col min="13" max="13" width="15.28515625" bestFit="1" customWidth="1"/>
    <col min="14" max="14" width="14.28515625" bestFit="1" customWidth="1"/>
  </cols>
  <sheetData>
    <row r="1" spans="1:14" x14ac:dyDescent="0.25">
      <c r="A1" t="s">
        <v>0</v>
      </c>
      <c r="B1" t="s">
        <v>1</v>
      </c>
      <c r="C1" t="s">
        <v>49</v>
      </c>
      <c r="D1" t="s">
        <v>50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</v>
      </c>
      <c r="L1" t="s">
        <v>63</v>
      </c>
      <c r="M1" t="s">
        <v>8</v>
      </c>
      <c r="N1" t="s">
        <v>9</v>
      </c>
    </row>
    <row r="2" spans="1:14" x14ac:dyDescent="0.25">
      <c r="A2">
        <v>1001</v>
      </c>
      <c r="B2" s="1">
        <v>45814</v>
      </c>
      <c r="C2" s="4">
        <f>MONTH(datos_ventas[[#This Row],[Fecha]])</f>
        <v>6</v>
      </c>
      <c r="D2" s="4">
        <f>WEEKNUM(datos_ventas[[#This Row],[Fecha]],2)</f>
        <v>23</v>
      </c>
      <c r="E2" t="s">
        <v>10</v>
      </c>
      <c r="F2" t="s">
        <v>11</v>
      </c>
      <c r="G2">
        <v>2</v>
      </c>
      <c r="H2">
        <v>119413</v>
      </c>
      <c r="I2">
        <v>542</v>
      </c>
      <c r="J2" t="s">
        <v>12</v>
      </c>
      <c r="K2" t="str">
        <f>_xlfn.XLOOKUP(datos_ventas[[#This Row],[Ciudad]],Tabla2[Ciudades],Tabla2[Provincias],"no se encuentra")</f>
        <v>Málaga</v>
      </c>
      <c r="L2" t="str">
        <f>_xlfn.XLOOKUP(datos_ventas[[#This Row],[Provincia]],Tabla2[Provincias],Tabla2[Comunidades],"no se encuentra")</f>
        <v>Andalucía</v>
      </c>
      <c r="M2" t="s">
        <v>13</v>
      </c>
      <c r="N2">
        <v>4</v>
      </c>
    </row>
    <row r="3" spans="1:14" x14ac:dyDescent="0.25">
      <c r="A3">
        <v>1002</v>
      </c>
      <c r="B3" s="1">
        <v>45952</v>
      </c>
      <c r="C3" s="4">
        <f>MONTH(datos_ventas[[#This Row],[Fecha]])</f>
        <v>10</v>
      </c>
      <c r="D3" s="4">
        <f>WEEKNUM(datos_ventas[[#This Row],[Fecha]],2)</f>
        <v>43</v>
      </c>
      <c r="E3" t="s">
        <v>10</v>
      </c>
      <c r="F3" t="s">
        <v>11</v>
      </c>
      <c r="G3">
        <v>3</v>
      </c>
      <c r="H3">
        <v>93051</v>
      </c>
      <c r="I3">
        <v>785</v>
      </c>
      <c r="J3" t="s">
        <v>14</v>
      </c>
      <c r="K3" t="str">
        <f>_xlfn.XLOOKUP(datos_ventas[[#This Row],[Ciudad]],Tabla2[Ciudades],Tabla2[Provincias],"no se encuentra")</f>
        <v>Madrid</v>
      </c>
      <c r="L3" t="str">
        <f>_xlfn.XLOOKUP(datos_ventas[[#This Row],[Provincia]],Tabla2[Provincias],Tabla2[Comunidades],"no se encuentra")</f>
        <v>Comunidad de Madrid</v>
      </c>
      <c r="M3" t="s">
        <v>15</v>
      </c>
      <c r="N3">
        <v>2</v>
      </c>
    </row>
    <row r="4" spans="1:14" x14ac:dyDescent="0.25">
      <c r="A4">
        <v>1003</v>
      </c>
      <c r="B4" s="1">
        <v>45927</v>
      </c>
      <c r="C4" s="4">
        <f>MONTH(datos_ventas[[#This Row],[Fecha]])</f>
        <v>9</v>
      </c>
      <c r="D4" s="4">
        <f>WEEKNUM(datos_ventas[[#This Row],[Fecha]],2)</f>
        <v>39</v>
      </c>
      <c r="E4" t="s">
        <v>16</v>
      </c>
      <c r="F4" t="s">
        <v>11</v>
      </c>
      <c r="G4">
        <v>5</v>
      </c>
      <c r="H4">
        <v>108065</v>
      </c>
      <c r="I4">
        <v>3367</v>
      </c>
      <c r="J4" t="s">
        <v>12</v>
      </c>
      <c r="K4" t="str">
        <f>_xlfn.XLOOKUP(datos_ventas[[#This Row],[Ciudad]],Tabla2[Ciudades],Tabla2[Provincias],"no se encuentra")</f>
        <v>Málaga</v>
      </c>
      <c r="L4" t="str">
        <f>_xlfn.XLOOKUP(datos_ventas[[#This Row],[Provincia]],Tabla2[Provincias],Tabla2[Comunidades],"no se encuentra")</f>
        <v>Andalucía</v>
      </c>
      <c r="M4" t="s">
        <v>15</v>
      </c>
      <c r="N4">
        <v>1</v>
      </c>
    </row>
    <row r="5" spans="1:14" x14ac:dyDescent="0.25">
      <c r="A5">
        <v>1004</v>
      </c>
      <c r="B5" s="1">
        <v>45733</v>
      </c>
      <c r="C5" s="4">
        <f>MONTH(datos_ventas[[#This Row],[Fecha]])</f>
        <v>3</v>
      </c>
      <c r="D5" s="4">
        <f>WEEKNUM(datos_ventas[[#This Row],[Fecha]],2)</f>
        <v>12</v>
      </c>
      <c r="E5" t="s">
        <v>17</v>
      </c>
      <c r="F5" t="s">
        <v>18</v>
      </c>
      <c r="G5">
        <v>1</v>
      </c>
      <c r="H5">
        <v>88938</v>
      </c>
      <c r="I5">
        <v>183</v>
      </c>
      <c r="J5" t="s">
        <v>14</v>
      </c>
      <c r="K5" t="str">
        <f>_xlfn.XLOOKUP(datos_ventas[[#This Row],[Ciudad]],Tabla2[Ciudades],Tabla2[Provincias],"no se encuentra")</f>
        <v>Madrid</v>
      </c>
      <c r="L5" t="str">
        <f>_xlfn.XLOOKUP(datos_ventas[[#This Row],[Provincia]],Tabla2[Provincias],Tabla2[Comunidades],"no se encuentra")</f>
        <v>Comunidad de Madrid</v>
      </c>
      <c r="M5" t="s">
        <v>19</v>
      </c>
      <c r="N5">
        <v>3</v>
      </c>
    </row>
    <row r="6" spans="1:14" x14ac:dyDescent="0.25">
      <c r="A6">
        <v>1005</v>
      </c>
      <c r="B6" s="1">
        <v>45962</v>
      </c>
      <c r="C6" s="4">
        <f>MONTH(datos_ventas[[#This Row],[Fecha]])</f>
        <v>11</v>
      </c>
      <c r="D6" s="4">
        <f>WEEKNUM(datos_ventas[[#This Row],[Fecha]],2)</f>
        <v>44</v>
      </c>
      <c r="E6" t="s">
        <v>20</v>
      </c>
      <c r="F6" t="s">
        <v>21</v>
      </c>
      <c r="G6">
        <v>4</v>
      </c>
      <c r="H6">
        <v>55201</v>
      </c>
      <c r="I6">
        <v>2732</v>
      </c>
      <c r="J6" t="s">
        <v>22</v>
      </c>
      <c r="K6" t="str">
        <f>_xlfn.XLOOKUP(datos_ventas[[#This Row],[Ciudad]],Tabla2[Ciudades],Tabla2[Provincias],"no se encuentra")</f>
        <v>Valencia</v>
      </c>
      <c r="L6" t="str">
        <f>_xlfn.XLOOKUP(datos_ventas[[#This Row],[Provincia]],Tabla2[Provincias],Tabla2[Comunidades],"no se encuentra")</f>
        <v>Comunidad Valenciana</v>
      </c>
      <c r="M6" t="s">
        <v>13</v>
      </c>
      <c r="N6">
        <v>1</v>
      </c>
    </row>
    <row r="7" spans="1:14" x14ac:dyDescent="0.25">
      <c r="A7">
        <v>1006</v>
      </c>
      <c r="B7" s="1">
        <v>45876</v>
      </c>
      <c r="C7" s="4">
        <f>MONTH(datos_ventas[[#This Row],[Fecha]])</f>
        <v>8</v>
      </c>
      <c r="D7" s="4">
        <f>WEEKNUM(datos_ventas[[#This Row],[Fecha]],2)</f>
        <v>32</v>
      </c>
      <c r="E7" t="s">
        <v>23</v>
      </c>
      <c r="F7" t="s">
        <v>18</v>
      </c>
      <c r="G7">
        <v>2</v>
      </c>
      <c r="H7">
        <v>9774</v>
      </c>
      <c r="I7">
        <v>4874</v>
      </c>
      <c r="J7" t="s">
        <v>12</v>
      </c>
      <c r="K7" t="str">
        <f>_xlfn.XLOOKUP(datos_ventas[[#This Row],[Ciudad]],Tabla2[Ciudades],Tabla2[Provincias],"no se encuentra")</f>
        <v>Málaga</v>
      </c>
      <c r="L7" t="str">
        <f>_xlfn.XLOOKUP(datos_ventas[[#This Row],[Provincia]],Tabla2[Provincias],Tabla2[Comunidades],"no se encuentra")</f>
        <v>Andalucía</v>
      </c>
      <c r="M7" t="s">
        <v>13</v>
      </c>
      <c r="N7">
        <v>2</v>
      </c>
    </row>
    <row r="8" spans="1:14" x14ac:dyDescent="0.25">
      <c r="A8">
        <v>1007</v>
      </c>
      <c r="B8" s="1">
        <v>45988</v>
      </c>
      <c r="C8" s="4">
        <f>MONTH(datos_ventas[[#This Row],[Fecha]])</f>
        <v>11</v>
      </c>
      <c r="D8" s="4">
        <f>WEEKNUM(datos_ventas[[#This Row],[Fecha]],2)</f>
        <v>48</v>
      </c>
      <c r="E8" t="s">
        <v>24</v>
      </c>
      <c r="F8" t="s">
        <v>25</v>
      </c>
      <c r="G8">
        <v>2</v>
      </c>
      <c r="H8">
        <v>15176</v>
      </c>
      <c r="I8">
        <v>4677</v>
      </c>
      <c r="J8" t="s">
        <v>12</v>
      </c>
      <c r="K8" t="str">
        <f>_xlfn.XLOOKUP(datos_ventas[[#This Row],[Ciudad]],Tabla2[Ciudades],Tabla2[Provincias],"no se encuentra")</f>
        <v>Málaga</v>
      </c>
      <c r="L8" t="str">
        <f>_xlfn.XLOOKUP(datos_ventas[[#This Row],[Provincia]],Tabla2[Provincias],Tabla2[Comunidades],"no se encuentra")</f>
        <v>Andalucía</v>
      </c>
      <c r="M8" t="s">
        <v>13</v>
      </c>
      <c r="N8">
        <v>3</v>
      </c>
    </row>
    <row r="9" spans="1:14" x14ac:dyDescent="0.25">
      <c r="A9">
        <v>1008</v>
      </c>
      <c r="B9" s="1">
        <v>45949</v>
      </c>
      <c r="C9" s="4">
        <f>MONTH(datos_ventas[[#This Row],[Fecha]])</f>
        <v>10</v>
      </c>
      <c r="D9" s="4">
        <f>WEEKNUM(datos_ventas[[#This Row],[Fecha]],2)</f>
        <v>42</v>
      </c>
      <c r="E9" t="s">
        <v>26</v>
      </c>
      <c r="F9" t="s">
        <v>18</v>
      </c>
      <c r="G9">
        <v>4</v>
      </c>
      <c r="H9">
        <v>8493</v>
      </c>
      <c r="I9">
        <v>4902</v>
      </c>
      <c r="J9" t="s">
        <v>14</v>
      </c>
      <c r="K9" t="str">
        <f>_xlfn.XLOOKUP(datos_ventas[[#This Row],[Ciudad]],Tabla2[Ciudades],Tabla2[Provincias],"no se encuentra")</f>
        <v>Madrid</v>
      </c>
      <c r="L9" t="str">
        <f>_xlfn.XLOOKUP(datos_ventas[[#This Row],[Provincia]],Tabla2[Provincias],Tabla2[Comunidades],"no se encuentra")</f>
        <v>Comunidad de Madrid</v>
      </c>
      <c r="M9" t="s">
        <v>19</v>
      </c>
      <c r="N9">
        <v>2</v>
      </c>
    </row>
    <row r="10" spans="1:14" x14ac:dyDescent="0.25">
      <c r="A10">
        <v>1009</v>
      </c>
      <c r="B10" s="1">
        <v>45764</v>
      </c>
      <c r="C10" s="4">
        <f>MONTH(datos_ventas[[#This Row],[Fecha]])</f>
        <v>4</v>
      </c>
      <c r="D10" s="4">
        <f>WEEKNUM(datos_ventas[[#This Row],[Fecha]],2)</f>
        <v>16</v>
      </c>
      <c r="E10" t="s">
        <v>23</v>
      </c>
      <c r="F10" t="s">
        <v>18</v>
      </c>
      <c r="G10">
        <v>3</v>
      </c>
      <c r="H10">
        <v>69784</v>
      </c>
      <c r="I10">
        <v>339</v>
      </c>
      <c r="J10" t="s">
        <v>27</v>
      </c>
      <c r="K10" t="str">
        <f>_xlfn.XLOOKUP(datos_ventas[[#This Row],[Ciudad]],Tabla2[Ciudades],Tabla2[Provincias],"no se encuentra")</f>
        <v>Sevilla</v>
      </c>
      <c r="L10" t="str">
        <f>_xlfn.XLOOKUP(datos_ventas[[#This Row],[Provincia]],Tabla2[Provincias],Tabla2[Comunidades],"no se encuentra")</f>
        <v>Andalucía</v>
      </c>
      <c r="M10" t="s">
        <v>28</v>
      </c>
      <c r="N10">
        <v>3</v>
      </c>
    </row>
    <row r="11" spans="1:14" x14ac:dyDescent="0.25">
      <c r="A11">
        <v>1010</v>
      </c>
      <c r="B11" s="1">
        <v>45664</v>
      </c>
      <c r="C11" s="4">
        <f>MONTH(datos_ventas[[#This Row],[Fecha]])</f>
        <v>1</v>
      </c>
      <c r="D11" s="4">
        <f>WEEKNUM(datos_ventas[[#This Row],[Fecha]],2)</f>
        <v>2</v>
      </c>
      <c r="E11" t="s">
        <v>24</v>
      </c>
      <c r="F11" t="s">
        <v>25</v>
      </c>
      <c r="G11">
        <v>2</v>
      </c>
      <c r="H11">
        <v>11967</v>
      </c>
      <c r="I11">
        <v>3506</v>
      </c>
      <c r="J11" t="s">
        <v>27</v>
      </c>
      <c r="K11" t="str">
        <f>_xlfn.XLOOKUP(datos_ventas[[#This Row],[Ciudad]],Tabla2[Ciudades],Tabla2[Provincias],"no se encuentra")</f>
        <v>Sevilla</v>
      </c>
      <c r="L11" t="str">
        <f>_xlfn.XLOOKUP(datos_ventas[[#This Row],[Provincia]],Tabla2[Provincias],Tabla2[Comunidades],"no se encuentra")</f>
        <v>Andalucía</v>
      </c>
      <c r="M11" t="s">
        <v>19</v>
      </c>
      <c r="N11">
        <v>1</v>
      </c>
    </row>
    <row r="12" spans="1:14" x14ac:dyDescent="0.25">
      <c r="A12">
        <v>1011</v>
      </c>
      <c r="B12" s="1">
        <v>45983</v>
      </c>
      <c r="C12" s="4">
        <f>MONTH(datos_ventas[[#This Row],[Fecha]])</f>
        <v>11</v>
      </c>
      <c r="D12" s="4">
        <f>WEEKNUM(datos_ventas[[#This Row],[Fecha]],2)</f>
        <v>47</v>
      </c>
      <c r="E12" t="s">
        <v>24</v>
      </c>
      <c r="F12" t="s">
        <v>25</v>
      </c>
      <c r="G12">
        <v>2</v>
      </c>
      <c r="H12">
        <v>18942</v>
      </c>
      <c r="I12">
        <v>714</v>
      </c>
      <c r="J12" t="s">
        <v>14</v>
      </c>
      <c r="K12" t="str">
        <f>_xlfn.XLOOKUP(datos_ventas[[#This Row],[Ciudad]],Tabla2[Ciudades],Tabla2[Provincias],"no se encuentra")</f>
        <v>Madrid</v>
      </c>
      <c r="L12" t="str">
        <f>_xlfn.XLOOKUP(datos_ventas[[#This Row],[Provincia]],Tabla2[Provincias],Tabla2[Comunidades],"no se encuentra")</f>
        <v>Comunidad de Madrid</v>
      </c>
      <c r="M12" t="s">
        <v>15</v>
      </c>
      <c r="N12">
        <v>4</v>
      </c>
    </row>
    <row r="13" spans="1:14" x14ac:dyDescent="0.25">
      <c r="A13">
        <v>1012</v>
      </c>
      <c r="B13" s="1">
        <v>45948</v>
      </c>
      <c r="C13" s="4">
        <f>MONTH(datos_ventas[[#This Row],[Fecha]])</f>
        <v>10</v>
      </c>
      <c r="D13" s="4">
        <f>WEEKNUM(datos_ventas[[#This Row],[Fecha]],2)</f>
        <v>42</v>
      </c>
      <c r="E13" t="s">
        <v>20</v>
      </c>
      <c r="F13" t="s">
        <v>21</v>
      </c>
      <c r="G13">
        <v>1</v>
      </c>
      <c r="H13">
        <v>1094</v>
      </c>
      <c r="I13">
        <v>1635</v>
      </c>
      <c r="J13" t="s">
        <v>12</v>
      </c>
      <c r="K13" t="str">
        <f>_xlfn.XLOOKUP(datos_ventas[[#This Row],[Ciudad]],Tabla2[Ciudades],Tabla2[Provincias],"no se encuentra")</f>
        <v>Málaga</v>
      </c>
      <c r="L13" t="str">
        <f>_xlfn.XLOOKUP(datos_ventas[[#This Row],[Provincia]],Tabla2[Provincias],Tabla2[Comunidades],"no se encuentra")</f>
        <v>Andalucía</v>
      </c>
      <c r="M13" t="s">
        <v>19</v>
      </c>
      <c r="N13">
        <v>2</v>
      </c>
    </row>
    <row r="14" spans="1:14" x14ac:dyDescent="0.25">
      <c r="A14">
        <v>1013</v>
      </c>
      <c r="B14" s="1">
        <v>45865</v>
      </c>
      <c r="C14" s="4">
        <f>MONTH(datos_ventas[[#This Row],[Fecha]])</f>
        <v>7</v>
      </c>
      <c r="D14" s="4">
        <f>WEEKNUM(datos_ventas[[#This Row],[Fecha]],2)</f>
        <v>30</v>
      </c>
      <c r="E14" t="s">
        <v>23</v>
      </c>
      <c r="F14" t="s">
        <v>18</v>
      </c>
      <c r="G14">
        <v>3</v>
      </c>
      <c r="H14">
        <v>21053</v>
      </c>
      <c r="I14">
        <v>141</v>
      </c>
      <c r="J14" t="s">
        <v>12</v>
      </c>
      <c r="K14" t="str">
        <f>_xlfn.XLOOKUP(datos_ventas[[#This Row],[Ciudad]],Tabla2[Ciudades],Tabla2[Provincias],"no se encuentra")</f>
        <v>Málaga</v>
      </c>
      <c r="L14" t="str">
        <f>_xlfn.XLOOKUP(datos_ventas[[#This Row],[Provincia]],Tabla2[Provincias],Tabla2[Comunidades],"no se encuentra")</f>
        <v>Andalucía</v>
      </c>
      <c r="M14" t="s">
        <v>28</v>
      </c>
      <c r="N14">
        <v>1</v>
      </c>
    </row>
    <row r="15" spans="1:14" x14ac:dyDescent="0.25">
      <c r="A15">
        <v>1014</v>
      </c>
      <c r="B15" s="1">
        <v>45880</v>
      </c>
      <c r="C15" s="4">
        <f>MONTH(datos_ventas[[#This Row],[Fecha]])</f>
        <v>8</v>
      </c>
      <c r="D15" s="4">
        <f>WEEKNUM(datos_ventas[[#This Row],[Fecha]],2)</f>
        <v>33</v>
      </c>
      <c r="E15" t="s">
        <v>24</v>
      </c>
      <c r="F15" t="s">
        <v>25</v>
      </c>
      <c r="G15">
        <v>5</v>
      </c>
      <c r="H15">
        <v>63666</v>
      </c>
      <c r="I15">
        <v>2302</v>
      </c>
      <c r="J15" t="s">
        <v>27</v>
      </c>
      <c r="K15" t="str">
        <f>_xlfn.XLOOKUP(datos_ventas[[#This Row],[Ciudad]],Tabla2[Ciudades],Tabla2[Provincias],"no se encuentra")</f>
        <v>Sevilla</v>
      </c>
      <c r="L15" t="str">
        <f>_xlfn.XLOOKUP(datos_ventas[[#This Row],[Provincia]],Tabla2[Provincias],Tabla2[Comunidades],"no se encuentra")</f>
        <v>Andalucía</v>
      </c>
      <c r="M15" t="s">
        <v>15</v>
      </c>
      <c r="N15">
        <v>2</v>
      </c>
    </row>
    <row r="16" spans="1:14" x14ac:dyDescent="0.25">
      <c r="A16">
        <v>1015</v>
      </c>
      <c r="B16" s="1">
        <v>45706</v>
      </c>
      <c r="C16" s="4">
        <f>MONTH(datos_ventas[[#This Row],[Fecha]])</f>
        <v>2</v>
      </c>
      <c r="D16" s="4">
        <f>WEEKNUM(datos_ventas[[#This Row],[Fecha]],2)</f>
        <v>8</v>
      </c>
      <c r="E16" t="s">
        <v>20</v>
      </c>
      <c r="F16" t="s">
        <v>21</v>
      </c>
      <c r="G16">
        <v>4</v>
      </c>
      <c r="H16">
        <v>28233</v>
      </c>
      <c r="I16">
        <v>142</v>
      </c>
      <c r="J16" t="s">
        <v>12</v>
      </c>
      <c r="K16" t="str">
        <f>_xlfn.XLOOKUP(datos_ventas[[#This Row],[Ciudad]],Tabla2[Ciudades],Tabla2[Provincias],"no se encuentra")</f>
        <v>Málaga</v>
      </c>
      <c r="L16" t="str">
        <f>_xlfn.XLOOKUP(datos_ventas[[#This Row],[Provincia]],Tabla2[Provincias],Tabla2[Comunidades],"no se encuentra")</f>
        <v>Andalucía</v>
      </c>
      <c r="M16" t="s">
        <v>15</v>
      </c>
      <c r="N16">
        <v>4</v>
      </c>
    </row>
    <row r="17" spans="1:14" x14ac:dyDescent="0.25">
      <c r="A17">
        <v>1016</v>
      </c>
      <c r="B17" s="1">
        <v>45741</v>
      </c>
      <c r="C17" s="4">
        <f>MONTH(datos_ventas[[#This Row],[Fecha]])</f>
        <v>3</v>
      </c>
      <c r="D17" s="4">
        <f>WEEKNUM(datos_ventas[[#This Row],[Fecha]],2)</f>
        <v>13</v>
      </c>
      <c r="E17" t="s">
        <v>29</v>
      </c>
      <c r="F17" t="s">
        <v>30</v>
      </c>
      <c r="G17">
        <v>2</v>
      </c>
      <c r="H17">
        <v>81005</v>
      </c>
      <c r="I17">
        <v>711</v>
      </c>
      <c r="J17" t="s">
        <v>31</v>
      </c>
      <c r="K17" t="str">
        <f>_xlfn.XLOOKUP(datos_ventas[[#This Row],[Ciudad]],Tabla2[Ciudades],Tabla2[Provincias],"no se encuentra")</f>
        <v>Vizcaya</v>
      </c>
      <c r="L17" t="str">
        <f>_xlfn.XLOOKUP(datos_ventas[[#This Row],[Provincia]],Tabla2[Provincias],Tabla2[Comunidades],"no se encuentra")</f>
        <v>País Vasco</v>
      </c>
      <c r="M17" t="s">
        <v>15</v>
      </c>
      <c r="N17">
        <v>4</v>
      </c>
    </row>
    <row r="18" spans="1:14" x14ac:dyDescent="0.25">
      <c r="A18">
        <v>1017</v>
      </c>
      <c r="B18" s="1">
        <v>45833</v>
      </c>
      <c r="C18" s="4">
        <f>MONTH(datos_ventas[[#This Row],[Fecha]])</f>
        <v>6</v>
      </c>
      <c r="D18" s="4">
        <f>WEEKNUM(datos_ventas[[#This Row],[Fecha]],2)</f>
        <v>26</v>
      </c>
      <c r="E18" t="s">
        <v>16</v>
      </c>
      <c r="F18" t="s">
        <v>11</v>
      </c>
      <c r="G18">
        <v>5</v>
      </c>
      <c r="H18">
        <v>2086</v>
      </c>
      <c r="I18">
        <v>542</v>
      </c>
      <c r="J18" t="s">
        <v>22</v>
      </c>
      <c r="K18" t="str">
        <f>_xlfn.XLOOKUP(datos_ventas[[#This Row],[Ciudad]],Tabla2[Ciudades],Tabla2[Provincias],"no se encuentra")</f>
        <v>Valencia</v>
      </c>
      <c r="L18" t="str">
        <f>_xlfn.XLOOKUP(datos_ventas[[#This Row],[Provincia]],Tabla2[Provincias],Tabla2[Comunidades],"no se encuentra")</f>
        <v>Comunidad Valenciana</v>
      </c>
      <c r="M18" t="s">
        <v>15</v>
      </c>
      <c r="N18">
        <v>4</v>
      </c>
    </row>
    <row r="19" spans="1:14" x14ac:dyDescent="0.25">
      <c r="A19">
        <v>1018</v>
      </c>
      <c r="B19" s="1">
        <v>45838</v>
      </c>
      <c r="C19" s="4">
        <f>MONTH(datos_ventas[[#This Row],[Fecha]])</f>
        <v>6</v>
      </c>
      <c r="D19" s="4">
        <f>WEEKNUM(datos_ventas[[#This Row],[Fecha]],2)</f>
        <v>27</v>
      </c>
      <c r="E19" t="s">
        <v>29</v>
      </c>
      <c r="F19" t="s">
        <v>30</v>
      </c>
      <c r="G19">
        <v>1</v>
      </c>
      <c r="H19">
        <v>87254</v>
      </c>
      <c r="I19">
        <v>935</v>
      </c>
      <c r="J19" t="s">
        <v>14</v>
      </c>
      <c r="K19" t="str">
        <f>_xlfn.XLOOKUP(datos_ventas[[#This Row],[Ciudad]],Tabla2[Ciudades],Tabla2[Provincias],"no se encuentra")</f>
        <v>Madrid</v>
      </c>
      <c r="L19" t="str">
        <f>_xlfn.XLOOKUP(datos_ventas[[#This Row],[Provincia]],Tabla2[Provincias],Tabla2[Comunidades],"no se encuentra")</f>
        <v>Comunidad de Madrid</v>
      </c>
      <c r="M19" t="s">
        <v>19</v>
      </c>
      <c r="N19">
        <v>5</v>
      </c>
    </row>
    <row r="20" spans="1:14" x14ac:dyDescent="0.25">
      <c r="A20">
        <v>1019</v>
      </c>
      <c r="B20" s="1">
        <v>45961</v>
      </c>
      <c r="C20" s="4">
        <f>MONTH(datos_ventas[[#This Row],[Fecha]])</f>
        <v>10</v>
      </c>
      <c r="D20" s="4">
        <f>WEEKNUM(datos_ventas[[#This Row],[Fecha]],2)</f>
        <v>44</v>
      </c>
      <c r="E20" t="s">
        <v>24</v>
      </c>
      <c r="F20" t="s">
        <v>25</v>
      </c>
      <c r="G20">
        <v>2</v>
      </c>
      <c r="H20">
        <v>96088</v>
      </c>
      <c r="I20">
        <v>155</v>
      </c>
      <c r="J20" t="s">
        <v>12</v>
      </c>
      <c r="K20" t="str">
        <f>_xlfn.XLOOKUP(datos_ventas[[#This Row],[Ciudad]],Tabla2[Ciudades],Tabla2[Provincias],"no se encuentra")</f>
        <v>Málaga</v>
      </c>
      <c r="L20" t="str">
        <f>_xlfn.XLOOKUP(datos_ventas[[#This Row],[Provincia]],Tabla2[Provincias],Tabla2[Comunidades],"no se encuentra")</f>
        <v>Andalucía</v>
      </c>
      <c r="M20" t="s">
        <v>13</v>
      </c>
      <c r="N20">
        <v>5</v>
      </c>
    </row>
    <row r="21" spans="1:14" x14ac:dyDescent="0.25">
      <c r="A21">
        <v>1020</v>
      </c>
      <c r="B21" s="1">
        <v>45735</v>
      </c>
      <c r="C21" s="4">
        <f>MONTH(datos_ventas[[#This Row],[Fecha]])</f>
        <v>3</v>
      </c>
      <c r="D21" s="4">
        <f>WEEKNUM(datos_ventas[[#This Row],[Fecha]],2)</f>
        <v>12</v>
      </c>
      <c r="E21" t="s">
        <v>24</v>
      </c>
      <c r="F21" t="s">
        <v>25</v>
      </c>
      <c r="G21">
        <v>2</v>
      </c>
      <c r="H21">
        <v>77072</v>
      </c>
      <c r="I21">
        <v>4018</v>
      </c>
      <c r="J21" t="s">
        <v>31</v>
      </c>
      <c r="K21" t="str">
        <f>_xlfn.XLOOKUP(datos_ventas[[#This Row],[Ciudad]],Tabla2[Ciudades],Tabla2[Provincias],"no se encuentra")</f>
        <v>Vizcaya</v>
      </c>
      <c r="L21" t="str">
        <f>_xlfn.XLOOKUP(datos_ventas[[#This Row],[Provincia]],Tabla2[Provincias],Tabla2[Comunidades],"no se encuentra")</f>
        <v>País Vasco</v>
      </c>
      <c r="M21" t="s">
        <v>28</v>
      </c>
      <c r="N21">
        <v>5</v>
      </c>
    </row>
    <row r="22" spans="1:14" x14ac:dyDescent="0.25">
      <c r="A22">
        <v>1021</v>
      </c>
      <c r="B22" s="1">
        <v>45681</v>
      </c>
      <c r="C22" s="4">
        <f>MONTH(datos_ventas[[#This Row],[Fecha]])</f>
        <v>1</v>
      </c>
      <c r="D22" s="4">
        <f>WEEKNUM(datos_ventas[[#This Row],[Fecha]],2)</f>
        <v>4</v>
      </c>
      <c r="E22" t="s">
        <v>16</v>
      </c>
      <c r="F22" t="s">
        <v>11</v>
      </c>
      <c r="G22">
        <v>1</v>
      </c>
      <c r="H22">
        <v>109854</v>
      </c>
      <c r="I22">
        <v>3857</v>
      </c>
      <c r="J22" t="s">
        <v>27</v>
      </c>
      <c r="K22" t="str">
        <f>_xlfn.XLOOKUP(datos_ventas[[#This Row],[Ciudad]],Tabla2[Ciudades],Tabla2[Provincias],"no se encuentra")</f>
        <v>Sevilla</v>
      </c>
      <c r="L22" t="str">
        <f>_xlfn.XLOOKUP(datos_ventas[[#This Row],[Provincia]],Tabla2[Provincias],Tabla2[Comunidades],"no se encuentra")</f>
        <v>Andalucía</v>
      </c>
      <c r="M22" t="s">
        <v>19</v>
      </c>
      <c r="N22">
        <v>4</v>
      </c>
    </row>
    <row r="23" spans="1:14" x14ac:dyDescent="0.25">
      <c r="A23">
        <v>1022</v>
      </c>
      <c r="B23" s="1">
        <v>45811</v>
      </c>
      <c r="C23" s="4">
        <f>MONTH(datos_ventas[[#This Row],[Fecha]])</f>
        <v>6</v>
      </c>
      <c r="D23" s="4">
        <f>WEEKNUM(datos_ventas[[#This Row],[Fecha]],2)</f>
        <v>23</v>
      </c>
      <c r="E23" t="s">
        <v>17</v>
      </c>
      <c r="F23" t="s">
        <v>18</v>
      </c>
      <c r="G23">
        <v>3</v>
      </c>
      <c r="H23">
        <v>15652</v>
      </c>
      <c r="I23">
        <v>919</v>
      </c>
      <c r="J23" t="s">
        <v>14</v>
      </c>
      <c r="K23" t="str">
        <f>_xlfn.XLOOKUP(datos_ventas[[#This Row],[Ciudad]],Tabla2[Ciudades],Tabla2[Provincias],"no se encuentra")</f>
        <v>Madrid</v>
      </c>
      <c r="L23" t="str">
        <f>_xlfn.XLOOKUP(datos_ventas[[#This Row],[Provincia]],Tabla2[Provincias],Tabla2[Comunidades],"no se encuentra")</f>
        <v>Comunidad de Madrid</v>
      </c>
      <c r="M23" t="s">
        <v>13</v>
      </c>
      <c r="N23">
        <v>1</v>
      </c>
    </row>
    <row r="24" spans="1:14" x14ac:dyDescent="0.25">
      <c r="A24">
        <v>1023</v>
      </c>
      <c r="B24" s="1">
        <v>46015</v>
      </c>
      <c r="C24" s="4">
        <f>MONTH(datos_ventas[[#This Row],[Fecha]])</f>
        <v>12</v>
      </c>
      <c r="D24" s="4">
        <f>WEEKNUM(datos_ventas[[#This Row],[Fecha]],2)</f>
        <v>52</v>
      </c>
      <c r="E24" t="s">
        <v>24</v>
      </c>
      <c r="F24" t="s">
        <v>25</v>
      </c>
      <c r="G24">
        <v>5</v>
      </c>
      <c r="H24">
        <v>40326</v>
      </c>
      <c r="I24">
        <v>4962</v>
      </c>
      <c r="J24" t="s">
        <v>22</v>
      </c>
      <c r="K24" t="str">
        <f>_xlfn.XLOOKUP(datos_ventas[[#This Row],[Ciudad]],Tabla2[Ciudades],Tabla2[Provincias],"no se encuentra")</f>
        <v>Valencia</v>
      </c>
      <c r="L24" t="str">
        <f>_xlfn.XLOOKUP(datos_ventas[[#This Row],[Provincia]],Tabla2[Provincias],Tabla2[Comunidades],"no se encuentra")</f>
        <v>Comunidad Valenciana</v>
      </c>
      <c r="M24" t="s">
        <v>19</v>
      </c>
      <c r="N24">
        <v>1</v>
      </c>
    </row>
    <row r="25" spans="1:14" x14ac:dyDescent="0.25">
      <c r="A25">
        <v>1024</v>
      </c>
      <c r="B25" s="1">
        <v>46022</v>
      </c>
      <c r="C25" s="4">
        <f>MONTH(datos_ventas[[#This Row],[Fecha]])</f>
        <v>12</v>
      </c>
      <c r="D25" s="4">
        <f>WEEKNUM(datos_ventas[[#This Row],[Fecha]],2)</f>
        <v>53</v>
      </c>
      <c r="E25" t="s">
        <v>23</v>
      </c>
      <c r="F25" t="s">
        <v>18</v>
      </c>
      <c r="G25">
        <v>2</v>
      </c>
      <c r="H25">
        <v>34552</v>
      </c>
      <c r="I25">
        <v>884</v>
      </c>
      <c r="J25" t="s">
        <v>31</v>
      </c>
      <c r="K25" t="str">
        <f>_xlfn.XLOOKUP(datos_ventas[[#This Row],[Ciudad]],Tabla2[Ciudades],Tabla2[Provincias],"no se encuentra")</f>
        <v>Vizcaya</v>
      </c>
      <c r="L25" t="str">
        <f>_xlfn.XLOOKUP(datos_ventas[[#This Row],[Provincia]],Tabla2[Provincias],Tabla2[Comunidades],"no se encuentra")</f>
        <v>País Vasco</v>
      </c>
      <c r="M25" t="s">
        <v>19</v>
      </c>
      <c r="N25">
        <v>1</v>
      </c>
    </row>
    <row r="26" spans="1:14" x14ac:dyDescent="0.25">
      <c r="A26">
        <v>1025</v>
      </c>
      <c r="B26" s="1">
        <v>45777</v>
      </c>
      <c r="C26" s="4">
        <f>MONTH(datos_ventas[[#This Row],[Fecha]])</f>
        <v>4</v>
      </c>
      <c r="D26" s="4">
        <f>WEEKNUM(datos_ventas[[#This Row],[Fecha]],2)</f>
        <v>18</v>
      </c>
      <c r="E26" t="s">
        <v>23</v>
      </c>
      <c r="F26" t="s">
        <v>18</v>
      </c>
      <c r="G26">
        <v>1</v>
      </c>
      <c r="H26">
        <v>17255</v>
      </c>
      <c r="I26">
        <v>2341</v>
      </c>
      <c r="J26" t="s">
        <v>12</v>
      </c>
      <c r="K26" t="str">
        <f>_xlfn.XLOOKUP(datos_ventas[[#This Row],[Ciudad]],Tabla2[Ciudades],Tabla2[Provincias],"no se encuentra")</f>
        <v>Málaga</v>
      </c>
      <c r="L26" t="str">
        <f>_xlfn.XLOOKUP(datos_ventas[[#This Row],[Provincia]],Tabla2[Provincias],Tabla2[Comunidades],"no se encuentra")</f>
        <v>Andalucía</v>
      </c>
      <c r="M26" t="s">
        <v>19</v>
      </c>
      <c r="N26">
        <v>1</v>
      </c>
    </row>
    <row r="27" spans="1:14" x14ac:dyDescent="0.25">
      <c r="A27">
        <v>1026</v>
      </c>
      <c r="B27" s="1">
        <v>45750</v>
      </c>
      <c r="C27" s="4">
        <f>MONTH(datos_ventas[[#This Row],[Fecha]])</f>
        <v>4</v>
      </c>
      <c r="D27" s="4">
        <f>WEEKNUM(datos_ventas[[#This Row],[Fecha]],2)</f>
        <v>14</v>
      </c>
      <c r="E27" t="s">
        <v>16</v>
      </c>
      <c r="F27" t="s">
        <v>11</v>
      </c>
      <c r="G27">
        <v>3</v>
      </c>
      <c r="H27">
        <v>100652</v>
      </c>
      <c r="I27">
        <v>888</v>
      </c>
      <c r="J27" t="s">
        <v>32</v>
      </c>
      <c r="K27" t="str">
        <f>_xlfn.XLOOKUP(datos_ventas[[#This Row],[Ciudad]],Tabla2[Ciudades],Tabla2[Provincias],"no se encuentra")</f>
        <v>Barcelona</v>
      </c>
      <c r="L27" t="str">
        <f>_xlfn.XLOOKUP(datos_ventas[[#This Row],[Provincia]],Tabla2[Provincias],Tabla2[Comunidades],"no se encuentra")</f>
        <v>Cataluña</v>
      </c>
      <c r="M27" t="s">
        <v>15</v>
      </c>
      <c r="N27">
        <v>5</v>
      </c>
    </row>
    <row r="28" spans="1:14" x14ac:dyDescent="0.25">
      <c r="A28">
        <v>1027</v>
      </c>
      <c r="B28" s="1">
        <v>45659</v>
      </c>
      <c r="C28" s="4">
        <f>MONTH(datos_ventas[[#This Row],[Fecha]])</f>
        <v>1</v>
      </c>
      <c r="D28" s="4">
        <f>WEEKNUM(datos_ventas[[#This Row],[Fecha]],2)</f>
        <v>1</v>
      </c>
      <c r="E28" t="s">
        <v>10</v>
      </c>
      <c r="F28" t="s">
        <v>11</v>
      </c>
      <c r="G28">
        <v>2</v>
      </c>
      <c r="H28">
        <v>95194</v>
      </c>
      <c r="I28">
        <v>3344</v>
      </c>
      <c r="J28" t="s">
        <v>22</v>
      </c>
      <c r="K28" t="str">
        <f>_xlfn.XLOOKUP(datos_ventas[[#This Row],[Ciudad]],Tabla2[Ciudades],Tabla2[Provincias],"no se encuentra")</f>
        <v>Valencia</v>
      </c>
      <c r="L28" t="str">
        <f>_xlfn.XLOOKUP(datos_ventas[[#This Row],[Provincia]],Tabla2[Provincias],Tabla2[Comunidades],"no se encuentra")</f>
        <v>Comunidad Valenciana</v>
      </c>
      <c r="M28" t="s">
        <v>15</v>
      </c>
      <c r="N28">
        <v>3</v>
      </c>
    </row>
    <row r="29" spans="1:14" x14ac:dyDescent="0.25">
      <c r="A29">
        <v>1028</v>
      </c>
      <c r="B29" s="1">
        <v>45724</v>
      </c>
      <c r="C29" s="4">
        <f>MONTH(datos_ventas[[#This Row],[Fecha]])</f>
        <v>3</v>
      </c>
      <c r="D29" s="4">
        <f>WEEKNUM(datos_ventas[[#This Row],[Fecha]],2)</f>
        <v>10</v>
      </c>
      <c r="E29" t="s">
        <v>16</v>
      </c>
      <c r="F29" t="s">
        <v>11</v>
      </c>
      <c r="G29">
        <v>1</v>
      </c>
      <c r="H29">
        <v>6377</v>
      </c>
      <c r="I29">
        <v>848</v>
      </c>
      <c r="J29" t="s">
        <v>14</v>
      </c>
      <c r="K29" t="str">
        <f>_xlfn.XLOOKUP(datos_ventas[[#This Row],[Ciudad]],Tabla2[Ciudades],Tabla2[Provincias],"no se encuentra")</f>
        <v>Madrid</v>
      </c>
      <c r="L29" t="str">
        <f>_xlfn.XLOOKUP(datos_ventas[[#This Row],[Provincia]],Tabla2[Provincias],Tabla2[Comunidades],"no se encuentra")</f>
        <v>Comunidad de Madrid</v>
      </c>
      <c r="M29" t="s">
        <v>28</v>
      </c>
      <c r="N29">
        <v>1</v>
      </c>
    </row>
    <row r="30" spans="1:14" x14ac:dyDescent="0.25">
      <c r="A30">
        <v>1029</v>
      </c>
      <c r="B30" s="1">
        <v>45763</v>
      </c>
      <c r="C30" s="4">
        <f>MONTH(datos_ventas[[#This Row],[Fecha]])</f>
        <v>4</v>
      </c>
      <c r="D30" s="4">
        <f>WEEKNUM(datos_ventas[[#This Row],[Fecha]],2)</f>
        <v>16</v>
      </c>
      <c r="E30" t="s">
        <v>16</v>
      </c>
      <c r="F30" t="s">
        <v>11</v>
      </c>
      <c r="G30">
        <v>3</v>
      </c>
      <c r="H30">
        <v>48996</v>
      </c>
      <c r="I30">
        <v>3418</v>
      </c>
      <c r="J30" t="s">
        <v>22</v>
      </c>
      <c r="K30" t="str">
        <f>_xlfn.XLOOKUP(datos_ventas[[#This Row],[Ciudad]],Tabla2[Ciudades],Tabla2[Provincias],"no se encuentra")</f>
        <v>Valencia</v>
      </c>
      <c r="L30" t="str">
        <f>_xlfn.XLOOKUP(datos_ventas[[#This Row],[Provincia]],Tabla2[Provincias],Tabla2[Comunidades],"no se encuentra")</f>
        <v>Comunidad Valenciana</v>
      </c>
      <c r="M30" t="s">
        <v>19</v>
      </c>
      <c r="N30">
        <v>1</v>
      </c>
    </row>
    <row r="31" spans="1:14" x14ac:dyDescent="0.25">
      <c r="A31">
        <v>1030</v>
      </c>
      <c r="B31" s="1">
        <v>45795</v>
      </c>
      <c r="C31" s="4">
        <f>MONTH(datos_ventas[[#This Row],[Fecha]])</f>
        <v>5</v>
      </c>
      <c r="D31" s="4">
        <f>WEEKNUM(datos_ventas[[#This Row],[Fecha]],2)</f>
        <v>20</v>
      </c>
      <c r="E31" t="s">
        <v>29</v>
      </c>
      <c r="F31" t="s">
        <v>30</v>
      </c>
      <c r="G31">
        <v>1</v>
      </c>
      <c r="H31">
        <v>79392</v>
      </c>
      <c r="I31">
        <v>605</v>
      </c>
      <c r="J31" t="s">
        <v>31</v>
      </c>
      <c r="K31" t="str">
        <f>_xlfn.XLOOKUP(datos_ventas[[#This Row],[Ciudad]],Tabla2[Ciudades],Tabla2[Provincias],"no se encuentra")</f>
        <v>Vizcaya</v>
      </c>
      <c r="L31" t="str">
        <f>_xlfn.XLOOKUP(datos_ventas[[#This Row],[Provincia]],Tabla2[Provincias],Tabla2[Comunidades],"no se encuentra")</f>
        <v>País Vasco</v>
      </c>
      <c r="M31" t="s">
        <v>15</v>
      </c>
      <c r="N31">
        <v>3</v>
      </c>
    </row>
    <row r="32" spans="1:14" x14ac:dyDescent="0.25">
      <c r="A32">
        <v>1031</v>
      </c>
      <c r="B32" s="1">
        <v>45840</v>
      </c>
      <c r="C32" s="4">
        <f>MONTH(datos_ventas[[#This Row],[Fecha]])</f>
        <v>7</v>
      </c>
      <c r="D32" s="4">
        <f>WEEKNUM(datos_ventas[[#This Row],[Fecha]],2)</f>
        <v>27</v>
      </c>
      <c r="E32" t="s">
        <v>17</v>
      </c>
      <c r="F32" t="s">
        <v>18</v>
      </c>
      <c r="G32">
        <v>1</v>
      </c>
      <c r="H32">
        <v>100534</v>
      </c>
      <c r="I32">
        <v>1029</v>
      </c>
      <c r="J32" t="s">
        <v>27</v>
      </c>
      <c r="K32" t="str">
        <f>_xlfn.XLOOKUP(datos_ventas[[#This Row],[Ciudad]],Tabla2[Ciudades],Tabla2[Provincias],"no se encuentra")</f>
        <v>Sevilla</v>
      </c>
      <c r="L32" t="str">
        <f>_xlfn.XLOOKUP(datos_ventas[[#This Row],[Provincia]],Tabla2[Provincias],Tabla2[Comunidades],"no se encuentra")</f>
        <v>Andalucía</v>
      </c>
      <c r="M32" t="s">
        <v>15</v>
      </c>
      <c r="N32">
        <v>3</v>
      </c>
    </row>
    <row r="33" spans="1:14" x14ac:dyDescent="0.25">
      <c r="A33">
        <v>1032</v>
      </c>
      <c r="B33" s="1">
        <v>45930</v>
      </c>
      <c r="C33" s="4">
        <f>MONTH(datos_ventas[[#This Row],[Fecha]])</f>
        <v>9</v>
      </c>
      <c r="D33" s="4">
        <f>WEEKNUM(datos_ventas[[#This Row],[Fecha]],2)</f>
        <v>40</v>
      </c>
      <c r="E33" t="s">
        <v>26</v>
      </c>
      <c r="F33" t="s">
        <v>18</v>
      </c>
      <c r="G33">
        <v>2</v>
      </c>
      <c r="H33">
        <v>18672</v>
      </c>
      <c r="I33">
        <v>3501</v>
      </c>
      <c r="J33" t="s">
        <v>22</v>
      </c>
      <c r="K33" t="str">
        <f>_xlfn.XLOOKUP(datos_ventas[[#This Row],[Ciudad]],Tabla2[Ciudades],Tabla2[Provincias],"no se encuentra")</f>
        <v>Valencia</v>
      </c>
      <c r="L33" t="str">
        <f>_xlfn.XLOOKUP(datos_ventas[[#This Row],[Provincia]],Tabla2[Provincias],Tabla2[Comunidades],"no se encuentra")</f>
        <v>Comunidad Valenciana</v>
      </c>
      <c r="M33" t="s">
        <v>15</v>
      </c>
      <c r="N33">
        <v>1</v>
      </c>
    </row>
    <row r="34" spans="1:14" x14ac:dyDescent="0.25">
      <c r="A34">
        <v>1033</v>
      </c>
      <c r="B34" s="1">
        <v>45750</v>
      </c>
      <c r="C34" s="4">
        <f>MONTH(datos_ventas[[#This Row],[Fecha]])</f>
        <v>4</v>
      </c>
      <c r="D34" s="4">
        <f>WEEKNUM(datos_ventas[[#This Row],[Fecha]],2)</f>
        <v>14</v>
      </c>
      <c r="E34" t="s">
        <v>26</v>
      </c>
      <c r="F34" t="s">
        <v>18</v>
      </c>
      <c r="G34">
        <v>5</v>
      </c>
      <c r="H34">
        <v>109994</v>
      </c>
      <c r="I34">
        <v>407</v>
      </c>
      <c r="J34" t="s">
        <v>12</v>
      </c>
      <c r="K34" t="str">
        <f>_xlfn.XLOOKUP(datos_ventas[[#This Row],[Ciudad]],Tabla2[Ciudades],Tabla2[Provincias],"no se encuentra")</f>
        <v>Málaga</v>
      </c>
      <c r="L34" t="str">
        <f>_xlfn.XLOOKUP(datos_ventas[[#This Row],[Provincia]],Tabla2[Provincias],Tabla2[Comunidades],"no se encuentra")</f>
        <v>Andalucía</v>
      </c>
      <c r="M34" t="s">
        <v>28</v>
      </c>
      <c r="N34">
        <v>5</v>
      </c>
    </row>
    <row r="35" spans="1:14" x14ac:dyDescent="0.25">
      <c r="A35">
        <v>1034</v>
      </c>
      <c r="B35" s="1">
        <v>45773</v>
      </c>
      <c r="C35" s="4">
        <f>MONTH(datos_ventas[[#This Row],[Fecha]])</f>
        <v>4</v>
      </c>
      <c r="D35" s="4">
        <f>WEEKNUM(datos_ventas[[#This Row],[Fecha]],2)</f>
        <v>17</v>
      </c>
      <c r="E35" t="s">
        <v>26</v>
      </c>
      <c r="F35" t="s">
        <v>18</v>
      </c>
      <c r="G35">
        <v>1</v>
      </c>
      <c r="H35">
        <v>102568</v>
      </c>
      <c r="I35">
        <v>401</v>
      </c>
      <c r="J35" t="s">
        <v>12</v>
      </c>
      <c r="K35" t="str">
        <f>_xlfn.XLOOKUP(datos_ventas[[#This Row],[Ciudad]],Tabla2[Ciudades],Tabla2[Provincias],"no se encuentra")</f>
        <v>Málaga</v>
      </c>
      <c r="L35" t="str">
        <f>_xlfn.XLOOKUP(datos_ventas[[#This Row],[Provincia]],Tabla2[Provincias],Tabla2[Comunidades],"no se encuentra")</f>
        <v>Andalucía</v>
      </c>
      <c r="M35" t="s">
        <v>19</v>
      </c>
      <c r="N35">
        <v>5</v>
      </c>
    </row>
    <row r="36" spans="1:14" x14ac:dyDescent="0.25">
      <c r="A36">
        <v>1035</v>
      </c>
      <c r="B36" s="1">
        <v>45996</v>
      </c>
      <c r="C36" s="4">
        <f>MONTH(datos_ventas[[#This Row],[Fecha]])</f>
        <v>12</v>
      </c>
      <c r="D36" s="4">
        <f>WEEKNUM(datos_ventas[[#This Row],[Fecha]],2)</f>
        <v>49</v>
      </c>
      <c r="E36" t="s">
        <v>17</v>
      </c>
      <c r="F36" t="s">
        <v>18</v>
      </c>
      <c r="G36">
        <v>5</v>
      </c>
      <c r="H36">
        <v>117122</v>
      </c>
      <c r="I36">
        <v>2361</v>
      </c>
      <c r="J36" t="s">
        <v>32</v>
      </c>
      <c r="K36" t="str">
        <f>_xlfn.XLOOKUP(datos_ventas[[#This Row],[Ciudad]],Tabla2[Ciudades],Tabla2[Provincias],"no se encuentra")</f>
        <v>Barcelona</v>
      </c>
      <c r="L36" t="str">
        <f>_xlfn.XLOOKUP(datos_ventas[[#This Row],[Provincia]],Tabla2[Provincias],Tabla2[Comunidades],"no se encuentra")</f>
        <v>Cataluña</v>
      </c>
      <c r="M36" t="s">
        <v>15</v>
      </c>
      <c r="N36">
        <v>1</v>
      </c>
    </row>
    <row r="37" spans="1:14" x14ac:dyDescent="0.25">
      <c r="A37">
        <v>1036</v>
      </c>
      <c r="B37" s="1">
        <v>45895</v>
      </c>
      <c r="C37" s="4">
        <f>MONTH(datos_ventas[[#This Row],[Fecha]])</f>
        <v>8</v>
      </c>
      <c r="D37" s="4">
        <f>WEEKNUM(datos_ventas[[#This Row],[Fecha]],2)</f>
        <v>35</v>
      </c>
      <c r="E37" t="s">
        <v>17</v>
      </c>
      <c r="F37" t="s">
        <v>18</v>
      </c>
      <c r="G37">
        <v>3</v>
      </c>
      <c r="H37">
        <v>58211</v>
      </c>
      <c r="I37">
        <v>1531</v>
      </c>
      <c r="J37" t="s">
        <v>14</v>
      </c>
      <c r="K37" t="str">
        <f>_xlfn.XLOOKUP(datos_ventas[[#This Row],[Ciudad]],Tabla2[Ciudades],Tabla2[Provincias],"no se encuentra")</f>
        <v>Madrid</v>
      </c>
      <c r="L37" t="str">
        <f>_xlfn.XLOOKUP(datos_ventas[[#This Row],[Provincia]],Tabla2[Provincias],Tabla2[Comunidades],"no se encuentra")</f>
        <v>Comunidad de Madrid</v>
      </c>
      <c r="M37" t="s">
        <v>15</v>
      </c>
      <c r="N37">
        <v>3</v>
      </c>
    </row>
    <row r="38" spans="1:14" x14ac:dyDescent="0.25">
      <c r="A38">
        <v>1037</v>
      </c>
      <c r="B38" s="1">
        <v>45830</v>
      </c>
      <c r="C38" s="4">
        <f>MONTH(datos_ventas[[#This Row],[Fecha]])</f>
        <v>6</v>
      </c>
      <c r="D38" s="4">
        <f>WEEKNUM(datos_ventas[[#This Row],[Fecha]],2)</f>
        <v>25</v>
      </c>
      <c r="E38" t="s">
        <v>23</v>
      </c>
      <c r="F38" t="s">
        <v>18</v>
      </c>
      <c r="G38">
        <v>3</v>
      </c>
      <c r="H38">
        <v>16772</v>
      </c>
      <c r="I38">
        <v>4659</v>
      </c>
      <c r="J38" t="s">
        <v>31</v>
      </c>
      <c r="K38" t="str">
        <f>_xlfn.XLOOKUP(datos_ventas[[#This Row],[Ciudad]],Tabla2[Ciudades],Tabla2[Provincias],"no se encuentra")</f>
        <v>Vizcaya</v>
      </c>
      <c r="L38" t="str">
        <f>_xlfn.XLOOKUP(datos_ventas[[#This Row],[Provincia]],Tabla2[Provincias],Tabla2[Comunidades],"no se encuentra")</f>
        <v>País Vasco</v>
      </c>
      <c r="M38" t="s">
        <v>13</v>
      </c>
      <c r="N38">
        <v>1</v>
      </c>
    </row>
    <row r="39" spans="1:14" x14ac:dyDescent="0.25">
      <c r="A39">
        <v>1038</v>
      </c>
      <c r="B39" s="1">
        <v>45725</v>
      </c>
      <c r="C39" s="4">
        <f>MONTH(datos_ventas[[#This Row],[Fecha]])</f>
        <v>3</v>
      </c>
      <c r="D39" s="4">
        <f>WEEKNUM(datos_ventas[[#This Row],[Fecha]],2)</f>
        <v>10</v>
      </c>
      <c r="E39" t="s">
        <v>20</v>
      </c>
      <c r="F39" t="s">
        <v>21</v>
      </c>
      <c r="G39">
        <v>5</v>
      </c>
      <c r="H39">
        <v>77005</v>
      </c>
      <c r="I39">
        <v>2731</v>
      </c>
      <c r="J39" t="s">
        <v>32</v>
      </c>
      <c r="K39" t="str">
        <f>_xlfn.XLOOKUP(datos_ventas[[#This Row],[Ciudad]],Tabla2[Ciudades],Tabla2[Provincias],"no se encuentra")</f>
        <v>Barcelona</v>
      </c>
      <c r="L39" t="str">
        <f>_xlfn.XLOOKUP(datos_ventas[[#This Row],[Provincia]],Tabla2[Provincias],Tabla2[Comunidades],"no se encuentra")</f>
        <v>Cataluña</v>
      </c>
      <c r="M39" t="s">
        <v>19</v>
      </c>
      <c r="N39">
        <v>4</v>
      </c>
    </row>
    <row r="40" spans="1:14" x14ac:dyDescent="0.25">
      <c r="A40">
        <v>1039</v>
      </c>
      <c r="B40" s="1">
        <v>45875</v>
      </c>
      <c r="C40" s="4">
        <f>MONTH(datos_ventas[[#This Row],[Fecha]])</f>
        <v>8</v>
      </c>
      <c r="D40" s="4">
        <f>WEEKNUM(datos_ventas[[#This Row],[Fecha]],2)</f>
        <v>32</v>
      </c>
      <c r="E40" t="s">
        <v>10</v>
      </c>
      <c r="F40" t="s">
        <v>11</v>
      </c>
      <c r="G40">
        <v>1</v>
      </c>
      <c r="H40">
        <v>105223</v>
      </c>
      <c r="I40">
        <v>291</v>
      </c>
      <c r="J40" t="s">
        <v>12</v>
      </c>
      <c r="K40" t="str">
        <f>_xlfn.XLOOKUP(datos_ventas[[#This Row],[Ciudad]],Tabla2[Ciudades],Tabla2[Provincias],"no se encuentra")</f>
        <v>Málaga</v>
      </c>
      <c r="L40" t="str">
        <f>_xlfn.XLOOKUP(datos_ventas[[#This Row],[Provincia]],Tabla2[Provincias],Tabla2[Comunidades],"no se encuentra")</f>
        <v>Andalucía</v>
      </c>
      <c r="M40" t="s">
        <v>28</v>
      </c>
      <c r="N40">
        <v>2</v>
      </c>
    </row>
    <row r="41" spans="1:14" x14ac:dyDescent="0.25">
      <c r="A41">
        <v>1040</v>
      </c>
      <c r="B41" s="1">
        <v>45726</v>
      </c>
      <c r="C41" s="4">
        <f>MONTH(datos_ventas[[#This Row],[Fecha]])</f>
        <v>3</v>
      </c>
      <c r="D41" s="4">
        <f>WEEKNUM(datos_ventas[[#This Row],[Fecha]],2)</f>
        <v>11</v>
      </c>
      <c r="E41" t="s">
        <v>20</v>
      </c>
      <c r="F41" t="s">
        <v>21</v>
      </c>
      <c r="G41">
        <v>3</v>
      </c>
      <c r="H41">
        <v>1717</v>
      </c>
      <c r="I41">
        <v>1002</v>
      </c>
      <c r="J41" t="s">
        <v>22</v>
      </c>
      <c r="K41" t="str">
        <f>_xlfn.XLOOKUP(datos_ventas[[#This Row],[Ciudad]],Tabla2[Ciudades],Tabla2[Provincias],"no se encuentra")</f>
        <v>Valencia</v>
      </c>
      <c r="L41" t="str">
        <f>_xlfn.XLOOKUP(datos_ventas[[#This Row],[Provincia]],Tabla2[Provincias],Tabla2[Comunidades],"no se encuentra")</f>
        <v>Comunidad Valenciana</v>
      </c>
      <c r="M41" t="s">
        <v>15</v>
      </c>
      <c r="N41">
        <v>3</v>
      </c>
    </row>
    <row r="42" spans="1:14" x14ac:dyDescent="0.25">
      <c r="A42">
        <v>1041</v>
      </c>
      <c r="B42" s="1">
        <v>45862</v>
      </c>
      <c r="C42" s="4">
        <f>MONTH(datos_ventas[[#This Row],[Fecha]])</f>
        <v>7</v>
      </c>
      <c r="D42" s="4">
        <f>WEEKNUM(datos_ventas[[#This Row],[Fecha]],2)</f>
        <v>30</v>
      </c>
      <c r="E42" t="s">
        <v>24</v>
      </c>
      <c r="F42" t="s">
        <v>25</v>
      </c>
      <c r="G42">
        <v>1</v>
      </c>
      <c r="H42">
        <v>110773</v>
      </c>
      <c r="I42">
        <v>1741</v>
      </c>
      <c r="J42" t="s">
        <v>12</v>
      </c>
      <c r="K42" t="str">
        <f>_xlfn.XLOOKUP(datos_ventas[[#This Row],[Ciudad]],Tabla2[Ciudades],Tabla2[Provincias],"no se encuentra")</f>
        <v>Málaga</v>
      </c>
      <c r="L42" t="str">
        <f>_xlfn.XLOOKUP(datos_ventas[[#This Row],[Provincia]],Tabla2[Provincias],Tabla2[Comunidades],"no se encuentra")</f>
        <v>Andalucía</v>
      </c>
      <c r="M42" t="s">
        <v>15</v>
      </c>
      <c r="N42">
        <v>2</v>
      </c>
    </row>
    <row r="43" spans="1:14" x14ac:dyDescent="0.25">
      <c r="A43">
        <v>1042</v>
      </c>
      <c r="B43" s="1">
        <v>45755</v>
      </c>
      <c r="C43" s="4">
        <f>MONTH(datos_ventas[[#This Row],[Fecha]])</f>
        <v>4</v>
      </c>
      <c r="D43" s="4">
        <f>WEEKNUM(datos_ventas[[#This Row],[Fecha]],2)</f>
        <v>15</v>
      </c>
      <c r="E43" t="s">
        <v>17</v>
      </c>
      <c r="F43" t="s">
        <v>18</v>
      </c>
      <c r="G43">
        <v>4</v>
      </c>
      <c r="H43">
        <v>100471</v>
      </c>
      <c r="I43">
        <v>4374</v>
      </c>
      <c r="J43" t="s">
        <v>22</v>
      </c>
      <c r="K43" t="str">
        <f>_xlfn.XLOOKUP(datos_ventas[[#This Row],[Ciudad]],Tabla2[Ciudades],Tabla2[Provincias],"no se encuentra")</f>
        <v>Valencia</v>
      </c>
      <c r="L43" t="str">
        <f>_xlfn.XLOOKUP(datos_ventas[[#This Row],[Provincia]],Tabla2[Provincias],Tabla2[Comunidades],"no se encuentra")</f>
        <v>Comunidad Valenciana</v>
      </c>
      <c r="M43" t="s">
        <v>28</v>
      </c>
      <c r="N43">
        <v>1</v>
      </c>
    </row>
    <row r="44" spans="1:14" x14ac:dyDescent="0.25">
      <c r="A44">
        <v>1043</v>
      </c>
      <c r="B44" s="1">
        <v>45756</v>
      </c>
      <c r="C44" s="4">
        <f>MONTH(datos_ventas[[#This Row],[Fecha]])</f>
        <v>4</v>
      </c>
      <c r="D44" s="4">
        <f>WEEKNUM(datos_ventas[[#This Row],[Fecha]],2)</f>
        <v>15</v>
      </c>
      <c r="E44" t="s">
        <v>10</v>
      </c>
      <c r="F44" t="s">
        <v>11</v>
      </c>
      <c r="G44">
        <v>1</v>
      </c>
      <c r="H44">
        <v>34025</v>
      </c>
      <c r="I44">
        <v>1643</v>
      </c>
      <c r="J44" t="s">
        <v>32</v>
      </c>
      <c r="K44" t="str">
        <f>_xlfn.XLOOKUP(datos_ventas[[#This Row],[Ciudad]],Tabla2[Ciudades],Tabla2[Provincias],"no se encuentra")</f>
        <v>Barcelona</v>
      </c>
      <c r="L44" t="str">
        <f>_xlfn.XLOOKUP(datos_ventas[[#This Row],[Provincia]],Tabla2[Provincias],Tabla2[Comunidades],"no se encuentra")</f>
        <v>Cataluña</v>
      </c>
      <c r="M44" t="s">
        <v>13</v>
      </c>
      <c r="N44">
        <v>3</v>
      </c>
    </row>
    <row r="45" spans="1:14" x14ac:dyDescent="0.25">
      <c r="A45">
        <v>1044</v>
      </c>
      <c r="B45" s="1">
        <v>45663</v>
      </c>
      <c r="C45" s="4">
        <f>MONTH(datos_ventas[[#This Row],[Fecha]])</f>
        <v>1</v>
      </c>
      <c r="D45" s="4">
        <f>WEEKNUM(datos_ventas[[#This Row],[Fecha]],2)</f>
        <v>2</v>
      </c>
      <c r="E45" t="s">
        <v>20</v>
      </c>
      <c r="F45" t="s">
        <v>21</v>
      </c>
      <c r="G45">
        <v>5</v>
      </c>
      <c r="H45">
        <v>86088</v>
      </c>
      <c r="I45">
        <v>1218</v>
      </c>
      <c r="J45" t="s">
        <v>14</v>
      </c>
      <c r="K45" t="str">
        <f>_xlfn.XLOOKUP(datos_ventas[[#This Row],[Ciudad]],Tabla2[Ciudades],Tabla2[Provincias],"no se encuentra")</f>
        <v>Madrid</v>
      </c>
      <c r="L45" t="str">
        <f>_xlfn.XLOOKUP(datos_ventas[[#This Row],[Provincia]],Tabla2[Provincias],Tabla2[Comunidades],"no se encuentra")</f>
        <v>Comunidad de Madrid</v>
      </c>
      <c r="M45" t="s">
        <v>28</v>
      </c>
      <c r="N45">
        <v>2</v>
      </c>
    </row>
    <row r="46" spans="1:14" x14ac:dyDescent="0.25">
      <c r="A46">
        <v>1045</v>
      </c>
      <c r="B46" s="1">
        <v>45807</v>
      </c>
      <c r="C46" s="4">
        <f>MONTH(datos_ventas[[#This Row],[Fecha]])</f>
        <v>5</v>
      </c>
      <c r="D46" s="4">
        <f>WEEKNUM(datos_ventas[[#This Row],[Fecha]],2)</f>
        <v>22</v>
      </c>
      <c r="E46" t="s">
        <v>23</v>
      </c>
      <c r="F46" t="s">
        <v>18</v>
      </c>
      <c r="G46">
        <v>2</v>
      </c>
      <c r="H46">
        <v>60416</v>
      </c>
      <c r="I46">
        <v>2406</v>
      </c>
      <c r="J46" t="s">
        <v>12</v>
      </c>
      <c r="K46" t="str">
        <f>_xlfn.XLOOKUP(datos_ventas[[#This Row],[Ciudad]],Tabla2[Ciudades],Tabla2[Provincias],"no se encuentra")</f>
        <v>Málaga</v>
      </c>
      <c r="L46" t="str">
        <f>_xlfn.XLOOKUP(datos_ventas[[#This Row],[Provincia]],Tabla2[Provincias],Tabla2[Comunidades],"no se encuentra")</f>
        <v>Andalucía</v>
      </c>
      <c r="M46" t="s">
        <v>15</v>
      </c>
      <c r="N46">
        <v>1</v>
      </c>
    </row>
    <row r="47" spans="1:14" x14ac:dyDescent="0.25">
      <c r="A47">
        <v>1046</v>
      </c>
      <c r="B47" s="1">
        <v>45713</v>
      </c>
      <c r="C47" s="4">
        <f>MONTH(datos_ventas[[#This Row],[Fecha]])</f>
        <v>2</v>
      </c>
      <c r="D47" s="4">
        <f>WEEKNUM(datos_ventas[[#This Row],[Fecha]],2)</f>
        <v>9</v>
      </c>
      <c r="E47" t="s">
        <v>10</v>
      </c>
      <c r="F47" t="s">
        <v>11</v>
      </c>
      <c r="G47">
        <v>4</v>
      </c>
      <c r="H47">
        <v>98717</v>
      </c>
      <c r="I47">
        <v>3111</v>
      </c>
      <c r="J47" t="s">
        <v>22</v>
      </c>
      <c r="K47" t="str">
        <f>_xlfn.XLOOKUP(datos_ventas[[#This Row],[Ciudad]],Tabla2[Ciudades],Tabla2[Provincias],"no se encuentra")</f>
        <v>Valencia</v>
      </c>
      <c r="L47" t="str">
        <f>_xlfn.XLOOKUP(datos_ventas[[#This Row],[Provincia]],Tabla2[Provincias],Tabla2[Comunidades],"no se encuentra")</f>
        <v>Comunidad Valenciana</v>
      </c>
      <c r="M47" t="s">
        <v>19</v>
      </c>
      <c r="N47">
        <v>5</v>
      </c>
    </row>
    <row r="48" spans="1:14" x14ac:dyDescent="0.25">
      <c r="A48">
        <v>1047</v>
      </c>
      <c r="B48" s="1">
        <v>45666</v>
      </c>
      <c r="C48" s="4">
        <f>MONTH(datos_ventas[[#This Row],[Fecha]])</f>
        <v>1</v>
      </c>
      <c r="D48" s="4">
        <f>WEEKNUM(datos_ventas[[#This Row],[Fecha]],2)</f>
        <v>2</v>
      </c>
      <c r="E48" t="s">
        <v>23</v>
      </c>
      <c r="F48" t="s">
        <v>18</v>
      </c>
      <c r="G48">
        <v>4</v>
      </c>
      <c r="H48">
        <v>77442</v>
      </c>
      <c r="I48">
        <v>4204</v>
      </c>
      <c r="J48" t="s">
        <v>31</v>
      </c>
      <c r="K48" t="str">
        <f>_xlfn.XLOOKUP(datos_ventas[[#This Row],[Ciudad]],Tabla2[Ciudades],Tabla2[Provincias],"no se encuentra")</f>
        <v>Vizcaya</v>
      </c>
      <c r="L48" t="str">
        <f>_xlfn.XLOOKUP(datos_ventas[[#This Row],[Provincia]],Tabla2[Provincias],Tabla2[Comunidades],"no se encuentra")</f>
        <v>País Vasco</v>
      </c>
      <c r="M48" t="s">
        <v>15</v>
      </c>
      <c r="N48">
        <v>2</v>
      </c>
    </row>
    <row r="49" spans="1:14" x14ac:dyDescent="0.25">
      <c r="A49">
        <v>1048</v>
      </c>
      <c r="B49" s="1">
        <v>45965</v>
      </c>
      <c r="C49" s="4">
        <f>MONTH(datos_ventas[[#This Row],[Fecha]])</f>
        <v>11</v>
      </c>
      <c r="D49" s="4">
        <f>WEEKNUM(datos_ventas[[#This Row],[Fecha]],2)</f>
        <v>45</v>
      </c>
      <c r="E49" t="s">
        <v>10</v>
      </c>
      <c r="F49" t="s">
        <v>11</v>
      </c>
      <c r="G49">
        <v>5</v>
      </c>
      <c r="H49">
        <v>47372</v>
      </c>
      <c r="I49">
        <v>2299</v>
      </c>
      <c r="J49" t="s">
        <v>14</v>
      </c>
      <c r="K49" t="str">
        <f>_xlfn.XLOOKUP(datos_ventas[[#This Row],[Ciudad]],Tabla2[Ciudades],Tabla2[Provincias],"no se encuentra")</f>
        <v>Madrid</v>
      </c>
      <c r="L49" t="str">
        <f>_xlfn.XLOOKUP(datos_ventas[[#This Row],[Provincia]],Tabla2[Provincias],Tabla2[Comunidades],"no se encuentra")</f>
        <v>Comunidad de Madrid</v>
      </c>
      <c r="M49" t="s">
        <v>19</v>
      </c>
      <c r="N49">
        <v>3</v>
      </c>
    </row>
    <row r="50" spans="1:14" x14ac:dyDescent="0.25">
      <c r="A50">
        <v>1049</v>
      </c>
      <c r="B50" s="1">
        <v>45720</v>
      </c>
      <c r="C50" s="4">
        <f>MONTH(datos_ventas[[#This Row],[Fecha]])</f>
        <v>3</v>
      </c>
      <c r="D50" s="4">
        <f>WEEKNUM(datos_ventas[[#This Row],[Fecha]],2)</f>
        <v>10</v>
      </c>
      <c r="E50" t="s">
        <v>10</v>
      </c>
      <c r="F50" t="s">
        <v>11</v>
      </c>
      <c r="G50">
        <v>1</v>
      </c>
      <c r="H50">
        <v>5146</v>
      </c>
      <c r="I50">
        <v>4079</v>
      </c>
      <c r="J50" t="s">
        <v>31</v>
      </c>
      <c r="K50" t="str">
        <f>_xlfn.XLOOKUP(datos_ventas[[#This Row],[Ciudad]],Tabla2[Ciudades],Tabla2[Provincias],"no se encuentra")</f>
        <v>Vizcaya</v>
      </c>
      <c r="L50" t="str">
        <f>_xlfn.XLOOKUP(datos_ventas[[#This Row],[Provincia]],Tabla2[Provincias],Tabla2[Comunidades],"no se encuentra")</f>
        <v>País Vasco</v>
      </c>
      <c r="M50" t="s">
        <v>19</v>
      </c>
      <c r="N50">
        <v>1</v>
      </c>
    </row>
    <row r="51" spans="1:14" x14ac:dyDescent="0.25">
      <c r="A51">
        <v>1050</v>
      </c>
      <c r="B51" s="1">
        <v>45672</v>
      </c>
      <c r="C51" s="4">
        <f>MONTH(datos_ventas[[#This Row],[Fecha]])</f>
        <v>1</v>
      </c>
      <c r="D51" s="4">
        <f>WEEKNUM(datos_ventas[[#This Row],[Fecha]],2)</f>
        <v>3</v>
      </c>
      <c r="E51" t="s">
        <v>23</v>
      </c>
      <c r="F51" t="s">
        <v>18</v>
      </c>
      <c r="G51">
        <v>2</v>
      </c>
      <c r="H51">
        <v>53084</v>
      </c>
      <c r="I51">
        <v>4506</v>
      </c>
      <c r="J51" t="s">
        <v>14</v>
      </c>
      <c r="K51" t="str">
        <f>_xlfn.XLOOKUP(datos_ventas[[#This Row],[Ciudad]],Tabla2[Ciudades],Tabla2[Provincias],"no se encuentra")</f>
        <v>Madrid</v>
      </c>
      <c r="L51" t="str">
        <f>_xlfn.XLOOKUP(datos_ventas[[#This Row],[Provincia]],Tabla2[Provincias],Tabla2[Comunidades],"no se encuentra")</f>
        <v>Comunidad de Madrid</v>
      </c>
      <c r="M51" t="s">
        <v>13</v>
      </c>
      <c r="N51">
        <v>5</v>
      </c>
    </row>
    <row r="52" spans="1:14" x14ac:dyDescent="0.25">
      <c r="A52">
        <v>1051</v>
      </c>
      <c r="B52" s="1">
        <v>45747</v>
      </c>
      <c r="C52" s="4">
        <f>MONTH(datos_ventas[[#This Row],[Fecha]])</f>
        <v>3</v>
      </c>
      <c r="D52" s="4">
        <f>WEEKNUM(datos_ventas[[#This Row],[Fecha]],2)</f>
        <v>14</v>
      </c>
      <c r="E52" t="s">
        <v>10</v>
      </c>
      <c r="F52" t="s">
        <v>11</v>
      </c>
      <c r="G52">
        <v>2</v>
      </c>
      <c r="H52">
        <v>6564</v>
      </c>
      <c r="I52">
        <v>4523</v>
      </c>
      <c r="J52" t="s">
        <v>31</v>
      </c>
      <c r="K52" t="str">
        <f>_xlfn.XLOOKUP(datos_ventas[[#This Row],[Ciudad]],Tabla2[Ciudades],Tabla2[Provincias],"no se encuentra")</f>
        <v>Vizcaya</v>
      </c>
      <c r="L52" t="str">
        <f>_xlfn.XLOOKUP(datos_ventas[[#This Row],[Provincia]],Tabla2[Provincias],Tabla2[Comunidades],"no se encuentra")</f>
        <v>País Vasco</v>
      </c>
      <c r="M52" t="s">
        <v>28</v>
      </c>
      <c r="N52">
        <v>3</v>
      </c>
    </row>
    <row r="53" spans="1:14" x14ac:dyDescent="0.25">
      <c r="A53">
        <v>1052</v>
      </c>
      <c r="B53" s="1">
        <v>45851</v>
      </c>
      <c r="C53" s="4">
        <f>MONTH(datos_ventas[[#This Row],[Fecha]])</f>
        <v>7</v>
      </c>
      <c r="D53" s="4">
        <f>WEEKNUM(datos_ventas[[#This Row],[Fecha]],2)</f>
        <v>28</v>
      </c>
      <c r="E53" t="s">
        <v>24</v>
      </c>
      <c r="F53" t="s">
        <v>25</v>
      </c>
      <c r="G53">
        <v>3</v>
      </c>
      <c r="H53">
        <v>52572</v>
      </c>
      <c r="I53">
        <v>635</v>
      </c>
      <c r="J53" t="s">
        <v>12</v>
      </c>
      <c r="K53" t="str">
        <f>_xlfn.XLOOKUP(datos_ventas[[#This Row],[Ciudad]],Tabla2[Ciudades],Tabla2[Provincias],"no se encuentra")</f>
        <v>Málaga</v>
      </c>
      <c r="L53" t="str">
        <f>_xlfn.XLOOKUP(datos_ventas[[#This Row],[Provincia]],Tabla2[Provincias],Tabla2[Comunidades],"no se encuentra")</f>
        <v>Andalucía</v>
      </c>
      <c r="M53" t="s">
        <v>13</v>
      </c>
      <c r="N53">
        <v>4</v>
      </c>
    </row>
    <row r="54" spans="1:14" x14ac:dyDescent="0.25">
      <c r="A54">
        <v>1053</v>
      </c>
      <c r="B54" s="1">
        <v>45840</v>
      </c>
      <c r="C54" s="4">
        <f>MONTH(datos_ventas[[#This Row],[Fecha]])</f>
        <v>7</v>
      </c>
      <c r="D54" s="4">
        <f>WEEKNUM(datos_ventas[[#This Row],[Fecha]],2)</f>
        <v>27</v>
      </c>
      <c r="E54" t="s">
        <v>20</v>
      </c>
      <c r="F54" t="s">
        <v>21</v>
      </c>
      <c r="G54">
        <v>5</v>
      </c>
      <c r="H54">
        <v>78109</v>
      </c>
      <c r="I54">
        <v>2245</v>
      </c>
      <c r="J54" t="s">
        <v>32</v>
      </c>
      <c r="K54" t="str">
        <f>_xlfn.XLOOKUP(datos_ventas[[#This Row],[Ciudad]],Tabla2[Ciudades],Tabla2[Provincias],"no se encuentra")</f>
        <v>Barcelona</v>
      </c>
      <c r="L54" t="str">
        <f>_xlfn.XLOOKUP(datos_ventas[[#This Row],[Provincia]],Tabla2[Provincias],Tabla2[Comunidades],"no se encuentra")</f>
        <v>Cataluña</v>
      </c>
      <c r="M54" t="s">
        <v>13</v>
      </c>
      <c r="N54">
        <v>4</v>
      </c>
    </row>
    <row r="55" spans="1:14" x14ac:dyDescent="0.25">
      <c r="A55">
        <v>1054</v>
      </c>
      <c r="B55" s="1">
        <v>45839</v>
      </c>
      <c r="C55" s="4">
        <f>MONTH(datos_ventas[[#This Row],[Fecha]])</f>
        <v>7</v>
      </c>
      <c r="D55" s="4">
        <f>WEEKNUM(datos_ventas[[#This Row],[Fecha]],2)</f>
        <v>27</v>
      </c>
      <c r="E55" t="s">
        <v>10</v>
      </c>
      <c r="F55" t="s">
        <v>11</v>
      </c>
      <c r="G55">
        <v>1</v>
      </c>
      <c r="H55">
        <v>60879</v>
      </c>
      <c r="I55">
        <v>2269</v>
      </c>
      <c r="J55" t="s">
        <v>22</v>
      </c>
      <c r="K55" t="str">
        <f>_xlfn.XLOOKUP(datos_ventas[[#This Row],[Ciudad]],Tabla2[Ciudades],Tabla2[Provincias],"no se encuentra")</f>
        <v>Valencia</v>
      </c>
      <c r="L55" t="str">
        <f>_xlfn.XLOOKUP(datos_ventas[[#This Row],[Provincia]],Tabla2[Provincias],Tabla2[Comunidades],"no se encuentra")</f>
        <v>Comunidad Valenciana</v>
      </c>
      <c r="M55" t="s">
        <v>28</v>
      </c>
      <c r="N55">
        <v>2</v>
      </c>
    </row>
    <row r="56" spans="1:14" x14ac:dyDescent="0.25">
      <c r="A56">
        <v>1055</v>
      </c>
      <c r="B56" s="1">
        <v>45832</v>
      </c>
      <c r="C56" s="4">
        <f>MONTH(datos_ventas[[#This Row],[Fecha]])</f>
        <v>6</v>
      </c>
      <c r="D56" s="4">
        <f>WEEKNUM(datos_ventas[[#This Row],[Fecha]],2)</f>
        <v>26</v>
      </c>
      <c r="E56" t="s">
        <v>17</v>
      </c>
      <c r="F56" t="s">
        <v>18</v>
      </c>
      <c r="G56">
        <v>5</v>
      </c>
      <c r="H56">
        <v>24395</v>
      </c>
      <c r="I56">
        <v>1699</v>
      </c>
      <c r="J56" t="s">
        <v>12</v>
      </c>
      <c r="K56" t="str">
        <f>_xlfn.XLOOKUP(datos_ventas[[#This Row],[Ciudad]],Tabla2[Ciudades],Tabla2[Provincias],"no se encuentra")</f>
        <v>Málaga</v>
      </c>
      <c r="L56" t="str">
        <f>_xlfn.XLOOKUP(datos_ventas[[#This Row],[Provincia]],Tabla2[Provincias],Tabla2[Comunidades],"no se encuentra")</f>
        <v>Andalucía</v>
      </c>
      <c r="M56" t="s">
        <v>13</v>
      </c>
      <c r="N56">
        <v>4</v>
      </c>
    </row>
    <row r="57" spans="1:14" x14ac:dyDescent="0.25">
      <c r="A57">
        <v>1056</v>
      </c>
      <c r="B57" s="1">
        <v>45940</v>
      </c>
      <c r="C57" s="4">
        <f>MONTH(datos_ventas[[#This Row],[Fecha]])</f>
        <v>10</v>
      </c>
      <c r="D57" s="4">
        <f>WEEKNUM(datos_ventas[[#This Row],[Fecha]],2)</f>
        <v>41</v>
      </c>
      <c r="E57" t="s">
        <v>17</v>
      </c>
      <c r="F57" t="s">
        <v>18</v>
      </c>
      <c r="G57">
        <v>3</v>
      </c>
      <c r="H57">
        <v>84276</v>
      </c>
      <c r="I57">
        <v>3262</v>
      </c>
      <c r="J57" t="s">
        <v>12</v>
      </c>
      <c r="K57" t="str">
        <f>_xlfn.XLOOKUP(datos_ventas[[#This Row],[Ciudad]],Tabla2[Ciudades],Tabla2[Provincias],"no se encuentra")</f>
        <v>Málaga</v>
      </c>
      <c r="L57" t="str">
        <f>_xlfn.XLOOKUP(datos_ventas[[#This Row],[Provincia]],Tabla2[Provincias],Tabla2[Comunidades],"no se encuentra")</f>
        <v>Andalucía</v>
      </c>
      <c r="M57" t="s">
        <v>19</v>
      </c>
      <c r="N57">
        <v>3</v>
      </c>
    </row>
    <row r="58" spans="1:14" x14ac:dyDescent="0.25">
      <c r="A58">
        <v>1057</v>
      </c>
      <c r="B58" s="1">
        <v>45899</v>
      </c>
      <c r="C58" s="4">
        <f>MONTH(datos_ventas[[#This Row],[Fecha]])</f>
        <v>8</v>
      </c>
      <c r="D58" s="4">
        <f>WEEKNUM(datos_ventas[[#This Row],[Fecha]],2)</f>
        <v>35</v>
      </c>
      <c r="E58" t="s">
        <v>24</v>
      </c>
      <c r="F58" t="s">
        <v>25</v>
      </c>
      <c r="G58">
        <v>5</v>
      </c>
      <c r="H58">
        <v>21382</v>
      </c>
      <c r="I58">
        <v>794</v>
      </c>
      <c r="J58" t="s">
        <v>14</v>
      </c>
      <c r="K58" t="str">
        <f>_xlfn.XLOOKUP(datos_ventas[[#This Row],[Ciudad]],Tabla2[Ciudades],Tabla2[Provincias],"no se encuentra")</f>
        <v>Madrid</v>
      </c>
      <c r="L58" t="str">
        <f>_xlfn.XLOOKUP(datos_ventas[[#This Row],[Provincia]],Tabla2[Provincias],Tabla2[Comunidades],"no se encuentra")</f>
        <v>Comunidad de Madrid</v>
      </c>
      <c r="M58" t="s">
        <v>13</v>
      </c>
      <c r="N58">
        <v>1</v>
      </c>
    </row>
    <row r="59" spans="1:14" x14ac:dyDescent="0.25">
      <c r="A59">
        <v>1058</v>
      </c>
      <c r="B59" s="1">
        <v>45805</v>
      </c>
      <c r="C59" s="4">
        <f>MONTH(datos_ventas[[#This Row],[Fecha]])</f>
        <v>5</v>
      </c>
      <c r="D59" s="4">
        <f>WEEKNUM(datos_ventas[[#This Row],[Fecha]],2)</f>
        <v>22</v>
      </c>
      <c r="E59" t="s">
        <v>24</v>
      </c>
      <c r="F59" t="s">
        <v>25</v>
      </c>
      <c r="G59">
        <v>4</v>
      </c>
      <c r="H59">
        <v>33552</v>
      </c>
      <c r="I59">
        <v>4819</v>
      </c>
      <c r="J59" t="s">
        <v>12</v>
      </c>
      <c r="K59" t="str">
        <f>_xlfn.XLOOKUP(datos_ventas[[#This Row],[Ciudad]],Tabla2[Ciudades],Tabla2[Provincias],"no se encuentra")</f>
        <v>Málaga</v>
      </c>
      <c r="L59" t="str">
        <f>_xlfn.XLOOKUP(datos_ventas[[#This Row],[Provincia]],Tabla2[Provincias],Tabla2[Comunidades],"no se encuentra")</f>
        <v>Andalucía</v>
      </c>
      <c r="M59" t="s">
        <v>19</v>
      </c>
      <c r="N59">
        <v>1</v>
      </c>
    </row>
    <row r="60" spans="1:14" x14ac:dyDescent="0.25">
      <c r="A60">
        <v>1059</v>
      </c>
      <c r="B60" s="1">
        <v>45674</v>
      </c>
      <c r="C60" s="4">
        <f>MONTH(datos_ventas[[#This Row],[Fecha]])</f>
        <v>1</v>
      </c>
      <c r="D60" s="4">
        <f>WEEKNUM(datos_ventas[[#This Row],[Fecha]],2)</f>
        <v>3</v>
      </c>
      <c r="E60" t="s">
        <v>23</v>
      </c>
      <c r="F60" t="s">
        <v>18</v>
      </c>
      <c r="G60">
        <v>4</v>
      </c>
      <c r="H60">
        <v>54334</v>
      </c>
      <c r="I60">
        <v>2462</v>
      </c>
      <c r="J60" t="s">
        <v>14</v>
      </c>
      <c r="K60" t="str">
        <f>_xlfn.XLOOKUP(datos_ventas[[#This Row],[Ciudad]],Tabla2[Ciudades],Tabla2[Provincias],"no se encuentra")</f>
        <v>Madrid</v>
      </c>
      <c r="L60" t="str">
        <f>_xlfn.XLOOKUP(datos_ventas[[#This Row],[Provincia]],Tabla2[Provincias],Tabla2[Comunidades],"no se encuentra")</f>
        <v>Comunidad de Madrid</v>
      </c>
      <c r="M60" t="s">
        <v>15</v>
      </c>
      <c r="N60">
        <v>4</v>
      </c>
    </row>
    <row r="61" spans="1:14" x14ac:dyDescent="0.25">
      <c r="A61">
        <v>1060</v>
      </c>
      <c r="B61" s="1">
        <v>45818</v>
      </c>
      <c r="C61" s="4">
        <f>MONTH(datos_ventas[[#This Row],[Fecha]])</f>
        <v>6</v>
      </c>
      <c r="D61" s="4">
        <f>WEEKNUM(datos_ventas[[#This Row],[Fecha]],2)</f>
        <v>24</v>
      </c>
      <c r="E61" t="s">
        <v>29</v>
      </c>
      <c r="F61" t="s">
        <v>30</v>
      </c>
      <c r="G61">
        <v>5</v>
      </c>
      <c r="H61">
        <v>87912</v>
      </c>
      <c r="I61">
        <v>3877</v>
      </c>
      <c r="J61" t="s">
        <v>31</v>
      </c>
      <c r="K61" t="str">
        <f>_xlfn.XLOOKUP(datos_ventas[[#This Row],[Ciudad]],Tabla2[Ciudades],Tabla2[Provincias],"no se encuentra")</f>
        <v>Vizcaya</v>
      </c>
      <c r="L61" t="str">
        <f>_xlfn.XLOOKUP(datos_ventas[[#This Row],[Provincia]],Tabla2[Provincias],Tabla2[Comunidades],"no se encuentra")</f>
        <v>País Vasco</v>
      </c>
      <c r="M61" t="s">
        <v>28</v>
      </c>
      <c r="N61">
        <v>2</v>
      </c>
    </row>
    <row r="62" spans="1:14" x14ac:dyDescent="0.25">
      <c r="A62">
        <v>1061</v>
      </c>
      <c r="B62" s="1">
        <v>45754</v>
      </c>
      <c r="C62" s="4">
        <f>MONTH(datos_ventas[[#This Row],[Fecha]])</f>
        <v>4</v>
      </c>
      <c r="D62" s="4">
        <f>WEEKNUM(datos_ventas[[#This Row],[Fecha]],2)</f>
        <v>15</v>
      </c>
      <c r="E62" t="s">
        <v>10</v>
      </c>
      <c r="F62" t="s">
        <v>11</v>
      </c>
      <c r="G62">
        <v>5</v>
      </c>
      <c r="H62">
        <v>3167</v>
      </c>
      <c r="I62">
        <v>4515</v>
      </c>
      <c r="J62" t="s">
        <v>27</v>
      </c>
      <c r="K62" t="str">
        <f>_xlfn.XLOOKUP(datos_ventas[[#This Row],[Ciudad]],Tabla2[Ciudades],Tabla2[Provincias],"no se encuentra")</f>
        <v>Sevilla</v>
      </c>
      <c r="L62" t="str">
        <f>_xlfn.XLOOKUP(datos_ventas[[#This Row],[Provincia]],Tabla2[Provincias],Tabla2[Comunidades],"no se encuentra")</f>
        <v>Andalucía</v>
      </c>
      <c r="M62" t="s">
        <v>19</v>
      </c>
      <c r="N62">
        <v>2</v>
      </c>
    </row>
    <row r="63" spans="1:14" x14ac:dyDescent="0.25">
      <c r="A63">
        <v>1062</v>
      </c>
      <c r="B63" s="1">
        <v>45948</v>
      </c>
      <c r="C63" s="4">
        <f>MONTH(datos_ventas[[#This Row],[Fecha]])</f>
        <v>10</v>
      </c>
      <c r="D63" s="4">
        <f>WEEKNUM(datos_ventas[[#This Row],[Fecha]],2)</f>
        <v>42</v>
      </c>
      <c r="E63" t="s">
        <v>17</v>
      </c>
      <c r="F63" t="s">
        <v>18</v>
      </c>
      <c r="G63">
        <v>1</v>
      </c>
      <c r="H63">
        <v>93336</v>
      </c>
      <c r="I63">
        <v>3194</v>
      </c>
      <c r="J63" t="s">
        <v>32</v>
      </c>
      <c r="K63" t="str">
        <f>_xlfn.XLOOKUP(datos_ventas[[#This Row],[Ciudad]],Tabla2[Ciudades],Tabla2[Provincias],"no se encuentra")</f>
        <v>Barcelona</v>
      </c>
      <c r="L63" t="str">
        <f>_xlfn.XLOOKUP(datos_ventas[[#This Row],[Provincia]],Tabla2[Provincias],Tabla2[Comunidades],"no se encuentra")</f>
        <v>Cataluña</v>
      </c>
      <c r="M63" t="s">
        <v>28</v>
      </c>
      <c r="N63">
        <v>2</v>
      </c>
    </row>
    <row r="64" spans="1:14" x14ac:dyDescent="0.25">
      <c r="A64">
        <v>1063</v>
      </c>
      <c r="B64" s="1">
        <v>45873</v>
      </c>
      <c r="C64" s="4">
        <f>MONTH(datos_ventas[[#This Row],[Fecha]])</f>
        <v>8</v>
      </c>
      <c r="D64" s="4">
        <f>WEEKNUM(datos_ventas[[#This Row],[Fecha]],2)</f>
        <v>32</v>
      </c>
      <c r="E64" t="s">
        <v>20</v>
      </c>
      <c r="F64" t="s">
        <v>21</v>
      </c>
      <c r="G64">
        <v>3</v>
      </c>
      <c r="H64">
        <v>44444</v>
      </c>
      <c r="I64">
        <v>3601</v>
      </c>
      <c r="J64" t="s">
        <v>31</v>
      </c>
      <c r="K64" t="str">
        <f>_xlfn.XLOOKUP(datos_ventas[[#This Row],[Ciudad]],Tabla2[Ciudades],Tabla2[Provincias],"no se encuentra")</f>
        <v>Vizcaya</v>
      </c>
      <c r="L64" t="str">
        <f>_xlfn.XLOOKUP(datos_ventas[[#This Row],[Provincia]],Tabla2[Provincias],Tabla2[Comunidades],"no se encuentra")</f>
        <v>País Vasco</v>
      </c>
      <c r="M64" t="s">
        <v>19</v>
      </c>
      <c r="N64">
        <v>1</v>
      </c>
    </row>
    <row r="65" spans="1:14" x14ac:dyDescent="0.25">
      <c r="A65">
        <v>1064</v>
      </c>
      <c r="B65" s="1">
        <v>45733</v>
      </c>
      <c r="C65" s="4">
        <f>MONTH(datos_ventas[[#This Row],[Fecha]])</f>
        <v>3</v>
      </c>
      <c r="D65" s="4">
        <f>WEEKNUM(datos_ventas[[#This Row],[Fecha]],2)</f>
        <v>12</v>
      </c>
      <c r="E65" t="s">
        <v>17</v>
      </c>
      <c r="F65" t="s">
        <v>18</v>
      </c>
      <c r="G65">
        <v>5</v>
      </c>
      <c r="H65">
        <v>56137</v>
      </c>
      <c r="I65">
        <v>2634</v>
      </c>
      <c r="J65" t="s">
        <v>31</v>
      </c>
      <c r="K65" t="str">
        <f>_xlfn.XLOOKUP(datos_ventas[[#This Row],[Ciudad]],Tabla2[Ciudades],Tabla2[Provincias],"no se encuentra")</f>
        <v>Vizcaya</v>
      </c>
      <c r="L65" t="str">
        <f>_xlfn.XLOOKUP(datos_ventas[[#This Row],[Provincia]],Tabla2[Provincias],Tabla2[Comunidades],"no se encuentra")</f>
        <v>País Vasco</v>
      </c>
      <c r="M65" t="s">
        <v>15</v>
      </c>
      <c r="N65">
        <v>2</v>
      </c>
    </row>
    <row r="66" spans="1:14" x14ac:dyDescent="0.25">
      <c r="A66">
        <v>1065</v>
      </c>
      <c r="B66" s="1">
        <v>45815</v>
      </c>
      <c r="C66" s="4">
        <f>MONTH(datos_ventas[[#This Row],[Fecha]])</f>
        <v>6</v>
      </c>
      <c r="D66" s="4">
        <f>WEEKNUM(datos_ventas[[#This Row],[Fecha]],2)</f>
        <v>23</v>
      </c>
      <c r="E66" t="s">
        <v>26</v>
      </c>
      <c r="F66" t="s">
        <v>18</v>
      </c>
      <c r="G66">
        <v>2</v>
      </c>
      <c r="H66">
        <v>108098</v>
      </c>
      <c r="I66">
        <v>3328</v>
      </c>
      <c r="J66" t="s">
        <v>14</v>
      </c>
      <c r="K66" t="str">
        <f>_xlfn.XLOOKUP(datos_ventas[[#This Row],[Ciudad]],Tabla2[Ciudades],Tabla2[Provincias],"no se encuentra")</f>
        <v>Madrid</v>
      </c>
      <c r="L66" t="str">
        <f>_xlfn.XLOOKUP(datos_ventas[[#This Row],[Provincia]],Tabla2[Provincias],Tabla2[Comunidades],"no se encuentra")</f>
        <v>Comunidad de Madrid</v>
      </c>
      <c r="M66" t="s">
        <v>15</v>
      </c>
      <c r="N66">
        <v>5</v>
      </c>
    </row>
    <row r="67" spans="1:14" x14ac:dyDescent="0.25">
      <c r="A67">
        <v>1066</v>
      </c>
      <c r="B67" s="1">
        <v>45857</v>
      </c>
      <c r="C67" s="4">
        <f>MONTH(datos_ventas[[#This Row],[Fecha]])</f>
        <v>7</v>
      </c>
      <c r="D67" s="4">
        <f>WEEKNUM(datos_ventas[[#This Row],[Fecha]],2)</f>
        <v>29</v>
      </c>
      <c r="E67" t="s">
        <v>16</v>
      </c>
      <c r="F67" t="s">
        <v>11</v>
      </c>
      <c r="G67">
        <v>1</v>
      </c>
      <c r="H67">
        <v>65266</v>
      </c>
      <c r="I67">
        <v>1487</v>
      </c>
      <c r="J67" t="s">
        <v>22</v>
      </c>
      <c r="K67" t="str">
        <f>_xlfn.XLOOKUP(datos_ventas[[#This Row],[Ciudad]],Tabla2[Ciudades],Tabla2[Provincias],"no se encuentra")</f>
        <v>Valencia</v>
      </c>
      <c r="L67" t="str">
        <f>_xlfn.XLOOKUP(datos_ventas[[#This Row],[Provincia]],Tabla2[Provincias],Tabla2[Comunidades],"no se encuentra")</f>
        <v>Comunidad Valenciana</v>
      </c>
      <c r="M67" t="s">
        <v>19</v>
      </c>
      <c r="N67">
        <v>3</v>
      </c>
    </row>
    <row r="68" spans="1:14" x14ac:dyDescent="0.25">
      <c r="A68">
        <v>1067</v>
      </c>
      <c r="B68" s="1">
        <v>46003</v>
      </c>
      <c r="C68" s="4">
        <f>MONTH(datos_ventas[[#This Row],[Fecha]])</f>
        <v>12</v>
      </c>
      <c r="D68" s="4">
        <f>WEEKNUM(datos_ventas[[#This Row],[Fecha]],2)</f>
        <v>50</v>
      </c>
      <c r="E68" t="s">
        <v>26</v>
      </c>
      <c r="F68" t="s">
        <v>18</v>
      </c>
      <c r="G68">
        <v>4</v>
      </c>
      <c r="H68">
        <v>63916</v>
      </c>
      <c r="I68">
        <v>1914</v>
      </c>
      <c r="J68" t="s">
        <v>32</v>
      </c>
      <c r="K68" t="str">
        <f>_xlfn.XLOOKUP(datos_ventas[[#This Row],[Ciudad]],Tabla2[Ciudades],Tabla2[Provincias],"no se encuentra")</f>
        <v>Barcelona</v>
      </c>
      <c r="L68" t="str">
        <f>_xlfn.XLOOKUP(datos_ventas[[#This Row],[Provincia]],Tabla2[Provincias],Tabla2[Comunidades],"no se encuentra")</f>
        <v>Cataluña</v>
      </c>
      <c r="M68" t="s">
        <v>13</v>
      </c>
      <c r="N68">
        <v>5</v>
      </c>
    </row>
    <row r="69" spans="1:14" x14ac:dyDescent="0.25">
      <c r="A69">
        <v>1068</v>
      </c>
      <c r="B69" s="1">
        <v>45741</v>
      </c>
      <c r="C69" s="4">
        <f>MONTH(datos_ventas[[#This Row],[Fecha]])</f>
        <v>3</v>
      </c>
      <c r="D69" s="4">
        <f>WEEKNUM(datos_ventas[[#This Row],[Fecha]],2)</f>
        <v>13</v>
      </c>
      <c r="E69" t="s">
        <v>29</v>
      </c>
      <c r="F69" t="s">
        <v>30</v>
      </c>
      <c r="G69">
        <v>4</v>
      </c>
      <c r="H69">
        <v>15836</v>
      </c>
      <c r="I69">
        <v>3111</v>
      </c>
      <c r="J69" t="s">
        <v>32</v>
      </c>
      <c r="K69" t="str">
        <f>_xlfn.XLOOKUP(datos_ventas[[#This Row],[Ciudad]],Tabla2[Ciudades],Tabla2[Provincias],"no se encuentra")</f>
        <v>Barcelona</v>
      </c>
      <c r="L69" t="str">
        <f>_xlfn.XLOOKUP(datos_ventas[[#This Row],[Provincia]],Tabla2[Provincias],Tabla2[Comunidades],"no se encuentra")</f>
        <v>Cataluña</v>
      </c>
      <c r="M69" t="s">
        <v>15</v>
      </c>
      <c r="N69">
        <v>1</v>
      </c>
    </row>
    <row r="70" spans="1:14" x14ac:dyDescent="0.25">
      <c r="A70">
        <v>1069</v>
      </c>
      <c r="B70" s="1">
        <v>45960</v>
      </c>
      <c r="C70" s="4">
        <f>MONTH(datos_ventas[[#This Row],[Fecha]])</f>
        <v>10</v>
      </c>
      <c r="D70" s="4">
        <f>WEEKNUM(datos_ventas[[#This Row],[Fecha]],2)</f>
        <v>44</v>
      </c>
      <c r="E70" t="s">
        <v>29</v>
      </c>
      <c r="F70" t="s">
        <v>30</v>
      </c>
      <c r="G70">
        <v>5</v>
      </c>
      <c r="H70">
        <v>79846</v>
      </c>
      <c r="I70">
        <v>4749</v>
      </c>
      <c r="J70" t="s">
        <v>14</v>
      </c>
      <c r="K70" t="str">
        <f>_xlfn.XLOOKUP(datos_ventas[[#This Row],[Ciudad]],Tabla2[Ciudades],Tabla2[Provincias],"no se encuentra")</f>
        <v>Madrid</v>
      </c>
      <c r="L70" t="str">
        <f>_xlfn.XLOOKUP(datos_ventas[[#This Row],[Provincia]],Tabla2[Provincias],Tabla2[Comunidades],"no se encuentra")</f>
        <v>Comunidad de Madrid</v>
      </c>
      <c r="M70" t="s">
        <v>13</v>
      </c>
      <c r="N70">
        <v>1</v>
      </c>
    </row>
    <row r="71" spans="1:14" x14ac:dyDescent="0.25">
      <c r="A71">
        <v>1070</v>
      </c>
      <c r="B71" s="1">
        <v>45751</v>
      </c>
      <c r="C71" s="4">
        <f>MONTH(datos_ventas[[#This Row],[Fecha]])</f>
        <v>4</v>
      </c>
      <c r="D71" s="4">
        <f>WEEKNUM(datos_ventas[[#This Row],[Fecha]],2)</f>
        <v>14</v>
      </c>
      <c r="E71" t="s">
        <v>29</v>
      </c>
      <c r="F71" t="s">
        <v>30</v>
      </c>
      <c r="G71">
        <v>4</v>
      </c>
      <c r="H71">
        <v>5211</v>
      </c>
      <c r="I71">
        <v>3276</v>
      </c>
      <c r="J71" t="s">
        <v>12</v>
      </c>
      <c r="K71" t="str">
        <f>_xlfn.XLOOKUP(datos_ventas[[#This Row],[Ciudad]],Tabla2[Ciudades],Tabla2[Provincias],"no se encuentra")</f>
        <v>Málaga</v>
      </c>
      <c r="L71" t="str">
        <f>_xlfn.XLOOKUP(datos_ventas[[#This Row],[Provincia]],Tabla2[Provincias],Tabla2[Comunidades],"no se encuentra")</f>
        <v>Andalucía</v>
      </c>
      <c r="M71" t="s">
        <v>19</v>
      </c>
      <c r="N71">
        <v>1</v>
      </c>
    </row>
    <row r="72" spans="1:14" x14ac:dyDescent="0.25">
      <c r="A72">
        <v>1071</v>
      </c>
      <c r="B72" s="1">
        <v>45826</v>
      </c>
      <c r="C72" s="4">
        <f>MONTH(datos_ventas[[#This Row],[Fecha]])</f>
        <v>6</v>
      </c>
      <c r="D72" s="4">
        <f>WEEKNUM(datos_ventas[[#This Row],[Fecha]],2)</f>
        <v>25</v>
      </c>
      <c r="E72" t="s">
        <v>26</v>
      </c>
      <c r="F72" t="s">
        <v>18</v>
      </c>
      <c r="G72">
        <v>2</v>
      </c>
      <c r="H72">
        <v>29359</v>
      </c>
      <c r="I72">
        <v>611</v>
      </c>
      <c r="J72" t="s">
        <v>12</v>
      </c>
      <c r="K72" t="str">
        <f>_xlfn.XLOOKUP(datos_ventas[[#This Row],[Ciudad]],Tabla2[Ciudades],Tabla2[Provincias],"no se encuentra")</f>
        <v>Málaga</v>
      </c>
      <c r="L72" t="str">
        <f>_xlfn.XLOOKUP(datos_ventas[[#This Row],[Provincia]],Tabla2[Provincias],Tabla2[Comunidades],"no se encuentra")</f>
        <v>Andalucía</v>
      </c>
      <c r="M72" t="s">
        <v>19</v>
      </c>
      <c r="N72">
        <v>5</v>
      </c>
    </row>
    <row r="73" spans="1:14" x14ac:dyDescent="0.25">
      <c r="A73">
        <v>1072</v>
      </c>
      <c r="B73" s="1">
        <v>46019</v>
      </c>
      <c r="C73" s="4">
        <f>MONTH(datos_ventas[[#This Row],[Fecha]])</f>
        <v>12</v>
      </c>
      <c r="D73" s="4">
        <f>WEEKNUM(datos_ventas[[#This Row],[Fecha]],2)</f>
        <v>52</v>
      </c>
      <c r="E73" t="s">
        <v>10</v>
      </c>
      <c r="F73" t="s">
        <v>11</v>
      </c>
      <c r="G73">
        <v>1</v>
      </c>
      <c r="H73">
        <v>10992</v>
      </c>
      <c r="I73">
        <v>490</v>
      </c>
      <c r="J73" t="s">
        <v>12</v>
      </c>
      <c r="K73" t="str">
        <f>_xlfn.XLOOKUP(datos_ventas[[#This Row],[Ciudad]],Tabla2[Ciudades],Tabla2[Provincias],"no se encuentra")</f>
        <v>Málaga</v>
      </c>
      <c r="L73" t="str">
        <f>_xlfn.XLOOKUP(datos_ventas[[#This Row],[Provincia]],Tabla2[Provincias],Tabla2[Comunidades],"no se encuentra")</f>
        <v>Andalucía</v>
      </c>
      <c r="M73" t="s">
        <v>28</v>
      </c>
      <c r="N73">
        <v>5</v>
      </c>
    </row>
    <row r="74" spans="1:14" x14ac:dyDescent="0.25">
      <c r="A74">
        <v>1073</v>
      </c>
      <c r="B74" s="1">
        <v>45896</v>
      </c>
      <c r="C74" s="4">
        <f>MONTH(datos_ventas[[#This Row],[Fecha]])</f>
        <v>8</v>
      </c>
      <c r="D74" s="4">
        <f>WEEKNUM(datos_ventas[[#This Row],[Fecha]],2)</f>
        <v>35</v>
      </c>
      <c r="E74" t="s">
        <v>10</v>
      </c>
      <c r="F74" t="s">
        <v>11</v>
      </c>
      <c r="G74">
        <v>2</v>
      </c>
      <c r="H74">
        <v>61403</v>
      </c>
      <c r="I74">
        <v>1595</v>
      </c>
      <c r="J74" t="s">
        <v>12</v>
      </c>
      <c r="K74" t="str">
        <f>_xlfn.XLOOKUP(datos_ventas[[#This Row],[Ciudad]],Tabla2[Ciudades],Tabla2[Provincias],"no se encuentra")</f>
        <v>Málaga</v>
      </c>
      <c r="L74" t="str">
        <f>_xlfn.XLOOKUP(datos_ventas[[#This Row],[Provincia]],Tabla2[Provincias],Tabla2[Comunidades],"no se encuentra")</f>
        <v>Andalucía</v>
      </c>
      <c r="M74" t="s">
        <v>19</v>
      </c>
      <c r="N74">
        <v>1</v>
      </c>
    </row>
    <row r="75" spans="1:14" x14ac:dyDescent="0.25">
      <c r="A75">
        <v>1074</v>
      </c>
      <c r="B75" s="1">
        <v>45894</v>
      </c>
      <c r="C75" s="4">
        <f>MONTH(datos_ventas[[#This Row],[Fecha]])</f>
        <v>8</v>
      </c>
      <c r="D75" s="4">
        <f>WEEKNUM(datos_ventas[[#This Row],[Fecha]],2)</f>
        <v>35</v>
      </c>
      <c r="E75" t="s">
        <v>29</v>
      </c>
      <c r="F75" t="s">
        <v>30</v>
      </c>
      <c r="G75">
        <v>4</v>
      </c>
      <c r="H75">
        <v>96021</v>
      </c>
      <c r="I75">
        <v>3212</v>
      </c>
      <c r="J75" t="s">
        <v>27</v>
      </c>
      <c r="K75" t="str">
        <f>_xlfn.XLOOKUP(datos_ventas[[#This Row],[Ciudad]],Tabla2[Ciudades],Tabla2[Provincias],"no se encuentra")</f>
        <v>Sevilla</v>
      </c>
      <c r="L75" t="str">
        <f>_xlfn.XLOOKUP(datos_ventas[[#This Row],[Provincia]],Tabla2[Provincias],Tabla2[Comunidades],"no se encuentra")</f>
        <v>Andalucía</v>
      </c>
      <c r="M75" t="s">
        <v>28</v>
      </c>
      <c r="N75">
        <v>5</v>
      </c>
    </row>
    <row r="76" spans="1:14" x14ac:dyDescent="0.25">
      <c r="A76">
        <v>1075</v>
      </c>
      <c r="B76" s="1">
        <v>45962</v>
      </c>
      <c r="C76" s="4">
        <f>MONTH(datos_ventas[[#This Row],[Fecha]])</f>
        <v>11</v>
      </c>
      <c r="D76" s="4">
        <f>WEEKNUM(datos_ventas[[#This Row],[Fecha]],2)</f>
        <v>44</v>
      </c>
      <c r="E76" t="s">
        <v>16</v>
      </c>
      <c r="F76" t="s">
        <v>11</v>
      </c>
      <c r="G76">
        <v>5</v>
      </c>
      <c r="H76">
        <v>52075</v>
      </c>
      <c r="I76">
        <v>2374</v>
      </c>
      <c r="J76" t="s">
        <v>27</v>
      </c>
      <c r="K76" t="str">
        <f>_xlfn.XLOOKUP(datos_ventas[[#This Row],[Ciudad]],Tabla2[Ciudades],Tabla2[Provincias],"no se encuentra")</f>
        <v>Sevilla</v>
      </c>
      <c r="L76" t="str">
        <f>_xlfn.XLOOKUP(datos_ventas[[#This Row],[Provincia]],Tabla2[Provincias],Tabla2[Comunidades],"no se encuentra")</f>
        <v>Andalucía</v>
      </c>
      <c r="M76" t="s">
        <v>28</v>
      </c>
      <c r="N76">
        <v>1</v>
      </c>
    </row>
    <row r="77" spans="1:14" x14ac:dyDescent="0.25">
      <c r="A77">
        <v>1076</v>
      </c>
      <c r="B77" s="1">
        <v>45929</v>
      </c>
      <c r="C77" s="4">
        <f>MONTH(datos_ventas[[#This Row],[Fecha]])</f>
        <v>9</v>
      </c>
      <c r="D77" s="4">
        <f>WEEKNUM(datos_ventas[[#This Row],[Fecha]],2)</f>
        <v>40</v>
      </c>
      <c r="E77" t="s">
        <v>16</v>
      </c>
      <c r="F77" t="s">
        <v>11</v>
      </c>
      <c r="G77">
        <v>3</v>
      </c>
      <c r="H77">
        <v>65174</v>
      </c>
      <c r="I77">
        <v>1552</v>
      </c>
      <c r="J77" t="s">
        <v>12</v>
      </c>
      <c r="K77" t="str">
        <f>_xlfn.XLOOKUP(datos_ventas[[#This Row],[Ciudad]],Tabla2[Ciudades],Tabla2[Provincias],"no se encuentra")</f>
        <v>Málaga</v>
      </c>
      <c r="L77" t="str">
        <f>_xlfn.XLOOKUP(datos_ventas[[#This Row],[Provincia]],Tabla2[Provincias],Tabla2[Comunidades],"no se encuentra")</f>
        <v>Andalucía</v>
      </c>
      <c r="M77" t="s">
        <v>28</v>
      </c>
      <c r="N77">
        <v>1</v>
      </c>
    </row>
    <row r="78" spans="1:14" x14ac:dyDescent="0.25">
      <c r="A78">
        <v>1077</v>
      </c>
      <c r="B78" s="1">
        <v>45985</v>
      </c>
      <c r="C78" s="4">
        <f>MONTH(datos_ventas[[#This Row],[Fecha]])</f>
        <v>11</v>
      </c>
      <c r="D78" s="4">
        <f>WEEKNUM(datos_ventas[[#This Row],[Fecha]],2)</f>
        <v>48</v>
      </c>
      <c r="E78" t="s">
        <v>23</v>
      </c>
      <c r="F78" t="s">
        <v>18</v>
      </c>
      <c r="G78">
        <v>4</v>
      </c>
      <c r="H78">
        <v>49795</v>
      </c>
      <c r="I78">
        <v>748</v>
      </c>
      <c r="J78" t="s">
        <v>12</v>
      </c>
      <c r="K78" t="str">
        <f>_xlfn.XLOOKUP(datos_ventas[[#This Row],[Ciudad]],Tabla2[Ciudades],Tabla2[Provincias],"no se encuentra")</f>
        <v>Málaga</v>
      </c>
      <c r="L78" t="str">
        <f>_xlfn.XLOOKUP(datos_ventas[[#This Row],[Provincia]],Tabla2[Provincias],Tabla2[Comunidades],"no se encuentra")</f>
        <v>Andalucía</v>
      </c>
      <c r="M78" t="s">
        <v>13</v>
      </c>
      <c r="N78">
        <v>3</v>
      </c>
    </row>
    <row r="79" spans="1:14" x14ac:dyDescent="0.25">
      <c r="A79">
        <v>1078</v>
      </c>
      <c r="B79" s="1">
        <v>45741</v>
      </c>
      <c r="C79" s="4">
        <f>MONTH(datos_ventas[[#This Row],[Fecha]])</f>
        <v>3</v>
      </c>
      <c r="D79" s="4">
        <f>WEEKNUM(datos_ventas[[#This Row],[Fecha]],2)</f>
        <v>13</v>
      </c>
      <c r="E79" t="s">
        <v>26</v>
      </c>
      <c r="F79" t="s">
        <v>18</v>
      </c>
      <c r="G79">
        <v>5</v>
      </c>
      <c r="H79">
        <v>53088</v>
      </c>
      <c r="I79">
        <v>446</v>
      </c>
      <c r="J79" t="s">
        <v>27</v>
      </c>
      <c r="K79" t="str">
        <f>_xlfn.XLOOKUP(datos_ventas[[#This Row],[Ciudad]],Tabla2[Ciudades],Tabla2[Provincias],"no se encuentra")</f>
        <v>Sevilla</v>
      </c>
      <c r="L79" t="str">
        <f>_xlfn.XLOOKUP(datos_ventas[[#This Row],[Provincia]],Tabla2[Provincias],Tabla2[Comunidades],"no se encuentra")</f>
        <v>Andalucía</v>
      </c>
      <c r="M79" t="s">
        <v>28</v>
      </c>
      <c r="N79">
        <v>5</v>
      </c>
    </row>
    <row r="80" spans="1:14" x14ac:dyDescent="0.25">
      <c r="A80">
        <v>1079</v>
      </c>
      <c r="B80" s="1">
        <v>45747</v>
      </c>
      <c r="C80" s="4">
        <f>MONTH(datos_ventas[[#This Row],[Fecha]])</f>
        <v>3</v>
      </c>
      <c r="D80" s="4">
        <f>WEEKNUM(datos_ventas[[#This Row],[Fecha]],2)</f>
        <v>14</v>
      </c>
      <c r="E80" t="s">
        <v>10</v>
      </c>
      <c r="F80" t="s">
        <v>11</v>
      </c>
      <c r="G80">
        <v>3</v>
      </c>
      <c r="H80">
        <v>77259</v>
      </c>
      <c r="I80">
        <v>1957</v>
      </c>
      <c r="J80" t="s">
        <v>14</v>
      </c>
      <c r="K80" t="str">
        <f>_xlfn.XLOOKUP(datos_ventas[[#This Row],[Ciudad]],Tabla2[Ciudades],Tabla2[Provincias],"no se encuentra")</f>
        <v>Madrid</v>
      </c>
      <c r="L80" t="str">
        <f>_xlfn.XLOOKUP(datos_ventas[[#This Row],[Provincia]],Tabla2[Provincias],Tabla2[Comunidades],"no se encuentra")</f>
        <v>Comunidad de Madrid</v>
      </c>
      <c r="M80" t="s">
        <v>13</v>
      </c>
      <c r="N80">
        <v>4</v>
      </c>
    </row>
    <row r="81" spans="1:14" x14ac:dyDescent="0.25">
      <c r="A81">
        <v>1080</v>
      </c>
      <c r="B81" s="1">
        <v>45682</v>
      </c>
      <c r="C81" s="4">
        <f>MONTH(datos_ventas[[#This Row],[Fecha]])</f>
        <v>1</v>
      </c>
      <c r="D81" s="4">
        <f>WEEKNUM(datos_ventas[[#This Row],[Fecha]],2)</f>
        <v>4</v>
      </c>
      <c r="E81" t="s">
        <v>17</v>
      </c>
      <c r="F81" t="s">
        <v>18</v>
      </c>
      <c r="G81">
        <v>1</v>
      </c>
      <c r="H81">
        <v>89724</v>
      </c>
      <c r="I81">
        <v>788</v>
      </c>
      <c r="J81" t="s">
        <v>12</v>
      </c>
      <c r="K81" t="str">
        <f>_xlfn.XLOOKUP(datos_ventas[[#This Row],[Ciudad]],Tabla2[Ciudades],Tabla2[Provincias],"no se encuentra")</f>
        <v>Málaga</v>
      </c>
      <c r="L81" t="str">
        <f>_xlfn.XLOOKUP(datos_ventas[[#This Row],[Provincia]],Tabla2[Provincias],Tabla2[Comunidades],"no se encuentra")</f>
        <v>Andalucía</v>
      </c>
      <c r="M81" t="s">
        <v>13</v>
      </c>
      <c r="N81">
        <v>4</v>
      </c>
    </row>
    <row r="82" spans="1:14" x14ac:dyDescent="0.25">
      <c r="A82">
        <v>1081</v>
      </c>
      <c r="B82" s="1">
        <v>45810</v>
      </c>
      <c r="C82" s="4">
        <f>MONTH(datos_ventas[[#This Row],[Fecha]])</f>
        <v>6</v>
      </c>
      <c r="D82" s="4">
        <f>WEEKNUM(datos_ventas[[#This Row],[Fecha]],2)</f>
        <v>23</v>
      </c>
      <c r="E82" t="s">
        <v>23</v>
      </c>
      <c r="F82" t="s">
        <v>18</v>
      </c>
      <c r="G82">
        <v>1</v>
      </c>
      <c r="H82">
        <v>47257</v>
      </c>
      <c r="I82">
        <v>4807</v>
      </c>
      <c r="J82" t="s">
        <v>31</v>
      </c>
      <c r="K82" t="str">
        <f>_xlfn.XLOOKUP(datos_ventas[[#This Row],[Ciudad]],Tabla2[Ciudades],Tabla2[Provincias],"no se encuentra")</f>
        <v>Vizcaya</v>
      </c>
      <c r="L82" t="str">
        <f>_xlfn.XLOOKUP(datos_ventas[[#This Row],[Provincia]],Tabla2[Provincias],Tabla2[Comunidades],"no se encuentra")</f>
        <v>País Vasco</v>
      </c>
      <c r="M82" t="s">
        <v>13</v>
      </c>
      <c r="N82">
        <v>1</v>
      </c>
    </row>
    <row r="83" spans="1:14" x14ac:dyDescent="0.25">
      <c r="A83">
        <v>1082</v>
      </c>
      <c r="B83" s="1">
        <v>45721</v>
      </c>
      <c r="C83" s="4">
        <f>MONTH(datos_ventas[[#This Row],[Fecha]])</f>
        <v>3</v>
      </c>
      <c r="D83" s="4">
        <f>WEEKNUM(datos_ventas[[#This Row],[Fecha]],2)</f>
        <v>10</v>
      </c>
      <c r="E83" t="s">
        <v>20</v>
      </c>
      <c r="F83" t="s">
        <v>21</v>
      </c>
      <c r="G83">
        <v>2</v>
      </c>
      <c r="H83">
        <v>80719</v>
      </c>
      <c r="I83">
        <v>4313</v>
      </c>
      <c r="J83" t="s">
        <v>27</v>
      </c>
      <c r="K83" t="str">
        <f>_xlfn.XLOOKUP(datos_ventas[[#This Row],[Ciudad]],Tabla2[Ciudades],Tabla2[Provincias],"no se encuentra")</f>
        <v>Sevilla</v>
      </c>
      <c r="L83" t="str">
        <f>_xlfn.XLOOKUP(datos_ventas[[#This Row],[Provincia]],Tabla2[Provincias],Tabla2[Comunidades],"no se encuentra")</f>
        <v>Andalucía</v>
      </c>
      <c r="M83" t="s">
        <v>15</v>
      </c>
      <c r="N83">
        <v>5</v>
      </c>
    </row>
    <row r="84" spans="1:14" x14ac:dyDescent="0.25">
      <c r="A84">
        <v>1083</v>
      </c>
      <c r="B84" s="1">
        <v>45680</v>
      </c>
      <c r="C84" s="4">
        <f>MONTH(datos_ventas[[#This Row],[Fecha]])</f>
        <v>1</v>
      </c>
      <c r="D84" s="4">
        <f>WEEKNUM(datos_ventas[[#This Row],[Fecha]],2)</f>
        <v>4</v>
      </c>
      <c r="E84" t="s">
        <v>20</v>
      </c>
      <c r="F84" t="s">
        <v>21</v>
      </c>
      <c r="G84">
        <v>4</v>
      </c>
      <c r="H84">
        <v>2537</v>
      </c>
      <c r="I84">
        <v>4394</v>
      </c>
      <c r="J84" t="s">
        <v>32</v>
      </c>
      <c r="K84" t="str">
        <f>_xlfn.XLOOKUP(datos_ventas[[#This Row],[Ciudad]],Tabla2[Ciudades],Tabla2[Provincias],"no se encuentra")</f>
        <v>Barcelona</v>
      </c>
      <c r="L84" t="str">
        <f>_xlfn.XLOOKUP(datos_ventas[[#This Row],[Provincia]],Tabla2[Provincias],Tabla2[Comunidades],"no se encuentra")</f>
        <v>Cataluña</v>
      </c>
      <c r="M84" t="s">
        <v>28</v>
      </c>
      <c r="N84">
        <v>5</v>
      </c>
    </row>
    <row r="85" spans="1:14" x14ac:dyDescent="0.25">
      <c r="A85">
        <v>1084</v>
      </c>
      <c r="B85" s="1">
        <v>45894</v>
      </c>
      <c r="C85" s="4">
        <f>MONTH(datos_ventas[[#This Row],[Fecha]])</f>
        <v>8</v>
      </c>
      <c r="D85" s="4">
        <f>WEEKNUM(datos_ventas[[#This Row],[Fecha]],2)</f>
        <v>35</v>
      </c>
      <c r="E85" t="s">
        <v>17</v>
      </c>
      <c r="F85" t="s">
        <v>18</v>
      </c>
      <c r="G85">
        <v>3</v>
      </c>
      <c r="H85">
        <v>29136</v>
      </c>
      <c r="I85">
        <v>3414</v>
      </c>
      <c r="J85" t="s">
        <v>32</v>
      </c>
      <c r="K85" t="str">
        <f>_xlfn.XLOOKUP(datos_ventas[[#This Row],[Ciudad]],Tabla2[Ciudades],Tabla2[Provincias],"no se encuentra")</f>
        <v>Barcelona</v>
      </c>
      <c r="L85" t="str">
        <f>_xlfn.XLOOKUP(datos_ventas[[#This Row],[Provincia]],Tabla2[Provincias],Tabla2[Comunidades],"no se encuentra")</f>
        <v>Cataluña</v>
      </c>
      <c r="M85" t="s">
        <v>28</v>
      </c>
      <c r="N85">
        <v>4</v>
      </c>
    </row>
    <row r="86" spans="1:14" x14ac:dyDescent="0.25">
      <c r="A86">
        <v>1085</v>
      </c>
      <c r="B86" s="1">
        <v>45965</v>
      </c>
      <c r="C86" s="4">
        <f>MONTH(datos_ventas[[#This Row],[Fecha]])</f>
        <v>11</v>
      </c>
      <c r="D86" s="4">
        <f>WEEKNUM(datos_ventas[[#This Row],[Fecha]],2)</f>
        <v>45</v>
      </c>
      <c r="E86" t="s">
        <v>17</v>
      </c>
      <c r="F86" t="s">
        <v>18</v>
      </c>
      <c r="G86">
        <v>1</v>
      </c>
      <c r="H86">
        <v>67662</v>
      </c>
      <c r="I86">
        <v>3884</v>
      </c>
      <c r="J86" t="s">
        <v>27</v>
      </c>
      <c r="K86" t="str">
        <f>_xlfn.XLOOKUP(datos_ventas[[#This Row],[Ciudad]],Tabla2[Ciudades],Tabla2[Provincias],"no se encuentra")</f>
        <v>Sevilla</v>
      </c>
      <c r="L86" t="str">
        <f>_xlfn.XLOOKUP(datos_ventas[[#This Row],[Provincia]],Tabla2[Provincias],Tabla2[Comunidades],"no se encuentra")</f>
        <v>Andalucía</v>
      </c>
      <c r="M86" t="s">
        <v>19</v>
      </c>
      <c r="N86">
        <v>1</v>
      </c>
    </row>
    <row r="87" spans="1:14" x14ac:dyDescent="0.25">
      <c r="A87">
        <v>1086</v>
      </c>
      <c r="B87" s="1">
        <v>45887</v>
      </c>
      <c r="C87" s="4">
        <f>MONTH(datos_ventas[[#This Row],[Fecha]])</f>
        <v>8</v>
      </c>
      <c r="D87" s="4">
        <f>WEEKNUM(datos_ventas[[#This Row],[Fecha]],2)</f>
        <v>34</v>
      </c>
      <c r="E87" t="s">
        <v>24</v>
      </c>
      <c r="F87" t="s">
        <v>25</v>
      </c>
      <c r="G87">
        <v>2</v>
      </c>
      <c r="H87">
        <v>6063</v>
      </c>
      <c r="I87">
        <v>4326</v>
      </c>
      <c r="J87" t="s">
        <v>32</v>
      </c>
      <c r="K87" t="str">
        <f>_xlfn.XLOOKUP(datos_ventas[[#This Row],[Ciudad]],Tabla2[Ciudades],Tabla2[Provincias],"no se encuentra")</f>
        <v>Barcelona</v>
      </c>
      <c r="L87" t="str">
        <f>_xlfn.XLOOKUP(datos_ventas[[#This Row],[Provincia]],Tabla2[Provincias],Tabla2[Comunidades],"no se encuentra")</f>
        <v>Cataluña</v>
      </c>
      <c r="M87" t="s">
        <v>15</v>
      </c>
      <c r="N87">
        <v>4</v>
      </c>
    </row>
    <row r="88" spans="1:14" x14ac:dyDescent="0.25">
      <c r="A88">
        <v>1087</v>
      </c>
      <c r="B88" s="1">
        <v>45984</v>
      </c>
      <c r="C88" s="4">
        <f>MONTH(datos_ventas[[#This Row],[Fecha]])</f>
        <v>11</v>
      </c>
      <c r="D88" s="4">
        <f>WEEKNUM(datos_ventas[[#This Row],[Fecha]],2)</f>
        <v>47</v>
      </c>
      <c r="E88" t="s">
        <v>29</v>
      </c>
      <c r="F88" t="s">
        <v>30</v>
      </c>
      <c r="G88">
        <v>3</v>
      </c>
      <c r="H88">
        <v>56019</v>
      </c>
      <c r="I88">
        <v>2973</v>
      </c>
      <c r="J88" t="s">
        <v>12</v>
      </c>
      <c r="K88" t="str">
        <f>_xlfn.XLOOKUP(datos_ventas[[#This Row],[Ciudad]],Tabla2[Ciudades],Tabla2[Provincias],"no se encuentra")</f>
        <v>Málaga</v>
      </c>
      <c r="L88" t="str">
        <f>_xlfn.XLOOKUP(datos_ventas[[#This Row],[Provincia]],Tabla2[Provincias],Tabla2[Comunidades],"no se encuentra")</f>
        <v>Andalucía</v>
      </c>
      <c r="M88" t="s">
        <v>28</v>
      </c>
      <c r="N88">
        <v>5</v>
      </c>
    </row>
    <row r="89" spans="1:14" x14ac:dyDescent="0.25">
      <c r="A89">
        <v>1088</v>
      </c>
      <c r="B89" s="1">
        <v>45663</v>
      </c>
      <c r="C89" s="4">
        <f>MONTH(datos_ventas[[#This Row],[Fecha]])</f>
        <v>1</v>
      </c>
      <c r="D89" s="4">
        <f>WEEKNUM(datos_ventas[[#This Row],[Fecha]],2)</f>
        <v>2</v>
      </c>
      <c r="E89" t="s">
        <v>23</v>
      </c>
      <c r="F89" t="s">
        <v>18</v>
      </c>
      <c r="G89">
        <v>5</v>
      </c>
      <c r="H89">
        <v>115332</v>
      </c>
      <c r="I89">
        <v>908</v>
      </c>
      <c r="J89" t="s">
        <v>12</v>
      </c>
      <c r="K89" t="str">
        <f>_xlfn.XLOOKUP(datos_ventas[[#This Row],[Ciudad]],Tabla2[Ciudades],Tabla2[Provincias],"no se encuentra")</f>
        <v>Málaga</v>
      </c>
      <c r="L89" t="str">
        <f>_xlfn.XLOOKUP(datos_ventas[[#This Row],[Provincia]],Tabla2[Provincias],Tabla2[Comunidades],"no se encuentra")</f>
        <v>Andalucía</v>
      </c>
      <c r="M89" t="s">
        <v>15</v>
      </c>
      <c r="N89">
        <v>4</v>
      </c>
    </row>
    <row r="90" spans="1:14" x14ac:dyDescent="0.25">
      <c r="A90">
        <v>1089</v>
      </c>
      <c r="B90" s="1">
        <v>45688</v>
      </c>
      <c r="C90" s="4">
        <f>MONTH(datos_ventas[[#This Row],[Fecha]])</f>
        <v>1</v>
      </c>
      <c r="D90" s="4">
        <f>WEEKNUM(datos_ventas[[#This Row],[Fecha]],2)</f>
        <v>5</v>
      </c>
      <c r="E90" t="s">
        <v>29</v>
      </c>
      <c r="F90" t="s">
        <v>30</v>
      </c>
      <c r="G90">
        <v>2</v>
      </c>
      <c r="H90">
        <v>74223</v>
      </c>
      <c r="I90">
        <v>4809</v>
      </c>
      <c r="J90" t="s">
        <v>27</v>
      </c>
      <c r="K90" t="str">
        <f>_xlfn.XLOOKUP(datos_ventas[[#This Row],[Ciudad]],Tabla2[Ciudades],Tabla2[Provincias],"no se encuentra")</f>
        <v>Sevilla</v>
      </c>
      <c r="L90" t="str">
        <f>_xlfn.XLOOKUP(datos_ventas[[#This Row],[Provincia]],Tabla2[Provincias],Tabla2[Comunidades],"no se encuentra")</f>
        <v>Andalucía</v>
      </c>
      <c r="M90" t="s">
        <v>19</v>
      </c>
      <c r="N90">
        <v>5</v>
      </c>
    </row>
    <row r="91" spans="1:14" x14ac:dyDescent="0.25">
      <c r="A91">
        <v>1090</v>
      </c>
      <c r="B91" s="1">
        <v>45946</v>
      </c>
      <c r="C91" s="4">
        <f>MONTH(datos_ventas[[#This Row],[Fecha]])</f>
        <v>10</v>
      </c>
      <c r="D91" s="4">
        <f>WEEKNUM(datos_ventas[[#This Row],[Fecha]],2)</f>
        <v>42</v>
      </c>
      <c r="E91" t="s">
        <v>16</v>
      </c>
      <c r="F91" t="s">
        <v>11</v>
      </c>
      <c r="G91">
        <v>4</v>
      </c>
      <c r="H91">
        <v>8364</v>
      </c>
      <c r="I91">
        <v>1991</v>
      </c>
      <c r="J91" t="s">
        <v>32</v>
      </c>
      <c r="K91" t="str">
        <f>_xlfn.XLOOKUP(datos_ventas[[#This Row],[Ciudad]],Tabla2[Ciudades],Tabla2[Provincias],"no se encuentra")</f>
        <v>Barcelona</v>
      </c>
      <c r="L91" t="str">
        <f>_xlfn.XLOOKUP(datos_ventas[[#This Row],[Provincia]],Tabla2[Provincias],Tabla2[Comunidades],"no se encuentra")</f>
        <v>Cataluña</v>
      </c>
      <c r="M91" t="s">
        <v>13</v>
      </c>
      <c r="N91">
        <v>3</v>
      </c>
    </row>
    <row r="92" spans="1:14" x14ac:dyDescent="0.25">
      <c r="A92">
        <v>1091</v>
      </c>
      <c r="B92" s="1">
        <v>45977</v>
      </c>
      <c r="C92" s="4">
        <f>MONTH(datos_ventas[[#This Row],[Fecha]])</f>
        <v>11</v>
      </c>
      <c r="D92" s="4">
        <f>WEEKNUM(datos_ventas[[#This Row],[Fecha]],2)</f>
        <v>46</v>
      </c>
      <c r="E92" t="s">
        <v>26</v>
      </c>
      <c r="F92" t="s">
        <v>18</v>
      </c>
      <c r="G92">
        <v>1</v>
      </c>
      <c r="H92">
        <v>75713</v>
      </c>
      <c r="I92">
        <v>4837</v>
      </c>
      <c r="J92" t="s">
        <v>31</v>
      </c>
      <c r="K92" t="str">
        <f>_xlfn.XLOOKUP(datos_ventas[[#This Row],[Ciudad]],Tabla2[Ciudades],Tabla2[Provincias],"no se encuentra")</f>
        <v>Vizcaya</v>
      </c>
      <c r="L92" t="str">
        <f>_xlfn.XLOOKUP(datos_ventas[[#This Row],[Provincia]],Tabla2[Provincias],Tabla2[Comunidades],"no se encuentra")</f>
        <v>País Vasco</v>
      </c>
      <c r="M92" t="s">
        <v>28</v>
      </c>
      <c r="N92">
        <v>1</v>
      </c>
    </row>
    <row r="93" spans="1:14" x14ac:dyDescent="0.25">
      <c r="A93">
        <v>1092</v>
      </c>
      <c r="B93" s="1">
        <v>45675</v>
      </c>
      <c r="C93" s="4">
        <f>MONTH(datos_ventas[[#This Row],[Fecha]])</f>
        <v>1</v>
      </c>
      <c r="D93" s="4">
        <f>WEEKNUM(datos_ventas[[#This Row],[Fecha]],2)</f>
        <v>3</v>
      </c>
      <c r="E93" t="s">
        <v>17</v>
      </c>
      <c r="F93" t="s">
        <v>18</v>
      </c>
      <c r="G93">
        <v>2</v>
      </c>
      <c r="H93">
        <v>58028</v>
      </c>
      <c r="I93">
        <v>3892</v>
      </c>
      <c r="J93" t="s">
        <v>31</v>
      </c>
      <c r="K93" t="str">
        <f>_xlfn.XLOOKUP(datos_ventas[[#This Row],[Ciudad]],Tabla2[Ciudades],Tabla2[Provincias],"no se encuentra")</f>
        <v>Vizcaya</v>
      </c>
      <c r="L93" t="str">
        <f>_xlfn.XLOOKUP(datos_ventas[[#This Row],[Provincia]],Tabla2[Provincias],Tabla2[Comunidades],"no se encuentra")</f>
        <v>País Vasco</v>
      </c>
      <c r="M93" t="s">
        <v>28</v>
      </c>
      <c r="N93">
        <v>5</v>
      </c>
    </row>
    <row r="94" spans="1:14" x14ac:dyDescent="0.25">
      <c r="A94">
        <v>1093</v>
      </c>
      <c r="B94" s="1">
        <v>45939</v>
      </c>
      <c r="C94" s="4">
        <f>MONTH(datos_ventas[[#This Row],[Fecha]])</f>
        <v>10</v>
      </c>
      <c r="D94" s="4">
        <f>WEEKNUM(datos_ventas[[#This Row],[Fecha]],2)</f>
        <v>41</v>
      </c>
      <c r="E94" t="s">
        <v>24</v>
      </c>
      <c r="F94" t="s">
        <v>25</v>
      </c>
      <c r="G94">
        <v>5</v>
      </c>
      <c r="H94">
        <v>70206</v>
      </c>
      <c r="I94">
        <v>4218</v>
      </c>
      <c r="J94" t="s">
        <v>27</v>
      </c>
      <c r="K94" t="str">
        <f>_xlfn.XLOOKUP(datos_ventas[[#This Row],[Ciudad]],Tabla2[Ciudades],Tabla2[Provincias],"no se encuentra")</f>
        <v>Sevilla</v>
      </c>
      <c r="L94" t="str">
        <f>_xlfn.XLOOKUP(datos_ventas[[#This Row],[Provincia]],Tabla2[Provincias],Tabla2[Comunidades],"no se encuentra")</f>
        <v>Andalucía</v>
      </c>
      <c r="M94" t="s">
        <v>15</v>
      </c>
      <c r="N94">
        <v>4</v>
      </c>
    </row>
    <row r="95" spans="1:14" x14ac:dyDescent="0.25">
      <c r="A95">
        <v>1094</v>
      </c>
      <c r="B95" s="1">
        <v>45691</v>
      </c>
      <c r="C95" s="4">
        <f>MONTH(datos_ventas[[#This Row],[Fecha]])</f>
        <v>2</v>
      </c>
      <c r="D95" s="4">
        <f>WEEKNUM(datos_ventas[[#This Row],[Fecha]],2)</f>
        <v>6</v>
      </c>
      <c r="E95" t="s">
        <v>20</v>
      </c>
      <c r="F95" t="s">
        <v>21</v>
      </c>
      <c r="G95">
        <v>4</v>
      </c>
      <c r="H95">
        <v>97165</v>
      </c>
      <c r="I95">
        <v>2801</v>
      </c>
      <c r="J95" t="s">
        <v>27</v>
      </c>
      <c r="K95" t="str">
        <f>_xlfn.XLOOKUP(datos_ventas[[#This Row],[Ciudad]],Tabla2[Ciudades],Tabla2[Provincias],"no se encuentra")</f>
        <v>Sevilla</v>
      </c>
      <c r="L95" t="str">
        <f>_xlfn.XLOOKUP(datos_ventas[[#This Row],[Provincia]],Tabla2[Provincias],Tabla2[Comunidades],"no se encuentra")</f>
        <v>Andalucía</v>
      </c>
      <c r="M95" t="s">
        <v>13</v>
      </c>
      <c r="N95">
        <v>2</v>
      </c>
    </row>
    <row r="96" spans="1:14" x14ac:dyDescent="0.25">
      <c r="A96">
        <v>1095</v>
      </c>
      <c r="B96" s="1">
        <v>45879</v>
      </c>
      <c r="C96" s="4">
        <f>MONTH(datos_ventas[[#This Row],[Fecha]])</f>
        <v>8</v>
      </c>
      <c r="D96" s="4">
        <f>WEEKNUM(datos_ventas[[#This Row],[Fecha]],2)</f>
        <v>32</v>
      </c>
      <c r="E96" t="s">
        <v>10</v>
      </c>
      <c r="F96" t="s">
        <v>11</v>
      </c>
      <c r="G96">
        <v>3</v>
      </c>
      <c r="H96">
        <v>11215</v>
      </c>
      <c r="I96">
        <v>914</v>
      </c>
      <c r="J96" t="s">
        <v>32</v>
      </c>
      <c r="K96" t="str">
        <f>_xlfn.XLOOKUP(datos_ventas[[#This Row],[Ciudad]],Tabla2[Ciudades],Tabla2[Provincias],"no se encuentra")</f>
        <v>Barcelona</v>
      </c>
      <c r="L96" t="str">
        <f>_xlfn.XLOOKUP(datos_ventas[[#This Row],[Provincia]],Tabla2[Provincias],Tabla2[Comunidades],"no se encuentra")</f>
        <v>Cataluña</v>
      </c>
      <c r="M96" t="s">
        <v>19</v>
      </c>
      <c r="N96">
        <v>3</v>
      </c>
    </row>
    <row r="97" spans="1:14" x14ac:dyDescent="0.25">
      <c r="A97">
        <v>1096</v>
      </c>
      <c r="B97" s="1">
        <v>45723</v>
      </c>
      <c r="C97" s="4">
        <f>MONTH(datos_ventas[[#This Row],[Fecha]])</f>
        <v>3</v>
      </c>
      <c r="D97" s="4">
        <f>WEEKNUM(datos_ventas[[#This Row],[Fecha]],2)</f>
        <v>10</v>
      </c>
      <c r="E97" t="s">
        <v>23</v>
      </c>
      <c r="F97" t="s">
        <v>18</v>
      </c>
      <c r="G97">
        <v>1</v>
      </c>
      <c r="H97">
        <v>83734</v>
      </c>
      <c r="I97">
        <v>2764</v>
      </c>
      <c r="J97" t="s">
        <v>14</v>
      </c>
      <c r="K97" t="str">
        <f>_xlfn.XLOOKUP(datos_ventas[[#This Row],[Ciudad]],Tabla2[Ciudades],Tabla2[Provincias],"no se encuentra")</f>
        <v>Madrid</v>
      </c>
      <c r="L97" t="str">
        <f>_xlfn.XLOOKUP(datos_ventas[[#This Row],[Provincia]],Tabla2[Provincias],Tabla2[Comunidades],"no se encuentra")</f>
        <v>Comunidad de Madrid</v>
      </c>
      <c r="M97" t="s">
        <v>15</v>
      </c>
      <c r="N97">
        <v>5</v>
      </c>
    </row>
    <row r="98" spans="1:14" x14ac:dyDescent="0.25">
      <c r="A98">
        <v>1097</v>
      </c>
      <c r="B98" s="1">
        <v>45997</v>
      </c>
      <c r="C98" s="4">
        <f>MONTH(datos_ventas[[#This Row],[Fecha]])</f>
        <v>12</v>
      </c>
      <c r="D98" s="4">
        <f>WEEKNUM(datos_ventas[[#This Row],[Fecha]],2)</f>
        <v>49</v>
      </c>
      <c r="E98" t="s">
        <v>24</v>
      </c>
      <c r="F98" t="s">
        <v>25</v>
      </c>
      <c r="G98">
        <v>4</v>
      </c>
      <c r="H98">
        <v>8625</v>
      </c>
      <c r="I98">
        <v>1487</v>
      </c>
      <c r="J98" t="s">
        <v>12</v>
      </c>
      <c r="K98" t="str">
        <f>_xlfn.XLOOKUP(datos_ventas[[#This Row],[Ciudad]],Tabla2[Ciudades],Tabla2[Provincias],"no se encuentra")</f>
        <v>Málaga</v>
      </c>
      <c r="L98" t="str">
        <f>_xlfn.XLOOKUP(datos_ventas[[#This Row],[Provincia]],Tabla2[Provincias],Tabla2[Comunidades],"no se encuentra")</f>
        <v>Andalucía</v>
      </c>
      <c r="M98" t="s">
        <v>19</v>
      </c>
      <c r="N98">
        <v>5</v>
      </c>
    </row>
    <row r="99" spans="1:14" x14ac:dyDescent="0.25">
      <c r="A99">
        <v>1098</v>
      </c>
      <c r="B99" s="1">
        <v>45896</v>
      </c>
      <c r="C99" s="4">
        <f>MONTH(datos_ventas[[#This Row],[Fecha]])</f>
        <v>8</v>
      </c>
      <c r="D99" s="4">
        <f>WEEKNUM(datos_ventas[[#This Row],[Fecha]],2)</f>
        <v>35</v>
      </c>
      <c r="E99" t="s">
        <v>10</v>
      </c>
      <c r="F99" t="s">
        <v>11</v>
      </c>
      <c r="G99">
        <v>1</v>
      </c>
      <c r="H99">
        <v>104708</v>
      </c>
      <c r="I99">
        <v>4031</v>
      </c>
      <c r="J99" t="s">
        <v>14</v>
      </c>
      <c r="K99" t="str">
        <f>_xlfn.XLOOKUP(datos_ventas[[#This Row],[Ciudad]],Tabla2[Ciudades],Tabla2[Provincias],"no se encuentra")</f>
        <v>Madrid</v>
      </c>
      <c r="L99" t="str">
        <f>_xlfn.XLOOKUP(datos_ventas[[#This Row],[Provincia]],Tabla2[Provincias],Tabla2[Comunidades],"no se encuentra")</f>
        <v>Comunidad de Madrid</v>
      </c>
      <c r="M99" t="s">
        <v>13</v>
      </c>
      <c r="N99">
        <v>5</v>
      </c>
    </row>
    <row r="100" spans="1:14" x14ac:dyDescent="0.25">
      <c r="A100">
        <v>1099</v>
      </c>
      <c r="B100" s="1">
        <v>45735</v>
      </c>
      <c r="C100" s="4">
        <f>MONTH(datos_ventas[[#This Row],[Fecha]])</f>
        <v>3</v>
      </c>
      <c r="D100" s="4">
        <f>WEEKNUM(datos_ventas[[#This Row],[Fecha]],2)</f>
        <v>12</v>
      </c>
      <c r="E100" t="s">
        <v>24</v>
      </c>
      <c r="F100" t="s">
        <v>25</v>
      </c>
      <c r="G100">
        <v>3</v>
      </c>
      <c r="H100">
        <v>92448</v>
      </c>
      <c r="I100">
        <v>1114</v>
      </c>
      <c r="J100" t="s">
        <v>32</v>
      </c>
      <c r="K100" t="str">
        <f>_xlfn.XLOOKUP(datos_ventas[[#This Row],[Ciudad]],Tabla2[Ciudades],Tabla2[Provincias],"no se encuentra")</f>
        <v>Barcelona</v>
      </c>
      <c r="L100" t="str">
        <f>_xlfn.XLOOKUP(datos_ventas[[#This Row],[Provincia]],Tabla2[Provincias],Tabla2[Comunidades],"no se encuentra")</f>
        <v>Cataluña</v>
      </c>
      <c r="M100" t="s">
        <v>15</v>
      </c>
      <c r="N100">
        <v>2</v>
      </c>
    </row>
    <row r="101" spans="1:14" x14ac:dyDescent="0.25">
      <c r="A101">
        <v>1100</v>
      </c>
      <c r="B101" s="1">
        <v>45980</v>
      </c>
      <c r="C101" s="4">
        <f>MONTH(datos_ventas[[#This Row],[Fecha]])</f>
        <v>11</v>
      </c>
      <c r="D101" s="4">
        <f>WEEKNUM(datos_ventas[[#This Row],[Fecha]],2)</f>
        <v>47</v>
      </c>
      <c r="E101" t="s">
        <v>26</v>
      </c>
      <c r="F101" t="s">
        <v>18</v>
      </c>
      <c r="G101">
        <v>2</v>
      </c>
      <c r="H101">
        <v>112652</v>
      </c>
      <c r="I101">
        <v>1878</v>
      </c>
      <c r="J101" t="s">
        <v>31</v>
      </c>
      <c r="K101" t="str">
        <f>_xlfn.XLOOKUP(datos_ventas[[#This Row],[Ciudad]],Tabla2[Ciudades],Tabla2[Provincias],"no se encuentra")</f>
        <v>Vizcaya</v>
      </c>
      <c r="L101" t="str">
        <f>_xlfn.XLOOKUP(datos_ventas[[#This Row],[Provincia]],Tabla2[Provincias],Tabla2[Comunidades],"no se encuentra")</f>
        <v>País Vasco</v>
      </c>
      <c r="M101" t="s">
        <v>13</v>
      </c>
      <c r="N101">
        <v>4</v>
      </c>
    </row>
    <row r="102" spans="1:14" x14ac:dyDescent="0.25">
      <c r="A102">
        <v>1101</v>
      </c>
      <c r="B102" s="1">
        <v>45706</v>
      </c>
      <c r="C102" s="4">
        <f>MONTH(datos_ventas[[#This Row],[Fecha]])</f>
        <v>2</v>
      </c>
      <c r="D102" s="4">
        <f>WEEKNUM(datos_ventas[[#This Row],[Fecha]],2)</f>
        <v>8</v>
      </c>
      <c r="E102" t="s">
        <v>10</v>
      </c>
      <c r="F102" t="s">
        <v>11</v>
      </c>
      <c r="G102">
        <v>1</v>
      </c>
      <c r="H102">
        <v>7539</v>
      </c>
      <c r="I102">
        <v>775</v>
      </c>
      <c r="J102" t="s">
        <v>12</v>
      </c>
      <c r="K102" t="str">
        <f>_xlfn.XLOOKUP(datos_ventas[[#This Row],[Ciudad]],Tabla2[Ciudades],Tabla2[Provincias],"no se encuentra")</f>
        <v>Málaga</v>
      </c>
      <c r="L102" t="str">
        <f>_xlfn.XLOOKUP(datos_ventas[[#This Row],[Provincia]],Tabla2[Provincias],Tabla2[Comunidades],"no se encuentra")</f>
        <v>Andalucía</v>
      </c>
      <c r="M102" t="s">
        <v>28</v>
      </c>
      <c r="N102">
        <v>1</v>
      </c>
    </row>
    <row r="103" spans="1:14" x14ac:dyDescent="0.25">
      <c r="A103">
        <v>1102</v>
      </c>
      <c r="B103" s="1">
        <v>45907</v>
      </c>
      <c r="C103" s="4">
        <f>MONTH(datos_ventas[[#This Row],[Fecha]])</f>
        <v>9</v>
      </c>
      <c r="D103" s="4">
        <f>WEEKNUM(datos_ventas[[#This Row],[Fecha]],2)</f>
        <v>36</v>
      </c>
      <c r="E103" t="s">
        <v>16</v>
      </c>
      <c r="F103" t="s">
        <v>11</v>
      </c>
      <c r="G103">
        <v>2</v>
      </c>
      <c r="H103">
        <v>7041</v>
      </c>
      <c r="I103">
        <v>766</v>
      </c>
      <c r="J103" t="s">
        <v>32</v>
      </c>
      <c r="K103" t="str">
        <f>_xlfn.XLOOKUP(datos_ventas[[#This Row],[Ciudad]],Tabla2[Ciudades],Tabla2[Provincias],"no se encuentra")</f>
        <v>Barcelona</v>
      </c>
      <c r="L103" t="str">
        <f>_xlfn.XLOOKUP(datos_ventas[[#This Row],[Provincia]],Tabla2[Provincias],Tabla2[Comunidades],"no se encuentra")</f>
        <v>Cataluña</v>
      </c>
      <c r="M103" t="s">
        <v>15</v>
      </c>
      <c r="N103">
        <v>5</v>
      </c>
    </row>
    <row r="104" spans="1:14" x14ac:dyDescent="0.25">
      <c r="A104">
        <v>1103</v>
      </c>
      <c r="B104" s="1">
        <v>45745</v>
      </c>
      <c r="C104" s="4">
        <f>MONTH(datos_ventas[[#This Row],[Fecha]])</f>
        <v>3</v>
      </c>
      <c r="D104" s="4">
        <f>WEEKNUM(datos_ventas[[#This Row],[Fecha]],2)</f>
        <v>13</v>
      </c>
      <c r="E104" t="s">
        <v>16</v>
      </c>
      <c r="F104" t="s">
        <v>11</v>
      </c>
      <c r="G104">
        <v>5</v>
      </c>
      <c r="H104">
        <v>50136</v>
      </c>
      <c r="I104">
        <v>4494</v>
      </c>
      <c r="J104" t="s">
        <v>12</v>
      </c>
      <c r="K104" t="str">
        <f>_xlfn.XLOOKUP(datos_ventas[[#This Row],[Ciudad]],Tabla2[Ciudades],Tabla2[Provincias],"no se encuentra")</f>
        <v>Málaga</v>
      </c>
      <c r="L104" t="str">
        <f>_xlfn.XLOOKUP(datos_ventas[[#This Row],[Provincia]],Tabla2[Provincias],Tabla2[Comunidades],"no se encuentra")</f>
        <v>Andalucía</v>
      </c>
      <c r="M104" t="s">
        <v>15</v>
      </c>
      <c r="N104">
        <v>3</v>
      </c>
    </row>
    <row r="105" spans="1:14" x14ac:dyDescent="0.25">
      <c r="A105">
        <v>1104</v>
      </c>
      <c r="B105" s="1">
        <v>45965</v>
      </c>
      <c r="C105" s="4">
        <f>MONTH(datos_ventas[[#This Row],[Fecha]])</f>
        <v>11</v>
      </c>
      <c r="D105" s="4">
        <f>WEEKNUM(datos_ventas[[#This Row],[Fecha]],2)</f>
        <v>45</v>
      </c>
      <c r="E105" t="s">
        <v>29</v>
      </c>
      <c r="F105" t="s">
        <v>30</v>
      </c>
      <c r="G105">
        <v>5</v>
      </c>
      <c r="H105">
        <v>2720</v>
      </c>
      <c r="I105">
        <v>269</v>
      </c>
      <c r="J105" t="s">
        <v>32</v>
      </c>
      <c r="K105" t="str">
        <f>_xlfn.XLOOKUP(datos_ventas[[#This Row],[Ciudad]],Tabla2[Ciudades],Tabla2[Provincias],"no se encuentra")</f>
        <v>Barcelona</v>
      </c>
      <c r="L105" t="str">
        <f>_xlfn.XLOOKUP(datos_ventas[[#This Row],[Provincia]],Tabla2[Provincias],Tabla2[Comunidades],"no se encuentra")</f>
        <v>Cataluña</v>
      </c>
      <c r="M105" t="s">
        <v>13</v>
      </c>
      <c r="N105">
        <v>3</v>
      </c>
    </row>
    <row r="106" spans="1:14" x14ac:dyDescent="0.25">
      <c r="A106">
        <v>1105</v>
      </c>
      <c r="B106" s="1">
        <v>45897</v>
      </c>
      <c r="C106" s="4">
        <f>MONTH(datos_ventas[[#This Row],[Fecha]])</f>
        <v>8</v>
      </c>
      <c r="D106" s="4">
        <f>WEEKNUM(datos_ventas[[#This Row],[Fecha]],2)</f>
        <v>35</v>
      </c>
      <c r="E106" t="s">
        <v>17</v>
      </c>
      <c r="F106" t="s">
        <v>18</v>
      </c>
      <c r="G106">
        <v>2</v>
      </c>
      <c r="H106">
        <v>58459</v>
      </c>
      <c r="I106">
        <v>253</v>
      </c>
      <c r="J106" t="s">
        <v>22</v>
      </c>
      <c r="K106" t="str">
        <f>_xlfn.XLOOKUP(datos_ventas[[#This Row],[Ciudad]],Tabla2[Ciudades],Tabla2[Provincias],"no se encuentra")</f>
        <v>Valencia</v>
      </c>
      <c r="L106" t="str">
        <f>_xlfn.XLOOKUP(datos_ventas[[#This Row],[Provincia]],Tabla2[Provincias],Tabla2[Comunidades],"no se encuentra")</f>
        <v>Comunidad Valenciana</v>
      </c>
      <c r="M106" t="s">
        <v>28</v>
      </c>
      <c r="N106">
        <v>1</v>
      </c>
    </row>
    <row r="107" spans="1:14" x14ac:dyDescent="0.25">
      <c r="A107">
        <v>1106</v>
      </c>
      <c r="B107" s="1">
        <v>45820</v>
      </c>
      <c r="C107" s="4">
        <f>MONTH(datos_ventas[[#This Row],[Fecha]])</f>
        <v>6</v>
      </c>
      <c r="D107" s="4">
        <f>WEEKNUM(datos_ventas[[#This Row],[Fecha]],2)</f>
        <v>24</v>
      </c>
      <c r="E107" t="s">
        <v>17</v>
      </c>
      <c r="F107" t="s">
        <v>18</v>
      </c>
      <c r="G107">
        <v>2</v>
      </c>
      <c r="H107">
        <v>24538</v>
      </c>
      <c r="I107">
        <v>4582</v>
      </c>
      <c r="J107" t="s">
        <v>14</v>
      </c>
      <c r="K107" t="str">
        <f>_xlfn.XLOOKUP(datos_ventas[[#This Row],[Ciudad]],Tabla2[Ciudades],Tabla2[Provincias],"no se encuentra")</f>
        <v>Madrid</v>
      </c>
      <c r="L107" t="str">
        <f>_xlfn.XLOOKUP(datos_ventas[[#This Row],[Provincia]],Tabla2[Provincias],Tabla2[Comunidades],"no se encuentra")</f>
        <v>Comunidad de Madrid</v>
      </c>
      <c r="M107" t="s">
        <v>28</v>
      </c>
      <c r="N107">
        <v>4</v>
      </c>
    </row>
    <row r="108" spans="1:14" x14ac:dyDescent="0.25">
      <c r="A108">
        <v>1107</v>
      </c>
      <c r="B108" s="1">
        <v>45783</v>
      </c>
      <c r="C108" s="4">
        <f>MONTH(datos_ventas[[#This Row],[Fecha]])</f>
        <v>5</v>
      </c>
      <c r="D108" s="4">
        <f>WEEKNUM(datos_ventas[[#This Row],[Fecha]],2)</f>
        <v>19</v>
      </c>
      <c r="E108" t="s">
        <v>26</v>
      </c>
      <c r="F108" t="s">
        <v>18</v>
      </c>
      <c r="G108">
        <v>1</v>
      </c>
      <c r="H108">
        <v>11073</v>
      </c>
      <c r="I108">
        <v>379</v>
      </c>
      <c r="J108" t="s">
        <v>22</v>
      </c>
      <c r="K108" t="str">
        <f>_xlfn.XLOOKUP(datos_ventas[[#This Row],[Ciudad]],Tabla2[Ciudades],Tabla2[Provincias],"no se encuentra")</f>
        <v>Valencia</v>
      </c>
      <c r="L108" t="str">
        <f>_xlfn.XLOOKUP(datos_ventas[[#This Row],[Provincia]],Tabla2[Provincias],Tabla2[Comunidades],"no se encuentra")</f>
        <v>Comunidad Valenciana</v>
      </c>
      <c r="M108" t="s">
        <v>28</v>
      </c>
      <c r="N108">
        <v>5</v>
      </c>
    </row>
    <row r="109" spans="1:14" x14ac:dyDescent="0.25">
      <c r="A109">
        <v>1108</v>
      </c>
      <c r="B109" s="1">
        <v>45849</v>
      </c>
      <c r="C109" s="4">
        <f>MONTH(datos_ventas[[#This Row],[Fecha]])</f>
        <v>7</v>
      </c>
      <c r="D109" s="4">
        <f>WEEKNUM(datos_ventas[[#This Row],[Fecha]],2)</f>
        <v>28</v>
      </c>
      <c r="E109" t="s">
        <v>26</v>
      </c>
      <c r="F109" t="s">
        <v>18</v>
      </c>
      <c r="G109">
        <v>1</v>
      </c>
      <c r="H109">
        <v>2488</v>
      </c>
      <c r="I109">
        <v>4954</v>
      </c>
      <c r="J109" t="s">
        <v>31</v>
      </c>
      <c r="K109" t="str">
        <f>_xlfn.XLOOKUP(datos_ventas[[#This Row],[Ciudad]],Tabla2[Ciudades],Tabla2[Provincias],"no se encuentra")</f>
        <v>Vizcaya</v>
      </c>
      <c r="L109" t="str">
        <f>_xlfn.XLOOKUP(datos_ventas[[#This Row],[Provincia]],Tabla2[Provincias],Tabla2[Comunidades],"no se encuentra")</f>
        <v>País Vasco</v>
      </c>
      <c r="M109" t="s">
        <v>19</v>
      </c>
      <c r="N109">
        <v>5</v>
      </c>
    </row>
    <row r="110" spans="1:14" x14ac:dyDescent="0.25">
      <c r="A110">
        <v>1109</v>
      </c>
      <c r="B110" s="1">
        <v>45990</v>
      </c>
      <c r="C110" s="4">
        <f>MONTH(datos_ventas[[#This Row],[Fecha]])</f>
        <v>11</v>
      </c>
      <c r="D110" s="4">
        <f>WEEKNUM(datos_ventas[[#This Row],[Fecha]],2)</f>
        <v>48</v>
      </c>
      <c r="E110" t="s">
        <v>16</v>
      </c>
      <c r="F110" t="s">
        <v>11</v>
      </c>
      <c r="G110">
        <v>1</v>
      </c>
      <c r="H110">
        <v>98439</v>
      </c>
      <c r="I110">
        <v>2903</v>
      </c>
      <c r="J110" t="s">
        <v>14</v>
      </c>
      <c r="K110" t="str">
        <f>_xlfn.XLOOKUP(datos_ventas[[#This Row],[Ciudad]],Tabla2[Ciudades],Tabla2[Provincias],"no se encuentra")</f>
        <v>Madrid</v>
      </c>
      <c r="L110" t="str">
        <f>_xlfn.XLOOKUP(datos_ventas[[#This Row],[Provincia]],Tabla2[Provincias],Tabla2[Comunidades],"no se encuentra")</f>
        <v>Comunidad de Madrid</v>
      </c>
      <c r="M110" t="s">
        <v>28</v>
      </c>
      <c r="N110">
        <v>4</v>
      </c>
    </row>
    <row r="111" spans="1:14" x14ac:dyDescent="0.25">
      <c r="A111">
        <v>1110</v>
      </c>
      <c r="B111" s="1">
        <v>45705</v>
      </c>
      <c r="C111" s="4">
        <f>MONTH(datos_ventas[[#This Row],[Fecha]])</f>
        <v>2</v>
      </c>
      <c r="D111" s="4">
        <f>WEEKNUM(datos_ventas[[#This Row],[Fecha]],2)</f>
        <v>8</v>
      </c>
      <c r="E111" t="s">
        <v>20</v>
      </c>
      <c r="F111" t="s">
        <v>21</v>
      </c>
      <c r="G111">
        <v>5</v>
      </c>
      <c r="H111">
        <v>99733</v>
      </c>
      <c r="I111">
        <v>3515</v>
      </c>
      <c r="J111" t="s">
        <v>12</v>
      </c>
      <c r="K111" t="str">
        <f>_xlfn.XLOOKUP(datos_ventas[[#This Row],[Ciudad]],Tabla2[Ciudades],Tabla2[Provincias],"no se encuentra")</f>
        <v>Málaga</v>
      </c>
      <c r="L111" t="str">
        <f>_xlfn.XLOOKUP(datos_ventas[[#This Row],[Provincia]],Tabla2[Provincias],Tabla2[Comunidades],"no se encuentra")</f>
        <v>Andalucía</v>
      </c>
      <c r="M111" t="s">
        <v>19</v>
      </c>
      <c r="N111">
        <v>3</v>
      </c>
    </row>
    <row r="112" spans="1:14" x14ac:dyDescent="0.25">
      <c r="A112">
        <v>1111</v>
      </c>
      <c r="B112" s="1">
        <v>45862</v>
      </c>
      <c r="C112" s="4">
        <f>MONTH(datos_ventas[[#This Row],[Fecha]])</f>
        <v>7</v>
      </c>
      <c r="D112" s="4">
        <f>WEEKNUM(datos_ventas[[#This Row],[Fecha]],2)</f>
        <v>30</v>
      </c>
      <c r="E112" t="s">
        <v>17</v>
      </c>
      <c r="F112" t="s">
        <v>18</v>
      </c>
      <c r="G112">
        <v>5</v>
      </c>
      <c r="H112">
        <v>84174</v>
      </c>
      <c r="I112">
        <v>1095</v>
      </c>
      <c r="J112" t="s">
        <v>27</v>
      </c>
      <c r="K112" t="str">
        <f>_xlfn.XLOOKUP(datos_ventas[[#This Row],[Ciudad]],Tabla2[Ciudades],Tabla2[Provincias],"no se encuentra")</f>
        <v>Sevilla</v>
      </c>
      <c r="L112" t="str">
        <f>_xlfn.XLOOKUP(datos_ventas[[#This Row],[Provincia]],Tabla2[Provincias],Tabla2[Comunidades],"no se encuentra")</f>
        <v>Andalucía</v>
      </c>
      <c r="M112" t="s">
        <v>19</v>
      </c>
      <c r="N112">
        <v>2</v>
      </c>
    </row>
    <row r="113" spans="1:14" x14ac:dyDescent="0.25">
      <c r="A113">
        <v>1112</v>
      </c>
      <c r="B113" s="1">
        <v>45668</v>
      </c>
      <c r="C113" s="4">
        <f>MONTH(datos_ventas[[#This Row],[Fecha]])</f>
        <v>1</v>
      </c>
      <c r="D113" s="4">
        <f>WEEKNUM(datos_ventas[[#This Row],[Fecha]],2)</f>
        <v>2</v>
      </c>
      <c r="E113" t="s">
        <v>17</v>
      </c>
      <c r="F113" t="s">
        <v>18</v>
      </c>
      <c r="G113">
        <v>5</v>
      </c>
      <c r="H113">
        <v>59306</v>
      </c>
      <c r="I113">
        <v>2459</v>
      </c>
      <c r="J113" t="s">
        <v>12</v>
      </c>
      <c r="K113" t="str">
        <f>_xlfn.XLOOKUP(datos_ventas[[#This Row],[Ciudad]],Tabla2[Ciudades],Tabla2[Provincias],"no se encuentra")</f>
        <v>Málaga</v>
      </c>
      <c r="L113" t="str">
        <f>_xlfn.XLOOKUP(datos_ventas[[#This Row],[Provincia]],Tabla2[Provincias],Tabla2[Comunidades],"no se encuentra")</f>
        <v>Andalucía</v>
      </c>
      <c r="M113" t="s">
        <v>13</v>
      </c>
      <c r="N113">
        <v>1</v>
      </c>
    </row>
    <row r="114" spans="1:14" x14ac:dyDescent="0.25">
      <c r="A114">
        <v>1113</v>
      </c>
      <c r="B114" s="1">
        <v>45999</v>
      </c>
      <c r="C114" s="4">
        <f>MONTH(datos_ventas[[#This Row],[Fecha]])</f>
        <v>12</v>
      </c>
      <c r="D114" s="4">
        <f>WEEKNUM(datos_ventas[[#This Row],[Fecha]],2)</f>
        <v>50</v>
      </c>
      <c r="E114" t="s">
        <v>17</v>
      </c>
      <c r="F114" t="s">
        <v>18</v>
      </c>
      <c r="G114">
        <v>1</v>
      </c>
      <c r="H114">
        <v>15233</v>
      </c>
      <c r="I114">
        <v>4779</v>
      </c>
      <c r="J114" t="s">
        <v>31</v>
      </c>
      <c r="K114" t="str">
        <f>_xlfn.XLOOKUP(datos_ventas[[#This Row],[Ciudad]],Tabla2[Ciudades],Tabla2[Provincias],"no se encuentra")</f>
        <v>Vizcaya</v>
      </c>
      <c r="L114" t="str">
        <f>_xlfn.XLOOKUP(datos_ventas[[#This Row],[Provincia]],Tabla2[Provincias],Tabla2[Comunidades],"no se encuentra")</f>
        <v>País Vasco</v>
      </c>
      <c r="M114" t="s">
        <v>15</v>
      </c>
      <c r="N114">
        <v>2</v>
      </c>
    </row>
    <row r="115" spans="1:14" x14ac:dyDescent="0.25">
      <c r="A115">
        <v>1114</v>
      </c>
      <c r="B115" s="1">
        <v>45742</v>
      </c>
      <c r="C115" s="4">
        <f>MONTH(datos_ventas[[#This Row],[Fecha]])</f>
        <v>3</v>
      </c>
      <c r="D115" s="4">
        <f>WEEKNUM(datos_ventas[[#This Row],[Fecha]],2)</f>
        <v>13</v>
      </c>
      <c r="E115" t="s">
        <v>24</v>
      </c>
      <c r="F115" t="s">
        <v>25</v>
      </c>
      <c r="G115">
        <v>3</v>
      </c>
      <c r="H115">
        <v>26196</v>
      </c>
      <c r="I115">
        <v>1978</v>
      </c>
      <c r="J115" t="s">
        <v>31</v>
      </c>
      <c r="K115" t="str">
        <f>_xlfn.XLOOKUP(datos_ventas[[#This Row],[Ciudad]],Tabla2[Ciudades],Tabla2[Provincias],"no se encuentra")</f>
        <v>Vizcaya</v>
      </c>
      <c r="L115" t="str">
        <f>_xlfn.XLOOKUP(datos_ventas[[#This Row],[Provincia]],Tabla2[Provincias],Tabla2[Comunidades],"no se encuentra")</f>
        <v>País Vasco</v>
      </c>
      <c r="M115" t="s">
        <v>13</v>
      </c>
      <c r="N115">
        <v>3</v>
      </c>
    </row>
    <row r="116" spans="1:14" x14ac:dyDescent="0.25">
      <c r="A116">
        <v>1115</v>
      </c>
      <c r="B116" s="1">
        <v>45880</v>
      </c>
      <c r="C116" s="4">
        <f>MONTH(datos_ventas[[#This Row],[Fecha]])</f>
        <v>8</v>
      </c>
      <c r="D116" s="4">
        <f>WEEKNUM(datos_ventas[[#This Row],[Fecha]],2)</f>
        <v>33</v>
      </c>
      <c r="E116" t="s">
        <v>16</v>
      </c>
      <c r="F116" t="s">
        <v>11</v>
      </c>
      <c r="G116">
        <v>1</v>
      </c>
      <c r="H116">
        <v>19131</v>
      </c>
      <c r="I116">
        <v>4506</v>
      </c>
      <c r="J116" t="s">
        <v>31</v>
      </c>
      <c r="K116" t="str">
        <f>_xlfn.XLOOKUP(datos_ventas[[#This Row],[Ciudad]],Tabla2[Ciudades],Tabla2[Provincias],"no se encuentra")</f>
        <v>Vizcaya</v>
      </c>
      <c r="L116" t="str">
        <f>_xlfn.XLOOKUP(datos_ventas[[#This Row],[Provincia]],Tabla2[Provincias],Tabla2[Comunidades],"no se encuentra")</f>
        <v>País Vasco</v>
      </c>
      <c r="M116" t="s">
        <v>28</v>
      </c>
      <c r="N116">
        <v>3</v>
      </c>
    </row>
    <row r="117" spans="1:14" x14ac:dyDescent="0.25">
      <c r="A117">
        <v>1116</v>
      </c>
      <c r="B117" s="1">
        <v>45894</v>
      </c>
      <c r="C117" s="4">
        <f>MONTH(datos_ventas[[#This Row],[Fecha]])</f>
        <v>8</v>
      </c>
      <c r="D117" s="4">
        <f>WEEKNUM(datos_ventas[[#This Row],[Fecha]],2)</f>
        <v>35</v>
      </c>
      <c r="E117" t="s">
        <v>20</v>
      </c>
      <c r="F117" t="s">
        <v>21</v>
      </c>
      <c r="G117">
        <v>5</v>
      </c>
      <c r="H117">
        <v>51789</v>
      </c>
      <c r="I117">
        <v>1852</v>
      </c>
      <c r="J117" t="s">
        <v>31</v>
      </c>
      <c r="K117" t="str">
        <f>_xlfn.XLOOKUP(datos_ventas[[#This Row],[Ciudad]],Tabla2[Ciudades],Tabla2[Provincias],"no se encuentra")</f>
        <v>Vizcaya</v>
      </c>
      <c r="L117" t="str">
        <f>_xlfn.XLOOKUP(datos_ventas[[#This Row],[Provincia]],Tabla2[Provincias],Tabla2[Comunidades],"no se encuentra")</f>
        <v>País Vasco</v>
      </c>
      <c r="M117" t="s">
        <v>19</v>
      </c>
      <c r="N117">
        <v>3</v>
      </c>
    </row>
    <row r="118" spans="1:14" x14ac:dyDescent="0.25">
      <c r="A118">
        <v>1117</v>
      </c>
      <c r="B118" s="1">
        <v>45694</v>
      </c>
      <c r="C118" s="4">
        <f>MONTH(datos_ventas[[#This Row],[Fecha]])</f>
        <v>2</v>
      </c>
      <c r="D118" s="4">
        <f>WEEKNUM(datos_ventas[[#This Row],[Fecha]],2)</f>
        <v>6</v>
      </c>
      <c r="E118" t="s">
        <v>23</v>
      </c>
      <c r="F118" t="s">
        <v>18</v>
      </c>
      <c r="G118">
        <v>4</v>
      </c>
      <c r="H118">
        <v>77198</v>
      </c>
      <c r="I118">
        <v>1139</v>
      </c>
      <c r="J118" t="s">
        <v>27</v>
      </c>
      <c r="K118" t="str">
        <f>_xlfn.XLOOKUP(datos_ventas[[#This Row],[Ciudad]],Tabla2[Ciudades],Tabla2[Provincias],"no se encuentra")</f>
        <v>Sevilla</v>
      </c>
      <c r="L118" t="str">
        <f>_xlfn.XLOOKUP(datos_ventas[[#This Row],[Provincia]],Tabla2[Provincias],Tabla2[Comunidades],"no se encuentra")</f>
        <v>Andalucía</v>
      </c>
      <c r="M118" t="s">
        <v>13</v>
      </c>
      <c r="N118">
        <v>3</v>
      </c>
    </row>
    <row r="119" spans="1:14" x14ac:dyDescent="0.25">
      <c r="A119">
        <v>1118</v>
      </c>
      <c r="B119" s="1">
        <v>45860</v>
      </c>
      <c r="C119" s="4">
        <f>MONTH(datos_ventas[[#This Row],[Fecha]])</f>
        <v>7</v>
      </c>
      <c r="D119" s="4">
        <f>WEEKNUM(datos_ventas[[#This Row],[Fecha]],2)</f>
        <v>30</v>
      </c>
      <c r="E119" t="s">
        <v>17</v>
      </c>
      <c r="F119" t="s">
        <v>18</v>
      </c>
      <c r="G119">
        <v>5</v>
      </c>
      <c r="H119">
        <v>36418</v>
      </c>
      <c r="I119">
        <v>3946</v>
      </c>
      <c r="J119" t="s">
        <v>22</v>
      </c>
      <c r="K119" t="str">
        <f>_xlfn.XLOOKUP(datos_ventas[[#This Row],[Ciudad]],Tabla2[Ciudades],Tabla2[Provincias],"no se encuentra")</f>
        <v>Valencia</v>
      </c>
      <c r="L119" t="str">
        <f>_xlfn.XLOOKUP(datos_ventas[[#This Row],[Provincia]],Tabla2[Provincias],Tabla2[Comunidades],"no se encuentra")</f>
        <v>Comunidad Valenciana</v>
      </c>
      <c r="M119" t="s">
        <v>13</v>
      </c>
      <c r="N119">
        <v>1</v>
      </c>
    </row>
    <row r="120" spans="1:14" x14ac:dyDescent="0.25">
      <c r="A120">
        <v>1119</v>
      </c>
      <c r="B120" s="1">
        <v>45954</v>
      </c>
      <c r="C120" s="4">
        <f>MONTH(datos_ventas[[#This Row],[Fecha]])</f>
        <v>10</v>
      </c>
      <c r="D120" s="4">
        <f>WEEKNUM(datos_ventas[[#This Row],[Fecha]],2)</f>
        <v>43</v>
      </c>
      <c r="E120" t="s">
        <v>20</v>
      </c>
      <c r="F120" t="s">
        <v>21</v>
      </c>
      <c r="G120">
        <v>3</v>
      </c>
      <c r="H120">
        <v>48518</v>
      </c>
      <c r="I120">
        <v>1132</v>
      </c>
      <c r="J120" t="s">
        <v>22</v>
      </c>
      <c r="K120" t="str">
        <f>_xlfn.XLOOKUP(datos_ventas[[#This Row],[Ciudad]],Tabla2[Ciudades],Tabla2[Provincias],"no se encuentra")</f>
        <v>Valencia</v>
      </c>
      <c r="L120" t="str">
        <f>_xlfn.XLOOKUP(datos_ventas[[#This Row],[Provincia]],Tabla2[Provincias],Tabla2[Comunidades],"no se encuentra")</f>
        <v>Comunidad Valenciana</v>
      </c>
      <c r="M120" t="s">
        <v>13</v>
      </c>
      <c r="N120">
        <v>1</v>
      </c>
    </row>
    <row r="121" spans="1:14" x14ac:dyDescent="0.25">
      <c r="A121">
        <v>1120</v>
      </c>
      <c r="B121" s="1">
        <v>45762</v>
      </c>
      <c r="C121" s="4">
        <f>MONTH(datos_ventas[[#This Row],[Fecha]])</f>
        <v>4</v>
      </c>
      <c r="D121" s="4">
        <f>WEEKNUM(datos_ventas[[#This Row],[Fecha]],2)</f>
        <v>16</v>
      </c>
      <c r="E121" t="s">
        <v>10</v>
      </c>
      <c r="F121" t="s">
        <v>11</v>
      </c>
      <c r="G121">
        <v>4</v>
      </c>
      <c r="H121">
        <v>40471</v>
      </c>
      <c r="I121">
        <v>2893</v>
      </c>
      <c r="J121" t="s">
        <v>27</v>
      </c>
      <c r="K121" t="str">
        <f>_xlfn.XLOOKUP(datos_ventas[[#This Row],[Ciudad]],Tabla2[Ciudades],Tabla2[Provincias],"no se encuentra")</f>
        <v>Sevilla</v>
      </c>
      <c r="L121" t="str">
        <f>_xlfn.XLOOKUP(datos_ventas[[#This Row],[Provincia]],Tabla2[Provincias],Tabla2[Comunidades],"no se encuentra")</f>
        <v>Andalucía</v>
      </c>
      <c r="M121" t="s">
        <v>28</v>
      </c>
      <c r="N121">
        <v>4</v>
      </c>
    </row>
    <row r="122" spans="1:14" x14ac:dyDescent="0.25">
      <c r="A122">
        <v>1121</v>
      </c>
      <c r="B122" s="1">
        <v>45986</v>
      </c>
      <c r="C122" s="4">
        <f>MONTH(datos_ventas[[#This Row],[Fecha]])</f>
        <v>11</v>
      </c>
      <c r="D122" s="4">
        <f>WEEKNUM(datos_ventas[[#This Row],[Fecha]],2)</f>
        <v>48</v>
      </c>
      <c r="E122" t="s">
        <v>23</v>
      </c>
      <c r="F122" t="s">
        <v>18</v>
      </c>
      <c r="G122">
        <v>4</v>
      </c>
      <c r="H122">
        <v>9326</v>
      </c>
      <c r="I122">
        <v>1271</v>
      </c>
      <c r="J122" t="s">
        <v>22</v>
      </c>
      <c r="K122" t="str">
        <f>_xlfn.XLOOKUP(datos_ventas[[#This Row],[Ciudad]],Tabla2[Ciudades],Tabla2[Provincias],"no se encuentra")</f>
        <v>Valencia</v>
      </c>
      <c r="L122" t="str">
        <f>_xlfn.XLOOKUP(datos_ventas[[#This Row],[Provincia]],Tabla2[Provincias],Tabla2[Comunidades],"no se encuentra")</f>
        <v>Comunidad Valenciana</v>
      </c>
      <c r="M122" t="s">
        <v>28</v>
      </c>
      <c r="N122">
        <v>4</v>
      </c>
    </row>
    <row r="123" spans="1:14" x14ac:dyDescent="0.25">
      <c r="A123">
        <v>1122</v>
      </c>
      <c r="B123" s="1">
        <v>45856</v>
      </c>
      <c r="C123" s="4">
        <f>MONTH(datos_ventas[[#This Row],[Fecha]])</f>
        <v>7</v>
      </c>
      <c r="D123" s="4">
        <f>WEEKNUM(datos_ventas[[#This Row],[Fecha]],2)</f>
        <v>29</v>
      </c>
      <c r="E123" t="s">
        <v>20</v>
      </c>
      <c r="F123" t="s">
        <v>21</v>
      </c>
      <c r="G123">
        <v>1</v>
      </c>
      <c r="H123">
        <v>63081</v>
      </c>
      <c r="I123">
        <v>1564</v>
      </c>
      <c r="J123" t="s">
        <v>32</v>
      </c>
      <c r="K123" t="str">
        <f>_xlfn.XLOOKUP(datos_ventas[[#This Row],[Ciudad]],Tabla2[Ciudades],Tabla2[Provincias],"no se encuentra")</f>
        <v>Barcelona</v>
      </c>
      <c r="L123" t="str">
        <f>_xlfn.XLOOKUP(datos_ventas[[#This Row],[Provincia]],Tabla2[Provincias],Tabla2[Comunidades],"no se encuentra")</f>
        <v>Cataluña</v>
      </c>
      <c r="M123" t="s">
        <v>28</v>
      </c>
      <c r="N123">
        <v>4</v>
      </c>
    </row>
    <row r="124" spans="1:14" x14ac:dyDescent="0.25">
      <c r="A124">
        <v>1123</v>
      </c>
      <c r="B124" s="1">
        <v>45947</v>
      </c>
      <c r="C124" s="4">
        <f>MONTH(datos_ventas[[#This Row],[Fecha]])</f>
        <v>10</v>
      </c>
      <c r="D124" s="4">
        <f>WEEKNUM(datos_ventas[[#This Row],[Fecha]],2)</f>
        <v>42</v>
      </c>
      <c r="E124" t="s">
        <v>23</v>
      </c>
      <c r="F124" t="s">
        <v>18</v>
      </c>
      <c r="G124">
        <v>1</v>
      </c>
      <c r="H124">
        <v>45395</v>
      </c>
      <c r="I124">
        <v>4088</v>
      </c>
      <c r="J124" t="s">
        <v>32</v>
      </c>
      <c r="K124" t="str">
        <f>_xlfn.XLOOKUP(datos_ventas[[#This Row],[Ciudad]],Tabla2[Ciudades],Tabla2[Provincias],"no se encuentra")</f>
        <v>Barcelona</v>
      </c>
      <c r="L124" t="str">
        <f>_xlfn.XLOOKUP(datos_ventas[[#This Row],[Provincia]],Tabla2[Provincias],Tabla2[Comunidades],"no se encuentra")</f>
        <v>Cataluña</v>
      </c>
      <c r="M124" t="s">
        <v>28</v>
      </c>
      <c r="N124">
        <v>1</v>
      </c>
    </row>
    <row r="125" spans="1:14" x14ac:dyDescent="0.25">
      <c r="A125">
        <v>1124</v>
      </c>
      <c r="B125" s="1">
        <v>45733</v>
      </c>
      <c r="C125" s="4">
        <f>MONTH(datos_ventas[[#This Row],[Fecha]])</f>
        <v>3</v>
      </c>
      <c r="D125" s="4">
        <f>WEEKNUM(datos_ventas[[#This Row],[Fecha]],2)</f>
        <v>12</v>
      </c>
      <c r="E125" t="s">
        <v>26</v>
      </c>
      <c r="F125" t="s">
        <v>18</v>
      </c>
      <c r="G125">
        <v>2</v>
      </c>
      <c r="H125">
        <v>33983</v>
      </c>
      <c r="I125">
        <v>1346</v>
      </c>
      <c r="J125" t="s">
        <v>14</v>
      </c>
      <c r="K125" t="str">
        <f>_xlfn.XLOOKUP(datos_ventas[[#This Row],[Ciudad]],Tabla2[Ciudades],Tabla2[Provincias],"no se encuentra")</f>
        <v>Madrid</v>
      </c>
      <c r="L125" t="str">
        <f>_xlfn.XLOOKUP(datos_ventas[[#This Row],[Provincia]],Tabla2[Provincias],Tabla2[Comunidades],"no se encuentra")</f>
        <v>Comunidad de Madrid</v>
      </c>
      <c r="M125" t="s">
        <v>19</v>
      </c>
      <c r="N125">
        <v>1</v>
      </c>
    </row>
    <row r="126" spans="1:14" x14ac:dyDescent="0.25">
      <c r="A126">
        <v>1125</v>
      </c>
      <c r="B126" s="1">
        <v>45912</v>
      </c>
      <c r="C126" s="4">
        <f>MONTH(datos_ventas[[#This Row],[Fecha]])</f>
        <v>9</v>
      </c>
      <c r="D126" s="4">
        <f>WEEKNUM(datos_ventas[[#This Row],[Fecha]],2)</f>
        <v>37</v>
      </c>
      <c r="E126" t="s">
        <v>29</v>
      </c>
      <c r="F126" t="s">
        <v>30</v>
      </c>
      <c r="G126">
        <v>4</v>
      </c>
      <c r="H126">
        <v>76186</v>
      </c>
      <c r="I126">
        <v>1386</v>
      </c>
      <c r="J126" t="s">
        <v>31</v>
      </c>
      <c r="K126" t="str">
        <f>_xlfn.XLOOKUP(datos_ventas[[#This Row],[Ciudad]],Tabla2[Ciudades],Tabla2[Provincias],"no se encuentra")</f>
        <v>Vizcaya</v>
      </c>
      <c r="L126" t="str">
        <f>_xlfn.XLOOKUP(datos_ventas[[#This Row],[Provincia]],Tabla2[Provincias],Tabla2[Comunidades],"no se encuentra")</f>
        <v>País Vasco</v>
      </c>
      <c r="M126" t="s">
        <v>28</v>
      </c>
      <c r="N126">
        <v>4</v>
      </c>
    </row>
    <row r="127" spans="1:14" x14ac:dyDescent="0.25">
      <c r="A127">
        <v>1126</v>
      </c>
      <c r="B127" s="1">
        <v>46010</v>
      </c>
      <c r="C127" s="4">
        <f>MONTH(datos_ventas[[#This Row],[Fecha]])</f>
        <v>12</v>
      </c>
      <c r="D127" s="4">
        <f>WEEKNUM(datos_ventas[[#This Row],[Fecha]],2)</f>
        <v>51</v>
      </c>
      <c r="E127" t="s">
        <v>29</v>
      </c>
      <c r="F127" t="s">
        <v>30</v>
      </c>
      <c r="G127">
        <v>4</v>
      </c>
      <c r="H127">
        <v>11109</v>
      </c>
      <c r="I127">
        <v>622</v>
      </c>
      <c r="J127" t="s">
        <v>27</v>
      </c>
      <c r="K127" t="str">
        <f>_xlfn.XLOOKUP(datos_ventas[[#This Row],[Ciudad]],Tabla2[Ciudades],Tabla2[Provincias],"no se encuentra")</f>
        <v>Sevilla</v>
      </c>
      <c r="L127" t="str">
        <f>_xlfn.XLOOKUP(datos_ventas[[#This Row],[Provincia]],Tabla2[Provincias],Tabla2[Comunidades],"no se encuentra")</f>
        <v>Andalucía</v>
      </c>
      <c r="M127" t="s">
        <v>19</v>
      </c>
      <c r="N127">
        <v>4</v>
      </c>
    </row>
    <row r="128" spans="1:14" x14ac:dyDescent="0.25">
      <c r="A128">
        <v>1127</v>
      </c>
      <c r="B128" s="1">
        <v>45915</v>
      </c>
      <c r="C128" s="4">
        <f>MONTH(datos_ventas[[#This Row],[Fecha]])</f>
        <v>9</v>
      </c>
      <c r="D128" s="4">
        <f>WEEKNUM(datos_ventas[[#This Row],[Fecha]],2)</f>
        <v>38</v>
      </c>
      <c r="E128" t="s">
        <v>26</v>
      </c>
      <c r="F128" t="s">
        <v>18</v>
      </c>
      <c r="G128">
        <v>2</v>
      </c>
      <c r="H128">
        <v>71225</v>
      </c>
      <c r="I128">
        <v>3101</v>
      </c>
      <c r="J128" t="s">
        <v>22</v>
      </c>
      <c r="K128" t="str">
        <f>_xlfn.XLOOKUP(datos_ventas[[#This Row],[Ciudad]],Tabla2[Ciudades],Tabla2[Provincias],"no se encuentra")</f>
        <v>Valencia</v>
      </c>
      <c r="L128" t="str">
        <f>_xlfn.XLOOKUP(datos_ventas[[#This Row],[Provincia]],Tabla2[Provincias],Tabla2[Comunidades],"no se encuentra")</f>
        <v>Comunidad Valenciana</v>
      </c>
      <c r="M128" t="s">
        <v>28</v>
      </c>
      <c r="N128">
        <v>2</v>
      </c>
    </row>
    <row r="129" spans="1:14" x14ac:dyDescent="0.25">
      <c r="A129">
        <v>1128</v>
      </c>
      <c r="B129" s="1">
        <v>45687</v>
      </c>
      <c r="C129" s="4">
        <f>MONTH(datos_ventas[[#This Row],[Fecha]])</f>
        <v>1</v>
      </c>
      <c r="D129" s="4">
        <f>WEEKNUM(datos_ventas[[#This Row],[Fecha]],2)</f>
        <v>5</v>
      </c>
      <c r="E129" t="s">
        <v>10</v>
      </c>
      <c r="F129" t="s">
        <v>11</v>
      </c>
      <c r="G129">
        <v>5</v>
      </c>
      <c r="H129">
        <v>19363</v>
      </c>
      <c r="I129">
        <v>1124</v>
      </c>
      <c r="J129" t="s">
        <v>22</v>
      </c>
      <c r="K129" t="str">
        <f>_xlfn.XLOOKUP(datos_ventas[[#This Row],[Ciudad]],Tabla2[Ciudades],Tabla2[Provincias],"no se encuentra")</f>
        <v>Valencia</v>
      </c>
      <c r="L129" t="str">
        <f>_xlfn.XLOOKUP(datos_ventas[[#This Row],[Provincia]],Tabla2[Provincias],Tabla2[Comunidades],"no se encuentra")</f>
        <v>Comunidad Valenciana</v>
      </c>
      <c r="M129" t="s">
        <v>13</v>
      </c>
      <c r="N129">
        <v>3</v>
      </c>
    </row>
    <row r="130" spans="1:14" x14ac:dyDescent="0.25">
      <c r="A130">
        <v>1129</v>
      </c>
      <c r="B130" s="1">
        <v>45746</v>
      </c>
      <c r="C130" s="4">
        <f>MONTH(datos_ventas[[#This Row],[Fecha]])</f>
        <v>3</v>
      </c>
      <c r="D130" s="4">
        <f>WEEKNUM(datos_ventas[[#This Row],[Fecha]],2)</f>
        <v>13</v>
      </c>
      <c r="E130" t="s">
        <v>24</v>
      </c>
      <c r="F130" t="s">
        <v>25</v>
      </c>
      <c r="G130">
        <v>2</v>
      </c>
      <c r="H130">
        <v>54255</v>
      </c>
      <c r="I130">
        <v>1428</v>
      </c>
      <c r="J130" t="s">
        <v>31</v>
      </c>
      <c r="K130" t="str">
        <f>_xlfn.XLOOKUP(datos_ventas[[#This Row],[Ciudad]],Tabla2[Ciudades],Tabla2[Provincias],"no se encuentra")</f>
        <v>Vizcaya</v>
      </c>
      <c r="L130" t="str">
        <f>_xlfn.XLOOKUP(datos_ventas[[#This Row],[Provincia]],Tabla2[Provincias],Tabla2[Comunidades],"no se encuentra")</f>
        <v>País Vasco</v>
      </c>
      <c r="M130" t="s">
        <v>15</v>
      </c>
      <c r="N130">
        <v>2</v>
      </c>
    </row>
    <row r="131" spans="1:14" x14ac:dyDescent="0.25">
      <c r="A131">
        <v>1130</v>
      </c>
      <c r="B131" s="1">
        <v>45790</v>
      </c>
      <c r="C131" s="4">
        <f>MONTH(datos_ventas[[#This Row],[Fecha]])</f>
        <v>5</v>
      </c>
      <c r="D131" s="4">
        <f>WEEKNUM(datos_ventas[[#This Row],[Fecha]],2)</f>
        <v>20</v>
      </c>
      <c r="E131" t="s">
        <v>10</v>
      </c>
      <c r="F131" t="s">
        <v>11</v>
      </c>
      <c r="G131">
        <v>3</v>
      </c>
      <c r="H131">
        <v>60095</v>
      </c>
      <c r="I131">
        <v>3327</v>
      </c>
      <c r="J131" t="s">
        <v>12</v>
      </c>
      <c r="K131" t="str">
        <f>_xlfn.XLOOKUP(datos_ventas[[#This Row],[Ciudad]],Tabla2[Ciudades],Tabla2[Provincias],"no se encuentra")</f>
        <v>Málaga</v>
      </c>
      <c r="L131" t="str">
        <f>_xlfn.XLOOKUP(datos_ventas[[#This Row],[Provincia]],Tabla2[Provincias],Tabla2[Comunidades],"no se encuentra")</f>
        <v>Andalucía</v>
      </c>
      <c r="M131" t="s">
        <v>13</v>
      </c>
      <c r="N131">
        <v>3</v>
      </c>
    </row>
    <row r="132" spans="1:14" x14ac:dyDescent="0.25">
      <c r="A132">
        <v>1131</v>
      </c>
      <c r="B132" s="1">
        <v>45917</v>
      </c>
      <c r="C132" s="4">
        <f>MONTH(datos_ventas[[#This Row],[Fecha]])</f>
        <v>9</v>
      </c>
      <c r="D132" s="4">
        <f>WEEKNUM(datos_ventas[[#This Row],[Fecha]],2)</f>
        <v>38</v>
      </c>
      <c r="E132" t="s">
        <v>20</v>
      </c>
      <c r="F132" t="s">
        <v>21</v>
      </c>
      <c r="G132">
        <v>5</v>
      </c>
      <c r="H132">
        <v>107638</v>
      </c>
      <c r="I132">
        <v>2544</v>
      </c>
      <c r="J132" t="s">
        <v>31</v>
      </c>
      <c r="K132" t="str">
        <f>_xlfn.XLOOKUP(datos_ventas[[#This Row],[Ciudad]],Tabla2[Ciudades],Tabla2[Provincias],"no se encuentra")</f>
        <v>Vizcaya</v>
      </c>
      <c r="L132" t="str">
        <f>_xlfn.XLOOKUP(datos_ventas[[#This Row],[Provincia]],Tabla2[Provincias],Tabla2[Comunidades],"no se encuentra")</f>
        <v>País Vasco</v>
      </c>
      <c r="M132" t="s">
        <v>28</v>
      </c>
      <c r="N132">
        <v>5</v>
      </c>
    </row>
    <row r="133" spans="1:14" x14ac:dyDescent="0.25">
      <c r="A133">
        <v>1132</v>
      </c>
      <c r="B133" s="1">
        <v>45828</v>
      </c>
      <c r="C133" s="4">
        <f>MONTH(datos_ventas[[#This Row],[Fecha]])</f>
        <v>6</v>
      </c>
      <c r="D133" s="4">
        <f>WEEKNUM(datos_ventas[[#This Row],[Fecha]],2)</f>
        <v>25</v>
      </c>
      <c r="E133" t="s">
        <v>29</v>
      </c>
      <c r="F133" t="s">
        <v>30</v>
      </c>
      <c r="G133">
        <v>2</v>
      </c>
      <c r="H133">
        <v>101878</v>
      </c>
      <c r="I133">
        <v>508</v>
      </c>
      <c r="J133" t="s">
        <v>31</v>
      </c>
      <c r="K133" t="str">
        <f>_xlfn.XLOOKUP(datos_ventas[[#This Row],[Ciudad]],Tabla2[Ciudades],Tabla2[Provincias],"no se encuentra")</f>
        <v>Vizcaya</v>
      </c>
      <c r="L133" t="str">
        <f>_xlfn.XLOOKUP(datos_ventas[[#This Row],[Provincia]],Tabla2[Provincias],Tabla2[Comunidades],"no se encuentra")</f>
        <v>País Vasco</v>
      </c>
      <c r="M133" t="s">
        <v>19</v>
      </c>
      <c r="N133">
        <v>3</v>
      </c>
    </row>
    <row r="134" spans="1:14" x14ac:dyDescent="0.25">
      <c r="A134">
        <v>1133</v>
      </c>
      <c r="B134" s="1">
        <v>45666</v>
      </c>
      <c r="C134" s="4">
        <f>MONTH(datos_ventas[[#This Row],[Fecha]])</f>
        <v>1</v>
      </c>
      <c r="D134" s="4">
        <f>WEEKNUM(datos_ventas[[#This Row],[Fecha]],2)</f>
        <v>2</v>
      </c>
      <c r="E134" t="s">
        <v>20</v>
      </c>
      <c r="F134" t="s">
        <v>21</v>
      </c>
      <c r="G134">
        <v>1</v>
      </c>
      <c r="H134">
        <v>29337</v>
      </c>
      <c r="I134">
        <v>231</v>
      </c>
      <c r="J134" t="s">
        <v>12</v>
      </c>
      <c r="K134" t="str">
        <f>_xlfn.XLOOKUP(datos_ventas[[#This Row],[Ciudad]],Tabla2[Ciudades],Tabla2[Provincias],"no se encuentra")</f>
        <v>Málaga</v>
      </c>
      <c r="L134" t="str">
        <f>_xlfn.XLOOKUP(datos_ventas[[#This Row],[Provincia]],Tabla2[Provincias],Tabla2[Comunidades],"no se encuentra")</f>
        <v>Andalucía</v>
      </c>
      <c r="M134" t="s">
        <v>19</v>
      </c>
      <c r="N134">
        <v>1</v>
      </c>
    </row>
    <row r="135" spans="1:14" x14ac:dyDescent="0.25">
      <c r="A135">
        <v>1134</v>
      </c>
      <c r="B135" s="1">
        <v>45959</v>
      </c>
      <c r="C135" s="4">
        <f>MONTH(datos_ventas[[#This Row],[Fecha]])</f>
        <v>10</v>
      </c>
      <c r="D135" s="4">
        <f>WEEKNUM(datos_ventas[[#This Row],[Fecha]],2)</f>
        <v>44</v>
      </c>
      <c r="E135" t="s">
        <v>23</v>
      </c>
      <c r="F135" t="s">
        <v>18</v>
      </c>
      <c r="G135">
        <v>1</v>
      </c>
      <c r="H135">
        <v>113667</v>
      </c>
      <c r="I135">
        <v>907</v>
      </c>
      <c r="J135" t="s">
        <v>22</v>
      </c>
      <c r="K135" t="str">
        <f>_xlfn.XLOOKUP(datos_ventas[[#This Row],[Ciudad]],Tabla2[Ciudades],Tabla2[Provincias],"no se encuentra")</f>
        <v>Valencia</v>
      </c>
      <c r="L135" t="str">
        <f>_xlfn.XLOOKUP(datos_ventas[[#This Row],[Provincia]],Tabla2[Provincias],Tabla2[Comunidades],"no se encuentra")</f>
        <v>Comunidad Valenciana</v>
      </c>
      <c r="M135" t="s">
        <v>28</v>
      </c>
      <c r="N135">
        <v>2</v>
      </c>
    </row>
    <row r="136" spans="1:14" x14ac:dyDescent="0.25">
      <c r="A136">
        <v>1135</v>
      </c>
      <c r="B136" s="1">
        <v>46008</v>
      </c>
      <c r="C136" s="4">
        <f>MONTH(datos_ventas[[#This Row],[Fecha]])</f>
        <v>12</v>
      </c>
      <c r="D136" s="4">
        <f>WEEKNUM(datos_ventas[[#This Row],[Fecha]],2)</f>
        <v>51</v>
      </c>
      <c r="E136" t="s">
        <v>20</v>
      </c>
      <c r="F136" t="s">
        <v>21</v>
      </c>
      <c r="G136">
        <v>5</v>
      </c>
      <c r="H136">
        <v>75717</v>
      </c>
      <c r="I136">
        <v>1094</v>
      </c>
      <c r="J136" t="s">
        <v>31</v>
      </c>
      <c r="K136" t="str">
        <f>_xlfn.XLOOKUP(datos_ventas[[#This Row],[Ciudad]],Tabla2[Ciudades],Tabla2[Provincias],"no se encuentra")</f>
        <v>Vizcaya</v>
      </c>
      <c r="L136" t="str">
        <f>_xlfn.XLOOKUP(datos_ventas[[#This Row],[Provincia]],Tabla2[Provincias],Tabla2[Comunidades],"no se encuentra")</f>
        <v>País Vasco</v>
      </c>
      <c r="M136" t="s">
        <v>28</v>
      </c>
      <c r="N136">
        <v>4</v>
      </c>
    </row>
    <row r="137" spans="1:14" x14ac:dyDescent="0.25">
      <c r="A137">
        <v>1136</v>
      </c>
      <c r="B137" s="1">
        <v>45918</v>
      </c>
      <c r="C137" s="4">
        <f>MONTH(datos_ventas[[#This Row],[Fecha]])</f>
        <v>9</v>
      </c>
      <c r="D137" s="4">
        <f>WEEKNUM(datos_ventas[[#This Row],[Fecha]],2)</f>
        <v>38</v>
      </c>
      <c r="E137" t="s">
        <v>23</v>
      </c>
      <c r="F137" t="s">
        <v>18</v>
      </c>
      <c r="G137">
        <v>4</v>
      </c>
      <c r="H137">
        <v>3785</v>
      </c>
      <c r="I137">
        <v>3187</v>
      </c>
      <c r="J137" t="s">
        <v>31</v>
      </c>
      <c r="K137" t="str">
        <f>_xlfn.XLOOKUP(datos_ventas[[#This Row],[Ciudad]],Tabla2[Ciudades],Tabla2[Provincias],"no se encuentra")</f>
        <v>Vizcaya</v>
      </c>
      <c r="L137" t="str">
        <f>_xlfn.XLOOKUP(datos_ventas[[#This Row],[Provincia]],Tabla2[Provincias],Tabla2[Comunidades],"no se encuentra")</f>
        <v>País Vasco</v>
      </c>
      <c r="M137" t="s">
        <v>15</v>
      </c>
      <c r="N137">
        <v>1</v>
      </c>
    </row>
    <row r="138" spans="1:14" x14ac:dyDescent="0.25">
      <c r="A138">
        <v>1137</v>
      </c>
      <c r="B138" s="1">
        <v>45818</v>
      </c>
      <c r="C138" s="4">
        <f>MONTH(datos_ventas[[#This Row],[Fecha]])</f>
        <v>6</v>
      </c>
      <c r="D138" s="4">
        <f>WEEKNUM(datos_ventas[[#This Row],[Fecha]],2)</f>
        <v>24</v>
      </c>
      <c r="E138" t="s">
        <v>16</v>
      </c>
      <c r="F138" t="s">
        <v>11</v>
      </c>
      <c r="G138">
        <v>4</v>
      </c>
      <c r="H138">
        <v>44746</v>
      </c>
      <c r="I138">
        <v>2776</v>
      </c>
      <c r="J138" t="s">
        <v>32</v>
      </c>
      <c r="K138" t="str">
        <f>_xlfn.XLOOKUP(datos_ventas[[#This Row],[Ciudad]],Tabla2[Ciudades],Tabla2[Provincias],"no se encuentra")</f>
        <v>Barcelona</v>
      </c>
      <c r="L138" t="str">
        <f>_xlfn.XLOOKUP(datos_ventas[[#This Row],[Provincia]],Tabla2[Provincias],Tabla2[Comunidades],"no se encuentra")</f>
        <v>Cataluña</v>
      </c>
      <c r="M138" t="s">
        <v>19</v>
      </c>
      <c r="N138">
        <v>1</v>
      </c>
    </row>
    <row r="139" spans="1:14" x14ac:dyDescent="0.25">
      <c r="A139">
        <v>1138</v>
      </c>
      <c r="B139" s="1">
        <v>46010</v>
      </c>
      <c r="C139" s="4">
        <f>MONTH(datos_ventas[[#This Row],[Fecha]])</f>
        <v>12</v>
      </c>
      <c r="D139" s="4">
        <f>WEEKNUM(datos_ventas[[#This Row],[Fecha]],2)</f>
        <v>51</v>
      </c>
      <c r="E139" t="s">
        <v>16</v>
      </c>
      <c r="F139" t="s">
        <v>11</v>
      </c>
      <c r="G139">
        <v>4</v>
      </c>
      <c r="H139">
        <v>265</v>
      </c>
      <c r="I139">
        <v>1122</v>
      </c>
      <c r="J139" t="s">
        <v>27</v>
      </c>
      <c r="K139" t="str">
        <f>_xlfn.XLOOKUP(datos_ventas[[#This Row],[Ciudad]],Tabla2[Ciudades],Tabla2[Provincias],"no se encuentra")</f>
        <v>Sevilla</v>
      </c>
      <c r="L139" t="str">
        <f>_xlfn.XLOOKUP(datos_ventas[[#This Row],[Provincia]],Tabla2[Provincias],Tabla2[Comunidades],"no se encuentra")</f>
        <v>Andalucía</v>
      </c>
      <c r="M139" t="s">
        <v>13</v>
      </c>
      <c r="N139">
        <v>4</v>
      </c>
    </row>
    <row r="140" spans="1:14" x14ac:dyDescent="0.25">
      <c r="A140">
        <v>1139</v>
      </c>
      <c r="B140" s="1">
        <v>45716</v>
      </c>
      <c r="C140" s="4">
        <f>MONTH(datos_ventas[[#This Row],[Fecha]])</f>
        <v>2</v>
      </c>
      <c r="D140" s="4">
        <f>WEEKNUM(datos_ventas[[#This Row],[Fecha]],2)</f>
        <v>9</v>
      </c>
      <c r="E140" t="s">
        <v>24</v>
      </c>
      <c r="F140" t="s">
        <v>25</v>
      </c>
      <c r="G140">
        <v>1</v>
      </c>
      <c r="H140">
        <v>108658</v>
      </c>
      <c r="I140">
        <v>2758</v>
      </c>
      <c r="J140" t="s">
        <v>22</v>
      </c>
      <c r="K140" t="str">
        <f>_xlfn.XLOOKUP(datos_ventas[[#This Row],[Ciudad]],Tabla2[Ciudades],Tabla2[Provincias],"no se encuentra")</f>
        <v>Valencia</v>
      </c>
      <c r="L140" t="str">
        <f>_xlfn.XLOOKUP(datos_ventas[[#This Row],[Provincia]],Tabla2[Provincias],Tabla2[Comunidades],"no se encuentra")</f>
        <v>Comunidad Valenciana</v>
      </c>
      <c r="M140" t="s">
        <v>15</v>
      </c>
      <c r="N140">
        <v>4</v>
      </c>
    </row>
    <row r="141" spans="1:14" x14ac:dyDescent="0.25">
      <c r="A141">
        <v>1140</v>
      </c>
      <c r="B141" s="1">
        <v>46019</v>
      </c>
      <c r="C141" s="4">
        <f>MONTH(datos_ventas[[#This Row],[Fecha]])</f>
        <v>12</v>
      </c>
      <c r="D141" s="4">
        <f>WEEKNUM(datos_ventas[[#This Row],[Fecha]],2)</f>
        <v>52</v>
      </c>
      <c r="E141" t="s">
        <v>23</v>
      </c>
      <c r="F141" t="s">
        <v>18</v>
      </c>
      <c r="G141">
        <v>3</v>
      </c>
      <c r="H141">
        <v>39696</v>
      </c>
      <c r="I141">
        <v>4461</v>
      </c>
      <c r="J141" t="s">
        <v>32</v>
      </c>
      <c r="K141" t="str">
        <f>_xlfn.XLOOKUP(datos_ventas[[#This Row],[Ciudad]],Tabla2[Ciudades],Tabla2[Provincias],"no se encuentra")</f>
        <v>Barcelona</v>
      </c>
      <c r="L141" t="str">
        <f>_xlfn.XLOOKUP(datos_ventas[[#This Row],[Provincia]],Tabla2[Provincias],Tabla2[Comunidades],"no se encuentra")</f>
        <v>Cataluña</v>
      </c>
      <c r="M141" t="s">
        <v>19</v>
      </c>
      <c r="N141">
        <v>5</v>
      </c>
    </row>
    <row r="142" spans="1:14" x14ac:dyDescent="0.25">
      <c r="A142">
        <v>1141</v>
      </c>
      <c r="B142" s="1">
        <v>45683</v>
      </c>
      <c r="C142" s="4">
        <f>MONTH(datos_ventas[[#This Row],[Fecha]])</f>
        <v>1</v>
      </c>
      <c r="D142" s="4">
        <f>WEEKNUM(datos_ventas[[#This Row],[Fecha]],2)</f>
        <v>4</v>
      </c>
      <c r="E142" t="s">
        <v>16</v>
      </c>
      <c r="F142" t="s">
        <v>11</v>
      </c>
      <c r="G142">
        <v>4</v>
      </c>
      <c r="H142">
        <v>9457</v>
      </c>
      <c r="I142">
        <v>1831</v>
      </c>
      <c r="J142" t="s">
        <v>12</v>
      </c>
      <c r="K142" t="str">
        <f>_xlfn.XLOOKUP(datos_ventas[[#This Row],[Ciudad]],Tabla2[Ciudades],Tabla2[Provincias],"no se encuentra")</f>
        <v>Málaga</v>
      </c>
      <c r="L142" t="str">
        <f>_xlfn.XLOOKUP(datos_ventas[[#This Row],[Provincia]],Tabla2[Provincias],Tabla2[Comunidades],"no se encuentra")</f>
        <v>Andalucía</v>
      </c>
      <c r="M142" t="s">
        <v>19</v>
      </c>
      <c r="N142">
        <v>5</v>
      </c>
    </row>
    <row r="143" spans="1:14" x14ac:dyDescent="0.25">
      <c r="A143">
        <v>1142</v>
      </c>
      <c r="B143" s="1">
        <v>45734</v>
      </c>
      <c r="C143" s="4">
        <f>MONTH(datos_ventas[[#This Row],[Fecha]])</f>
        <v>3</v>
      </c>
      <c r="D143" s="4">
        <f>WEEKNUM(datos_ventas[[#This Row],[Fecha]],2)</f>
        <v>12</v>
      </c>
      <c r="E143" t="s">
        <v>10</v>
      </c>
      <c r="F143" t="s">
        <v>11</v>
      </c>
      <c r="G143">
        <v>4</v>
      </c>
      <c r="H143">
        <v>24293</v>
      </c>
      <c r="I143">
        <v>2617</v>
      </c>
      <c r="J143" t="s">
        <v>14</v>
      </c>
      <c r="K143" t="str">
        <f>_xlfn.XLOOKUP(datos_ventas[[#This Row],[Ciudad]],Tabla2[Ciudades],Tabla2[Provincias],"no se encuentra")</f>
        <v>Madrid</v>
      </c>
      <c r="L143" t="str">
        <f>_xlfn.XLOOKUP(datos_ventas[[#This Row],[Provincia]],Tabla2[Provincias],Tabla2[Comunidades],"no se encuentra")</f>
        <v>Comunidad de Madrid</v>
      </c>
      <c r="M143" t="s">
        <v>13</v>
      </c>
      <c r="N143">
        <v>3</v>
      </c>
    </row>
    <row r="144" spans="1:14" x14ac:dyDescent="0.25">
      <c r="A144">
        <v>1143</v>
      </c>
      <c r="B144" s="1">
        <v>45707</v>
      </c>
      <c r="C144" s="4">
        <f>MONTH(datos_ventas[[#This Row],[Fecha]])</f>
        <v>2</v>
      </c>
      <c r="D144" s="4">
        <f>WEEKNUM(datos_ventas[[#This Row],[Fecha]],2)</f>
        <v>8</v>
      </c>
      <c r="E144" t="s">
        <v>10</v>
      </c>
      <c r="F144" t="s">
        <v>11</v>
      </c>
      <c r="G144">
        <v>1</v>
      </c>
      <c r="H144">
        <v>95455</v>
      </c>
      <c r="I144">
        <v>948</v>
      </c>
      <c r="J144" t="s">
        <v>32</v>
      </c>
      <c r="K144" t="str">
        <f>_xlfn.XLOOKUP(datos_ventas[[#This Row],[Ciudad]],Tabla2[Ciudades],Tabla2[Provincias],"no se encuentra")</f>
        <v>Barcelona</v>
      </c>
      <c r="L144" t="str">
        <f>_xlfn.XLOOKUP(datos_ventas[[#This Row],[Provincia]],Tabla2[Provincias],Tabla2[Comunidades],"no se encuentra")</f>
        <v>Cataluña</v>
      </c>
      <c r="M144" t="s">
        <v>19</v>
      </c>
      <c r="N144">
        <v>3</v>
      </c>
    </row>
    <row r="145" spans="1:14" x14ac:dyDescent="0.25">
      <c r="A145">
        <v>1144</v>
      </c>
      <c r="B145" s="1">
        <v>45859</v>
      </c>
      <c r="C145" s="4">
        <f>MONTH(datos_ventas[[#This Row],[Fecha]])</f>
        <v>7</v>
      </c>
      <c r="D145" s="4">
        <f>WEEKNUM(datos_ventas[[#This Row],[Fecha]],2)</f>
        <v>30</v>
      </c>
      <c r="E145" t="s">
        <v>23</v>
      </c>
      <c r="F145" t="s">
        <v>18</v>
      </c>
      <c r="G145">
        <v>4</v>
      </c>
      <c r="H145">
        <v>117749</v>
      </c>
      <c r="I145">
        <v>1394</v>
      </c>
      <c r="J145" t="s">
        <v>27</v>
      </c>
      <c r="K145" t="str">
        <f>_xlfn.XLOOKUP(datos_ventas[[#This Row],[Ciudad]],Tabla2[Ciudades],Tabla2[Provincias],"no se encuentra")</f>
        <v>Sevilla</v>
      </c>
      <c r="L145" t="str">
        <f>_xlfn.XLOOKUP(datos_ventas[[#This Row],[Provincia]],Tabla2[Provincias],Tabla2[Comunidades],"no se encuentra")</f>
        <v>Andalucía</v>
      </c>
      <c r="M145" t="s">
        <v>28</v>
      </c>
      <c r="N145">
        <v>5</v>
      </c>
    </row>
    <row r="146" spans="1:14" x14ac:dyDescent="0.25">
      <c r="A146">
        <v>1145</v>
      </c>
      <c r="B146" s="1">
        <v>45926</v>
      </c>
      <c r="C146" s="4">
        <f>MONTH(datos_ventas[[#This Row],[Fecha]])</f>
        <v>9</v>
      </c>
      <c r="D146" s="4">
        <f>WEEKNUM(datos_ventas[[#This Row],[Fecha]],2)</f>
        <v>39</v>
      </c>
      <c r="E146" t="s">
        <v>16</v>
      </c>
      <c r="F146" t="s">
        <v>11</v>
      </c>
      <c r="G146">
        <v>3</v>
      </c>
      <c r="H146">
        <v>110755</v>
      </c>
      <c r="I146">
        <v>2373</v>
      </c>
      <c r="J146" t="s">
        <v>12</v>
      </c>
      <c r="K146" t="str">
        <f>_xlfn.XLOOKUP(datos_ventas[[#This Row],[Ciudad]],Tabla2[Ciudades],Tabla2[Provincias],"no se encuentra")</f>
        <v>Málaga</v>
      </c>
      <c r="L146" t="str">
        <f>_xlfn.XLOOKUP(datos_ventas[[#This Row],[Provincia]],Tabla2[Provincias],Tabla2[Comunidades],"no se encuentra")</f>
        <v>Andalucía</v>
      </c>
      <c r="M146" t="s">
        <v>28</v>
      </c>
      <c r="N146">
        <v>1</v>
      </c>
    </row>
    <row r="147" spans="1:14" x14ac:dyDescent="0.25">
      <c r="A147">
        <v>1146</v>
      </c>
      <c r="B147" s="1">
        <v>45671</v>
      </c>
      <c r="C147" s="4">
        <f>MONTH(datos_ventas[[#This Row],[Fecha]])</f>
        <v>1</v>
      </c>
      <c r="D147" s="4">
        <f>WEEKNUM(datos_ventas[[#This Row],[Fecha]],2)</f>
        <v>3</v>
      </c>
      <c r="E147" t="s">
        <v>16</v>
      </c>
      <c r="F147" t="s">
        <v>11</v>
      </c>
      <c r="G147">
        <v>2</v>
      </c>
      <c r="H147">
        <v>8583</v>
      </c>
      <c r="I147">
        <v>3046</v>
      </c>
      <c r="J147" t="s">
        <v>27</v>
      </c>
      <c r="K147" t="str">
        <f>_xlfn.XLOOKUP(datos_ventas[[#This Row],[Ciudad]],Tabla2[Ciudades],Tabla2[Provincias],"no se encuentra")</f>
        <v>Sevilla</v>
      </c>
      <c r="L147" t="str">
        <f>_xlfn.XLOOKUP(datos_ventas[[#This Row],[Provincia]],Tabla2[Provincias],Tabla2[Comunidades],"no se encuentra")</f>
        <v>Andalucía</v>
      </c>
      <c r="M147" t="s">
        <v>28</v>
      </c>
      <c r="N147">
        <v>2</v>
      </c>
    </row>
    <row r="148" spans="1:14" x14ac:dyDescent="0.25">
      <c r="A148">
        <v>1147</v>
      </c>
      <c r="B148" s="1">
        <v>45700</v>
      </c>
      <c r="C148" s="4">
        <f>MONTH(datos_ventas[[#This Row],[Fecha]])</f>
        <v>2</v>
      </c>
      <c r="D148" s="4">
        <f>WEEKNUM(datos_ventas[[#This Row],[Fecha]],2)</f>
        <v>7</v>
      </c>
      <c r="E148" t="s">
        <v>16</v>
      </c>
      <c r="F148" t="s">
        <v>11</v>
      </c>
      <c r="G148">
        <v>3</v>
      </c>
      <c r="H148">
        <v>112352</v>
      </c>
      <c r="I148">
        <v>115</v>
      </c>
      <c r="J148" t="s">
        <v>27</v>
      </c>
      <c r="K148" t="str">
        <f>_xlfn.XLOOKUP(datos_ventas[[#This Row],[Ciudad]],Tabla2[Ciudades],Tabla2[Provincias],"no se encuentra")</f>
        <v>Sevilla</v>
      </c>
      <c r="L148" t="str">
        <f>_xlfn.XLOOKUP(datos_ventas[[#This Row],[Provincia]],Tabla2[Provincias],Tabla2[Comunidades],"no se encuentra")</f>
        <v>Andalucía</v>
      </c>
      <c r="M148" t="s">
        <v>28</v>
      </c>
      <c r="N148">
        <v>2</v>
      </c>
    </row>
    <row r="149" spans="1:14" x14ac:dyDescent="0.25">
      <c r="A149">
        <v>1148</v>
      </c>
      <c r="B149" s="1">
        <v>45724</v>
      </c>
      <c r="C149" s="4">
        <f>MONTH(datos_ventas[[#This Row],[Fecha]])</f>
        <v>3</v>
      </c>
      <c r="D149" s="4">
        <f>WEEKNUM(datos_ventas[[#This Row],[Fecha]],2)</f>
        <v>10</v>
      </c>
      <c r="E149" t="s">
        <v>16</v>
      </c>
      <c r="F149" t="s">
        <v>11</v>
      </c>
      <c r="G149">
        <v>3</v>
      </c>
      <c r="H149">
        <v>33167</v>
      </c>
      <c r="I149">
        <v>295</v>
      </c>
      <c r="J149" t="s">
        <v>27</v>
      </c>
      <c r="K149" t="str">
        <f>_xlfn.XLOOKUP(datos_ventas[[#This Row],[Ciudad]],Tabla2[Ciudades],Tabla2[Provincias],"no se encuentra")</f>
        <v>Sevilla</v>
      </c>
      <c r="L149" t="str">
        <f>_xlfn.XLOOKUP(datos_ventas[[#This Row],[Provincia]],Tabla2[Provincias],Tabla2[Comunidades],"no se encuentra")</f>
        <v>Andalucía</v>
      </c>
      <c r="M149" t="s">
        <v>28</v>
      </c>
      <c r="N149">
        <v>1</v>
      </c>
    </row>
    <row r="150" spans="1:14" x14ac:dyDescent="0.25">
      <c r="A150">
        <v>1149</v>
      </c>
      <c r="B150" s="1">
        <v>45809</v>
      </c>
      <c r="C150" s="4">
        <f>MONTH(datos_ventas[[#This Row],[Fecha]])</f>
        <v>6</v>
      </c>
      <c r="D150" s="4">
        <f>WEEKNUM(datos_ventas[[#This Row],[Fecha]],2)</f>
        <v>22</v>
      </c>
      <c r="E150" t="s">
        <v>29</v>
      </c>
      <c r="F150" t="s">
        <v>30</v>
      </c>
      <c r="G150">
        <v>5</v>
      </c>
      <c r="H150">
        <v>71974</v>
      </c>
      <c r="I150">
        <v>4468</v>
      </c>
      <c r="J150" t="s">
        <v>22</v>
      </c>
      <c r="K150" t="str">
        <f>_xlfn.XLOOKUP(datos_ventas[[#This Row],[Ciudad]],Tabla2[Ciudades],Tabla2[Provincias],"no se encuentra")</f>
        <v>Valencia</v>
      </c>
      <c r="L150" t="str">
        <f>_xlfn.XLOOKUP(datos_ventas[[#This Row],[Provincia]],Tabla2[Provincias],Tabla2[Comunidades],"no se encuentra")</f>
        <v>Comunidad Valenciana</v>
      </c>
      <c r="M150" t="s">
        <v>19</v>
      </c>
      <c r="N150">
        <v>2</v>
      </c>
    </row>
    <row r="151" spans="1:14" x14ac:dyDescent="0.25">
      <c r="A151">
        <v>1150</v>
      </c>
      <c r="B151" s="1">
        <v>45796</v>
      </c>
      <c r="C151" s="4">
        <f>MONTH(datos_ventas[[#This Row],[Fecha]])</f>
        <v>5</v>
      </c>
      <c r="D151" s="4">
        <f>WEEKNUM(datos_ventas[[#This Row],[Fecha]],2)</f>
        <v>21</v>
      </c>
      <c r="E151" t="s">
        <v>10</v>
      </c>
      <c r="F151" t="s">
        <v>11</v>
      </c>
      <c r="G151">
        <v>1</v>
      </c>
      <c r="H151">
        <v>106882</v>
      </c>
      <c r="I151">
        <v>727</v>
      </c>
      <c r="J151" t="s">
        <v>14</v>
      </c>
      <c r="K151" t="str">
        <f>_xlfn.XLOOKUP(datos_ventas[[#This Row],[Ciudad]],Tabla2[Ciudades],Tabla2[Provincias],"no se encuentra")</f>
        <v>Madrid</v>
      </c>
      <c r="L151" t="str">
        <f>_xlfn.XLOOKUP(datos_ventas[[#This Row],[Provincia]],Tabla2[Provincias],Tabla2[Comunidades],"no se encuentra")</f>
        <v>Comunidad de Madrid</v>
      </c>
      <c r="M151" t="s">
        <v>13</v>
      </c>
      <c r="N151">
        <v>3</v>
      </c>
    </row>
    <row r="152" spans="1:14" x14ac:dyDescent="0.25">
      <c r="A152">
        <v>1151</v>
      </c>
      <c r="B152" s="1">
        <v>45911</v>
      </c>
      <c r="C152" s="4">
        <f>MONTH(datos_ventas[[#This Row],[Fecha]])</f>
        <v>9</v>
      </c>
      <c r="D152" s="4">
        <f>WEEKNUM(datos_ventas[[#This Row],[Fecha]],2)</f>
        <v>37</v>
      </c>
      <c r="E152" t="s">
        <v>29</v>
      </c>
      <c r="F152" t="s">
        <v>30</v>
      </c>
      <c r="G152">
        <v>2</v>
      </c>
      <c r="H152">
        <v>9034</v>
      </c>
      <c r="I152">
        <v>1397</v>
      </c>
      <c r="J152" t="s">
        <v>31</v>
      </c>
      <c r="K152" t="str">
        <f>_xlfn.XLOOKUP(datos_ventas[[#This Row],[Ciudad]],Tabla2[Ciudades],Tabla2[Provincias],"no se encuentra")</f>
        <v>Vizcaya</v>
      </c>
      <c r="L152" t="str">
        <f>_xlfn.XLOOKUP(datos_ventas[[#This Row],[Provincia]],Tabla2[Provincias],Tabla2[Comunidades],"no se encuentra")</f>
        <v>País Vasco</v>
      </c>
      <c r="M152" t="s">
        <v>15</v>
      </c>
      <c r="N152">
        <v>5</v>
      </c>
    </row>
    <row r="153" spans="1:14" x14ac:dyDescent="0.25">
      <c r="A153">
        <v>1152</v>
      </c>
      <c r="B153" s="1">
        <v>45874</v>
      </c>
      <c r="C153" s="4">
        <f>MONTH(datos_ventas[[#This Row],[Fecha]])</f>
        <v>8</v>
      </c>
      <c r="D153" s="4">
        <f>WEEKNUM(datos_ventas[[#This Row],[Fecha]],2)</f>
        <v>32</v>
      </c>
      <c r="E153" t="s">
        <v>16</v>
      </c>
      <c r="F153" t="s">
        <v>11</v>
      </c>
      <c r="G153">
        <v>3</v>
      </c>
      <c r="H153">
        <v>63834</v>
      </c>
      <c r="I153">
        <v>3678</v>
      </c>
      <c r="J153" t="s">
        <v>14</v>
      </c>
      <c r="K153" t="str">
        <f>_xlfn.XLOOKUP(datos_ventas[[#This Row],[Ciudad]],Tabla2[Ciudades],Tabla2[Provincias],"no se encuentra")</f>
        <v>Madrid</v>
      </c>
      <c r="L153" t="str">
        <f>_xlfn.XLOOKUP(datos_ventas[[#This Row],[Provincia]],Tabla2[Provincias],Tabla2[Comunidades],"no se encuentra")</f>
        <v>Comunidad de Madrid</v>
      </c>
      <c r="M153" t="s">
        <v>15</v>
      </c>
      <c r="N153">
        <v>5</v>
      </c>
    </row>
    <row r="154" spans="1:14" x14ac:dyDescent="0.25">
      <c r="A154">
        <v>1153</v>
      </c>
      <c r="B154" s="1">
        <v>45770</v>
      </c>
      <c r="C154" s="4">
        <f>MONTH(datos_ventas[[#This Row],[Fecha]])</f>
        <v>4</v>
      </c>
      <c r="D154" s="4">
        <f>WEEKNUM(datos_ventas[[#This Row],[Fecha]],2)</f>
        <v>17</v>
      </c>
      <c r="E154" t="s">
        <v>29</v>
      </c>
      <c r="F154" t="s">
        <v>30</v>
      </c>
      <c r="G154">
        <v>4</v>
      </c>
      <c r="H154">
        <v>112854</v>
      </c>
      <c r="I154">
        <v>4693</v>
      </c>
      <c r="J154" t="s">
        <v>32</v>
      </c>
      <c r="K154" t="str">
        <f>_xlfn.XLOOKUP(datos_ventas[[#This Row],[Ciudad]],Tabla2[Ciudades],Tabla2[Provincias],"no se encuentra")</f>
        <v>Barcelona</v>
      </c>
      <c r="L154" t="str">
        <f>_xlfn.XLOOKUP(datos_ventas[[#This Row],[Provincia]],Tabla2[Provincias],Tabla2[Comunidades],"no se encuentra")</f>
        <v>Cataluña</v>
      </c>
      <c r="M154" t="s">
        <v>28</v>
      </c>
      <c r="N154">
        <v>5</v>
      </c>
    </row>
    <row r="155" spans="1:14" x14ac:dyDescent="0.25">
      <c r="A155">
        <v>1154</v>
      </c>
      <c r="B155" s="1">
        <v>45949</v>
      </c>
      <c r="C155" s="4">
        <f>MONTH(datos_ventas[[#This Row],[Fecha]])</f>
        <v>10</v>
      </c>
      <c r="D155" s="4">
        <f>WEEKNUM(datos_ventas[[#This Row],[Fecha]],2)</f>
        <v>42</v>
      </c>
      <c r="E155" t="s">
        <v>16</v>
      </c>
      <c r="F155" t="s">
        <v>11</v>
      </c>
      <c r="G155">
        <v>1</v>
      </c>
      <c r="H155">
        <v>111751</v>
      </c>
      <c r="I155">
        <v>1081</v>
      </c>
      <c r="J155" t="s">
        <v>14</v>
      </c>
      <c r="K155" t="str">
        <f>_xlfn.XLOOKUP(datos_ventas[[#This Row],[Ciudad]],Tabla2[Ciudades],Tabla2[Provincias],"no se encuentra")</f>
        <v>Madrid</v>
      </c>
      <c r="L155" t="str">
        <f>_xlfn.XLOOKUP(datos_ventas[[#This Row],[Provincia]],Tabla2[Provincias],Tabla2[Comunidades],"no se encuentra")</f>
        <v>Comunidad de Madrid</v>
      </c>
      <c r="M155" t="s">
        <v>13</v>
      </c>
      <c r="N155">
        <v>5</v>
      </c>
    </row>
    <row r="156" spans="1:14" x14ac:dyDescent="0.25">
      <c r="A156">
        <v>1155</v>
      </c>
      <c r="B156" s="1">
        <v>45900</v>
      </c>
      <c r="C156" s="4">
        <f>MONTH(datos_ventas[[#This Row],[Fecha]])</f>
        <v>8</v>
      </c>
      <c r="D156" s="4">
        <f>WEEKNUM(datos_ventas[[#This Row],[Fecha]],2)</f>
        <v>35</v>
      </c>
      <c r="E156" t="s">
        <v>26</v>
      </c>
      <c r="F156" t="s">
        <v>18</v>
      </c>
      <c r="G156">
        <v>4</v>
      </c>
      <c r="H156">
        <v>21176</v>
      </c>
      <c r="I156">
        <v>962</v>
      </c>
      <c r="J156" t="s">
        <v>32</v>
      </c>
      <c r="K156" t="str">
        <f>_xlfn.XLOOKUP(datos_ventas[[#This Row],[Ciudad]],Tabla2[Ciudades],Tabla2[Provincias],"no se encuentra")</f>
        <v>Barcelona</v>
      </c>
      <c r="L156" t="str">
        <f>_xlfn.XLOOKUP(datos_ventas[[#This Row],[Provincia]],Tabla2[Provincias],Tabla2[Comunidades],"no se encuentra")</f>
        <v>Cataluña</v>
      </c>
      <c r="M156" t="s">
        <v>19</v>
      </c>
      <c r="N156">
        <v>2</v>
      </c>
    </row>
    <row r="157" spans="1:14" x14ac:dyDescent="0.25">
      <c r="A157">
        <v>1156</v>
      </c>
      <c r="B157" s="1">
        <v>45938</v>
      </c>
      <c r="C157" s="4">
        <f>MONTH(datos_ventas[[#This Row],[Fecha]])</f>
        <v>10</v>
      </c>
      <c r="D157" s="4">
        <f>WEEKNUM(datos_ventas[[#This Row],[Fecha]],2)</f>
        <v>41</v>
      </c>
      <c r="E157" t="s">
        <v>10</v>
      </c>
      <c r="F157" t="s">
        <v>11</v>
      </c>
      <c r="G157">
        <v>4</v>
      </c>
      <c r="H157">
        <v>10152</v>
      </c>
      <c r="I157">
        <v>2806</v>
      </c>
      <c r="J157" t="s">
        <v>22</v>
      </c>
      <c r="K157" t="str">
        <f>_xlfn.XLOOKUP(datos_ventas[[#This Row],[Ciudad]],Tabla2[Ciudades],Tabla2[Provincias],"no se encuentra")</f>
        <v>Valencia</v>
      </c>
      <c r="L157" t="str">
        <f>_xlfn.XLOOKUP(datos_ventas[[#This Row],[Provincia]],Tabla2[Provincias],Tabla2[Comunidades],"no se encuentra")</f>
        <v>Comunidad Valenciana</v>
      </c>
      <c r="M157" t="s">
        <v>28</v>
      </c>
      <c r="N157">
        <v>2</v>
      </c>
    </row>
    <row r="158" spans="1:14" x14ac:dyDescent="0.25">
      <c r="A158">
        <v>1157</v>
      </c>
      <c r="B158" s="1">
        <v>45951</v>
      </c>
      <c r="C158" s="4">
        <f>MONTH(datos_ventas[[#This Row],[Fecha]])</f>
        <v>10</v>
      </c>
      <c r="D158" s="4">
        <f>WEEKNUM(datos_ventas[[#This Row],[Fecha]],2)</f>
        <v>43</v>
      </c>
      <c r="E158" t="s">
        <v>24</v>
      </c>
      <c r="F158" t="s">
        <v>25</v>
      </c>
      <c r="G158">
        <v>2</v>
      </c>
      <c r="H158">
        <v>105816</v>
      </c>
      <c r="I158">
        <v>3084</v>
      </c>
      <c r="J158" t="s">
        <v>12</v>
      </c>
      <c r="K158" t="str">
        <f>_xlfn.XLOOKUP(datos_ventas[[#This Row],[Ciudad]],Tabla2[Ciudades],Tabla2[Provincias],"no se encuentra")</f>
        <v>Málaga</v>
      </c>
      <c r="L158" t="str">
        <f>_xlfn.XLOOKUP(datos_ventas[[#This Row],[Provincia]],Tabla2[Provincias],Tabla2[Comunidades],"no se encuentra")</f>
        <v>Andalucía</v>
      </c>
      <c r="M158" t="s">
        <v>28</v>
      </c>
      <c r="N158">
        <v>3</v>
      </c>
    </row>
    <row r="159" spans="1:14" x14ac:dyDescent="0.25">
      <c r="A159">
        <v>1158</v>
      </c>
      <c r="B159" s="1">
        <v>45801</v>
      </c>
      <c r="C159" s="4">
        <f>MONTH(datos_ventas[[#This Row],[Fecha]])</f>
        <v>5</v>
      </c>
      <c r="D159" s="4">
        <f>WEEKNUM(datos_ventas[[#This Row],[Fecha]],2)</f>
        <v>21</v>
      </c>
      <c r="E159" t="s">
        <v>10</v>
      </c>
      <c r="F159" t="s">
        <v>11</v>
      </c>
      <c r="G159">
        <v>5</v>
      </c>
      <c r="H159">
        <v>113878</v>
      </c>
      <c r="I159">
        <v>328</v>
      </c>
      <c r="J159" t="s">
        <v>27</v>
      </c>
      <c r="K159" t="str">
        <f>_xlfn.XLOOKUP(datos_ventas[[#This Row],[Ciudad]],Tabla2[Ciudades],Tabla2[Provincias],"no se encuentra")</f>
        <v>Sevilla</v>
      </c>
      <c r="L159" t="str">
        <f>_xlfn.XLOOKUP(datos_ventas[[#This Row],[Provincia]],Tabla2[Provincias],Tabla2[Comunidades],"no se encuentra")</f>
        <v>Andalucía</v>
      </c>
      <c r="M159" t="s">
        <v>28</v>
      </c>
      <c r="N159">
        <v>3</v>
      </c>
    </row>
    <row r="160" spans="1:14" x14ac:dyDescent="0.25">
      <c r="A160">
        <v>1159</v>
      </c>
      <c r="B160" s="1">
        <v>45882</v>
      </c>
      <c r="C160" s="4">
        <f>MONTH(datos_ventas[[#This Row],[Fecha]])</f>
        <v>8</v>
      </c>
      <c r="D160" s="4">
        <f>WEEKNUM(datos_ventas[[#This Row],[Fecha]],2)</f>
        <v>33</v>
      </c>
      <c r="E160" t="s">
        <v>17</v>
      </c>
      <c r="F160" t="s">
        <v>18</v>
      </c>
      <c r="G160">
        <v>3</v>
      </c>
      <c r="H160">
        <v>4077</v>
      </c>
      <c r="I160">
        <v>3621</v>
      </c>
      <c r="J160" t="s">
        <v>14</v>
      </c>
      <c r="K160" t="str">
        <f>_xlfn.XLOOKUP(datos_ventas[[#This Row],[Ciudad]],Tabla2[Ciudades],Tabla2[Provincias],"no se encuentra")</f>
        <v>Madrid</v>
      </c>
      <c r="L160" t="str">
        <f>_xlfn.XLOOKUP(datos_ventas[[#This Row],[Provincia]],Tabla2[Provincias],Tabla2[Comunidades],"no se encuentra")</f>
        <v>Comunidad de Madrid</v>
      </c>
      <c r="M160" t="s">
        <v>13</v>
      </c>
      <c r="N160">
        <v>1</v>
      </c>
    </row>
    <row r="161" spans="1:14" x14ac:dyDescent="0.25">
      <c r="A161">
        <v>1160</v>
      </c>
      <c r="B161" s="1">
        <v>45792</v>
      </c>
      <c r="C161" s="4">
        <f>MONTH(datos_ventas[[#This Row],[Fecha]])</f>
        <v>5</v>
      </c>
      <c r="D161" s="4">
        <f>WEEKNUM(datos_ventas[[#This Row],[Fecha]],2)</f>
        <v>20</v>
      </c>
      <c r="E161" t="s">
        <v>20</v>
      </c>
      <c r="F161" t="s">
        <v>21</v>
      </c>
      <c r="G161">
        <v>3</v>
      </c>
      <c r="H161">
        <v>95815</v>
      </c>
      <c r="I161">
        <v>2531</v>
      </c>
      <c r="J161" t="s">
        <v>22</v>
      </c>
      <c r="K161" t="str">
        <f>_xlfn.XLOOKUP(datos_ventas[[#This Row],[Ciudad]],Tabla2[Ciudades],Tabla2[Provincias],"no se encuentra")</f>
        <v>Valencia</v>
      </c>
      <c r="L161" t="str">
        <f>_xlfn.XLOOKUP(datos_ventas[[#This Row],[Provincia]],Tabla2[Provincias],Tabla2[Comunidades],"no se encuentra")</f>
        <v>Comunidad Valenciana</v>
      </c>
      <c r="M161" t="s">
        <v>28</v>
      </c>
      <c r="N161">
        <v>5</v>
      </c>
    </row>
    <row r="162" spans="1:14" x14ac:dyDescent="0.25">
      <c r="A162">
        <v>1161</v>
      </c>
      <c r="B162" s="1">
        <v>45690</v>
      </c>
      <c r="C162" s="4">
        <f>MONTH(datos_ventas[[#This Row],[Fecha]])</f>
        <v>2</v>
      </c>
      <c r="D162" s="4">
        <f>WEEKNUM(datos_ventas[[#This Row],[Fecha]],2)</f>
        <v>5</v>
      </c>
      <c r="E162" t="s">
        <v>23</v>
      </c>
      <c r="F162" t="s">
        <v>18</v>
      </c>
      <c r="G162">
        <v>1</v>
      </c>
      <c r="H162">
        <v>52894</v>
      </c>
      <c r="I162">
        <v>4307</v>
      </c>
      <c r="J162" t="s">
        <v>14</v>
      </c>
      <c r="K162" t="str">
        <f>_xlfn.XLOOKUP(datos_ventas[[#This Row],[Ciudad]],Tabla2[Ciudades],Tabla2[Provincias],"no se encuentra")</f>
        <v>Madrid</v>
      </c>
      <c r="L162" t="str">
        <f>_xlfn.XLOOKUP(datos_ventas[[#This Row],[Provincia]],Tabla2[Provincias],Tabla2[Comunidades],"no se encuentra")</f>
        <v>Comunidad de Madrid</v>
      </c>
      <c r="M162" t="s">
        <v>13</v>
      </c>
      <c r="N162">
        <v>3</v>
      </c>
    </row>
    <row r="163" spans="1:14" x14ac:dyDescent="0.25">
      <c r="A163">
        <v>1162</v>
      </c>
      <c r="B163" s="1">
        <v>45849</v>
      </c>
      <c r="C163" s="4">
        <f>MONTH(datos_ventas[[#This Row],[Fecha]])</f>
        <v>7</v>
      </c>
      <c r="D163" s="4">
        <f>WEEKNUM(datos_ventas[[#This Row],[Fecha]],2)</f>
        <v>28</v>
      </c>
      <c r="E163" t="s">
        <v>20</v>
      </c>
      <c r="F163" t="s">
        <v>21</v>
      </c>
      <c r="G163">
        <v>3</v>
      </c>
      <c r="H163">
        <v>96096</v>
      </c>
      <c r="I163">
        <v>1705</v>
      </c>
      <c r="J163" t="s">
        <v>31</v>
      </c>
      <c r="K163" t="str">
        <f>_xlfn.XLOOKUP(datos_ventas[[#This Row],[Ciudad]],Tabla2[Ciudades],Tabla2[Provincias],"no se encuentra")</f>
        <v>Vizcaya</v>
      </c>
      <c r="L163" t="str">
        <f>_xlfn.XLOOKUP(datos_ventas[[#This Row],[Provincia]],Tabla2[Provincias],Tabla2[Comunidades],"no se encuentra")</f>
        <v>País Vasco</v>
      </c>
      <c r="M163" t="s">
        <v>13</v>
      </c>
      <c r="N163">
        <v>4</v>
      </c>
    </row>
    <row r="164" spans="1:14" x14ac:dyDescent="0.25">
      <c r="A164">
        <v>1163</v>
      </c>
      <c r="B164" s="1">
        <v>45717</v>
      </c>
      <c r="C164" s="4">
        <f>MONTH(datos_ventas[[#This Row],[Fecha]])</f>
        <v>3</v>
      </c>
      <c r="D164" s="4">
        <f>WEEKNUM(datos_ventas[[#This Row],[Fecha]],2)</f>
        <v>9</v>
      </c>
      <c r="E164" t="s">
        <v>17</v>
      </c>
      <c r="F164" t="s">
        <v>18</v>
      </c>
      <c r="G164">
        <v>5</v>
      </c>
      <c r="H164">
        <v>9718</v>
      </c>
      <c r="I164">
        <v>568</v>
      </c>
      <c r="J164" t="s">
        <v>12</v>
      </c>
      <c r="K164" t="str">
        <f>_xlfn.XLOOKUP(datos_ventas[[#This Row],[Ciudad]],Tabla2[Ciudades],Tabla2[Provincias],"no se encuentra")</f>
        <v>Málaga</v>
      </c>
      <c r="L164" t="str">
        <f>_xlfn.XLOOKUP(datos_ventas[[#This Row],[Provincia]],Tabla2[Provincias],Tabla2[Comunidades],"no se encuentra")</f>
        <v>Andalucía</v>
      </c>
      <c r="M164" t="s">
        <v>19</v>
      </c>
      <c r="N164">
        <v>1</v>
      </c>
    </row>
    <row r="165" spans="1:14" x14ac:dyDescent="0.25">
      <c r="A165">
        <v>1164</v>
      </c>
      <c r="B165" s="1">
        <v>45765</v>
      </c>
      <c r="C165" s="4">
        <f>MONTH(datos_ventas[[#This Row],[Fecha]])</f>
        <v>4</v>
      </c>
      <c r="D165" s="4">
        <f>WEEKNUM(datos_ventas[[#This Row],[Fecha]],2)</f>
        <v>16</v>
      </c>
      <c r="E165" t="s">
        <v>20</v>
      </c>
      <c r="F165" t="s">
        <v>21</v>
      </c>
      <c r="G165">
        <v>1</v>
      </c>
      <c r="H165">
        <v>12771</v>
      </c>
      <c r="I165">
        <v>3023</v>
      </c>
      <c r="J165" t="s">
        <v>14</v>
      </c>
      <c r="K165" t="str">
        <f>_xlfn.XLOOKUP(datos_ventas[[#This Row],[Ciudad]],Tabla2[Ciudades],Tabla2[Provincias],"no se encuentra")</f>
        <v>Madrid</v>
      </c>
      <c r="L165" t="str">
        <f>_xlfn.XLOOKUP(datos_ventas[[#This Row],[Provincia]],Tabla2[Provincias],Tabla2[Comunidades],"no se encuentra")</f>
        <v>Comunidad de Madrid</v>
      </c>
      <c r="M165" t="s">
        <v>15</v>
      </c>
      <c r="N165">
        <v>2</v>
      </c>
    </row>
    <row r="166" spans="1:14" x14ac:dyDescent="0.25">
      <c r="A166">
        <v>1165</v>
      </c>
      <c r="B166" s="1">
        <v>45681</v>
      </c>
      <c r="C166" s="4">
        <f>MONTH(datos_ventas[[#This Row],[Fecha]])</f>
        <v>1</v>
      </c>
      <c r="D166" s="4">
        <f>WEEKNUM(datos_ventas[[#This Row],[Fecha]],2)</f>
        <v>4</v>
      </c>
      <c r="E166" t="s">
        <v>24</v>
      </c>
      <c r="F166" t="s">
        <v>25</v>
      </c>
      <c r="G166">
        <v>4</v>
      </c>
      <c r="H166">
        <v>45407</v>
      </c>
      <c r="I166">
        <v>548</v>
      </c>
      <c r="J166" t="s">
        <v>32</v>
      </c>
      <c r="K166" t="str">
        <f>_xlfn.XLOOKUP(datos_ventas[[#This Row],[Ciudad]],Tabla2[Ciudades],Tabla2[Provincias],"no se encuentra")</f>
        <v>Barcelona</v>
      </c>
      <c r="L166" t="str">
        <f>_xlfn.XLOOKUP(datos_ventas[[#This Row],[Provincia]],Tabla2[Provincias],Tabla2[Comunidades],"no se encuentra")</f>
        <v>Cataluña</v>
      </c>
      <c r="M166" t="s">
        <v>13</v>
      </c>
      <c r="N166">
        <v>5</v>
      </c>
    </row>
    <row r="167" spans="1:14" x14ac:dyDescent="0.25">
      <c r="A167">
        <v>1166</v>
      </c>
      <c r="B167" s="1">
        <v>45730</v>
      </c>
      <c r="C167" s="4">
        <f>MONTH(datos_ventas[[#This Row],[Fecha]])</f>
        <v>3</v>
      </c>
      <c r="D167" s="4">
        <f>WEEKNUM(datos_ventas[[#This Row],[Fecha]],2)</f>
        <v>11</v>
      </c>
      <c r="E167" t="s">
        <v>23</v>
      </c>
      <c r="F167" t="s">
        <v>18</v>
      </c>
      <c r="G167">
        <v>5</v>
      </c>
      <c r="H167">
        <v>29015</v>
      </c>
      <c r="I167">
        <v>1494</v>
      </c>
      <c r="J167" t="s">
        <v>31</v>
      </c>
      <c r="K167" t="str">
        <f>_xlfn.XLOOKUP(datos_ventas[[#This Row],[Ciudad]],Tabla2[Ciudades],Tabla2[Provincias],"no se encuentra")</f>
        <v>Vizcaya</v>
      </c>
      <c r="L167" t="str">
        <f>_xlfn.XLOOKUP(datos_ventas[[#This Row],[Provincia]],Tabla2[Provincias],Tabla2[Comunidades],"no se encuentra")</f>
        <v>País Vasco</v>
      </c>
      <c r="M167" t="s">
        <v>15</v>
      </c>
      <c r="N167">
        <v>3</v>
      </c>
    </row>
    <row r="168" spans="1:14" x14ac:dyDescent="0.25">
      <c r="A168">
        <v>1167</v>
      </c>
      <c r="B168" s="1">
        <v>45711</v>
      </c>
      <c r="C168" s="4">
        <f>MONTH(datos_ventas[[#This Row],[Fecha]])</f>
        <v>2</v>
      </c>
      <c r="D168" s="4">
        <f>WEEKNUM(datos_ventas[[#This Row],[Fecha]],2)</f>
        <v>8</v>
      </c>
      <c r="E168" t="s">
        <v>26</v>
      </c>
      <c r="F168" t="s">
        <v>18</v>
      </c>
      <c r="G168">
        <v>2</v>
      </c>
      <c r="H168">
        <v>17225</v>
      </c>
      <c r="I168">
        <v>3081</v>
      </c>
      <c r="J168" t="s">
        <v>12</v>
      </c>
      <c r="K168" t="str">
        <f>_xlfn.XLOOKUP(datos_ventas[[#This Row],[Ciudad]],Tabla2[Ciudades],Tabla2[Provincias],"no se encuentra")</f>
        <v>Málaga</v>
      </c>
      <c r="L168" t="str">
        <f>_xlfn.XLOOKUP(datos_ventas[[#This Row],[Provincia]],Tabla2[Provincias],Tabla2[Comunidades],"no se encuentra")</f>
        <v>Andalucía</v>
      </c>
      <c r="M168" t="s">
        <v>13</v>
      </c>
      <c r="N168">
        <v>2</v>
      </c>
    </row>
    <row r="169" spans="1:14" x14ac:dyDescent="0.25">
      <c r="A169">
        <v>1168</v>
      </c>
      <c r="B169" s="1">
        <v>45870</v>
      </c>
      <c r="C169" s="4">
        <f>MONTH(datos_ventas[[#This Row],[Fecha]])</f>
        <v>8</v>
      </c>
      <c r="D169" s="4">
        <f>WEEKNUM(datos_ventas[[#This Row],[Fecha]],2)</f>
        <v>31</v>
      </c>
      <c r="E169" t="s">
        <v>20</v>
      </c>
      <c r="F169" t="s">
        <v>21</v>
      </c>
      <c r="G169">
        <v>2</v>
      </c>
      <c r="H169">
        <v>116794</v>
      </c>
      <c r="I169">
        <v>1507</v>
      </c>
      <c r="J169" t="s">
        <v>32</v>
      </c>
      <c r="K169" t="str">
        <f>_xlfn.XLOOKUP(datos_ventas[[#This Row],[Ciudad]],Tabla2[Ciudades],Tabla2[Provincias],"no se encuentra")</f>
        <v>Barcelona</v>
      </c>
      <c r="L169" t="str">
        <f>_xlfn.XLOOKUP(datos_ventas[[#This Row],[Provincia]],Tabla2[Provincias],Tabla2[Comunidades],"no se encuentra")</f>
        <v>Cataluña</v>
      </c>
      <c r="M169" t="s">
        <v>19</v>
      </c>
      <c r="N169">
        <v>5</v>
      </c>
    </row>
    <row r="170" spans="1:14" x14ac:dyDescent="0.25">
      <c r="A170">
        <v>1169</v>
      </c>
      <c r="B170" s="1">
        <v>45790</v>
      </c>
      <c r="C170" s="4">
        <f>MONTH(datos_ventas[[#This Row],[Fecha]])</f>
        <v>5</v>
      </c>
      <c r="D170" s="4">
        <f>WEEKNUM(datos_ventas[[#This Row],[Fecha]],2)</f>
        <v>20</v>
      </c>
      <c r="E170" t="s">
        <v>20</v>
      </c>
      <c r="F170" t="s">
        <v>21</v>
      </c>
      <c r="G170">
        <v>3</v>
      </c>
      <c r="H170">
        <v>65476</v>
      </c>
      <c r="I170">
        <v>2078</v>
      </c>
      <c r="J170" t="s">
        <v>31</v>
      </c>
      <c r="K170" t="str">
        <f>_xlfn.XLOOKUP(datos_ventas[[#This Row],[Ciudad]],Tabla2[Ciudades],Tabla2[Provincias],"no se encuentra")</f>
        <v>Vizcaya</v>
      </c>
      <c r="L170" t="str">
        <f>_xlfn.XLOOKUP(datos_ventas[[#This Row],[Provincia]],Tabla2[Provincias],Tabla2[Comunidades],"no se encuentra")</f>
        <v>País Vasco</v>
      </c>
      <c r="M170" t="s">
        <v>19</v>
      </c>
      <c r="N170">
        <v>1</v>
      </c>
    </row>
    <row r="171" spans="1:14" x14ac:dyDescent="0.25">
      <c r="A171">
        <v>1170</v>
      </c>
      <c r="B171" s="1">
        <v>45897</v>
      </c>
      <c r="C171" s="4">
        <f>MONTH(datos_ventas[[#This Row],[Fecha]])</f>
        <v>8</v>
      </c>
      <c r="D171" s="4">
        <f>WEEKNUM(datos_ventas[[#This Row],[Fecha]],2)</f>
        <v>35</v>
      </c>
      <c r="E171" t="s">
        <v>29</v>
      </c>
      <c r="F171" t="s">
        <v>30</v>
      </c>
      <c r="G171">
        <v>3</v>
      </c>
      <c r="H171">
        <v>43896</v>
      </c>
      <c r="I171">
        <v>121</v>
      </c>
      <c r="J171" t="s">
        <v>22</v>
      </c>
      <c r="K171" t="str">
        <f>_xlfn.XLOOKUP(datos_ventas[[#This Row],[Ciudad]],Tabla2[Ciudades],Tabla2[Provincias],"no se encuentra")</f>
        <v>Valencia</v>
      </c>
      <c r="L171" t="str">
        <f>_xlfn.XLOOKUP(datos_ventas[[#This Row],[Provincia]],Tabla2[Provincias],Tabla2[Comunidades],"no se encuentra")</f>
        <v>Comunidad Valenciana</v>
      </c>
      <c r="M171" t="s">
        <v>19</v>
      </c>
      <c r="N171">
        <v>4</v>
      </c>
    </row>
    <row r="172" spans="1:14" x14ac:dyDescent="0.25">
      <c r="A172">
        <v>1171</v>
      </c>
      <c r="B172" s="1">
        <v>45917</v>
      </c>
      <c r="C172" s="4">
        <f>MONTH(datos_ventas[[#This Row],[Fecha]])</f>
        <v>9</v>
      </c>
      <c r="D172" s="4">
        <f>WEEKNUM(datos_ventas[[#This Row],[Fecha]],2)</f>
        <v>38</v>
      </c>
      <c r="E172" t="s">
        <v>10</v>
      </c>
      <c r="F172" t="s">
        <v>11</v>
      </c>
      <c r="G172">
        <v>5</v>
      </c>
      <c r="H172">
        <v>54226</v>
      </c>
      <c r="I172">
        <v>4085</v>
      </c>
      <c r="J172" t="s">
        <v>14</v>
      </c>
      <c r="K172" t="str">
        <f>_xlfn.XLOOKUP(datos_ventas[[#This Row],[Ciudad]],Tabla2[Ciudades],Tabla2[Provincias],"no se encuentra")</f>
        <v>Madrid</v>
      </c>
      <c r="L172" t="str">
        <f>_xlfn.XLOOKUP(datos_ventas[[#This Row],[Provincia]],Tabla2[Provincias],Tabla2[Comunidades],"no se encuentra")</f>
        <v>Comunidad de Madrid</v>
      </c>
      <c r="M172" t="s">
        <v>13</v>
      </c>
      <c r="N172">
        <v>4</v>
      </c>
    </row>
    <row r="173" spans="1:14" x14ac:dyDescent="0.25">
      <c r="A173">
        <v>1172</v>
      </c>
      <c r="B173" s="1">
        <v>45860</v>
      </c>
      <c r="C173" s="4">
        <f>MONTH(datos_ventas[[#This Row],[Fecha]])</f>
        <v>7</v>
      </c>
      <c r="D173" s="4">
        <f>WEEKNUM(datos_ventas[[#This Row],[Fecha]],2)</f>
        <v>30</v>
      </c>
      <c r="E173" t="s">
        <v>20</v>
      </c>
      <c r="F173" t="s">
        <v>21</v>
      </c>
      <c r="G173">
        <v>4</v>
      </c>
      <c r="H173">
        <v>102603</v>
      </c>
      <c r="I173">
        <v>3911</v>
      </c>
      <c r="J173" t="s">
        <v>22</v>
      </c>
      <c r="K173" t="str">
        <f>_xlfn.XLOOKUP(datos_ventas[[#This Row],[Ciudad]],Tabla2[Ciudades],Tabla2[Provincias],"no se encuentra")</f>
        <v>Valencia</v>
      </c>
      <c r="L173" t="str">
        <f>_xlfn.XLOOKUP(datos_ventas[[#This Row],[Provincia]],Tabla2[Provincias],Tabla2[Comunidades],"no se encuentra")</f>
        <v>Comunidad Valenciana</v>
      </c>
      <c r="M173" t="s">
        <v>28</v>
      </c>
      <c r="N173">
        <v>3</v>
      </c>
    </row>
    <row r="174" spans="1:14" x14ac:dyDescent="0.25">
      <c r="A174">
        <v>1173</v>
      </c>
      <c r="B174" s="1">
        <v>45934</v>
      </c>
      <c r="C174" s="4">
        <f>MONTH(datos_ventas[[#This Row],[Fecha]])</f>
        <v>10</v>
      </c>
      <c r="D174" s="4">
        <f>WEEKNUM(datos_ventas[[#This Row],[Fecha]],2)</f>
        <v>40</v>
      </c>
      <c r="E174" t="s">
        <v>17</v>
      </c>
      <c r="F174" t="s">
        <v>18</v>
      </c>
      <c r="G174">
        <v>1</v>
      </c>
      <c r="H174">
        <v>102499</v>
      </c>
      <c r="I174">
        <v>1933</v>
      </c>
      <c r="J174" t="s">
        <v>14</v>
      </c>
      <c r="K174" t="str">
        <f>_xlfn.XLOOKUP(datos_ventas[[#This Row],[Ciudad]],Tabla2[Ciudades],Tabla2[Provincias],"no se encuentra")</f>
        <v>Madrid</v>
      </c>
      <c r="L174" t="str">
        <f>_xlfn.XLOOKUP(datos_ventas[[#This Row],[Provincia]],Tabla2[Provincias],Tabla2[Comunidades],"no se encuentra")</f>
        <v>Comunidad de Madrid</v>
      </c>
      <c r="M174" t="s">
        <v>13</v>
      </c>
      <c r="N174">
        <v>3</v>
      </c>
    </row>
    <row r="175" spans="1:14" x14ac:dyDescent="0.25">
      <c r="A175">
        <v>1174</v>
      </c>
      <c r="B175" s="1">
        <v>45818</v>
      </c>
      <c r="C175" s="4">
        <f>MONTH(datos_ventas[[#This Row],[Fecha]])</f>
        <v>6</v>
      </c>
      <c r="D175" s="4">
        <f>WEEKNUM(datos_ventas[[#This Row],[Fecha]],2)</f>
        <v>24</v>
      </c>
      <c r="E175" t="s">
        <v>16</v>
      </c>
      <c r="F175" t="s">
        <v>11</v>
      </c>
      <c r="G175">
        <v>1</v>
      </c>
      <c r="H175">
        <v>10238</v>
      </c>
      <c r="I175">
        <v>3225</v>
      </c>
      <c r="J175" t="s">
        <v>12</v>
      </c>
      <c r="K175" t="str">
        <f>_xlfn.XLOOKUP(datos_ventas[[#This Row],[Ciudad]],Tabla2[Ciudades],Tabla2[Provincias],"no se encuentra")</f>
        <v>Málaga</v>
      </c>
      <c r="L175" t="str">
        <f>_xlfn.XLOOKUP(datos_ventas[[#This Row],[Provincia]],Tabla2[Provincias],Tabla2[Comunidades],"no se encuentra")</f>
        <v>Andalucía</v>
      </c>
      <c r="M175" t="s">
        <v>28</v>
      </c>
      <c r="N175">
        <v>4</v>
      </c>
    </row>
    <row r="176" spans="1:14" x14ac:dyDescent="0.25">
      <c r="A176">
        <v>1175</v>
      </c>
      <c r="B176" s="1">
        <v>45804</v>
      </c>
      <c r="C176" s="4">
        <f>MONTH(datos_ventas[[#This Row],[Fecha]])</f>
        <v>5</v>
      </c>
      <c r="D176" s="4">
        <f>WEEKNUM(datos_ventas[[#This Row],[Fecha]],2)</f>
        <v>22</v>
      </c>
      <c r="E176" t="s">
        <v>17</v>
      </c>
      <c r="F176" t="s">
        <v>18</v>
      </c>
      <c r="G176">
        <v>3</v>
      </c>
      <c r="H176">
        <v>108466</v>
      </c>
      <c r="I176">
        <v>1629</v>
      </c>
      <c r="J176" t="s">
        <v>22</v>
      </c>
      <c r="K176" t="str">
        <f>_xlfn.XLOOKUP(datos_ventas[[#This Row],[Ciudad]],Tabla2[Ciudades],Tabla2[Provincias],"no se encuentra")</f>
        <v>Valencia</v>
      </c>
      <c r="L176" t="str">
        <f>_xlfn.XLOOKUP(datos_ventas[[#This Row],[Provincia]],Tabla2[Provincias],Tabla2[Comunidades],"no se encuentra")</f>
        <v>Comunidad Valenciana</v>
      </c>
      <c r="M176" t="s">
        <v>13</v>
      </c>
      <c r="N176">
        <v>5</v>
      </c>
    </row>
    <row r="177" spans="1:14" x14ac:dyDescent="0.25">
      <c r="A177">
        <v>1176</v>
      </c>
      <c r="B177" s="1">
        <v>45967</v>
      </c>
      <c r="C177" s="4">
        <f>MONTH(datos_ventas[[#This Row],[Fecha]])</f>
        <v>11</v>
      </c>
      <c r="D177" s="4">
        <f>WEEKNUM(datos_ventas[[#This Row],[Fecha]],2)</f>
        <v>45</v>
      </c>
      <c r="E177" t="s">
        <v>29</v>
      </c>
      <c r="F177" t="s">
        <v>30</v>
      </c>
      <c r="G177">
        <v>2</v>
      </c>
      <c r="H177">
        <v>24133</v>
      </c>
      <c r="I177">
        <v>1369</v>
      </c>
      <c r="J177" t="s">
        <v>32</v>
      </c>
      <c r="K177" t="str">
        <f>_xlfn.XLOOKUP(datos_ventas[[#This Row],[Ciudad]],Tabla2[Ciudades],Tabla2[Provincias],"no se encuentra")</f>
        <v>Barcelona</v>
      </c>
      <c r="L177" t="str">
        <f>_xlfn.XLOOKUP(datos_ventas[[#This Row],[Provincia]],Tabla2[Provincias],Tabla2[Comunidades],"no se encuentra")</f>
        <v>Cataluña</v>
      </c>
      <c r="M177" t="s">
        <v>13</v>
      </c>
      <c r="N177">
        <v>4</v>
      </c>
    </row>
    <row r="178" spans="1:14" x14ac:dyDescent="0.25">
      <c r="A178">
        <v>1177</v>
      </c>
      <c r="B178" s="1">
        <v>45972</v>
      </c>
      <c r="C178" s="4">
        <f>MONTH(datos_ventas[[#This Row],[Fecha]])</f>
        <v>11</v>
      </c>
      <c r="D178" s="4">
        <f>WEEKNUM(datos_ventas[[#This Row],[Fecha]],2)</f>
        <v>46</v>
      </c>
      <c r="E178" t="s">
        <v>16</v>
      </c>
      <c r="F178" t="s">
        <v>11</v>
      </c>
      <c r="G178">
        <v>5</v>
      </c>
      <c r="H178">
        <v>6076</v>
      </c>
      <c r="I178">
        <v>1877</v>
      </c>
      <c r="J178" t="s">
        <v>31</v>
      </c>
      <c r="K178" t="str">
        <f>_xlfn.XLOOKUP(datos_ventas[[#This Row],[Ciudad]],Tabla2[Ciudades],Tabla2[Provincias],"no se encuentra")</f>
        <v>Vizcaya</v>
      </c>
      <c r="L178" t="str">
        <f>_xlfn.XLOOKUP(datos_ventas[[#This Row],[Provincia]],Tabla2[Provincias],Tabla2[Comunidades],"no se encuentra")</f>
        <v>País Vasco</v>
      </c>
      <c r="M178" t="s">
        <v>28</v>
      </c>
      <c r="N178">
        <v>5</v>
      </c>
    </row>
    <row r="179" spans="1:14" x14ac:dyDescent="0.25">
      <c r="A179">
        <v>1178</v>
      </c>
      <c r="B179" s="1">
        <v>45708</v>
      </c>
      <c r="C179" s="4">
        <f>MONTH(datos_ventas[[#This Row],[Fecha]])</f>
        <v>2</v>
      </c>
      <c r="D179" s="4">
        <f>WEEKNUM(datos_ventas[[#This Row],[Fecha]],2)</f>
        <v>8</v>
      </c>
      <c r="E179" t="s">
        <v>29</v>
      </c>
      <c r="F179" t="s">
        <v>30</v>
      </c>
      <c r="G179">
        <v>2</v>
      </c>
      <c r="H179">
        <v>106159</v>
      </c>
      <c r="I179">
        <v>3204</v>
      </c>
      <c r="J179" t="s">
        <v>27</v>
      </c>
      <c r="K179" t="str">
        <f>_xlfn.XLOOKUP(datos_ventas[[#This Row],[Ciudad]],Tabla2[Ciudades],Tabla2[Provincias],"no se encuentra")</f>
        <v>Sevilla</v>
      </c>
      <c r="L179" t="str">
        <f>_xlfn.XLOOKUP(datos_ventas[[#This Row],[Provincia]],Tabla2[Provincias],Tabla2[Comunidades],"no se encuentra")</f>
        <v>Andalucía</v>
      </c>
      <c r="M179" t="s">
        <v>28</v>
      </c>
      <c r="N179">
        <v>3</v>
      </c>
    </row>
    <row r="180" spans="1:14" x14ac:dyDescent="0.25">
      <c r="A180">
        <v>1179</v>
      </c>
      <c r="B180" s="1">
        <v>45697</v>
      </c>
      <c r="C180" s="4">
        <f>MONTH(datos_ventas[[#This Row],[Fecha]])</f>
        <v>2</v>
      </c>
      <c r="D180" s="4">
        <f>WEEKNUM(datos_ventas[[#This Row],[Fecha]],2)</f>
        <v>6</v>
      </c>
      <c r="E180" t="s">
        <v>24</v>
      </c>
      <c r="F180" t="s">
        <v>25</v>
      </c>
      <c r="G180">
        <v>2</v>
      </c>
      <c r="H180">
        <v>81588</v>
      </c>
      <c r="I180">
        <v>4741</v>
      </c>
      <c r="J180" t="s">
        <v>14</v>
      </c>
      <c r="K180" t="str">
        <f>_xlfn.XLOOKUP(datos_ventas[[#This Row],[Ciudad]],Tabla2[Ciudades],Tabla2[Provincias],"no se encuentra")</f>
        <v>Madrid</v>
      </c>
      <c r="L180" t="str">
        <f>_xlfn.XLOOKUP(datos_ventas[[#This Row],[Provincia]],Tabla2[Provincias],Tabla2[Comunidades],"no se encuentra")</f>
        <v>Comunidad de Madrid</v>
      </c>
      <c r="M180" t="s">
        <v>19</v>
      </c>
      <c r="N180">
        <v>1</v>
      </c>
    </row>
    <row r="181" spans="1:14" x14ac:dyDescent="0.25">
      <c r="A181">
        <v>1180</v>
      </c>
      <c r="B181" s="1">
        <v>45865</v>
      </c>
      <c r="C181" s="4">
        <f>MONTH(datos_ventas[[#This Row],[Fecha]])</f>
        <v>7</v>
      </c>
      <c r="D181" s="4">
        <f>WEEKNUM(datos_ventas[[#This Row],[Fecha]],2)</f>
        <v>30</v>
      </c>
      <c r="E181" t="s">
        <v>16</v>
      </c>
      <c r="F181" t="s">
        <v>11</v>
      </c>
      <c r="G181">
        <v>3</v>
      </c>
      <c r="H181">
        <v>39516</v>
      </c>
      <c r="I181">
        <v>4905</v>
      </c>
      <c r="J181" t="s">
        <v>32</v>
      </c>
      <c r="K181" t="str">
        <f>_xlfn.XLOOKUP(datos_ventas[[#This Row],[Ciudad]],Tabla2[Ciudades],Tabla2[Provincias],"no se encuentra")</f>
        <v>Barcelona</v>
      </c>
      <c r="L181" t="str">
        <f>_xlfn.XLOOKUP(datos_ventas[[#This Row],[Provincia]],Tabla2[Provincias],Tabla2[Comunidades],"no se encuentra")</f>
        <v>Cataluña</v>
      </c>
      <c r="M181" t="s">
        <v>19</v>
      </c>
      <c r="N181">
        <v>4</v>
      </c>
    </row>
    <row r="182" spans="1:14" x14ac:dyDescent="0.25">
      <c r="A182">
        <v>1181</v>
      </c>
      <c r="B182" s="1">
        <v>45864</v>
      </c>
      <c r="C182" s="4">
        <f>MONTH(datos_ventas[[#This Row],[Fecha]])</f>
        <v>7</v>
      </c>
      <c r="D182" s="4">
        <f>WEEKNUM(datos_ventas[[#This Row],[Fecha]],2)</f>
        <v>30</v>
      </c>
      <c r="E182" t="s">
        <v>29</v>
      </c>
      <c r="F182" t="s">
        <v>30</v>
      </c>
      <c r="G182">
        <v>4</v>
      </c>
      <c r="H182">
        <v>99122</v>
      </c>
      <c r="I182">
        <v>523</v>
      </c>
      <c r="J182" t="s">
        <v>31</v>
      </c>
      <c r="K182" t="str">
        <f>_xlfn.XLOOKUP(datos_ventas[[#This Row],[Ciudad]],Tabla2[Ciudades],Tabla2[Provincias],"no se encuentra")</f>
        <v>Vizcaya</v>
      </c>
      <c r="L182" t="str">
        <f>_xlfn.XLOOKUP(datos_ventas[[#This Row],[Provincia]],Tabla2[Provincias],Tabla2[Comunidades],"no se encuentra")</f>
        <v>País Vasco</v>
      </c>
      <c r="M182" t="s">
        <v>13</v>
      </c>
      <c r="N182">
        <v>4</v>
      </c>
    </row>
    <row r="183" spans="1:14" x14ac:dyDescent="0.25">
      <c r="A183">
        <v>1182</v>
      </c>
      <c r="B183" s="1">
        <v>45666</v>
      </c>
      <c r="C183" s="4">
        <f>MONTH(datos_ventas[[#This Row],[Fecha]])</f>
        <v>1</v>
      </c>
      <c r="D183" s="4">
        <f>WEEKNUM(datos_ventas[[#This Row],[Fecha]],2)</f>
        <v>2</v>
      </c>
      <c r="E183" t="s">
        <v>29</v>
      </c>
      <c r="F183" t="s">
        <v>30</v>
      </c>
      <c r="G183">
        <v>3</v>
      </c>
      <c r="H183">
        <v>61012</v>
      </c>
      <c r="I183">
        <v>3841</v>
      </c>
      <c r="J183" t="s">
        <v>14</v>
      </c>
      <c r="K183" t="str">
        <f>_xlfn.XLOOKUP(datos_ventas[[#This Row],[Ciudad]],Tabla2[Ciudades],Tabla2[Provincias],"no se encuentra")</f>
        <v>Madrid</v>
      </c>
      <c r="L183" t="str">
        <f>_xlfn.XLOOKUP(datos_ventas[[#This Row],[Provincia]],Tabla2[Provincias],Tabla2[Comunidades],"no se encuentra")</f>
        <v>Comunidad de Madrid</v>
      </c>
      <c r="M183" t="s">
        <v>28</v>
      </c>
      <c r="N183">
        <v>5</v>
      </c>
    </row>
    <row r="184" spans="1:14" x14ac:dyDescent="0.25">
      <c r="A184">
        <v>1183</v>
      </c>
      <c r="B184" s="1">
        <v>45999</v>
      </c>
      <c r="C184" s="4">
        <f>MONTH(datos_ventas[[#This Row],[Fecha]])</f>
        <v>12</v>
      </c>
      <c r="D184" s="4">
        <f>WEEKNUM(datos_ventas[[#This Row],[Fecha]],2)</f>
        <v>50</v>
      </c>
      <c r="E184" t="s">
        <v>23</v>
      </c>
      <c r="F184" t="s">
        <v>18</v>
      </c>
      <c r="G184">
        <v>1</v>
      </c>
      <c r="H184">
        <v>38464</v>
      </c>
      <c r="I184">
        <v>3523</v>
      </c>
      <c r="J184" t="s">
        <v>31</v>
      </c>
      <c r="K184" t="str">
        <f>_xlfn.XLOOKUP(datos_ventas[[#This Row],[Ciudad]],Tabla2[Ciudades],Tabla2[Provincias],"no se encuentra")</f>
        <v>Vizcaya</v>
      </c>
      <c r="L184" t="str">
        <f>_xlfn.XLOOKUP(datos_ventas[[#This Row],[Provincia]],Tabla2[Provincias],Tabla2[Comunidades],"no se encuentra")</f>
        <v>País Vasco</v>
      </c>
      <c r="M184" t="s">
        <v>19</v>
      </c>
      <c r="N184">
        <v>2</v>
      </c>
    </row>
    <row r="185" spans="1:14" x14ac:dyDescent="0.25">
      <c r="A185">
        <v>1184</v>
      </c>
      <c r="B185" s="1">
        <v>45792</v>
      </c>
      <c r="C185" s="4">
        <f>MONTH(datos_ventas[[#This Row],[Fecha]])</f>
        <v>5</v>
      </c>
      <c r="D185" s="4">
        <f>WEEKNUM(datos_ventas[[#This Row],[Fecha]],2)</f>
        <v>20</v>
      </c>
      <c r="E185" t="s">
        <v>20</v>
      </c>
      <c r="F185" t="s">
        <v>21</v>
      </c>
      <c r="G185">
        <v>1</v>
      </c>
      <c r="H185">
        <v>4511</v>
      </c>
      <c r="I185">
        <v>368</v>
      </c>
      <c r="J185" t="s">
        <v>27</v>
      </c>
      <c r="K185" t="str">
        <f>_xlfn.XLOOKUP(datos_ventas[[#This Row],[Ciudad]],Tabla2[Ciudades],Tabla2[Provincias],"no se encuentra")</f>
        <v>Sevilla</v>
      </c>
      <c r="L185" t="str">
        <f>_xlfn.XLOOKUP(datos_ventas[[#This Row],[Provincia]],Tabla2[Provincias],Tabla2[Comunidades],"no se encuentra")</f>
        <v>Andalucía</v>
      </c>
      <c r="M185" t="s">
        <v>19</v>
      </c>
      <c r="N185">
        <v>5</v>
      </c>
    </row>
    <row r="186" spans="1:14" x14ac:dyDescent="0.25">
      <c r="A186">
        <v>1185</v>
      </c>
      <c r="B186" s="1">
        <v>45727</v>
      </c>
      <c r="C186" s="4">
        <f>MONTH(datos_ventas[[#This Row],[Fecha]])</f>
        <v>3</v>
      </c>
      <c r="D186" s="4">
        <f>WEEKNUM(datos_ventas[[#This Row],[Fecha]],2)</f>
        <v>11</v>
      </c>
      <c r="E186" t="s">
        <v>29</v>
      </c>
      <c r="F186" t="s">
        <v>30</v>
      </c>
      <c r="G186">
        <v>5</v>
      </c>
      <c r="H186">
        <v>33992</v>
      </c>
      <c r="I186">
        <v>1652</v>
      </c>
      <c r="J186" t="s">
        <v>27</v>
      </c>
      <c r="K186" t="str">
        <f>_xlfn.XLOOKUP(datos_ventas[[#This Row],[Ciudad]],Tabla2[Ciudades],Tabla2[Provincias],"no se encuentra")</f>
        <v>Sevilla</v>
      </c>
      <c r="L186" t="str">
        <f>_xlfn.XLOOKUP(datos_ventas[[#This Row],[Provincia]],Tabla2[Provincias],Tabla2[Comunidades],"no se encuentra")</f>
        <v>Andalucía</v>
      </c>
      <c r="M186" t="s">
        <v>15</v>
      </c>
      <c r="N186">
        <v>2</v>
      </c>
    </row>
    <row r="187" spans="1:14" x14ac:dyDescent="0.25">
      <c r="A187">
        <v>1186</v>
      </c>
      <c r="B187" s="1">
        <v>45660</v>
      </c>
      <c r="C187" s="4">
        <f>MONTH(datos_ventas[[#This Row],[Fecha]])</f>
        <v>1</v>
      </c>
      <c r="D187" s="4">
        <f>WEEKNUM(datos_ventas[[#This Row],[Fecha]],2)</f>
        <v>1</v>
      </c>
      <c r="E187" t="s">
        <v>26</v>
      </c>
      <c r="F187" t="s">
        <v>18</v>
      </c>
      <c r="G187">
        <v>2</v>
      </c>
      <c r="H187">
        <v>53116</v>
      </c>
      <c r="I187">
        <v>2597</v>
      </c>
      <c r="J187" t="s">
        <v>31</v>
      </c>
      <c r="K187" t="str">
        <f>_xlfn.XLOOKUP(datos_ventas[[#This Row],[Ciudad]],Tabla2[Ciudades],Tabla2[Provincias],"no se encuentra")</f>
        <v>Vizcaya</v>
      </c>
      <c r="L187" t="str">
        <f>_xlfn.XLOOKUP(datos_ventas[[#This Row],[Provincia]],Tabla2[Provincias],Tabla2[Comunidades],"no se encuentra")</f>
        <v>País Vasco</v>
      </c>
      <c r="M187" t="s">
        <v>28</v>
      </c>
      <c r="N187">
        <v>5</v>
      </c>
    </row>
    <row r="188" spans="1:14" x14ac:dyDescent="0.25">
      <c r="A188">
        <v>1187</v>
      </c>
      <c r="B188" s="1">
        <v>45688</v>
      </c>
      <c r="C188" s="4">
        <f>MONTH(datos_ventas[[#This Row],[Fecha]])</f>
        <v>1</v>
      </c>
      <c r="D188" s="4">
        <f>WEEKNUM(datos_ventas[[#This Row],[Fecha]],2)</f>
        <v>5</v>
      </c>
      <c r="E188" t="s">
        <v>17</v>
      </c>
      <c r="F188" t="s">
        <v>18</v>
      </c>
      <c r="G188">
        <v>4</v>
      </c>
      <c r="H188">
        <v>34382</v>
      </c>
      <c r="I188">
        <v>3921</v>
      </c>
      <c r="J188" t="s">
        <v>31</v>
      </c>
      <c r="K188" t="str">
        <f>_xlfn.XLOOKUP(datos_ventas[[#This Row],[Ciudad]],Tabla2[Ciudades],Tabla2[Provincias],"no se encuentra")</f>
        <v>Vizcaya</v>
      </c>
      <c r="L188" t="str">
        <f>_xlfn.XLOOKUP(datos_ventas[[#This Row],[Provincia]],Tabla2[Provincias],Tabla2[Comunidades],"no se encuentra")</f>
        <v>País Vasco</v>
      </c>
      <c r="M188" t="s">
        <v>28</v>
      </c>
      <c r="N188">
        <v>1</v>
      </c>
    </row>
    <row r="189" spans="1:14" x14ac:dyDescent="0.25">
      <c r="A189">
        <v>1188</v>
      </c>
      <c r="B189" s="1">
        <v>45705</v>
      </c>
      <c r="C189" s="4">
        <f>MONTH(datos_ventas[[#This Row],[Fecha]])</f>
        <v>2</v>
      </c>
      <c r="D189" s="4">
        <f>WEEKNUM(datos_ventas[[#This Row],[Fecha]],2)</f>
        <v>8</v>
      </c>
      <c r="E189" t="s">
        <v>20</v>
      </c>
      <c r="F189" t="s">
        <v>21</v>
      </c>
      <c r="G189">
        <v>1</v>
      </c>
      <c r="H189">
        <v>112344</v>
      </c>
      <c r="I189">
        <v>539</v>
      </c>
      <c r="J189" t="s">
        <v>22</v>
      </c>
      <c r="K189" t="str">
        <f>_xlfn.XLOOKUP(datos_ventas[[#This Row],[Ciudad]],Tabla2[Ciudades],Tabla2[Provincias],"no se encuentra")</f>
        <v>Valencia</v>
      </c>
      <c r="L189" t="str">
        <f>_xlfn.XLOOKUP(datos_ventas[[#This Row],[Provincia]],Tabla2[Provincias],Tabla2[Comunidades],"no se encuentra")</f>
        <v>Comunidad Valenciana</v>
      </c>
      <c r="M189" t="s">
        <v>15</v>
      </c>
      <c r="N189">
        <v>2</v>
      </c>
    </row>
    <row r="190" spans="1:14" x14ac:dyDescent="0.25">
      <c r="A190">
        <v>1189</v>
      </c>
      <c r="B190" s="1">
        <v>45951</v>
      </c>
      <c r="C190" s="4">
        <f>MONTH(datos_ventas[[#This Row],[Fecha]])</f>
        <v>10</v>
      </c>
      <c r="D190" s="4">
        <f>WEEKNUM(datos_ventas[[#This Row],[Fecha]],2)</f>
        <v>43</v>
      </c>
      <c r="E190" t="s">
        <v>17</v>
      </c>
      <c r="F190" t="s">
        <v>18</v>
      </c>
      <c r="G190">
        <v>4</v>
      </c>
      <c r="H190">
        <v>7284</v>
      </c>
      <c r="I190">
        <v>2309</v>
      </c>
      <c r="J190" t="s">
        <v>22</v>
      </c>
      <c r="K190" t="str">
        <f>_xlfn.XLOOKUP(datos_ventas[[#This Row],[Ciudad]],Tabla2[Ciudades],Tabla2[Provincias],"no se encuentra")</f>
        <v>Valencia</v>
      </c>
      <c r="L190" t="str">
        <f>_xlfn.XLOOKUP(datos_ventas[[#This Row],[Provincia]],Tabla2[Provincias],Tabla2[Comunidades],"no se encuentra")</f>
        <v>Comunidad Valenciana</v>
      </c>
      <c r="M190" t="s">
        <v>13</v>
      </c>
      <c r="N190">
        <v>4</v>
      </c>
    </row>
    <row r="191" spans="1:14" x14ac:dyDescent="0.25">
      <c r="A191">
        <v>1190</v>
      </c>
      <c r="B191" s="1">
        <v>45734</v>
      </c>
      <c r="C191" s="4">
        <f>MONTH(datos_ventas[[#This Row],[Fecha]])</f>
        <v>3</v>
      </c>
      <c r="D191" s="4">
        <f>WEEKNUM(datos_ventas[[#This Row],[Fecha]],2)</f>
        <v>12</v>
      </c>
      <c r="E191" t="s">
        <v>26</v>
      </c>
      <c r="F191" t="s">
        <v>18</v>
      </c>
      <c r="G191">
        <v>1</v>
      </c>
      <c r="H191">
        <v>22415</v>
      </c>
      <c r="I191">
        <v>190</v>
      </c>
      <c r="J191" t="s">
        <v>32</v>
      </c>
      <c r="K191" t="str">
        <f>_xlfn.XLOOKUP(datos_ventas[[#This Row],[Ciudad]],Tabla2[Ciudades],Tabla2[Provincias],"no se encuentra")</f>
        <v>Barcelona</v>
      </c>
      <c r="L191" t="str">
        <f>_xlfn.XLOOKUP(datos_ventas[[#This Row],[Provincia]],Tabla2[Provincias],Tabla2[Comunidades],"no se encuentra")</f>
        <v>Cataluña</v>
      </c>
      <c r="M191" t="s">
        <v>15</v>
      </c>
      <c r="N191">
        <v>1</v>
      </c>
    </row>
    <row r="192" spans="1:14" x14ac:dyDescent="0.25">
      <c r="A192">
        <v>1191</v>
      </c>
      <c r="B192" s="1">
        <v>45801</v>
      </c>
      <c r="C192" s="4">
        <f>MONTH(datos_ventas[[#This Row],[Fecha]])</f>
        <v>5</v>
      </c>
      <c r="D192" s="4">
        <f>WEEKNUM(datos_ventas[[#This Row],[Fecha]],2)</f>
        <v>21</v>
      </c>
      <c r="E192" t="s">
        <v>10</v>
      </c>
      <c r="F192" t="s">
        <v>11</v>
      </c>
      <c r="G192">
        <v>4</v>
      </c>
      <c r="H192">
        <v>22285</v>
      </c>
      <c r="I192">
        <v>2382</v>
      </c>
      <c r="J192" t="s">
        <v>22</v>
      </c>
      <c r="K192" t="str">
        <f>_xlfn.XLOOKUP(datos_ventas[[#This Row],[Ciudad]],Tabla2[Ciudades],Tabla2[Provincias],"no se encuentra")</f>
        <v>Valencia</v>
      </c>
      <c r="L192" t="str">
        <f>_xlfn.XLOOKUP(datos_ventas[[#This Row],[Provincia]],Tabla2[Provincias],Tabla2[Comunidades],"no se encuentra")</f>
        <v>Comunidad Valenciana</v>
      </c>
      <c r="M192" t="s">
        <v>13</v>
      </c>
      <c r="N192">
        <v>5</v>
      </c>
    </row>
    <row r="193" spans="1:14" x14ac:dyDescent="0.25">
      <c r="A193">
        <v>1192</v>
      </c>
      <c r="B193" s="1">
        <v>45658</v>
      </c>
      <c r="C193" s="4">
        <f>MONTH(datos_ventas[[#This Row],[Fecha]])</f>
        <v>1</v>
      </c>
      <c r="D193" s="4">
        <f>WEEKNUM(datos_ventas[[#This Row],[Fecha]],2)</f>
        <v>1</v>
      </c>
      <c r="E193" t="s">
        <v>16</v>
      </c>
      <c r="F193" t="s">
        <v>11</v>
      </c>
      <c r="G193">
        <v>4</v>
      </c>
      <c r="H193">
        <v>16169</v>
      </c>
      <c r="I193">
        <v>4845</v>
      </c>
      <c r="J193" t="s">
        <v>14</v>
      </c>
      <c r="K193" t="str">
        <f>_xlfn.XLOOKUP(datos_ventas[[#This Row],[Ciudad]],Tabla2[Ciudades],Tabla2[Provincias],"no se encuentra")</f>
        <v>Madrid</v>
      </c>
      <c r="L193" t="str">
        <f>_xlfn.XLOOKUP(datos_ventas[[#This Row],[Provincia]],Tabla2[Provincias],Tabla2[Comunidades],"no se encuentra")</f>
        <v>Comunidad de Madrid</v>
      </c>
      <c r="M193" t="s">
        <v>13</v>
      </c>
      <c r="N193">
        <v>1</v>
      </c>
    </row>
    <row r="194" spans="1:14" x14ac:dyDescent="0.25">
      <c r="A194">
        <v>1193</v>
      </c>
      <c r="B194" s="1">
        <v>45756</v>
      </c>
      <c r="C194" s="4">
        <f>MONTH(datos_ventas[[#This Row],[Fecha]])</f>
        <v>4</v>
      </c>
      <c r="D194" s="4">
        <f>WEEKNUM(datos_ventas[[#This Row],[Fecha]],2)</f>
        <v>15</v>
      </c>
      <c r="E194" t="s">
        <v>10</v>
      </c>
      <c r="F194" t="s">
        <v>11</v>
      </c>
      <c r="G194">
        <v>1</v>
      </c>
      <c r="H194">
        <v>93485</v>
      </c>
      <c r="I194">
        <v>3215</v>
      </c>
      <c r="J194" t="s">
        <v>31</v>
      </c>
      <c r="K194" t="str">
        <f>_xlfn.XLOOKUP(datos_ventas[[#This Row],[Ciudad]],Tabla2[Ciudades],Tabla2[Provincias],"no se encuentra")</f>
        <v>Vizcaya</v>
      </c>
      <c r="L194" t="str">
        <f>_xlfn.XLOOKUP(datos_ventas[[#This Row],[Provincia]],Tabla2[Provincias],Tabla2[Comunidades],"no se encuentra")</f>
        <v>País Vasco</v>
      </c>
      <c r="M194" t="s">
        <v>28</v>
      </c>
      <c r="N194">
        <v>1</v>
      </c>
    </row>
    <row r="195" spans="1:14" x14ac:dyDescent="0.25">
      <c r="A195">
        <v>1194</v>
      </c>
      <c r="B195" s="1">
        <v>45748</v>
      </c>
      <c r="C195" s="4">
        <f>MONTH(datos_ventas[[#This Row],[Fecha]])</f>
        <v>4</v>
      </c>
      <c r="D195" s="4">
        <f>WEEKNUM(datos_ventas[[#This Row],[Fecha]],2)</f>
        <v>14</v>
      </c>
      <c r="E195" t="s">
        <v>16</v>
      </c>
      <c r="F195" t="s">
        <v>11</v>
      </c>
      <c r="G195">
        <v>4</v>
      </c>
      <c r="H195">
        <v>8171</v>
      </c>
      <c r="I195">
        <v>1596</v>
      </c>
      <c r="J195" t="s">
        <v>12</v>
      </c>
      <c r="K195" t="str">
        <f>_xlfn.XLOOKUP(datos_ventas[[#This Row],[Ciudad]],Tabla2[Ciudades],Tabla2[Provincias],"no se encuentra")</f>
        <v>Málaga</v>
      </c>
      <c r="L195" t="str">
        <f>_xlfn.XLOOKUP(datos_ventas[[#This Row],[Provincia]],Tabla2[Provincias],Tabla2[Comunidades],"no se encuentra")</f>
        <v>Andalucía</v>
      </c>
      <c r="M195" t="s">
        <v>19</v>
      </c>
      <c r="N195">
        <v>3</v>
      </c>
    </row>
    <row r="196" spans="1:14" x14ac:dyDescent="0.25">
      <c r="A196">
        <v>1195</v>
      </c>
      <c r="B196" s="1">
        <v>45926</v>
      </c>
      <c r="C196" s="4">
        <f>MONTH(datos_ventas[[#This Row],[Fecha]])</f>
        <v>9</v>
      </c>
      <c r="D196" s="4">
        <f>WEEKNUM(datos_ventas[[#This Row],[Fecha]],2)</f>
        <v>39</v>
      </c>
      <c r="E196" t="s">
        <v>26</v>
      </c>
      <c r="F196" t="s">
        <v>18</v>
      </c>
      <c r="G196">
        <v>3</v>
      </c>
      <c r="H196">
        <v>63074</v>
      </c>
      <c r="I196">
        <v>2641</v>
      </c>
      <c r="J196" t="s">
        <v>32</v>
      </c>
      <c r="K196" t="str">
        <f>_xlfn.XLOOKUP(datos_ventas[[#This Row],[Ciudad]],Tabla2[Ciudades],Tabla2[Provincias],"no se encuentra")</f>
        <v>Barcelona</v>
      </c>
      <c r="L196" t="str">
        <f>_xlfn.XLOOKUP(datos_ventas[[#This Row],[Provincia]],Tabla2[Provincias],Tabla2[Comunidades],"no se encuentra")</f>
        <v>Cataluña</v>
      </c>
      <c r="M196" t="s">
        <v>13</v>
      </c>
      <c r="N196">
        <v>3</v>
      </c>
    </row>
    <row r="197" spans="1:14" x14ac:dyDescent="0.25">
      <c r="A197">
        <v>1196</v>
      </c>
      <c r="B197" s="1">
        <v>45933</v>
      </c>
      <c r="C197" s="4">
        <f>MONTH(datos_ventas[[#This Row],[Fecha]])</f>
        <v>10</v>
      </c>
      <c r="D197" s="4">
        <f>WEEKNUM(datos_ventas[[#This Row],[Fecha]],2)</f>
        <v>40</v>
      </c>
      <c r="E197" t="s">
        <v>23</v>
      </c>
      <c r="F197" t="s">
        <v>18</v>
      </c>
      <c r="G197">
        <v>1</v>
      </c>
      <c r="H197">
        <v>32439</v>
      </c>
      <c r="I197">
        <v>1061</v>
      </c>
      <c r="J197" t="s">
        <v>31</v>
      </c>
      <c r="K197" t="str">
        <f>_xlfn.XLOOKUP(datos_ventas[[#This Row],[Ciudad]],Tabla2[Ciudades],Tabla2[Provincias],"no se encuentra")</f>
        <v>Vizcaya</v>
      </c>
      <c r="L197" t="str">
        <f>_xlfn.XLOOKUP(datos_ventas[[#This Row],[Provincia]],Tabla2[Provincias],Tabla2[Comunidades],"no se encuentra")</f>
        <v>País Vasco</v>
      </c>
      <c r="M197" t="s">
        <v>15</v>
      </c>
      <c r="N197">
        <v>3</v>
      </c>
    </row>
    <row r="198" spans="1:14" x14ac:dyDescent="0.25">
      <c r="A198">
        <v>1197</v>
      </c>
      <c r="B198" s="1">
        <v>45880</v>
      </c>
      <c r="C198" s="4">
        <f>MONTH(datos_ventas[[#This Row],[Fecha]])</f>
        <v>8</v>
      </c>
      <c r="D198" s="4">
        <f>WEEKNUM(datos_ventas[[#This Row],[Fecha]],2)</f>
        <v>33</v>
      </c>
      <c r="E198" t="s">
        <v>20</v>
      </c>
      <c r="F198" t="s">
        <v>21</v>
      </c>
      <c r="G198">
        <v>4</v>
      </c>
      <c r="H198">
        <v>37125</v>
      </c>
      <c r="I198">
        <v>361</v>
      </c>
      <c r="J198" t="s">
        <v>14</v>
      </c>
      <c r="K198" t="str">
        <f>_xlfn.XLOOKUP(datos_ventas[[#This Row],[Ciudad]],Tabla2[Ciudades],Tabla2[Provincias],"no se encuentra")</f>
        <v>Madrid</v>
      </c>
      <c r="L198" t="str">
        <f>_xlfn.XLOOKUP(datos_ventas[[#This Row],[Provincia]],Tabla2[Provincias],Tabla2[Comunidades],"no se encuentra")</f>
        <v>Comunidad de Madrid</v>
      </c>
      <c r="M198" t="s">
        <v>13</v>
      </c>
      <c r="N198">
        <v>3</v>
      </c>
    </row>
    <row r="199" spans="1:14" x14ac:dyDescent="0.25">
      <c r="A199">
        <v>1198</v>
      </c>
      <c r="B199" s="1">
        <v>45936</v>
      </c>
      <c r="C199" s="4">
        <f>MONTH(datos_ventas[[#This Row],[Fecha]])</f>
        <v>10</v>
      </c>
      <c r="D199" s="4">
        <f>WEEKNUM(datos_ventas[[#This Row],[Fecha]],2)</f>
        <v>41</v>
      </c>
      <c r="E199" t="s">
        <v>29</v>
      </c>
      <c r="F199" t="s">
        <v>30</v>
      </c>
      <c r="G199">
        <v>1</v>
      </c>
      <c r="H199">
        <v>18144</v>
      </c>
      <c r="I199">
        <v>3956</v>
      </c>
      <c r="J199" t="s">
        <v>12</v>
      </c>
      <c r="K199" t="str">
        <f>_xlfn.XLOOKUP(datos_ventas[[#This Row],[Ciudad]],Tabla2[Ciudades],Tabla2[Provincias],"no se encuentra")</f>
        <v>Málaga</v>
      </c>
      <c r="L199" t="str">
        <f>_xlfn.XLOOKUP(datos_ventas[[#This Row],[Provincia]],Tabla2[Provincias],Tabla2[Comunidades],"no se encuentra")</f>
        <v>Andalucía</v>
      </c>
      <c r="M199" t="s">
        <v>28</v>
      </c>
      <c r="N199">
        <v>2</v>
      </c>
    </row>
    <row r="200" spans="1:14" x14ac:dyDescent="0.25">
      <c r="A200">
        <v>1199</v>
      </c>
      <c r="B200" s="1">
        <v>45680</v>
      </c>
      <c r="C200" s="4">
        <f>MONTH(datos_ventas[[#This Row],[Fecha]])</f>
        <v>1</v>
      </c>
      <c r="D200" s="4">
        <f>WEEKNUM(datos_ventas[[#This Row],[Fecha]],2)</f>
        <v>4</v>
      </c>
      <c r="E200" t="s">
        <v>10</v>
      </c>
      <c r="F200" t="s">
        <v>11</v>
      </c>
      <c r="G200">
        <v>5</v>
      </c>
      <c r="H200">
        <v>29346</v>
      </c>
      <c r="I200">
        <v>4879</v>
      </c>
      <c r="J200" t="s">
        <v>31</v>
      </c>
      <c r="K200" t="str">
        <f>_xlfn.XLOOKUP(datos_ventas[[#This Row],[Ciudad]],Tabla2[Ciudades],Tabla2[Provincias],"no se encuentra")</f>
        <v>Vizcaya</v>
      </c>
      <c r="L200" t="str">
        <f>_xlfn.XLOOKUP(datos_ventas[[#This Row],[Provincia]],Tabla2[Provincias],Tabla2[Comunidades],"no se encuentra")</f>
        <v>País Vasco</v>
      </c>
      <c r="M200" t="s">
        <v>19</v>
      </c>
      <c r="N200">
        <v>3</v>
      </c>
    </row>
    <row r="201" spans="1:14" x14ac:dyDescent="0.25">
      <c r="A201">
        <v>1200</v>
      </c>
      <c r="B201" s="1">
        <v>45826</v>
      </c>
      <c r="C201" s="4">
        <f>MONTH(datos_ventas[[#This Row],[Fecha]])</f>
        <v>6</v>
      </c>
      <c r="D201" s="4">
        <f>WEEKNUM(datos_ventas[[#This Row],[Fecha]],2)</f>
        <v>25</v>
      </c>
      <c r="E201" t="s">
        <v>29</v>
      </c>
      <c r="F201" t="s">
        <v>30</v>
      </c>
      <c r="G201">
        <v>4</v>
      </c>
      <c r="H201">
        <v>31698</v>
      </c>
      <c r="I201">
        <v>3439</v>
      </c>
      <c r="J201" t="s">
        <v>31</v>
      </c>
      <c r="K201" t="str">
        <f>_xlfn.XLOOKUP(datos_ventas[[#This Row],[Ciudad]],Tabla2[Ciudades],Tabla2[Provincias],"no se encuentra")</f>
        <v>Vizcaya</v>
      </c>
      <c r="L201" t="str">
        <f>_xlfn.XLOOKUP(datos_ventas[[#This Row],[Provincia]],Tabla2[Provincias],Tabla2[Comunidades],"no se encuentra")</f>
        <v>País Vasco</v>
      </c>
      <c r="M201" t="s">
        <v>13</v>
      </c>
      <c r="N201">
        <v>1</v>
      </c>
    </row>
    <row r="202" spans="1:14" x14ac:dyDescent="0.25">
      <c r="A202">
        <v>1201</v>
      </c>
      <c r="B202" s="1">
        <v>45732</v>
      </c>
      <c r="C202" s="4">
        <f>MONTH(datos_ventas[[#This Row],[Fecha]])</f>
        <v>3</v>
      </c>
      <c r="D202" s="4">
        <f>WEEKNUM(datos_ventas[[#This Row],[Fecha]],2)</f>
        <v>11</v>
      </c>
      <c r="E202" t="s">
        <v>17</v>
      </c>
      <c r="F202" t="s">
        <v>18</v>
      </c>
      <c r="G202">
        <v>1</v>
      </c>
      <c r="H202">
        <v>119972</v>
      </c>
      <c r="I202">
        <v>2296</v>
      </c>
      <c r="J202" t="s">
        <v>31</v>
      </c>
      <c r="K202" t="str">
        <f>_xlfn.XLOOKUP(datos_ventas[[#This Row],[Ciudad]],Tabla2[Ciudades],Tabla2[Provincias],"no se encuentra")</f>
        <v>Vizcaya</v>
      </c>
      <c r="L202" t="str">
        <f>_xlfn.XLOOKUP(datos_ventas[[#This Row],[Provincia]],Tabla2[Provincias],Tabla2[Comunidades],"no se encuentra")</f>
        <v>País Vasco</v>
      </c>
      <c r="M202" t="s">
        <v>15</v>
      </c>
      <c r="N202">
        <v>5</v>
      </c>
    </row>
    <row r="203" spans="1:14" x14ac:dyDescent="0.25">
      <c r="A203">
        <v>1202</v>
      </c>
      <c r="B203" s="1">
        <v>45687</v>
      </c>
      <c r="C203" s="4">
        <f>MONTH(datos_ventas[[#This Row],[Fecha]])</f>
        <v>1</v>
      </c>
      <c r="D203" s="4">
        <f>WEEKNUM(datos_ventas[[#This Row],[Fecha]],2)</f>
        <v>5</v>
      </c>
      <c r="E203" t="s">
        <v>29</v>
      </c>
      <c r="F203" t="s">
        <v>30</v>
      </c>
      <c r="G203">
        <v>1</v>
      </c>
      <c r="H203">
        <v>87899</v>
      </c>
      <c r="I203">
        <v>4152</v>
      </c>
      <c r="J203" t="s">
        <v>22</v>
      </c>
      <c r="K203" t="str">
        <f>_xlfn.XLOOKUP(datos_ventas[[#This Row],[Ciudad]],Tabla2[Ciudades],Tabla2[Provincias],"no se encuentra")</f>
        <v>Valencia</v>
      </c>
      <c r="L203" t="str">
        <f>_xlfn.XLOOKUP(datos_ventas[[#This Row],[Provincia]],Tabla2[Provincias],Tabla2[Comunidades],"no se encuentra")</f>
        <v>Comunidad Valenciana</v>
      </c>
      <c r="M203" t="s">
        <v>13</v>
      </c>
      <c r="N203">
        <v>4</v>
      </c>
    </row>
    <row r="204" spans="1:14" x14ac:dyDescent="0.25">
      <c r="A204">
        <v>1203</v>
      </c>
      <c r="B204" s="1">
        <v>45909</v>
      </c>
      <c r="C204" s="4">
        <f>MONTH(datos_ventas[[#This Row],[Fecha]])</f>
        <v>9</v>
      </c>
      <c r="D204" s="4">
        <f>WEEKNUM(datos_ventas[[#This Row],[Fecha]],2)</f>
        <v>37</v>
      </c>
      <c r="E204" t="s">
        <v>23</v>
      </c>
      <c r="F204" t="s">
        <v>18</v>
      </c>
      <c r="G204">
        <v>2</v>
      </c>
      <c r="H204">
        <v>96536</v>
      </c>
      <c r="I204">
        <v>2913</v>
      </c>
      <c r="J204" t="s">
        <v>32</v>
      </c>
      <c r="K204" t="str">
        <f>_xlfn.XLOOKUP(datos_ventas[[#This Row],[Ciudad]],Tabla2[Ciudades],Tabla2[Provincias],"no se encuentra")</f>
        <v>Barcelona</v>
      </c>
      <c r="L204" t="str">
        <f>_xlfn.XLOOKUP(datos_ventas[[#This Row],[Provincia]],Tabla2[Provincias],Tabla2[Comunidades],"no se encuentra")</f>
        <v>Cataluña</v>
      </c>
      <c r="M204" t="s">
        <v>13</v>
      </c>
      <c r="N204">
        <v>1</v>
      </c>
    </row>
    <row r="205" spans="1:14" x14ac:dyDescent="0.25">
      <c r="A205">
        <v>1204</v>
      </c>
      <c r="B205" s="1">
        <v>45731</v>
      </c>
      <c r="C205" s="4">
        <f>MONTH(datos_ventas[[#This Row],[Fecha]])</f>
        <v>3</v>
      </c>
      <c r="D205" s="4">
        <f>WEEKNUM(datos_ventas[[#This Row],[Fecha]],2)</f>
        <v>11</v>
      </c>
      <c r="E205" t="s">
        <v>23</v>
      </c>
      <c r="F205" t="s">
        <v>18</v>
      </c>
      <c r="G205">
        <v>2</v>
      </c>
      <c r="H205">
        <v>88314</v>
      </c>
      <c r="I205">
        <v>505</v>
      </c>
      <c r="J205" t="s">
        <v>22</v>
      </c>
      <c r="K205" t="str">
        <f>_xlfn.XLOOKUP(datos_ventas[[#This Row],[Ciudad]],Tabla2[Ciudades],Tabla2[Provincias],"no se encuentra")</f>
        <v>Valencia</v>
      </c>
      <c r="L205" t="str">
        <f>_xlfn.XLOOKUP(datos_ventas[[#This Row],[Provincia]],Tabla2[Provincias],Tabla2[Comunidades],"no se encuentra")</f>
        <v>Comunidad Valenciana</v>
      </c>
      <c r="M205" t="s">
        <v>28</v>
      </c>
      <c r="N205">
        <v>5</v>
      </c>
    </row>
    <row r="206" spans="1:14" x14ac:dyDescent="0.25">
      <c r="A206">
        <v>1205</v>
      </c>
      <c r="B206" s="1">
        <v>45772</v>
      </c>
      <c r="C206" s="4">
        <f>MONTH(datos_ventas[[#This Row],[Fecha]])</f>
        <v>4</v>
      </c>
      <c r="D206" s="4">
        <f>WEEKNUM(datos_ventas[[#This Row],[Fecha]],2)</f>
        <v>17</v>
      </c>
      <c r="E206" t="s">
        <v>29</v>
      </c>
      <c r="F206" t="s">
        <v>30</v>
      </c>
      <c r="G206">
        <v>3</v>
      </c>
      <c r="H206">
        <v>54892</v>
      </c>
      <c r="I206">
        <v>3386</v>
      </c>
      <c r="J206" t="s">
        <v>32</v>
      </c>
      <c r="K206" t="str">
        <f>_xlfn.XLOOKUP(datos_ventas[[#This Row],[Ciudad]],Tabla2[Ciudades],Tabla2[Provincias],"no se encuentra")</f>
        <v>Barcelona</v>
      </c>
      <c r="L206" t="str">
        <f>_xlfn.XLOOKUP(datos_ventas[[#This Row],[Provincia]],Tabla2[Provincias],Tabla2[Comunidades],"no se encuentra")</f>
        <v>Cataluña</v>
      </c>
      <c r="M206" t="s">
        <v>13</v>
      </c>
      <c r="N206">
        <v>1</v>
      </c>
    </row>
    <row r="207" spans="1:14" x14ac:dyDescent="0.25">
      <c r="A207">
        <v>1206</v>
      </c>
      <c r="B207" s="1">
        <v>45666</v>
      </c>
      <c r="C207" s="4">
        <f>MONTH(datos_ventas[[#This Row],[Fecha]])</f>
        <v>1</v>
      </c>
      <c r="D207" s="4">
        <f>WEEKNUM(datos_ventas[[#This Row],[Fecha]],2)</f>
        <v>2</v>
      </c>
      <c r="E207" t="s">
        <v>23</v>
      </c>
      <c r="F207" t="s">
        <v>18</v>
      </c>
      <c r="G207">
        <v>2</v>
      </c>
      <c r="H207">
        <v>11269</v>
      </c>
      <c r="I207">
        <v>175</v>
      </c>
      <c r="J207" t="s">
        <v>31</v>
      </c>
      <c r="K207" t="str">
        <f>_xlfn.XLOOKUP(datos_ventas[[#This Row],[Ciudad]],Tabla2[Ciudades],Tabla2[Provincias],"no se encuentra")</f>
        <v>Vizcaya</v>
      </c>
      <c r="L207" t="str">
        <f>_xlfn.XLOOKUP(datos_ventas[[#This Row],[Provincia]],Tabla2[Provincias],Tabla2[Comunidades],"no se encuentra")</f>
        <v>País Vasco</v>
      </c>
      <c r="M207" t="s">
        <v>28</v>
      </c>
      <c r="N207">
        <v>3</v>
      </c>
    </row>
    <row r="208" spans="1:14" x14ac:dyDescent="0.25">
      <c r="A208">
        <v>1207</v>
      </c>
      <c r="B208" s="1">
        <v>45804</v>
      </c>
      <c r="C208" s="4">
        <f>MONTH(datos_ventas[[#This Row],[Fecha]])</f>
        <v>5</v>
      </c>
      <c r="D208" s="4">
        <f>WEEKNUM(datos_ventas[[#This Row],[Fecha]],2)</f>
        <v>22</v>
      </c>
      <c r="E208" t="s">
        <v>26</v>
      </c>
      <c r="F208" t="s">
        <v>18</v>
      </c>
      <c r="G208">
        <v>3</v>
      </c>
      <c r="H208">
        <v>95928</v>
      </c>
      <c r="I208">
        <v>3179</v>
      </c>
      <c r="J208" t="s">
        <v>31</v>
      </c>
      <c r="K208" t="str">
        <f>_xlfn.XLOOKUP(datos_ventas[[#This Row],[Ciudad]],Tabla2[Ciudades],Tabla2[Provincias],"no se encuentra")</f>
        <v>Vizcaya</v>
      </c>
      <c r="L208" t="str">
        <f>_xlfn.XLOOKUP(datos_ventas[[#This Row],[Provincia]],Tabla2[Provincias],Tabla2[Comunidades],"no se encuentra")</f>
        <v>País Vasco</v>
      </c>
      <c r="M208" t="s">
        <v>28</v>
      </c>
      <c r="N208">
        <v>5</v>
      </c>
    </row>
    <row r="209" spans="1:14" x14ac:dyDescent="0.25">
      <c r="A209">
        <v>1208</v>
      </c>
      <c r="B209" s="1">
        <v>45754</v>
      </c>
      <c r="C209" s="4">
        <f>MONTH(datos_ventas[[#This Row],[Fecha]])</f>
        <v>4</v>
      </c>
      <c r="D209" s="4">
        <f>WEEKNUM(datos_ventas[[#This Row],[Fecha]],2)</f>
        <v>15</v>
      </c>
      <c r="E209" t="s">
        <v>16</v>
      </c>
      <c r="F209" t="s">
        <v>11</v>
      </c>
      <c r="G209">
        <v>3</v>
      </c>
      <c r="H209">
        <v>101717</v>
      </c>
      <c r="I209">
        <v>306</v>
      </c>
      <c r="J209" t="s">
        <v>32</v>
      </c>
      <c r="K209" t="str">
        <f>_xlfn.XLOOKUP(datos_ventas[[#This Row],[Ciudad]],Tabla2[Ciudades],Tabla2[Provincias],"no se encuentra")</f>
        <v>Barcelona</v>
      </c>
      <c r="L209" t="str">
        <f>_xlfn.XLOOKUP(datos_ventas[[#This Row],[Provincia]],Tabla2[Provincias],Tabla2[Comunidades],"no se encuentra")</f>
        <v>Cataluña</v>
      </c>
      <c r="M209" t="s">
        <v>13</v>
      </c>
      <c r="N209">
        <v>3</v>
      </c>
    </row>
    <row r="210" spans="1:14" x14ac:dyDescent="0.25">
      <c r="A210">
        <v>1209</v>
      </c>
      <c r="B210" s="1">
        <v>45803</v>
      </c>
      <c r="C210" s="4">
        <f>MONTH(datos_ventas[[#This Row],[Fecha]])</f>
        <v>5</v>
      </c>
      <c r="D210" s="4">
        <f>WEEKNUM(datos_ventas[[#This Row],[Fecha]],2)</f>
        <v>22</v>
      </c>
      <c r="E210" t="s">
        <v>10</v>
      </c>
      <c r="F210" t="s">
        <v>11</v>
      </c>
      <c r="G210">
        <v>2</v>
      </c>
      <c r="H210">
        <v>3841</v>
      </c>
      <c r="I210">
        <v>2807</v>
      </c>
      <c r="J210" t="s">
        <v>14</v>
      </c>
      <c r="K210" t="str">
        <f>_xlfn.XLOOKUP(datos_ventas[[#This Row],[Ciudad]],Tabla2[Ciudades],Tabla2[Provincias],"no se encuentra")</f>
        <v>Madrid</v>
      </c>
      <c r="L210" t="str">
        <f>_xlfn.XLOOKUP(datos_ventas[[#This Row],[Provincia]],Tabla2[Provincias],Tabla2[Comunidades],"no se encuentra")</f>
        <v>Comunidad de Madrid</v>
      </c>
      <c r="M210" t="s">
        <v>19</v>
      </c>
      <c r="N210">
        <v>5</v>
      </c>
    </row>
    <row r="211" spans="1:14" x14ac:dyDescent="0.25">
      <c r="A211">
        <v>1210</v>
      </c>
      <c r="B211" s="1">
        <v>45708</v>
      </c>
      <c r="C211" s="4">
        <f>MONTH(datos_ventas[[#This Row],[Fecha]])</f>
        <v>2</v>
      </c>
      <c r="D211" s="4">
        <f>WEEKNUM(datos_ventas[[#This Row],[Fecha]],2)</f>
        <v>8</v>
      </c>
      <c r="E211" t="s">
        <v>26</v>
      </c>
      <c r="F211" t="s">
        <v>18</v>
      </c>
      <c r="G211">
        <v>3</v>
      </c>
      <c r="H211">
        <v>48592</v>
      </c>
      <c r="I211">
        <v>4024</v>
      </c>
      <c r="J211" t="s">
        <v>12</v>
      </c>
      <c r="K211" t="str">
        <f>_xlfn.XLOOKUP(datos_ventas[[#This Row],[Ciudad]],Tabla2[Ciudades],Tabla2[Provincias],"no se encuentra")</f>
        <v>Málaga</v>
      </c>
      <c r="L211" t="str">
        <f>_xlfn.XLOOKUP(datos_ventas[[#This Row],[Provincia]],Tabla2[Provincias],Tabla2[Comunidades],"no se encuentra")</f>
        <v>Andalucía</v>
      </c>
      <c r="M211" t="s">
        <v>15</v>
      </c>
      <c r="N211">
        <v>5</v>
      </c>
    </row>
    <row r="212" spans="1:14" x14ac:dyDescent="0.25">
      <c r="A212">
        <v>1211</v>
      </c>
      <c r="B212" s="1">
        <v>45898</v>
      </c>
      <c r="C212" s="4">
        <f>MONTH(datos_ventas[[#This Row],[Fecha]])</f>
        <v>8</v>
      </c>
      <c r="D212" s="4">
        <f>WEEKNUM(datos_ventas[[#This Row],[Fecha]],2)</f>
        <v>35</v>
      </c>
      <c r="E212" t="s">
        <v>17</v>
      </c>
      <c r="F212" t="s">
        <v>18</v>
      </c>
      <c r="G212">
        <v>4</v>
      </c>
      <c r="H212">
        <v>42288</v>
      </c>
      <c r="I212">
        <v>4362</v>
      </c>
      <c r="J212" t="s">
        <v>22</v>
      </c>
      <c r="K212" t="str">
        <f>_xlfn.XLOOKUP(datos_ventas[[#This Row],[Ciudad]],Tabla2[Ciudades],Tabla2[Provincias],"no se encuentra")</f>
        <v>Valencia</v>
      </c>
      <c r="L212" t="str">
        <f>_xlfn.XLOOKUP(datos_ventas[[#This Row],[Provincia]],Tabla2[Provincias],Tabla2[Comunidades],"no se encuentra")</f>
        <v>Comunidad Valenciana</v>
      </c>
      <c r="M212" t="s">
        <v>13</v>
      </c>
      <c r="N212">
        <v>1</v>
      </c>
    </row>
    <row r="213" spans="1:14" x14ac:dyDescent="0.25">
      <c r="A213">
        <v>1212</v>
      </c>
      <c r="B213" s="1">
        <v>45662</v>
      </c>
      <c r="C213" s="4">
        <f>MONTH(datos_ventas[[#This Row],[Fecha]])</f>
        <v>1</v>
      </c>
      <c r="D213" s="4">
        <f>WEEKNUM(datos_ventas[[#This Row],[Fecha]],2)</f>
        <v>1</v>
      </c>
      <c r="E213" t="s">
        <v>10</v>
      </c>
      <c r="F213" t="s">
        <v>11</v>
      </c>
      <c r="G213">
        <v>1</v>
      </c>
      <c r="H213">
        <v>94641</v>
      </c>
      <c r="I213">
        <v>2952</v>
      </c>
      <c r="J213" t="s">
        <v>12</v>
      </c>
      <c r="K213" t="str">
        <f>_xlfn.XLOOKUP(datos_ventas[[#This Row],[Ciudad]],Tabla2[Ciudades],Tabla2[Provincias],"no se encuentra")</f>
        <v>Málaga</v>
      </c>
      <c r="L213" t="str">
        <f>_xlfn.XLOOKUP(datos_ventas[[#This Row],[Provincia]],Tabla2[Provincias],Tabla2[Comunidades],"no se encuentra")</f>
        <v>Andalucía</v>
      </c>
      <c r="M213" t="s">
        <v>13</v>
      </c>
      <c r="N213">
        <v>1</v>
      </c>
    </row>
    <row r="214" spans="1:14" x14ac:dyDescent="0.25">
      <c r="A214">
        <v>1213</v>
      </c>
      <c r="B214" s="1">
        <v>45746</v>
      </c>
      <c r="C214" s="4">
        <f>MONTH(datos_ventas[[#This Row],[Fecha]])</f>
        <v>3</v>
      </c>
      <c r="D214" s="4">
        <f>WEEKNUM(datos_ventas[[#This Row],[Fecha]],2)</f>
        <v>13</v>
      </c>
      <c r="E214" t="s">
        <v>16</v>
      </c>
      <c r="F214" t="s">
        <v>11</v>
      </c>
      <c r="G214">
        <v>5</v>
      </c>
      <c r="H214">
        <v>100621</v>
      </c>
      <c r="I214">
        <v>2804</v>
      </c>
      <c r="J214" t="s">
        <v>32</v>
      </c>
      <c r="K214" t="str">
        <f>_xlfn.XLOOKUP(datos_ventas[[#This Row],[Ciudad]],Tabla2[Ciudades],Tabla2[Provincias],"no se encuentra")</f>
        <v>Barcelona</v>
      </c>
      <c r="L214" t="str">
        <f>_xlfn.XLOOKUP(datos_ventas[[#This Row],[Provincia]],Tabla2[Provincias],Tabla2[Comunidades],"no se encuentra")</f>
        <v>Cataluña</v>
      </c>
      <c r="M214" t="s">
        <v>19</v>
      </c>
      <c r="N214">
        <v>1</v>
      </c>
    </row>
    <row r="215" spans="1:14" x14ac:dyDescent="0.25">
      <c r="A215">
        <v>1214</v>
      </c>
      <c r="B215" s="1">
        <v>45866</v>
      </c>
      <c r="C215" s="4">
        <f>MONTH(datos_ventas[[#This Row],[Fecha]])</f>
        <v>7</v>
      </c>
      <c r="D215" s="4">
        <f>WEEKNUM(datos_ventas[[#This Row],[Fecha]],2)</f>
        <v>31</v>
      </c>
      <c r="E215" t="s">
        <v>20</v>
      </c>
      <c r="F215" t="s">
        <v>21</v>
      </c>
      <c r="G215">
        <v>2</v>
      </c>
      <c r="H215">
        <v>1232</v>
      </c>
      <c r="I215">
        <v>2465</v>
      </c>
      <c r="J215" t="s">
        <v>32</v>
      </c>
      <c r="K215" t="str">
        <f>_xlfn.XLOOKUP(datos_ventas[[#This Row],[Ciudad]],Tabla2[Ciudades],Tabla2[Provincias],"no se encuentra")</f>
        <v>Barcelona</v>
      </c>
      <c r="L215" t="str">
        <f>_xlfn.XLOOKUP(datos_ventas[[#This Row],[Provincia]],Tabla2[Provincias],Tabla2[Comunidades],"no se encuentra")</f>
        <v>Cataluña</v>
      </c>
      <c r="M215" t="s">
        <v>13</v>
      </c>
      <c r="N215">
        <v>3</v>
      </c>
    </row>
    <row r="216" spans="1:14" x14ac:dyDescent="0.25">
      <c r="A216">
        <v>1215</v>
      </c>
      <c r="B216" s="1">
        <v>45838</v>
      </c>
      <c r="C216" s="4">
        <f>MONTH(datos_ventas[[#This Row],[Fecha]])</f>
        <v>6</v>
      </c>
      <c r="D216" s="4">
        <f>WEEKNUM(datos_ventas[[#This Row],[Fecha]],2)</f>
        <v>27</v>
      </c>
      <c r="E216" t="s">
        <v>20</v>
      </c>
      <c r="F216" t="s">
        <v>21</v>
      </c>
      <c r="G216">
        <v>4</v>
      </c>
      <c r="H216">
        <v>2102</v>
      </c>
      <c r="I216">
        <v>3727</v>
      </c>
      <c r="J216" t="s">
        <v>14</v>
      </c>
      <c r="K216" t="str">
        <f>_xlfn.XLOOKUP(datos_ventas[[#This Row],[Ciudad]],Tabla2[Ciudades],Tabla2[Provincias],"no se encuentra")</f>
        <v>Madrid</v>
      </c>
      <c r="L216" t="str">
        <f>_xlfn.XLOOKUP(datos_ventas[[#This Row],[Provincia]],Tabla2[Provincias],Tabla2[Comunidades],"no se encuentra")</f>
        <v>Comunidad de Madrid</v>
      </c>
      <c r="M216" t="s">
        <v>28</v>
      </c>
      <c r="N216">
        <v>2</v>
      </c>
    </row>
    <row r="217" spans="1:14" x14ac:dyDescent="0.25">
      <c r="A217">
        <v>1216</v>
      </c>
      <c r="B217" s="1">
        <v>45682</v>
      </c>
      <c r="C217" s="4">
        <f>MONTH(datos_ventas[[#This Row],[Fecha]])</f>
        <v>1</v>
      </c>
      <c r="D217" s="4">
        <f>WEEKNUM(datos_ventas[[#This Row],[Fecha]],2)</f>
        <v>4</v>
      </c>
      <c r="E217" t="s">
        <v>17</v>
      </c>
      <c r="F217" t="s">
        <v>18</v>
      </c>
      <c r="G217">
        <v>3</v>
      </c>
      <c r="H217">
        <v>10711</v>
      </c>
      <c r="I217">
        <v>2315</v>
      </c>
      <c r="J217" t="s">
        <v>32</v>
      </c>
      <c r="K217" t="str">
        <f>_xlfn.XLOOKUP(datos_ventas[[#This Row],[Ciudad]],Tabla2[Ciudades],Tabla2[Provincias],"no se encuentra")</f>
        <v>Barcelona</v>
      </c>
      <c r="L217" t="str">
        <f>_xlfn.XLOOKUP(datos_ventas[[#This Row],[Provincia]],Tabla2[Provincias],Tabla2[Comunidades],"no se encuentra")</f>
        <v>Cataluña</v>
      </c>
      <c r="M217" t="s">
        <v>19</v>
      </c>
      <c r="N217">
        <v>5</v>
      </c>
    </row>
    <row r="218" spans="1:14" x14ac:dyDescent="0.25">
      <c r="A218">
        <v>1217</v>
      </c>
      <c r="B218" s="1">
        <v>45766</v>
      </c>
      <c r="C218" s="4">
        <f>MONTH(datos_ventas[[#This Row],[Fecha]])</f>
        <v>4</v>
      </c>
      <c r="D218" s="4">
        <f>WEEKNUM(datos_ventas[[#This Row],[Fecha]],2)</f>
        <v>16</v>
      </c>
      <c r="E218" t="s">
        <v>17</v>
      </c>
      <c r="F218" t="s">
        <v>18</v>
      </c>
      <c r="G218">
        <v>4</v>
      </c>
      <c r="H218">
        <v>65884</v>
      </c>
      <c r="I218">
        <v>904</v>
      </c>
      <c r="J218" t="s">
        <v>22</v>
      </c>
      <c r="K218" t="str">
        <f>_xlfn.XLOOKUP(datos_ventas[[#This Row],[Ciudad]],Tabla2[Ciudades],Tabla2[Provincias],"no se encuentra")</f>
        <v>Valencia</v>
      </c>
      <c r="L218" t="str">
        <f>_xlfn.XLOOKUP(datos_ventas[[#This Row],[Provincia]],Tabla2[Provincias],Tabla2[Comunidades],"no se encuentra")</f>
        <v>Comunidad Valenciana</v>
      </c>
      <c r="M218" t="s">
        <v>28</v>
      </c>
      <c r="N218">
        <v>3</v>
      </c>
    </row>
    <row r="219" spans="1:14" x14ac:dyDescent="0.25">
      <c r="A219">
        <v>1218</v>
      </c>
      <c r="B219" s="1">
        <v>45967</v>
      </c>
      <c r="C219" s="4">
        <f>MONTH(datos_ventas[[#This Row],[Fecha]])</f>
        <v>11</v>
      </c>
      <c r="D219" s="4">
        <f>WEEKNUM(datos_ventas[[#This Row],[Fecha]],2)</f>
        <v>45</v>
      </c>
      <c r="E219" t="s">
        <v>26</v>
      </c>
      <c r="F219" t="s">
        <v>18</v>
      </c>
      <c r="G219">
        <v>3</v>
      </c>
      <c r="H219">
        <v>57359</v>
      </c>
      <c r="I219">
        <v>3703</v>
      </c>
      <c r="J219" t="s">
        <v>31</v>
      </c>
      <c r="K219" t="str">
        <f>_xlfn.XLOOKUP(datos_ventas[[#This Row],[Ciudad]],Tabla2[Ciudades],Tabla2[Provincias],"no se encuentra")</f>
        <v>Vizcaya</v>
      </c>
      <c r="L219" t="str">
        <f>_xlfn.XLOOKUP(datos_ventas[[#This Row],[Provincia]],Tabla2[Provincias],Tabla2[Comunidades],"no se encuentra")</f>
        <v>País Vasco</v>
      </c>
      <c r="M219" t="s">
        <v>19</v>
      </c>
      <c r="N219">
        <v>5</v>
      </c>
    </row>
    <row r="220" spans="1:14" x14ac:dyDescent="0.25">
      <c r="A220">
        <v>1219</v>
      </c>
      <c r="B220" s="1">
        <v>45992</v>
      </c>
      <c r="C220" s="4">
        <f>MONTH(datos_ventas[[#This Row],[Fecha]])</f>
        <v>12</v>
      </c>
      <c r="D220" s="4">
        <f>WEEKNUM(datos_ventas[[#This Row],[Fecha]],2)</f>
        <v>49</v>
      </c>
      <c r="E220" t="s">
        <v>24</v>
      </c>
      <c r="F220" t="s">
        <v>25</v>
      </c>
      <c r="G220">
        <v>4</v>
      </c>
      <c r="H220">
        <v>69841</v>
      </c>
      <c r="I220">
        <v>3167</v>
      </c>
      <c r="J220" t="s">
        <v>27</v>
      </c>
      <c r="K220" t="str">
        <f>_xlfn.XLOOKUP(datos_ventas[[#This Row],[Ciudad]],Tabla2[Ciudades],Tabla2[Provincias],"no se encuentra")</f>
        <v>Sevilla</v>
      </c>
      <c r="L220" t="str">
        <f>_xlfn.XLOOKUP(datos_ventas[[#This Row],[Provincia]],Tabla2[Provincias],Tabla2[Comunidades],"no se encuentra")</f>
        <v>Andalucía</v>
      </c>
      <c r="M220" t="s">
        <v>15</v>
      </c>
      <c r="N220">
        <v>5</v>
      </c>
    </row>
    <row r="221" spans="1:14" x14ac:dyDescent="0.25">
      <c r="A221">
        <v>1220</v>
      </c>
      <c r="B221" s="1">
        <v>45901</v>
      </c>
      <c r="C221" s="4">
        <f>MONTH(datos_ventas[[#This Row],[Fecha]])</f>
        <v>9</v>
      </c>
      <c r="D221" s="4">
        <f>WEEKNUM(datos_ventas[[#This Row],[Fecha]],2)</f>
        <v>36</v>
      </c>
      <c r="E221" t="s">
        <v>24</v>
      </c>
      <c r="F221" t="s">
        <v>25</v>
      </c>
      <c r="G221">
        <v>1</v>
      </c>
      <c r="H221">
        <v>2074</v>
      </c>
      <c r="I221">
        <v>627</v>
      </c>
      <c r="J221" t="s">
        <v>27</v>
      </c>
      <c r="K221" t="str">
        <f>_xlfn.XLOOKUP(datos_ventas[[#This Row],[Ciudad]],Tabla2[Ciudades],Tabla2[Provincias],"no se encuentra")</f>
        <v>Sevilla</v>
      </c>
      <c r="L221" t="str">
        <f>_xlfn.XLOOKUP(datos_ventas[[#This Row],[Provincia]],Tabla2[Provincias],Tabla2[Comunidades],"no se encuentra")</f>
        <v>Andalucía</v>
      </c>
      <c r="M221" t="s">
        <v>13</v>
      </c>
      <c r="N221">
        <v>2</v>
      </c>
    </row>
    <row r="222" spans="1:14" x14ac:dyDescent="0.25">
      <c r="A222">
        <v>1221</v>
      </c>
      <c r="B222" s="1">
        <v>45974</v>
      </c>
      <c r="C222" s="4">
        <f>MONTH(datos_ventas[[#This Row],[Fecha]])</f>
        <v>11</v>
      </c>
      <c r="D222" s="4">
        <f>WEEKNUM(datos_ventas[[#This Row],[Fecha]],2)</f>
        <v>46</v>
      </c>
      <c r="E222" t="s">
        <v>20</v>
      </c>
      <c r="F222" t="s">
        <v>21</v>
      </c>
      <c r="G222">
        <v>1</v>
      </c>
      <c r="H222">
        <v>93015</v>
      </c>
      <c r="I222">
        <v>1125</v>
      </c>
      <c r="J222" t="s">
        <v>27</v>
      </c>
      <c r="K222" t="str">
        <f>_xlfn.XLOOKUP(datos_ventas[[#This Row],[Ciudad]],Tabla2[Ciudades],Tabla2[Provincias],"no se encuentra")</f>
        <v>Sevilla</v>
      </c>
      <c r="L222" t="str">
        <f>_xlfn.XLOOKUP(datos_ventas[[#This Row],[Provincia]],Tabla2[Provincias],Tabla2[Comunidades],"no se encuentra")</f>
        <v>Andalucía</v>
      </c>
      <c r="M222" t="s">
        <v>15</v>
      </c>
      <c r="N222">
        <v>1</v>
      </c>
    </row>
    <row r="223" spans="1:14" x14ac:dyDescent="0.25">
      <c r="A223">
        <v>1222</v>
      </c>
      <c r="B223" s="1">
        <v>45875</v>
      </c>
      <c r="C223" s="4">
        <f>MONTH(datos_ventas[[#This Row],[Fecha]])</f>
        <v>8</v>
      </c>
      <c r="D223" s="4">
        <f>WEEKNUM(datos_ventas[[#This Row],[Fecha]],2)</f>
        <v>32</v>
      </c>
      <c r="E223" t="s">
        <v>20</v>
      </c>
      <c r="F223" t="s">
        <v>21</v>
      </c>
      <c r="G223">
        <v>5</v>
      </c>
      <c r="H223">
        <v>103533</v>
      </c>
      <c r="I223">
        <v>176</v>
      </c>
      <c r="J223" t="s">
        <v>22</v>
      </c>
      <c r="K223" t="str">
        <f>_xlfn.XLOOKUP(datos_ventas[[#This Row],[Ciudad]],Tabla2[Ciudades],Tabla2[Provincias],"no se encuentra")</f>
        <v>Valencia</v>
      </c>
      <c r="L223" t="str">
        <f>_xlfn.XLOOKUP(datos_ventas[[#This Row],[Provincia]],Tabla2[Provincias],Tabla2[Comunidades],"no se encuentra")</f>
        <v>Comunidad Valenciana</v>
      </c>
      <c r="M223" t="s">
        <v>19</v>
      </c>
      <c r="N223">
        <v>5</v>
      </c>
    </row>
    <row r="224" spans="1:14" x14ac:dyDescent="0.25">
      <c r="A224">
        <v>1223</v>
      </c>
      <c r="B224" s="1">
        <v>45823</v>
      </c>
      <c r="C224" s="4">
        <f>MONTH(datos_ventas[[#This Row],[Fecha]])</f>
        <v>6</v>
      </c>
      <c r="D224" s="4">
        <f>WEEKNUM(datos_ventas[[#This Row],[Fecha]],2)</f>
        <v>24</v>
      </c>
      <c r="E224" t="s">
        <v>26</v>
      </c>
      <c r="F224" t="s">
        <v>18</v>
      </c>
      <c r="G224">
        <v>5</v>
      </c>
      <c r="H224">
        <v>10196</v>
      </c>
      <c r="I224">
        <v>3424</v>
      </c>
      <c r="J224" t="s">
        <v>32</v>
      </c>
      <c r="K224" t="str">
        <f>_xlfn.XLOOKUP(datos_ventas[[#This Row],[Ciudad]],Tabla2[Ciudades],Tabla2[Provincias],"no se encuentra")</f>
        <v>Barcelona</v>
      </c>
      <c r="L224" t="str">
        <f>_xlfn.XLOOKUP(datos_ventas[[#This Row],[Provincia]],Tabla2[Provincias],Tabla2[Comunidades],"no se encuentra")</f>
        <v>Cataluña</v>
      </c>
      <c r="M224" t="s">
        <v>28</v>
      </c>
      <c r="N224">
        <v>3</v>
      </c>
    </row>
    <row r="225" spans="1:14" x14ac:dyDescent="0.25">
      <c r="A225">
        <v>1224</v>
      </c>
      <c r="B225" s="1">
        <v>45909</v>
      </c>
      <c r="C225" s="4">
        <f>MONTH(datos_ventas[[#This Row],[Fecha]])</f>
        <v>9</v>
      </c>
      <c r="D225" s="4">
        <f>WEEKNUM(datos_ventas[[#This Row],[Fecha]],2)</f>
        <v>37</v>
      </c>
      <c r="E225" t="s">
        <v>24</v>
      </c>
      <c r="F225" t="s">
        <v>25</v>
      </c>
      <c r="G225">
        <v>4</v>
      </c>
      <c r="H225">
        <v>78446</v>
      </c>
      <c r="I225">
        <v>2495</v>
      </c>
      <c r="J225" t="s">
        <v>22</v>
      </c>
      <c r="K225" t="str">
        <f>_xlfn.XLOOKUP(datos_ventas[[#This Row],[Ciudad]],Tabla2[Ciudades],Tabla2[Provincias],"no se encuentra")</f>
        <v>Valencia</v>
      </c>
      <c r="L225" t="str">
        <f>_xlfn.XLOOKUP(datos_ventas[[#This Row],[Provincia]],Tabla2[Provincias],Tabla2[Comunidades],"no se encuentra")</f>
        <v>Comunidad Valenciana</v>
      </c>
      <c r="M225" t="s">
        <v>15</v>
      </c>
      <c r="N225">
        <v>4</v>
      </c>
    </row>
    <row r="226" spans="1:14" x14ac:dyDescent="0.25">
      <c r="A226">
        <v>1225</v>
      </c>
      <c r="B226" s="1">
        <v>45730</v>
      </c>
      <c r="C226" s="4">
        <f>MONTH(datos_ventas[[#This Row],[Fecha]])</f>
        <v>3</v>
      </c>
      <c r="D226" s="4">
        <f>WEEKNUM(datos_ventas[[#This Row],[Fecha]],2)</f>
        <v>11</v>
      </c>
      <c r="E226" t="s">
        <v>24</v>
      </c>
      <c r="F226" t="s">
        <v>25</v>
      </c>
      <c r="G226">
        <v>5</v>
      </c>
      <c r="H226">
        <v>35038</v>
      </c>
      <c r="I226">
        <v>2618</v>
      </c>
      <c r="J226" t="s">
        <v>12</v>
      </c>
      <c r="K226" t="str">
        <f>_xlfn.XLOOKUP(datos_ventas[[#This Row],[Ciudad]],Tabla2[Ciudades],Tabla2[Provincias],"no se encuentra")</f>
        <v>Málaga</v>
      </c>
      <c r="L226" t="str">
        <f>_xlfn.XLOOKUP(datos_ventas[[#This Row],[Provincia]],Tabla2[Provincias],Tabla2[Comunidades],"no se encuentra")</f>
        <v>Andalucía</v>
      </c>
      <c r="M226" t="s">
        <v>15</v>
      </c>
      <c r="N226">
        <v>2</v>
      </c>
    </row>
    <row r="227" spans="1:14" x14ac:dyDescent="0.25">
      <c r="A227">
        <v>1226</v>
      </c>
      <c r="B227" s="1">
        <v>45990</v>
      </c>
      <c r="C227" s="4">
        <f>MONTH(datos_ventas[[#This Row],[Fecha]])</f>
        <v>11</v>
      </c>
      <c r="D227" s="4">
        <f>WEEKNUM(datos_ventas[[#This Row],[Fecha]],2)</f>
        <v>48</v>
      </c>
      <c r="E227" t="s">
        <v>20</v>
      </c>
      <c r="F227" t="s">
        <v>21</v>
      </c>
      <c r="G227">
        <v>4</v>
      </c>
      <c r="H227">
        <v>2843</v>
      </c>
      <c r="I227">
        <v>2253</v>
      </c>
      <c r="J227" t="s">
        <v>14</v>
      </c>
      <c r="K227" t="str">
        <f>_xlfn.XLOOKUP(datos_ventas[[#This Row],[Ciudad]],Tabla2[Ciudades],Tabla2[Provincias],"no se encuentra")</f>
        <v>Madrid</v>
      </c>
      <c r="L227" t="str">
        <f>_xlfn.XLOOKUP(datos_ventas[[#This Row],[Provincia]],Tabla2[Provincias],Tabla2[Comunidades],"no se encuentra")</f>
        <v>Comunidad de Madrid</v>
      </c>
      <c r="M227" t="s">
        <v>15</v>
      </c>
      <c r="N227">
        <v>1</v>
      </c>
    </row>
    <row r="228" spans="1:14" x14ac:dyDescent="0.25">
      <c r="A228">
        <v>1227</v>
      </c>
      <c r="B228" s="1">
        <v>45991</v>
      </c>
      <c r="C228" s="4">
        <f>MONTH(datos_ventas[[#This Row],[Fecha]])</f>
        <v>11</v>
      </c>
      <c r="D228" s="4">
        <f>WEEKNUM(datos_ventas[[#This Row],[Fecha]],2)</f>
        <v>48</v>
      </c>
      <c r="E228" t="s">
        <v>20</v>
      </c>
      <c r="F228" t="s">
        <v>21</v>
      </c>
      <c r="G228">
        <v>2</v>
      </c>
      <c r="H228">
        <v>112923</v>
      </c>
      <c r="I228">
        <v>2209</v>
      </c>
      <c r="J228" t="s">
        <v>14</v>
      </c>
      <c r="K228" t="str">
        <f>_xlfn.XLOOKUP(datos_ventas[[#This Row],[Ciudad]],Tabla2[Ciudades],Tabla2[Provincias],"no se encuentra")</f>
        <v>Madrid</v>
      </c>
      <c r="L228" t="str">
        <f>_xlfn.XLOOKUP(datos_ventas[[#This Row],[Provincia]],Tabla2[Provincias],Tabla2[Comunidades],"no se encuentra")</f>
        <v>Comunidad de Madrid</v>
      </c>
      <c r="M228" t="s">
        <v>13</v>
      </c>
      <c r="N228">
        <v>5</v>
      </c>
    </row>
    <row r="229" spans="1:14" x14ac:dyDescent="0.25">
      <c r="A229">
        <v>1228</v>
      </c>
      <c r="B229" s="1">
        <v>45776</v>
      </c>
      <c r="C229" s="4">
        <f>MONTH(datos_ventas[[#This Row],[Fecha]])</f>
        <v>4</v>
      </c>
      <c r="D229" s="4">
        <f>WEEKNUM(datos_ventas[[#This Row],[Fecha]],2)</f>
        <v>18</v>
      </c>
      <c r="E229" t="s">
        <v>10</v>
      </c>
      <c r="F229" t="s">
        <v>11</v>
      </c>
      <c r="G229">
        <v>4</v>
      </c>
      <c r="H229">
        <v>96169</v>
      </c>
      <c r="I229">
        <v>1629</v>
      </c>
      <c r="J229" t="s">
        <v>12</v>
      </c>
      <c r="K229" t="str">
        <f>_xlfn.XLOOKUP(datos_ventas[[#This Row],[Ciudad]],Tabla2[Ciudades],Tabla2[Provincias],"no se encuentra")</f>
        <v>Málaga</v>
      </c>
      <c r="L229" t="str">
        <f>_xlfn.XLOOKUP(datos_ventas[[#This Row],[Provincia]],Tabla2[Provincias],Tabla2[Comunidades],"no se encuentra")</f>
        <v>Andalucía</v>
      </c>
      <c r="M229" t="s">
        <v>19</v>
      </c>
      <c r="N229">
        <v>5</v>
      </c>
    </row>
    <row r="230" spans="1:14" x14ac:dyDescent="0.25">
      <c r="A230">
        <v>1229</v>
      </c>
      <c r="B230" s="1">
        <v>45662</v>
      </c>
      <c r="C230" s="4">
        <f>MONTH(datos_ventas[[#This Row],[Fecha]])</f>
        <v>1</v>
      </c>
      <c r="D230" s="4">
        <f>WEEKNUM(datos_ventas[[#This Row],[Fecha]],2)</f>
        <v>1</v>
      </c>
      <c r="E230" t="s">
        <v>20</v>
      </c>
      <c r="F230" t="s">
        <v>21</v>
      </c>
      <c r="G230">
        <v>2</v>
      </c>
      <c r="H230">
        <v>84301</v>
      </c>
      <c r="I230">
        <v>2402</v>
      </c>
      <c r="J230" t="s">
        <v>31</v>
      </c>
      <c r="K230" t="str">
        <f>_xlfn.XLOOKUP(datos_ventas[[#This Row],[Ciudad]],Tabla2[Ciudades],Tabla2[Provincias],"no se encuentra")</f>
        <v>Vizcaya</v>
      </c>
      <c r="L230" t="str">
        <f>_xlfn.XLOOKUP(datos_ventas[[#This Row],[Provincia]],Tabla2[Provincias],Tabla2[Comunidades],"no se encuentra")</f>
        <v>País Vasco</v>
      </c>
      <c r="M230" t="s">
        <v>19</v>
      </c>
      <c r="N230">
        <v>1</v>
      </c>
    </row>
    <row r="231" spans="1:14" x14ac:dyDescent="0.25">
      <c r="A231">
        <v>1230</v>
      </c>
      <c r="B231" s="1">
        <v>45876</v>
      </c>
      <c r="C231" s="4">
        <f>MONTH(datos_ventas[[#This Row],[Fecha]])</f>
        <v>8</v>
      </c>
      <c r="D231" s="4">
        <f>WEEKNUM(datos_ventas[[#This Row],[Fecha]],2)</f>
        <v>32</v>
      </c>
      <c r="E231" t="s">
        <v>26</v>
      </c>
      <c r="F231" t="s">
        <v>18</v>
      </c>
      <c r="G231">
        <v>2</v>
      </c>
      <c r="H231">
        <v>47312</v>
      </c>
      <c r="I231">
        <v>4224</v>
      </c>
      <c r="J231" t="s">
        <v>32</v>
      </c>
      <c r="K231" t="str">
        <f>_xlfn.XLOOKUP(datos_ventas[[#This Row],[Ciudad]],Tabla2[Ciudades],Tabla2[Provincias],"no se encuentra")</f>
        <v>Barcelona</v>
      </c>
      <c r="L231" t="str">
        <f>_xlfn.XLOOKUP(datos_ventas[[#This Row],[Provincia]],Tabla2[Provincias],Tabla2[Comunidades],"no se encuentra")</f>
        <v>Cataluña</v>
      </c>
      <c r="M231" t="s">
        <v>15</v>
      </c>
      <c r="N231">
        <v>5</v>
      </c>
    </row>
    <row r="232" spans="1:14" x14ac:dyDescent="0.25">
      <c r="A232">
        <v>1231</v>
      </c>
      <c r="B232" s="1">
        <v>45825</v>
      </c>
      <c r="C232" s="4">
        <f>MONTH(datos_ventas[[#This Row],[Fecha]])</f>
        <v>6</v>
      </c>
      <c r="D232" s="4">
        <f>WEEKNUM(datos_ventas[[#This Row],[Fecha]],2)</f>
        <v>25</v>
      </c>
      <c r="E232" t="s">
        <v>17</v>
      </c>
      <c r="F232" t="s">
        <v>18</v>
      </c>
      <c r="G232">
        <v>3</v>
      </c>
      <c r="H232">
        <v>16727</v>
      </c>
      <c r="I232">
        <v>559</v>
      </c>
      <c r="J232" t="s">
        <v>22</v>
      </c>
      <c r="K232" t="str">
        <f>_xlfn.XLOOKUP(datos_ventas[[#This Row],[Ciudad]],Tabla2[Ciudades],Tabla2[Provincias],"no se encuentra")</f>
        <v>Valencia</v>
      </c>
      <c r="L232" t="str">
        <f>_xlfn.XLOOKUP(datos_ventas[[#This Row],[Provincia]],Tabla2[Provincias],Tabla2[Comunidades],"no se encuentra")</f>
        <v>Comunidad Valenciana</v>
      </c>
      <c r="M232" t="s">
        <v>13</v>
      </c>
      <c r="N232">
        <v>1</v>
      </c>
    </row>
    <row r="233" spans="1:14" x14ac:dyDescent="0.25">
      <c r="A233">
        <v>1232</v>
      </c>
      <c r="B233" s="1">
        <v>45714</v>
      </c>
      <c r="C233" s="4">
        <f>MONTH(datos_ventas[[#This Row],[Fecha]])</f>
        <v>2</v>
      </c>
      <c r="D233" s="4">
        <f>WEEKNUM(datos_ventas[[#This Row],[Fecha]],2)</f>
        <v>9</v>
      </c>
      <c r="E233" t="s">
        <v>24</v>
      </c>
      <c r="F233" t="s">
        <v>25</v>
      </c>
      <c r="G233">
        <v>1</v>
      </c>
      <c r="H233">
        <v>113952</v>
      </c>
      <c r="I233">
        <v>873</v>
      </c>
      <c r="J233" t="s">
        <v>31</v>
      </c>
      <c r="K233" t="str">
        <f>_xlfn.XLOOKUP(datos_ventas[[#This Row],[Ciudad]],Tabla2[Ciudades],Tabla2[Provincias],"no se encuentra")</f>
        <v>Vizcaya</v>
      </c>
      <c r="L233" t="str">
        <f>_xlfn.XLOOKUP(datos_ventas[[#This Row],[Provincia]],Tabla2[Provincias],Tabla2[Comunidades],"no se encuentra")</f>
        <v>País Vasco</v>
      </c>
      <c r="M233" t="s">
        <v>28</v>
      </c>
      <c r="N233">
        <v>3</v>
      </c>
    </row>
    <row r="234" spans="1:14" x14ac:dyDescent="0.25">
      <c r="A234">
        <v>1233</v>
      </c>
      <c r="B234" s="1">
        <v>45715</v>
      </c>
      <c r="C234" s="4">
        <f>MONTH(datos_ventas[[#This Row],[Fecha]])</f>
        <v>2</v>
      </c>
      <c r="D234" s="4">
        <f>WEEKNUM(datos_ventas[[#This Row],[Fecha]],2)</f>
        <v>9</v>
      </c>
      <c r="E234" t="s">
        <v>26</v>
      </c>
      <c r="F234" t="s">
        <v>18</v>
      </c>
      <c r="G234">
        <v>2</v>
      </c>
      <c r="H234">
        <v>2026</v>
      </c>
      <c r="I234">
        <v>3552</v>
      </c>
      <c r="J234" t="s">
        <v>14</v>
      </c>
      <c r="K234" t="str">
        <f>_xlfn.XLOOKUP(datos_ventas[[#This Row],[Ciudad]],Tabla2[Ciudades],Tabla2[Provincias],"no se encuentra")</f>
        <v>Madrid</v>
      </c>
      <c r="L234" t="str">
        <f>_xlfn.XLOOKUP(datos_ventas[[#This Row],[Provincia]],Tabla2[Provincias],Tabla2[Comunidades],"no se encuentra")</f>
        <v>Comunidad de Madrid</v>
      </c>
      <c r="M234" t="s">
        <v>28</v>
      </c>
      <c r="N234">
        <v>4</v>
      </c>
    </row>
    <row r="235" spans="1:14" x14ac:dyDescent="0.25">
      <c r="A235">
        <v>1234</v>
      </c>
      <c r="B235" s="1">
        <v>45712</v>
      </c>
      <c r="C235" s="4">
        <f>MONTH(datos_ventas[[#This Row],[Fecha]])</f>
        <v>2</v>
      </c>
      <c r="D235" s="4">
        <f>WEEKNUM(datos_ventas[[#This Row],[Fecha]],2)</f>
        <v>9</v>
      </c>
      <c r="E235" t="s">
        <v>16</v>
      </c>
      <c r="F235" t="s">
        <v>11</v>
      </c>
      <c r="G235">
        <v>5</v>
      </c>
      <c r="H235">
        <v>99194</v>
      </c>
      <c r="I235">
        <v>1428</v>
      </c>
      <c r="J235" t="s">
        <v>12</v>
      </c>
      <c r="K235" t="str">
        <f>_xlfn.XLOOKUP(datos_ventas[[#This Row],[Ciudad]],Tabla2[Ciudades],Tabla2[Provincias],"no se encuentra")</f>
        <v>Málaga</v>
      </c>
      <c r="L235" t="str">
        <f>_xlfn.XLOOKUP(datos_ventas[[#This Row],[Provincia]],Tabla2[Provincias],Tabla2[Comunidades],"no se encuentra")</f>
        <v>Andalucía</v>
      </c>
      <c r="M235" t="s">
        <v>15</v>
      </c>
      <c r="N235">
        <v>4</v>
      </c>
    </row>
    <row r="236" spans="1:14" x14ac:dyDescent="0.25">
      <c r="A236">
        <v>1235</v>
      </c>
      <c r="B236" s="1">
        <v>45804</v>
      </c>
      <c r="C236" s="4">
        <f>MONTH(datos_ventas[[#This Row],[Fecha]])</f>
        <v>5</v>
      </c>
      <c r="D236" s="4">
        <f>WEEKNUM(datos_ventas[[#This Row],[Fecha]],2)</f>
        <v>22</v>
      </c>
      <c r="E236" t="s">
        <v>23</v>
      </c>
      <c r="F236" t="s">
        <v>18</v>
      </c>
      <c r="G236">
        <v>2</v>
      </c>
      <c r="H236">
        <v>5364</v>
      </c>
      <c r="I236">
        <v>3514</v>
      </c>
      <c r="J236" t="s">
        <v>31</v>
      </c>
      <c r="K236" t="str">
        <f>_xlfn.XLOOKUP(datos_ventas[[#This Row],[Ciudad]],Tabla2[Ciudades],Tabla2[Provincias],"no se encuentra")</f>
        <v>Vizcaya</v>
      </c>
      <c r="L236" t="str">
        <f>_xlfn.XLOOKUP(datos_ventas[[#This Row],[Provincia]],Tabla2[Provincias],Tabla2[Comunidades],"no se encuentra")</f>
        <v>País Vasco</v>
      </c>
      <c r="M236" t="s">
        <v>19</v>
      </c>
      <c r="N236">
        <v>1</v>
      </c>
    </row>
    <row r="237" spans="1:14" x14ac:dyDescent="0.25">
      <c r="A237">
        <v>1236</v>
      </c>
      <c r="B237" s="1">
        <v>45951</v>
      </c>
      <c r="C237" s="4">
        <f>MONTH(datos_ventas[[#This Row],[Fecha]])</f>
        <v>10</v>
      </c>
      <c r="D237" s="4">
        <f>WEEKNUM(datos_ventas[[#This Row],[Fecha]],2)</f>
        <v>43</v>
      </c>
      <c r="E237" t="s">
        <v>24</v>
      </c>
      <c r="F237" t="s">
        <v>25</v>
      </c>
      <c r="G237">
        <v>2</v>
      </c>
      <c r="H237">
        <v>46329</v>
      </c>
      <c r="I237">
        <v>1519</v>
      </c>
      <c r="J237" t="s">
        <v>31</v>
      </c>
      <c r="K237" t="str">
        <f>_xlfn.XLOOKUP(datos_ventas[[#This Row],[Ciudad]],Tabla2[Ciudades],Tabla2[Provincias],"no se encuentra")</f>
        <v>Vizcaya</v>
      </c>
      <c r="L237" t="str">
        <f>_xlfn.XLOOKUP(datos_ventas[[#This Row],[Provincia]],Tabla2[Provincias],Tabla2[Comunidades],"no se encuentra")</f>
        <v>País Vasco</v>
      </c>
      <c r="M237" t="s">
        <v>13</v>
      </c>
      <c r="N237">
        <v>3</v>
      </c>
    </row>
    <row r="238" spans="1:14" x14ac:dyDescent="0.25">
      <c r="A238">
        <v>1237</v>
      </c>
      <c r="B238" s="1">
        <v>45713</v>
      </c>
      <c r="C238" s="4">
        <f>MONTH(datos_ventas[[#This Row],[Fecha]])</f>
        <v>2</v>
      </c>
      <c r="D238" s="4">
        <f>WEEKNUM(datos_ventas[[#This Row],[Fecha]],2)</f>
        <v>9</v>
      </c>
      <c r="E238" t="s">
        <v>23</v>
      </c>
      <c r="F238" t="s">
        <v>18</v>
      </c>
      <c r="G238">
        <v>2</v>
      </c>
      <c r="H238">
        <v>33845</v>
      </c>
      <c r="I238">
        <v>2767</v>
      </c>
      <c r="J238" t="s">
        <v>27</v>
      </c>
      <c r="K238" t="str">
        <f>_xlfn.XLOOKUP(datos_ventas[[#This Row],[Ciudad]],Tabla2[Ciudades],Tabla2[Provincias],"no se encuentra")</f>
        <v>Sevilla</v>
      </c>
      <c r="L238" t="str">
        <f>_xlfn.XLOOKUP(datos_ventas[[#This Row],[Provincia]],Tabla2[Provincias],Tabla2[Comunidades],"no se encuentra")</f>
        <v>Andalucía</v>
      </c>
      <c r="M238" t="s">
        <v>19</v>
      </c>
      <c r="N238">
        <v>1</v>
      </c>
    </row>
    <row r="239" spans="1:14" x14ac:dyDescent="0.25">
      <c r="A239">
        <v>1238</v>
      </c>
      <c r="B239" s="1">
        <v>45745</v>
      </c>
      <c r="C239" s="4">
        <f>MONTH(datos_ventas[[#This Row],[Fecha]])</f>
        <v>3</v>
      </c>
      <c r="D239" s="4">
        <f>WEEKNUM(datos_ventas[[#This Row],[Fecha]],2)</f>
        <v>13</v>
      </c>
      <c r="E239" t="s">
        <v>10</v>
      </c>
      <c r="F239" t="s">
        <v>11</v>
      </c>
      <c r="G239">
        <v>5</v>
      </c>
      <c r="H239">
        <v>111561</v>
      </c>
      <c r="I239">
        <v>3766</v>
      </c>
      <c r="J239" t="s">
        <v>27</v>
      </c>
      <c r="K239" t="str">
        <f>_xlfn.XLOOKUP(datos_ventas[[#This Row],[Ciudad]],Tabla2[Ciudades],Tabla2[Provincias],"no se encuentra")</f>
        <v>Sevilla</v>
      </c>
      <c r="L239" t="str">
        <f>_xlfn.XLOOKUP(datos_ventas[[#This Row],[Provincia]],Tabla2[Provincias],Tabla2[Comunidades],"no se encuentra")</f>
        <v>Andalucía</v>
      </c>
      <c r="M239" t="s">
        <v>13</v>
      </c>
      <c r="N239">
        <v>3</v>
      </c>
    </row>
    <row r="240" spans="1:14" x14ac:dyDescent="0.25">
      <c r="A240">
        <v>1239</v>
      </c>
      <c r="B240" s="1">
        <v>45689</v>
      </c>
      <c r="C240" s="4">
        <f>MONTH(datos_ventas[[#This Row],[Fecha]])</f>
        <v>2</v>
      </c>
      <c r="D240" s="4">
        <f>WEEKNUM(datos_ventas[[#This Row],[Fecha]],2)</f>
        <v>5</v>
      </c>
      <c r="E240" t="s">
        <v>23</v>
      </c>
      <c r="F240" t="s">
        <v>18</v>
      </c>
      <c r="G240">
        <v>3</v>
      </c>
      <c r="H240">
        <v>82365</v>
      </c>
      <c r="I240">
        <v>574</v>
      </c>
      <c r="J240" t="s">
        <v>32</v>
      </c>
      <c r="K240" t="str">
        <f>_xlfn.XLOOKUP(datos_ventas[[#This Row],[Ciudad]],Tabla2[Ciudades],Tabla2[Provincias],"no se encuentra")</f>
        <v>Barcelona</v>
      </c>
      <c r="L240" t="str">
        <f>_xlfn.XLOOKUP(datos_ventas[[#This Row],[Provincia]],Tabla2[Provincias],Tabla2[Comunidades],"no se encuentra")</f>
        <v>Cataluña</v>
      </c>
      <c r="M240" t="s">
        <v>19</v>
      </c>
      <c r="N240">
        <v>2</v>
      </c>
    </row>
    <row r="241" spans="1:14" x14ac:dyDescent="0.25">
      <c r="A241">
        <v>1240</v>
      </c>
      <c r="B241" s="1">
        <v>45743</v>
      </c>
      <c r="C241" s="4">
        <f>MONTH(datos_ventas[[#This Row],[Fecha]])</f>
        <v>3</v>
      </c>
      <c r="D241" s="4">
        <f>WEEKNUM(datos_ventas[[#This Row],[Fecha]],2)</f>
        <v>13</v>
      </c>
      <c r="E241" t="s">
        <v>24</v>
      </c>
      <c r="F241" t="s">
        <v>25</v>
      </c>
      <c r="G241">
        <v>1</v>
      </c>
      <c r="H241">
        <v>25936</v>
      </c>
      <c r="I241">
        <v>2814</v>
      </c>
      <c r="J241" t="s">
        <v>32</v>
      </c>
      <c r="K241" t="str">
        <f>_xlfn.XLOOKUP(datos_ventas[[#This Row],[Ciudad]],Tabla2[Ciudades],Tabla2[Provincias],"no se encuentra")</f>
        <v>Barcelona</v>
      </c>
      <c r="L241" t="str">
        <f>_xlfn.XLOOKUP(datos_ventas[[#This Row],[Provincia]],Tabla2[Provincias],Tabla2[Comunidades],"no se encuentra")</f>
        <v>Cataluña</v>
      </c>
      <c r="M241" t="s">
        <v>13</v>
      </c>
      <c r="N241">
        <v>3</v>
      </c>
    </row>
    <row r="242" spans="1:14" x14ac:dyDescent="0.25">
      <c r="A242">
        <v>1241</v>
      </c>
      <c r="B242" s="1">
        <v>45914</v>
      </c>
      <c r="C242" s="4">
        <f>MONTH(datos_ventas[[#This Row],[Fecha]])</f>
        <v>9</v>
      </c>
      <c r="D242" s="4">
        <f>WEEKNUM(datos_ventas[[#This Row],[Fecha]],2)</f>
        <v>37</v>
      </c>
      <c r="E242" t="s">
        <v>20</v>
      </c>
      <c r="F242" t="s">
        <v>21</v>
      </c>
      <c r="G242">
        <v>2</v>
      </c>
      <c r="H242">
        <v>19887</v>
      </c>
      <c r="I242">
        <v>878</v>
      </c>
      <c r="J242" t="s">
        <v>14</v>
      </c>
      <c r="K242" t="str">
        <f>_xlfn.XLOOKUP(datos_ventas[[#This Row],[Ciudad]],Tabla2[Ciudades],Tabla2[Provincias],"no se encuentra")</f>
        <v>Madrid</v>
      </c>
      <c r="L242" t="str">
        <f>_xlfn.XLOOKUP(datos_ventas[[#This Row],[Provincia]],Tabla2[Provincias],Tabla2[Comunidades],"no se encuentra")</f>
        <v>Comunidad de Madrid</v>
      </c>
      <c r="M242" t="s">
        <v>28</v>
      </c>
      <c r="N242">
        <v>2</v>
      </c>
    </row>
    <row r="243" spans="1:14" x14ac:dyDescent="0.25">
      <c r="A243">
        <v>1242</v>
      </c>
      <c r="B243" s="1">
        <v>45900</v>
      </c>
      <c r="C243" s="4">
        <f>MONTH(datos_ventas[[#This Row],[Fecha]])</f>
        <v>8</v>
      </c>
      <c r="D243" s="4">
        <f>WEEKNUM(datos_ventas[[#This Row],[Fecha]],2)</f>
        <v>35</v>
      </c>
      <c r="E243" t="s">
        <v>26</v>
      </c>
      <c r="F243" t="s">
        <v>18</v>
      </c>
      <c r="G243">
        <v>5</v>
      </c>
      <c r="H243">
        <v>98379</v>
      </c>
      <c r="I243">
        <v>2895</v>
      </c>
      <c r="J243" t="s">
        <v>14</v>
      </c>
      <c r="K243" t="str">
        <f>_xlfn.XLOOKUP(datos_ventas[[#This Row],[Ciudad]],Tabla2[Ciudades],Tabla2[Provincias],"no se encuentra")</f>
        <v>Madrid</v>
      </c>
      <c r="L243" t="str">
        <f>_xlfn.XLOOKUP(datos_ventas[[#This Row],[Provincia]],Tabla2[Provincias],Tabla2[Comunidades],"no se encuentra")</f>
        <v>Comunidad de Madrid</v>
      </c>
      <c r="M243" t="s">
        <v>19</v>
      </c>
      <c r="N243">
        <v>4</v>
      </c>
    </row>
    <row r="244" spans="1:14" x14ac:dyDescent="0.25">
      <c r="A244">
        <v>1243</v>
      </c>
      <c r="B244" s="1">
        <v>45715</v>
      </c>
      <c r="C244" s="4">
        <f>MONTH(datos_ventas[[#This Row],[Fecha]])</f>
        <v>2</v>
      </c>
      <c r="D244" s="4">
        <f>WEEKNUM(datos_ventas[[#This Row],[Fecha]],2)</f>
        <v>9</v>
      </c>
      <c r="E244" t="s">
        <v>20</v>
      </c>
      <c r="F244" t="s">
        <v>21</v>
      </c>
      <c r="G244">
        <v>3</v>
      </c>
      <c r="H244">
        <v>45517</v>
      </c>
      <c r="I244">
        <v>962</v>
      </c>
      <c r="J244" t="s">
        <v>22</v>
      </c>
      <c r="K244" t="str">
        <f>_xlfn.XLOOKUP(datos_ventas[[#This Row],[Ciudad]],Tabla2[Ciudades],Tabla2[Provincias],"no se encuentra")</f>
        <v>Valencia</v>
      </c>
      <c r="L244" t="str">
        <f>_xlfn.XLOOKUP(datos_ventas[[#This Row],[Provincia]],Tabla2[Provincias],Tabla2[Comunidades],"no se encuentra")</f>
        <v>Comunidad Valenciana</v>
      </c>
      <c r="M244" t="s">
        <v>13</v>
      </c>
      <c r="N244">
        <v>2</v>
      </c>
    </row>
    <row r="245" spans="1:14" x14ac:dyDescent="0.25">
      <c r="A245">
        <v>1244</v>
      </c>
      <c r="B245" s="1">
        <v>45883</v>
      </c>
      <c r="C245" s="4">
        <f>MONTH(datos_ventas[[#This Row],[Fecha]])</f>
        <v>8</v>
      </c>
      <c r="D245" s="4">
        <f>WEEKNUM(datos_ventas[[#This Row],[Fecha]],2)</f>
        <v>33</v>
      </c>
      <c r="E245" t="s">
        <v>20</v>
      </c>
      <c r="F245" t="s">
        <v>21</v>
      </c>
      <c r="G245">
        <v>3</v>
      </c>
      <c r="H245">
        <v>76712</v>
      </c>
      <c r="I245">
        <v>1953</v>
      </c>
      <c r="J245" t="s">
        <v>14</v>
      </c>
      <c r="K245" t="str">
        <f>_xlfn.XLOOKUP(datos_ventas[[#This Row],[Ciudad]],Tabla2[Ciudades],Tabla2[Provincias],"no se encuentra")</f>
        <v>Madrid</v>
      </c>
      <c r="L245" t="str">
        <f>_xlfn.XLOOKUP(datos_ventas[[#This Row],[Provincia]],Tabla2[Provincias],Tabla2[Comunidades],"no se encuentra")</f>
        <v>Comunidad de Madrid</v>
      </c>
      <c r="M245" t="s">
        <v>28</v>
      </c>
      <c r="N245">
        <v>1</v>
      </c>
    </row>
    <row r="246" spans="1:14" x14ac:dyDescent="0.25">
      <c r="A246">
        <v>1245</v>
      </c>
      <c r="B246" s="1">
        <v>45906</v>
      </c>
      <c r="C246" s="4">
        <f>MONTH(datos_ventas[[#This Row],[Fecha]])</f>
        <v>9</v>
      </c>
      <c r="D246" s="4">
        <f>WEEKNUM(datos_ventas[[#This Row],[Fecha]],2)</f>
        <v>36</v>
      </c>
      <c r="E246" t="s">
        <v>16</v>
      </c>
      <c r="F246" t="s">
        <v>11</v>
      </c>
      <c r="G246">
        <v>1</v>
      </c>
      <c r="H246">
        <v>67596</v>
      </c>
      <c r="I246">
        <v>1035</v>
      </c>
      <c r="J246" t="s">
        <v>31</v>
      </c>
      <c r="K246" t="str">
        <f>_xlfn.XLOOKUP(datos_ventas[[#This Row],[Ciudad]],Tabla2[Ciudades],Tabla2[Provincias],"no se encuentra")</f>
        <v>Vizcaya</v>
      </c>
      <c r="L246" t="str">
        <f>_xlfn.XLOOKUP(datos_ventas[[#This Row],[Provincia]],Tabla2[Provincias],Tabla2[Comunidades],"no se encuentra")</f>
        <v>País Vasco</v>
      </c>
      <c r="M246" t="s">
        <v>15</v>
      </c>
      <c r="N246">
        <v>3</v>
      </c>
    </row>
    <row r="247" spans="1:14" x14ac:dyDescent="0.25">
      <c r="A247">
        <v>1246</v>
      </c>
      <c r="B247" s="1">
        <v>45731</v>
      </c>
      <c r="C247" s="4">
        <f>MONTH(datos_ventas[[#This Row],[Fecha]])</f>
        <v>3</v>
      </c>
      <c r="D247" s="4">
        <f>WEEKNUM(datos_ventas[[#This Row],[Fecha]],2)</f>
        <v>11</v>
      </c>
      <c r="E247" t="s">
        <v>23</v>
      </c>
      <c r="F247" t="s">
        <v>18</v>
      </c>
      <c r="G247">
        <v>5</v>
      </c>
      <c r="H247">
        <v>89311</v>
      </c>
      <c r="I247">
        <v>2462</v>
      </c>
      <c r="J247" t="s">
        <v>14</v>
      </c>
      <c r="K247" t="str">
        <f>_xlfn.XLOOKUP(datos_ventas[[#This Row],[Ciudad]],Tabla2[Ciudades],Tabla2[Provincias],"no se encuentra")</f>
        <v>Madrid</v>
      </c>
      <c r="L247" t="str">
        <f>_xlfn.XLOOKUP(datos_ventas[[#This Row],[Provincia]],Tabla2[Provincias],Tabla2[Comunidades],"no se encuentra")</f>
        <v>Comunidad de Madrid</v>
      </c>
      <c r="M247" t="s">
        <v>28</v>
      </c>
      <c r="N247">
        <v>2</v>
      </c>
    </row>
    <row r="248" spans="1:14" x14ac:dyDescent="0.25">
      <c r="A248">
        <v>1247</v>
      </c>
      <c r="B248" s="1">
        <v>45733</v>
      </c>
      <c r="C248" s="4">
        <f>MONTH(datos_ventas[[#This Row],[Fecha]])</f>
        <v>3</v>
      </c>
      <c r="D248" s="4">
        <f>WEEKNUM(datos_ventas[[#This Row],[Fecha]],2)</f>
        <v>12</v>
      </c>
      <c r="E248" t="s">
        <v>24</v>
      </c>
      <c r="F248" t="s">
        <v>25</v>
      </c>
      <c r="G248">
        <v>4</v>
      </c>
      <c r="H248">
        <v>105592</v>
      </c>
      <c r="I248">
        <v>1306</v>
      </c>
      <c r="J248" t="s">
        <v>31</v>
      </c>
      <c r="K248" t="str">
        <f>_xlfn.XLOOKUP(datos_ventas[[#This Row],[Ciudad]],Tabla2[Ciudades],Tabla2[Provincias],"no se encuentra")</f>
        <v>Vizcaya</v>
      </c>
      <c r="L248" t="str">
        <f>_xlfn.XLOOKUP(datos_ventas[[#This Row],[Provincia]],Tabla2[Provincias],Tabla2[Comunidades],"no se encuentra")</f>
        <v>País Vasco</v>
      </c>
      <c r="M248" t="s">
        <v>19</v>
      </c>
      <c r="N248">
        <v>2</v>
      </c>
    </row>
    <row r="249" spans="1:14" x14ac:dyDescent="0.25">
      <c r="A249">
        <v>1248</v>
      </c>
      <c r="B249" s="1">
        <v>45672</v>
      </c>
      <c r="C249" s="4">
        <f>MONTH(datos_ventas[[#This Row],[Fecha]])</f>
        <v>1</v>
      </c>
      <c r="D249" s="4">
        <f>WEEKNUM(datos_ventas[[#This Row],[Fecha]],2)</f>
        <v>3</v>
      </c>
      <c r="E249" t="s">
        <v>26</v>
      </c>
      <c r="F249" t="s">
        <v>18</v>
      </c>
      <c r="G249">
        <v>3</v>
      </c>
      <c r="H249">
        <v>50215</v>
      </c>
      <c r="I249">
        <v>4308</v>
      </c>
      <c r="J249" t="s">
        <v>22</v>
      </c>
      <c r="K249" t="str">
        <f>_xlfn.XLOOKUP(datos_ventas[[#This Row],[Ciudad]],Tabla2[Ciudades],Tabla2[Provincias],"no se encuentra")</f>
        <v>Valencia</v>
      </c>
      <c r="L249" t="str">
        <f>_xlfn.XLOOKUP(datos_ventas[[#This Row],[Provincia]],Tabla2[Provincias],Tabla2[Comunidades],"no se encuentra")</f>
        <v>Comunidad Valenciana</v>
      </c>
      <c r="M249" t="s">
        <v>28</v>
      </c>
      <c r="N249">
        <v>4</v>
      </c>
    </row>
    <row r="250" spans="1:14" x14ac:dyDescent="0.25">
      <c r="A250">
        <v>1249</v>
      </c>
      <c r="B250" s="1">
        <v>45810</v>
      </c>
      <c r="C250" s="4">
        <f>MONTH(datos_ventas[[#This Row],[Fecha]])</f>
        <v>6</v>
      </c>
      <c r="D250" s="4">
        <f>WEEKNUM(datos_ventas[[#This Row],[Fecha]],2)</f>
        <v>23</v>
      </c>
      <c r="E250" t="s">
        <v>29</v>
      </c>
      <c r="F250" t="s">
        <v>30</v>
      </c>
      <c r="G250">
        <v>4</v>
      </c>
      <c r="H250">
        <v>82334</v>
      </c>
      <c r="I250">
        <v>1259</v>
      </c>
      <c r="J250" t="s">
        <v>31</v>
      </c>
      <c r="K250" t="str">
        <f>_xlfn.XLOOKUP(datos_ventas[[#This Row],[Ciudad]],Tabla2[Ciudades],Tabla2[Provincias],"no se encuentra")</f>
        <v>Vizcaya</v>
      </c>
      <c r="L250" t="str">
        <f>_xlfn.XLOOKUP(datos_ventas[[#This Row],[Provincia]],Tabla2[Provincias],Tabla2[Comunidades],"no se encuentra")</f>
        <v>País Vasco</v>
      </c>
      <c r="M250" t="s">
        <v>15</v>
      </c>
      <c r="N250">
        <v>5</v>
      </c>
    </row>
    <row r="251" spans="1:14" x14ac:dyDescent="0.25">
      <c r="A251">
        <v>1250</v>
      </c>
      <c r="B251" s="1">
        <v>45842</v>
      </c>
      <c r="C251" s="4">
        <f>MONTH(datos_ventas[[#This Row],[Fecha]])</f>
        <v>7</v>
      </c>
      <c r="D251" s="4">
        <f>WEEKNUM(datos_ventas[[#This Row],[Fecha]],2)</f>
        <v>27</v>
      </c>
      <c r="E251" t="s">
        <v>10</v>
      </c>
      <c r="F251" t="s">
        <v>11</v>
      </c>
      <c r="G251">
        <v>5</v>
      </c>
      <c r="H251">
        <v>74866</v>
      </c>
      <c r="I251">
        <v>582</v>
      </c>
      <c r="J251" t="s">
        <v>12</v>
      </c>
      <c r="K251" t="str">
        <f>_xlfn.XLOOKUP(datos_ventas[[#This Row],[Ciudad]],Tabla2[Ciudades],Tabla2[Provincias],"no se encuentra")</f>
        <v>Málaga</v>
      </c>
      <c r="L251" t="str">
        <f>_xlfn.XLOOKUP(datos_ventas[[#This Row],[Provincia]],Tabla2[Provincias],Tabla2[Comunidades],"no se encuentra")</f>
        <v>Andalucía</v>
      </c>
      <c r="M251" t="s">
        <v>13</v>
      </c>
      <c r="N251">
        <v>1</v>
      </c>
    </row>
    <row r="252" spans="1:14" x14ac:dyDescent="0.25">
      <c r="A252">
        <v>1251</v>
      </c>
      <c r="B252" s="1">
        <v>45799</v>
      </c>
      <c r="C252" s="4">
        <f>MONTH(datos_ventas[[#This Row],[Fecha]])</f>
        <v>5</v>
      </c>
      <c r="D252" s="4">
        <f>WEEKNUM(datos_ventas[[#This Row],[Fecha]],2)</f>
        <v>21</v>
      </c>
      <c r="E252" t="s">
        <v>26</v>
      </c>
      <c r="F252" t="s">
        <v>18</v>
      </c>
      <c r="G252">
        <v>1</v>
      </c>
      <c r="H252">
        <v>60051</v>
      </c>
      <c r="I252">
        <v>2984</v>
      </c>
      <c r="J252" t="s">
        <v>12</v>
      </c>
      <c r="K252" t="str">
        <f>_xlfn.XLOOKUP(datos_ventas[[#This Row],[Ciudad]],Tabla2[Ciudades],Tabla2[Provincias],"no se encuentra")</f>
        <v>Málaga</v>
      </c>
      <c r="L252" t="str">
        <f>_xlfn.XLOOKUP(datos_ventas[[#This Row],[Provincia]],Tabla2[Provincias],Tabla2[Comunidades],"no se encuentra")</f>
        <v>Andalucía</v>
      </c>
      <c r="M252" t="s">
        <v>28</v>
      </c>
      <c r="N252">
        <v>1</v>
      </c>
    </row>
    <row r="253" spans="1:14" x14ac:dyDescent="0.25">
      <c r="A253">
        <v>1252</v>
      </c>
      <c r="B253" s="1">
        <v>45819</v>
      </c>
      <c r="C253" s="4">
        <f>MONTH(datos_ventas[[#This Row],[Fecha]])</f>
        <v>6</v>
      </c>
      <c r="D253" s="4">
        <f>WEEKNUM(datos_ventas[[#This Row],[Fecha]],2)</f>
        <v>24</v>
      </c>
      <c r="E253" t="s">
        <v>23</v>
      </c>
      <c r="F253" t="s">
        <v>18</v>
      </c>
      <c r="G253">
        <v>5</v>
      </c>
      <c r="H253">
        <v>18051</v>
      </c>
      <c r="I253">
        <v>1762</v>
      </c>
      <c r="J253" t="s">
        <v>32</v>
      </c>
      <c r="K253" t="str">
        <f>_xlfn.XLOOKUP(datos_ventas[[#This Row],[Ciudad]],Tabla2[Ciudades],Tabla2[Provincias],"no se encuentra")</f>
        <v>Barcelona</v>
      </c>
      <c r="L253" t="str">
        <f>_xlfn.XLOOKUP(datos_ventas[[#This Row],[Provincia]],Tabla2[Provincias],Tabla2[Comunidades],"no se encuentra")</f>
        <v>Cataluña</v>
      </c>
      <c r="M253" t="s">
        <v>15</v>
      </c>
      <c r="N253">
        <v>2</v>
      </c>
    </row>
    <row r="254" spans="1:14" x14ac:dyDescent="0.25">
      <c r="A254">
        <v>1253</v>
      </c>
      <c r="B254" s="1">
        <v>45899</v>
      </c>
      <c r="C254" s="4">
        <f>MONTH(datos_ventas[[#This Row],[Fecha]])</f>
        <v>8</v>
      </c>
      <c r="D254" s="4">
        <f>WEEKNUM(datos_ventas[[#This Row],[Fecha]],2)</f>
        <v>35</v>
      </c>
      <c r="E254" t="s">
        <v>24</v>
      </c>
      <c r="F254" t="s">
        <v>25</v>
      </c>
      <c r="G254">
        <v>2</v>
      </c>
      <c r="H254">
        <v>64375</v>
      </c>
      <c r="I254">
        <v>781</v>
      </c>
      <c r="J254" t="s">
        <v>22</v>
      </c>
      <c r="K254" t="str">
        <f>_xlfn.XLOOKUP(datos_ventas[[#This Row],[Ciudad]],Tabla2[Ciudades],Tabla2[Provincias],"no se encuentra")</f>
        <v>Valencia</v>
      </c>
      <c r="L254" t="str">
        <f>_xlfn.XLOOKUP(datos_ventas[[#This Row],[Provincia]],Tabla2[Provincias],Tabla2[Comunidades],"no se encuentra")</f>
        <v>Comunidad Valenciana</v>
      </c>
      <c r="M254" t="s">
        <v>28</v>
      </c>
      <c r="N254">
        <v>3</v>
      </c>
    </row>
    <row r="255" spans="1:14" x14ac:dyDescent="0.25">
      <c r="A255">
        <v>1254</v>
      </c>
      <c r="B255" s="1">
        <v>45829</v>
      </c>
      <c r="C255" s="4">
        <f>MONTH(datos_ventas[[#This Row],[Fecha]])</f>
        <v>6</v>
      </c>
      <c r="D255" s="4">
        <f>WEEKNUM(datos_ventas[[#This Row],[Fecha]],2)</f>
        <v>25</v>
      </c>
      <c r="E255" t="s">
        <v>16</v>
      </c>
      <c r="F255" t="s">
        <v>11</v>
      </c>
      <c r="G255">
        <v>2</v>
      </c>
      <c r="H255">
        <v>113933</v>
      </c>
      <c r="I255">
        <v>3753</v>
      </c>
      <c r="J255" t="s">
        <v>27</v>
      </c>
      <c r="K255" t="str">
        <f>_xlfn.XLOOKUP(datos_ventas[[#This Row],[Ciudad]],Tabla2[Ciudades],Tabla2[Provincias],"no se encuentra")</f>
        <v>Sevilla</v>
      </c>
      <c r="L255" t="str">
        <f>_xlfn.XLOOKUP(datos_ventas[[#This Row],[Provincia]],Tabla2[Provincias],Tabla2[Comunidades],"no se encuentra")</f>
        <v>Andalucía</v>
      </c>
      <c r="M255" t="s">
        <v>19</v>
      </c>
      <c r="N255">
        <v>3</v>
      </c>
    </row>
    <row r="256" spans="1:14" x14ac:dyDescent="0.25">
      <c r="A256">
        <v>1255</v>
      </c>
      <c r="B256" s="1">
        <v>45857</v>
      </c>
      <c r="C256" s="4">
        <f>MONTH(datos_ventas[[#This Row],[Fecha]])</f>
        <v>7</v>
      </c>
      <c r="D256" s="4">
        <f>WEEKNUM(datos_ventas[[#This Row],[Fecha]],2)</f>
        <v>29</v>
      </c>
      <c r="E256" t="s">
        <v>10</v>
      </c>
      <c r="F256" t="s">
        <v>11</v>
      </c>
      <c r="G256">
        <v>4</v>
      </c>
      <c r="H256">
        <v>589</v>
      </c>
      <c r="I256">
        <v>428</v>
      </c>
      <c r="J256" t="s">
        <v>31</v>
      </c>
      <c r="K256" t="str">
        <f>_xlfn.XLOOKUP(datos_ventas[[#This Row],[Ciudad]],Tabla2[Ciudades],Tabla2[Provincias],"no se encuentra")</f>
        <v>Vizcaya</v>
      </c>
      <c r="L256" t="str">
        <f>_xlfn.XLOOKUP(datos_ventas[[#This Row],[Provincia]],Tabla2[Provincias],Tabla2[Comunidades],"no se encuentra")</f>
        <v>País Vasco</v>
      </c>
      <c r="M256" t="s">
        <v>15</v>
      </c>
      <c r="N256">
        <v>4</v>
      </c>
    </row>
    <row r="257" spans="1:14" x14ac:dyDescent="0.25">
      <c r="A257">
        <v>1256</v>
      </c>
      <c r="B257" s="1">
        <v>45874</v>
      </c>
      <c r="C257" s="4">
        <f>MONTH(datos_ventas[[#This Row],[Fecha]])</f>
        <v>8</v>
      </c>
      <c r="D257" s="4">
        <f>WEEKNUM(datos_ventas[[#This Row],[Fecha]],2)</f>
        <v>32</v>
      </c>
      <c r="E257" t="s">
        <v>24</v>
      </c>
      <c r="F257" t="s">
        <v>25</v>
      </c>
      <c r="G257">
        <v>4</v>
      </c>
      <c r="H257">
        <v>2500</v>
      </c>
      <c r="I257">
        <v>2703</v>
      </c>
      <c r="J257" t="s">
        <v>27</v>
      </c>
      <c r="K257" t="str">
        <f>_xlfn.XLOOKUP(datos_ventas[[#This Row],[Ciudad]],Tabla2[Ciudades],Tabla2[Provincias],"no se encuentra")</f>
        <v>Sevilla</v>
      </c>
      <c r="L257" t="str">
        <f>_xlfn.XLOOKUP(datos_ventas[[#This Row],[Provincia]],Tabla2[Provincias],Tabla2[Comunidades],"no se encuentra")</f>
        <v>Andalucía</v>
      </c>
      <c r="M257" t="s">
        <v>13</v>
      </c>
      <c r="N257">
        <v>5</v>
      </c>
    </row>
    <row r="258" spans="1:14" x14ac:dyDescent="0.25">
      <c r="A258">
        <v>1257</v>
      </c>
      <c r="B258" s="1">
        <v>45852</v>
      </c>
      <c r="C258" s="4">
        <f>MONTH(datos_ventas[[#This Row],[Fecha]])</f>
        <v>7</v>
      </c>
      <c r="D258" s="4">
        <f>WEEKNUM(datos_ventas[[#This Row],[Fecha]],2)</f>
        <v>29</v>
      </c>
      <c r="E258" t="s">
        <v>26</v>
      </c>
      <c r="F258" t="s">
        <v>18</v>
      </c>
      <c r="G258">
        <v>5</v>
      </c>
      <c r="H258">
        <v>114631</v>
      </c>
      <c r="I258">
        <v>2802</v>
      </c>
      <c r="J258" t="s">
        <v>14</v>
      </c>
      <c r="K258" t="str">
        <f>_xlfn.XLOOKUP(datos_ventas[[#This Row],[Ciudad]],Tabla2[Ciudades],Tabla2[Provincias],"no se encuentra")</f>
        <v>Madrid</v>
      </c>
      <c r="L258" t="str">
        <f>_xlfn.XLOOKUP(datos_ventas[[#This Row],[Provincia]],Tabla2[Provincias],Tabla2[Comunidades],"no se encuentra")</f>
        <v>Comunidad de Madrid</v>
      </c>
      <c r="M258" t="s">
        <v>28</v>
      </c>
      <c r="N258">
        <v>1</v>
      </c>
    </row>
    <row r="259" spans="1:14" x14ac:dyDescent="0.25">
      <c r="A259">
        <v>1258</v>
      </c>
      <c r="B259" s="1">
        <v>45787</v>
      </c>
      <c r="C259" s="4">
        <f>MONTH(datos_ventas[[#This Row],[Fecha]])</f>
        <v>5</v>
      </c>
      <c r="D259" s="4">
        <f>WEEKNUM(datos_ventas[[#This Row],[Fecha]],2)</f>
        <v>19</v>
      </c>
      <c r="E259" t="s">
        <v>23</v>
      </c>
      <c r="F259" t="s">
        <v>18</v>
      </c>
      <c r="G259">
        <v>1</v>
      </c>
      <c r="H259">
        <v>51463</v>
      </c>
      <c r="I259">
        <v>3502</v>
      </c>
      <c r="J259" t="s">
        <v>27</v>
      </c>
      <c r="K259" t="str">
        <f>_xlfn.XLOOKUP(datos_ventas[[#This Row],[Ciudad]],Tabla2[Ciudades],Tabla2[Provincias],"no se encuentra")</f>
        <v>Sevilla</v>
      </c>
      <c r="L259" t="str">
        <f>_xlfn.XLOOKUP(datos_ventas[[#This Row],[Provincia]],Tabla2[Provincias],Tabla2[Comunidades],"no se encuentra")</f>
        <v>Andalucía</v>
      </c>
      <c r="M259" t="s">
        <v>15</v>
      </c>
      <c r="N259">
        <v>3</v>
      </c>
    </row>
    <row r="260" spans="1:14" x14ac:dyDescent="0.25">
      <c r="A260">
        <v>1259</v>
      </c>
      <c r="B260" s="1">
        <v>45981</v>
      </c>
      <c r="C260" s="4">
        <f>MONTH(datos_ventas[[#This Row],[Fecha]])</f>
        <v>11</v>
      </c>
      <c r="D260" s="4">
        <f>WEEKNUM(datos_ventas[[#This Row],[Fecha]],2)</f>
        <v>47</v>
      </c>
      <c r="E260" t="s">
        <v>29</v>
      </c>
      <c r="F260" t="s">
        <v>30</v>
      </c>
      <c r="G260">
        <v>4</v>
      </c>
      <c r="H260">
        <v>89928</v>
      </c>
      <c r="I260">
        <v>1448</v>
      </c>
      <c r="J260" t="s">
        <v>12</v>
      </c>
      <c r="K260" t="str">
        <f>_xlfn.XLOOKUP(datos_ventas[[#This Row],[Ciudad]],Tabla2[Ciudades],Tabla2[Provincias],"no se encuentra")</f>
        <v>Málaga</v>
      </c>
      <c r="L260" t="str">
        <f>_xlfn.XLOOKUP(datos_ventas[[#This Row],[Provincia]],Tabla2[Provincias],Tabla2[Comunidades],"no se encuentra")</f>
        <v>Andalucía</v>
      </c>
      <c r="M260" t="s">
        <v>13</v>
      </c>
      <c r="N260">
        <v>1</v>
      </c>
    </row>
    <row r="261" spans="1:14" x14ac:dyDescent="0.25">
      <c r="A261">
        <v>1260</v>
      </c>
      <c r="B261" s="1">
        <v>45706</v>
      </c>
      <c r="C261" s="4">
        <f>MONTH(datos_ventas[[#This Row],[Fecha]])</f>
        <v>2</v>
      </c>
      <c r="D261" s="4">
        <f>WEEKNUM(datos_ventas[[#This Row],[Fecha]],2)</f>
        <v>8</v>
      </c>
      <c r="E261" t="s">
        <v>17</v>
      </c>
      <c r="F261" t="s">
        <v>18</v>
      </c>
      <c r="G261">
        <v>2</v>
      </c>
      <c r="H261">
        <v>78814</v>
      </c>
      <c r="I261">
        <v>3246</v>
      </c>
      <c r="J261" t="s">
        <v>31</v>
      </c>
      <c r="K261" t="str">
        <f>_xlfn.XLOOKUP(datos_ventas[[#This Row],[Ciudad]],Tabla2[Ciudades],Tabla2[Provincias],"no se encuentra")</f>
        <v>Vizcaya</v>
      </c>
      <c r="L261" t="str">
        <f>_xlfn.XLOOKUP(datos_ventas[[#This Row],[Provincia]],Tabla2[Provincias],Tabla2[Comunidades],"no se encuentra")</f>
        <v>País Vasco</v>
      </c>
      <c r="M261" t="s">
        <v>13</v>
      </c>
      <c r="N261">
        <v>4</v>
      </c>
    </row>
    <row r="262" spans="1:14" x14ac:dyDescent="0.25">
      <c r="A262">
        <v>1261</v>
      </c>
      <c r="B262" s="1">
        <v>45984</v>
      </c>
      <c r="C262" s="4">
        <f>MONTH(datos_ventas[[#This Row],[Fecha]])</f>
        <v>11</v>
      </c>
      <c r="D262" s="4">
        <f>WEEKNUM(datos_ventas[[#This Row],[Fecha]],2)</f>
        <v>47</v>
      </c>
      <c r="E262" t="s">
        <v>17</v>
      </c>
      <c r="F262" t="s">
        <v>18</v>
      </c>
      <c r="G262">
        <v>2</v>
      </c>
      <c r="H262">
        <v>6418</v>
      </c>
      <c r="I262">
        <v>374</v>
      </c>
      <c r="J262" t="s">
        <v>14</v>
      </c>
      <c r="K262" t="str">
        <f>_xlfn.XLOOKUP(datos_ventas[[#This Row],[Ciudad]],Tabla2[Ciudades],Tabla2[Provincias],"no se encuentra")</f>
        <v>Madrid</v>
      </c>
      <c r="L262" t="str">
        <f>_xlfn.XLOOKUP(datos_ventas[[#This Row],[Provincia]],Tabla2[Provincias],Tabla2[Comunidades],"no se encuentra")</f>
        <v>Comunidad de Madrid</v>
      </c>
      <c r="M262" t="s">
        <v>13</v>
      </c>
      <c r="N262">
        <v>4</v>
      </c>
    </row>
    <row r="263" spans="1:14" x14ac:dyDescent="0.25">
      <c r="A263">
        <v>1262</v>
      </c>
      <c r="B263" s="1">
        <v>45921</v>
      </c>
      <c r="C263" s="4">
        <f>MONTH(datos_ventas[[#This Row],[Fecha]])</f>
        <v>9</v>
      </c>
      <c r="D263" s="4">
        <f>WEEKNUM(datos_ventas[[#This Row],[Fecha]],2)</f>
        <v>38</v>
      </c>
      <c r="E263" t="s">
        <v>24</v>
      </c>
      <c r="F263" t="s">
        <v>25</v>
      </c>
      <c r="G263">
        <v>2</v>
      </c>
      <c r="H263">
        <v>70778</v>
      </c>
      <c r="I263">
        <v>3791</v>
      </c>
      <c r="J263" t="s">
        <v>27</v>
      </c>
      <c r="K263" t="str">
        <f>_xlfn.XLOOKUP(datos_ventas[[#This Row],[Ciudad]],Tabla2[Ciudades],Tabla2[Provincias],"no se encuentra")</f>
        <v>Sevilla</v>
      </c>
      <c r="L263" t="str">
        <f>_xlfn.XLOOKUP(datos_ventas[[#This Row],[Provincia]],Tabla2[Provincias],Tabla2[Comunidades],"no se encuentra")</f>
        <v>Andalucía</v>
      </c>
      <c r="M263" t="s">
        <v>28</v>
      </c>
      <c r="N263">
        <v>1</v>
      </c>
    </row>
    <row r="264" spans="1:14" x14ac:dyDescent="0.25">
      <c r="A264">
        <v>1263</v>
      </c>
      <c r="B264" s="1">
        <v>45699</v>
      </c>
      <c r="C264" s="4">
        <f>MONTH(datos_ventas[[#This Row],[Fecha]])</f>
        <v>2</v>
      </c>
      <c r="D264" s="4">
        <f>WEEKNUM(datos_ventas[[#This Row],[Fecha]],2)</f>
        <v>7</v>
      </c>
      <c r="E264" t="s">
        <v>26</v>
      </c>
      <c r="F264" t="s">
        <v>18</v>
      </c>
      <c r="G264">
        <v>3</v>
      </c>
      <c r="H264">
        <v>39494</v>
      </c>
      <c r="I264">
        <v>3403</v>
      </c>
      <c r="J264" t="s">
        <v>27</v>
      </c>
      <c r="K264" t="str">
        <f>_xlfn.XLOOKUP(datos_ventas[[#This Row],[Ciudad]],Tabla2[Ciudades],Tabla2[Provincias],"no se encuentra")</f>
        <v>Sevilla</v>
      </c>
      <c r="L264" t="str">
        <f>_xlfn.XLOOKUP(datos_ventas[[#This Row],[Provincia]],Tabla2[Provincias],Tabla2[Comunidades],"no se encuentra")</f>
        <v>Andalucía</v>
      </c>
      <c r="M264" t="s">
        <v>19</v>
      </c>
      <c r="N264">
        <v>3</v>
      </c>
    </row>
    <row r="265" spans="1:14" x14ac:dyDescent="0.25">
      <c r="A265">
        <v>1264</v>
      </c>
      <c r="B265" s="1">
        <v>45775</v>
      </c>
      <c r="C265" s="4">
        <f>MONTH(datos_ventas[[#This Row],[Fecha]])</f>
        <v>4</v>
      </c>
      <c r="D265" s="4">
        <f>WEEKNUM(datos_ventas[[#This Row],[Fecha]],2)</f>
        <v>18</v>
      </c>
      <c r="E265" t="s">
        <v>29</v>
      </c>
      <c r="F265" t="s">
        <v>30</v>
      </c>
      <c r="G265">
        <v>1</v>
      </c>
      <c r="H265">
        <v>50671</v>
      </c>
      <c r="I265">
        <v>596</v>
      </c>
      <c r="J265" t="s">
        <v>22</v>
      </c>
      <c r="K265" t="str">
        <f>_xlfn.XLOOKUP(datos_ventas[[#This Row],[Ciudad]],Tabla2[Ciudades],Tabla2[Provincias],"no se encuentra")</f>
        <v>Valencia</v>
      </c>
      <c r="L265" t="str">
        <f>_xlfn.XLOOKUP(datos_ventas[[#This Row],[Provincia]],Tabla2[Provincias],Tabla2[Comunidades],"no se encuentra")</f>
        <v>Comunidad Valenciana</v>
      </c>
      <c r="M265" t="s">
        <v>13</v>
      </c>
      <c r="N265">
        <v>2</v>
      </c>
    </row>
    <row r="266" spans="1:14" x14ac:dyDescent="0.25">
      <c r="A266">
        <v>1265</v>
      </c>
      <c r="B266" s="1">
        <v>45816</v>
      </c>
      <c r="C266" s="4">
        <f>MONTH(datos_ventas[[#This Row],[Fecha]])</f>
        <v>6</v>
      </c>
      <c r="D266" s="4">
        <f>WEEKNUM(datos_ventas[[#This Row],[Fecha]],2)</f>
        <v>23</v>
      </c>
      <c r="E266" t="s">
        <v>23</v>
      </c>
      <c r="F266" t="s">
        <v>18</v>
      </c>
      <c r="G266">
        <v>4</v>
      </c>
      <c r="H266">
        <v>41844</v>
      </c>
      <c r="I266">
        <v>1023</v>
      </c>
      <c r="J266" t="s">
        <v>31</v>
      </c>
      <c r="K266" t="str">
        <f>_xlfn.XLOOKUP(datos_ventas[[#This Row],[Ciudad]],Tabla2[Ciudades],Tabla2[Provincias],"no se encuentra")</f>
        <v>Vizcaya</v>
      </c>
      <c r="L266" t="str">
        <f>_xlfn.XLOOKUP(datos_ventas[[#This Row],[Provincia]],Tabla2[Provincias],Tabla2[Comunidades],"no se encuentra")</f>
        <v>País Vasco</v>
      </c>
      <c r="M266" t="s">
        <v>28</v>
      </c>
      <c r="N266">
        <v>2</v>
      </c>
    </row>
    <row r="267" spans="1:14" x14ac:dyDescent="0.25">
      <c r="A267">
        <v>1266</v>
      </c>
      <c r="B267" s="1">
        <v>45767</v>
      </c>
      <c r="C267" s="4">
        <f>MONTH(datos_ventas[[#This Row],[Fecha]])</f>
        <v>4</v>
      </c>
      <c r="D267" s="4">
        <f>WEEKNUM(datos_ventas[[#This Row],[Fecha]],2)</f>
        <v>16</v>
      </c>
      <c r="E267" t="s">
        <v>26</v>
      </c>
      <c r="F267" t="s">
        <v>18</v>
      </c>
      <c r="G267">
        <v>4</v>
      </c>
      <c r="H267">
        <v>60466</v>
      </c>
      <c r="I267">
        <v>117</v>
      </c>
      <c r="J267" t="s">
        <v>14</v>
      </c>
      <c r="K267" t="str">
        <f>_xlfn.XLOOKUP(datos_ventas[[#This Row],[Ciudad]],Tabla2[Ciudades],Tabla2[Provincias],"no se encuentra")</f>
        <v>Madrid</v>
      </c>
      <c r="L267" t="str">
        <f>_xlfn.XLOOKUP(datos_ventas[[#This Row],[Provincia]],Tabla2[Provincias],Tabla2[Comunidades],"no se encuentra")</f>
        <v>Comunidad de Madrid</v>
      </c>
      <c r="M267" t="s">
        <v>13</v>
      </c>
      <c r="N267">
        <v>5</v>
      </c>
    </row>
    <row r="268" spans="1:14" x14ac:dyDescent="0.25">
      <c r="A268">
        <v>1267</v>
      </c>
      <c r="B268" s="1">
        <v>45914</v>
      </c>
      <c r="C268" s="4">
        <f>MONTH(datos_ventas[[#This Row],[Fecha]])</f>
        <v>9</v>
      </c>
      <c r="D268" s="4">
        <f>WEEKNUM(datos_ventas[[#This Row],[Fecha]],2)</f>
        <v>37</v>
      </c>
      <c r="E268" t="s">
        <v>26</v>
      </c>
      <c r="F268" t="s">
        <v>18</v>
      </c>
      <c r="G268">
        <v>1</v>
      </c>
      <c r="H268">
        <v>12929</v>
      </c>
      <c r="I268">
        <v>1547</v>
      </c>
      <c r="J268" t="s">
        <v>14</v>
      </c>
      <c r="K268" t="str">
        <f>_xlfn.XLOOKUP(datos_ventas[[#This Row],[Ciudad]],Tabla2[Ciudades],Tabla2[Provincias],"no se encuentra")</f>
        <v>Madrid</v>
      </c>
      <c r="L268" t="str">
        <f>_xlfn.XLOOKUP(datos_ventas[[#This Row],[Provincia]],Tabla2[Provincias],Tabla2[Comunidades],"no se encuentra")</f>
        <v>Comunidad de Madrid</v>
      </c>
      <c r="M268" t="s">
        <v>15</v>
      </c>
      <c r="N268">
        <v>2</v>
      </c>
    </row>
    <row r="269" spans="1:14" x14ac:dyDescent="0.25">
      <c r="A269">
        <v>1268</v>
      </c>
      <c r="B269" s="1">
        <v>45668</v>
      </c>
      <c r="C269" s="4">
        <f>MONTH(datos_ventas[[#This Row],[Fecha]])</f>
        <v>1</v>
      </c>
      <c r="D269" s="4">
        <f>WEEKNUM(datos_ventas[[#This Row],[Fecha]],2)</f>
        <v>2</v>
      </c>
      <c r="E269" t="s">
        <v>29</v>
      </c>
      <c r="F269" t="s">
        <v>30</v>
      </c>
      <c r="G269">
        <v>5</v>
      </c>
      <c r="H269">
        <v>103132</v>
      </c>
      <c r="I269">
        <v>3543</v>
      </c>
      <c r="J269" t="s">
        <v>14</v>
      </c>
      <c r="K269" t="str">
        <f>_xlfn.XLOOKUP(datos_ventas[[#This Row],[Ciudad]],Tabla2[Ciudades],Tabla2[Provincias],"no se encuentra")</f>
        <v>Madrid</v>
      </c>
      <c r="L269" t="str">
        <f>_xlfn.XLOOKUP(datos_ventas[[#This Row],[Provincia]],Tabla2[Provincias],Tabla2[Comunidades],"no se encuentra")</f>
        <v>Comunidad de Madrid</v>
      </c>
      <c r="M269" t="s">
        <v>28</v>
      </c>
      <c r="N269">
        <v>5</v>
      </c>
    </row>
    <row r="270" spans="1:14" x14ac:dyDescent="0.25">
      <c r="A270">
        <v>1269</v>
      </c>
      <c r="B270" s="1">
        <v>45854</v>
      </c>
      <c r="C270" s="4">
        <f>MONTH(datos_ventas[[#This Row],[Fecha]])</f>
        <v>7</v>
      </c>
      <c r="D270" s="4">
        <f>WEEKNUM(datos_ventas[[#This Row],[Fecha]],2)</f>
        <v>29</v>
      </c>
      <c r="E270" t="s">
        <v>29</v>
      </c>
      <c r="F270" t="s">
        <v>30</v>
      </c>
      <c r="G270">
        <v>1</v>
      </c>
      <c r="H270">
        <v>10477</v>
      </c>
      <c r="I270">
        <v>3349</v>
      </c>
      <c r="J270" t="s">
        <v>27</v>
      </c>
      <c r="K270" t="str">
        <f>_xlfn.XLOOKUP(datos_ventas[[#This Row],[Ciudad]],Tabla2[Ciudades],Tabla2[Provincias],"no se encuentra")</f>
        <v>Sevilla</v>
      </c>
      <c r="L270" t="str">
        <f>_xlfn.XLOOKUP(datos_ventas[[#This Row],[Provincia]],Tabla2[Provincias],Tabla2[Comunidades],"no se encuentra")</f>
        <v>Andalucía</v>
      </c>
      <c r="M270" t="s">
        <v>19</v>
      </c>
      <c r="N270">
        <v>3</v>
      </c>
    </row>
    <row r="271" spans="1:14" x14ac:dyDescent="0.25">
      <c r="A271">
        <v>1270</v>
      </c>
      <c r="B271" s="1">
        <v>45876</v>
      </c>
      <c r="C271" s="4">
        <f>MONTH(datos_ventas[[#This Row],[Fecha]])</f>
        <v>8</v>
      </c>
      <c r="D271" s="4">
        <f>WEEKNUM(datos_ventas[[#This Row],[Fecha]],2)</f>
        <v>32</v>
      </c>
      <c r="E271" t="s">
        <v>29</v>
      </c>
      <c r="F271" t="s">
        <v>30</v>
      </c>
      <c r="G271">
        <v>2</v>
      </c>
      <c r="H271">
        <v>34509</v>
      </c>
      <c r="I271">
        <v>4749</v>
      </c>
      <c r="J271" t="s">
        <v>12</v>
      </c>
      <c r="K271" t="str">
        <f>_xlfn.XLOOKUP(datos_ventas[[#This Row],[Ciudad]],Tabla2[Ciudades],Tabla2[Provincias],"no se encuentra")</f>
        <v>Málaga</v>
      </c>
      <c r="L271" t="str">
        <f>_xlfn.XLOOKUP(datos_ventas[[#This Row],[Provincia]],Tabla2[Provincias],Tabla2[Comunidades],"no se encuentra")</f>
        <v>Andalucía</v>
      </c>
      <c r="M271" t="s">
        <v>19</v>
      </c>
      <c r="N271">
        <v>5</v>
      </c>
    </row>
    <row r="272" spans="1:14" x14ac:dyDescent="0.25">
      <c r="A272">
        <v>1271</v>
      </c>
      <c r="B272" s="1">
        <v>45869</v>
      </c>
      <c r="C272" s="4">
        <f>MONTH(datos_ventas[[#This Row],[Fecha]])</f>
        <v>7</v>
      </c>
      <c r="D272" s="4">
        <f>WEEKNUM(datos_ventas[[#This Row],[Fecha]],2)</f>
        <v>31</v>
      </c>
      <c r="E272" t="s">
        <v>26</v>
      </c>
      <c r="F272" t="s">
        <v>18</v>
      </c>
      <c r="G272">
        <v>4</v>
      </c>
      <c r="H272">
        <v>4128</v>
      </c>
      <c r="I272">
        <v>4806</v>
      </c>
      <c r="J272" t="s">
        <v>22</v>
      </c>
      <c r="K272" t="str">
        <f>_xlfn.XLOOKUP(datos_ventas[[#This Row],[Ciudad]],Tabla2[Ciudades],Tabla2[Provincias],"no se encuentra")</f>
        <v>Valencia</v>
      </c>
      <c r="L272" t="str">
        <f>_xlfn.XLOOKUP(datos_ventas[[#This Row],[Provincia]],Tabla2[Provincias],Tabla2[Comunidades],"no se encuentra")</f>
        <v>Comunidad Valenciana</v>
      </c>
      <c r="M272" t="s">
        <v>15</v>
      </c>
      <c r="N272">
        <v>3</v>
      </c>
    </row>
    <row r="273" spans="1:14" x14ac:dyDescent="0.25">
      <c r="A273">
        <v>1272</v>
      </c>
      <c r="B273" s="1">
        <v>45865</v>
      </c>
      <c r="C273" s="4">
        <f>MONTH(datos_ventas[[#This Row],[Fecha]])</f>
        <v>7</v>
      </c>
      <c r="D273" s="4">
        <f>WEEKNUM(datos_ventas[[#This Row],[Fecha]],2)</f>
        <v>30</v>
      </c>
      <c r="E273" t="s">
        <v>26</v>
      </c>
      <c r="F273" t="s">
        <v>18</v>
      </c>
      <c r="G273">
        <v>4</v>
      </c>
      <c r="H273">
        <v>115566</v>
      </c>
      <c r="I273">
        <v>512</v>
      </c>
      <c r="J273" t="s">
        <v>27</v>
      </c>
      <c r="K273" t="str">
        <f>_xlfn.XLOOKUP(datos_ventas[[#This Row],[Ciudad]],Tabla2[Ciudades],Tabla2[Provincias],"no se encuentra")</f>
        <v>Sevilla</v>
      </c>
      <c r="L273" t="str">
        <f>_xlfn.XLOOKUP(datos_ventas[[#This Row],[Provincia]],Tabla2[Provincias],Tabla2[Comunidades],"no se encuentra")</f>
        <v>Andalucía</v>
      </c>
      <c r="M273" t="s">
        <v>19</v>
      </c>
      <c r="N273">
        <v>4</v>
      </c>
    </row>
    <row r="274" spans="1:14" x14ac:dyDescent="0.25">
      <c r="A274">
        <v>1273</v>
      </c>
      <c r="B274" s="1">
        <v>45861</v>
      </c>
      <c r="C274" s="4">
        <f>MONTH(datos_ventas[[#This Row],[Fecha]])</f>
        <v>7</v>
      </c>
      <c r="D274" s="4">
        <f>WEEKNUM(datos_ventas[[#This Row],[Fecha]],2)</f>
        <v>30</v>
      </c>
      <c r="E274" t="s">
        <v>24</v>
      </c>
      <c r="F274" t="s">
        <v>25</v>
      </c>
      <c r="G274">
        <v>4</v>
      </c>
      <c r="H274">
        <v>7979</v>
      </c>
      <c r="I274">
        <v>4554</v>
      </c>
      <c r="J274" t="s">
        <v>12</v>
      </c>
      <c r="K274" t="str">
        <f>_xlfn.XLOOKUP(datos_ventas[[#This Row],[Ciudad]],Tabla2[Ciudades],Tabla2[Provincias],"no se encuentra")</f>
        <v>Málaga</v>
      </c>
      <c r="L274" t="str">
        <f>_xlfn.XLOOKUP(datos_ventas[[#This Row],[Provincia]],Tabla2[Provincias],Tabla2[Comunidades],"no se encuentra")</f>
        <v>Andalucía</v>
      </c>
      <c r="M274" t="s">
        <v>19</v>
      </c>
      <c r="N274">
        <v>3</v>
      </c>
    </row>
    <row r="275" spans="1:14" x14ac:dyDescent="0.25">
      <c r="A275">
        <v>1274</v>
      </c>
      <c r="B275" s="1">
        <v>45750</v>
      </c>
      <c r="C275" s="4">
        <f>MONTH(datos_ventas[[#This Row],[Fecha]])</f>
        <v>4</v>
      </c>
      <c r="D275" s="4">
        <f>WEEKNUM(datos_ventas[[#This Row],[Fecha]],2)</f>
        <v>14</v>
      </c>
      <c r="E275" t="s">
        <v>16</v>
      </c>
      <c r="F275" t="s">
        <v>11</v>
      </c>
      <c r="G275">
        <v>4</v>
      </c>
      <c r="H275">
        <v>89088</v>
      </c>
      <c r="I275">
        <v>1948</v>
      </c>
      <c r="J275" t="s">
        <v>22</v>
      </c>
      <c r="K275" t="str">
        <f>_xlfn.XLOOKUP(datos_ventas[[#This Row],[Ciudad]],Tabla2[Ciudades],Tabla2[Provincias],"no se encuentra")</f>
        <v>Valencia</v>
      </c>
      <c r="L275" t="str">
        <f>_xlfn.XLOOKUP(datos_ventas[[#This Row],[Provincia]],Tabla2[Provincias],Tabla2[Comunidades],"no se encuentra")</f>
        <v>Comunidad Valenciana</v>
      </c>
      <c r="M275" t="s">
        <v>15</v>
      </c>
      <c r="N275">
        <v>5</v>
      </c>
    </row>
    <row r="276" spans="1:14" x14ac:dyDescent="0.25">
      <c r="A276">
        <v>1275</v>
      </c>
      <c r="B276" s="1">
        <v>45682</v>
      </c>
      <c r="C276" s="4">
        <f>MONTH(datos_ventas[[#This Row],[Fecha]])</f>
        <v>1</v>
      </c>
      <c r="D276" s="4">
        <f>WEEKNUM(datos_ventas[[#This Row],[Fecha]],2)</f>
        <v>4</v>
      </c>
      <c r="E276" t="s">
        <v>16</v>
      </c>
      <c r="F276" t="s">
        <v>11</v>
      </c>
      <c r="G276">
        <v>4</v>
      </c>
      <c r="H276">
        <v>46754</v>
      </c>
      <c r="I276">
        <v>1766</v>
      </c>
      <c r="J276" t="s">
        <v>31</v>
      </c>
      <c r="K276" t="str">
        <f>_xlfn.XLOOKUP(datos_ventas[[#This Row],[Ciudad]],Tabla2[Ciudades],Tabla2[Provincias],"no se encuentra")</f>
        <v>Vizcaya</v>
      </c>
      <c r="L276" t="str">
        <f>_xlfn.XLOOKUP(datos_ventas[[#This Row],[Provincia]],Tabla2[Provincias],Tabla2[Comunidades],"no se encuentra")</f>
        <v>País Vasco</v>
      </c>
      <c r="M276" t="s">
        <v>15</v>
      </c>
      <c r="N276">
        <v>4</v>
      </c>
    </row>
    <row r="277" spans="1:14" x14ac:dyDescent="0.25">
      <c r="A277">
        <v>1276</v>
      </c>
      <c r="B277" s="1">
        <v>45814</v>
      </c>
      <c r="C277" s="4">
        <f>MONTH(datos_ventas[[#This Row],[Fecha]])</f>
        <v>6</v>
      </c>
      <c r="D277" s="4">
        <f>WEEKNUM(datos_ventas[[#This Row],[Fecha]],2)</f>
        <v>23</v>
      </c>
      <c r="E277" t="s">
        <v>24</v>
      </c>
      <c r="F277" t="s">
        <v>25</v>
      </c>
      <c r="G277">
        <v>3</v>
      </c>
      <c r="H277">
        <v>117062</v>
      </c>
      <c r="I277">
        <v>758</v>
      </c>
      <c r="J277" t="s">
        <v>31</v>
      </c>
      <c r="K277" t="str">
        <f>_xlfn.XLOOKUP(datos_ventas[[#This Row],[Ciudad]],Tabla2[Ciudades],Tabla2[Provincias],"no se encuentra")</f>
        <v>Vizcaya</v>
      </c>
      <c r="L277" t="str">
        <f>_xlfn.XLOOKUP(datos_ventas[[#This Row],[Provincia]],Tabla2[Provincias],Tabla2[Comunidades],"no se encuentra")</f>
        <v>País Vasco</v>
      </c>
      <c r="M277" t="s">
        <v>15</v>
      </c>
      <c r="N277">
        <v>4</v>
      </c>
    </row>
    <row r="278" spans="1:14" x14ac:dyDescent="0.25">
      <c r="A278">
        <v>1277</v>
      </c>
      <c r="B278" s="1">
        <v>45877</v>
      </c>
      <c r="C278" s="4">
        <f>MONTH(datos_ventas[[#This Row],[Fecha]])</f>
        <v>8</v>
      </c>
      <c r="D278" s="4">
        <f>WEEKNUM(datos_ventas[[#This Row],[Fecha]],2)</f>
        <v>32</v>
      </c>
      <c r="E278" t="s">
        <v>16</v>
      </c>
      <c r="F278" t="s">
        <v>11</v>
      </c>
      <c r="G278">
        <v>3</v>
      </c>
      <c r="H278">
        <v>4188</v>
      </c>
      <c r="I278">
        <v>715</v>
      </c>
      <c r="J278" t="s">
        <v>12</v>
      </c>
      <c r="K278" t="str">
        <f>_xlfn.XLOOKUP(datos_ventas[[#This Row],[Ciudad]],Tabla2[Ciudades],Tabla2[Provincias],"no se encuentra")</f>
        <v>Málaga</v>
      </c>
      <c r="L278" t="str">
        <f>_xlfn.XLOOKUP(datos_ventas[[#This Row],[Provincia]],Tabla2[Provincias],Tabla2[Comunidades],"no se encuentra")</f>
        <v>Andalucía</v>
      </c>
      <c r="M278" t="s">
        <v>13</v>
      </c>
      <c r="N278">
        <v>1</v>
      </c>
    </row>
    <row r="279" spans="1:14" x14ac:dyDescent="0.25">
      <c r="A279">
        <v>1278</v>
      </c>
      <c r="B279" s="1">
        <v>45771</v>
      </c>
      <c r="C279" s="4">
        <f>MONTH(datos_ventas[[#This Row],[Fecha]])</f>
        <v>4</v>
      </c>
      <c r="D279" s="4">
        <f>WEEKNUM(datos_ventas[[#This Row],[Fecha]],2)</f>
        <v>17</v>
      </c>
      <c r="E279" t="s">
        <v>23</v>
      </c>
      <c r="F279" t="s">
        <v>18</v>
      </c>
      <c r="G279">
        <v>5</v>
      </c>
      <c r="H279">
        <v>54571</v>
      </c>
      <c r="I279">
        <v>4214</v>
      </c>
      <c r="J279" t="s">
        <v>12</v>
      </c>
      <c r="K279" t="str">
        <f>_xlfn.XLOOKUP(datos_ventas[[#This Row],[Ciudad]],Tabla2[Ciudades],Tabla2[Provincias],"no se encuentra")</f>
        <v>Málaga</v>
      </c>
      <c r="L279" t="str">
        <f>_xlfn.XLOOKUP(datos_ventas[[#This Row],[Provincia]],Tabla2[Provincias],Tabla2[Comunidades],"no se encuentra")</f>
        <v>Andalucía</v>
      </c>
      <c r="M279" t="s">
        <v>15</v>
      </c>
      <c r="N279">
        <v>5</v>
      </c>
    </row>
    <row r="280" spans="1:14" x14ac:dyDescent="0.25">
      <c r="A280">
        <v>1279</v>
      </c>
      <c r="B280" s="1">
        <v>45964</v>
      </c>
      <c r="C280" s="4">
        <f>MONTH(datos_ventas[[#This Row],[Fecha]])</f>
        <v>11</v>
      </c>
      <c r="D280" s="4">
        <f>WEEKNUM(datos_ventas[[#This Row],[Fecha]],2)</f>
        <v>45</v>
      </c>
      <c r="E280" t="s">
        <v>10</v>
      </c>
      <c r="F280" t="s">
        <v>11</v>
      </c>
      <c r="G280">
        <v>1</v>
      </c>
      <c r="H280">
        <v>35702</v>
      </c>
      <c r="I280">
        <v>346</v>
      </c>
      <c r="J280" t="s">
        <v>27</v>
      </c>
      <c r="K280" t="str">
        <f>_xlfn.XLOOKUP(datos_ventas[[#This Row],[Ciudad]],Tabla2[Ciudades],Tabla2[Provincias],"no se encuentra")</f>
        <v>Sevilla</v>
      </c>
      <c r="L280" t="str">
        <f>_xlfn.XLOOKUP(datos_ventas[[#This Row],[Provincia]],Tabla2[Provincias],Tabla2[Comunidades],"no se encuentra")</f>
        <v>Andalucía</v>
      </c>
      <c r="M280" t="s">
        <v>15</v>
      </c>
      <c r="N280">
        <v>4</v>
      </c>
    </row>
    <row r="281" spans="1:14" x14ac:dyDescent="0.25">
      <c r="A281">
        <v>1280</v>
      </c>
      <c r="B281" s="1">
        <v>45857</v>
      </c>
      <c r="C281" s="4">
        <f>MONTH(datos_ventas[[#This Row],[Fecha]])</f>
        <v>7</v>
      </c>
      <c r="D281" s="4">
        <f>WEEKNUM(datos_ventas[[#This Row],[Fecha]],2)</f>
        <v>29</v>
      </c>
      <c r="E281" t="s">
        <v>20</v>
      </c>
      <c r="F281" t="s">
        <v>21</v>
      </c>
      <c r="G281">
        <v>2</v>
      </c>
      <c r="H281">
        <v>9609</v>
      </c>
      <c r="I281">
        <v>4839</v>
      </c>
      <c r="J281" t="s">
        <v>14</v>
      </c>
      <c r="K281" t="str">
        <f>_xlfn.XLOOKUP(datos_ventas[[#This Row],[Ciudad]],Tabla2[Ciudades],Tabla2[Provincias],"no se encuentra")</f>
        <v>Madrid</v>
      </c>
      <c r="L281" t="str">
        <f>_xlfn.XLOOKUP(datos_ventas[[#This Row],[Provincia]],Tabla2[Provincias],Tabla2[Comunidades],"no se encuentra")</f>
        <v>Comunidad de Madrid</v>
      </c>
      <c r="M281" t="s">
        <v>13</v>
      </c>
      <c r="N281">
        <v>2</v>
      </c>
    </row>
    <row r="282" spans="1:14" x14ac:dyDescent="0.25">
      <c r="A282">
        <v>1281</v>
      </c>
      <c r="B282" s="1">
        <v>45929</v>
      </c>
      <c r="C282" s="4">
        <f>MONTH(datos_ventas[[#This Row],[Fecha]])</f>
        <v>9</v>
      </c>
      <c r="D282" s="4">
        <f>WEEKNUM(datos_ventas[[#This Row],[Fecha]],2)</f>
        <v>40</v>
      </c>
      <c r="E282" t="s">
        <v>26</v>
      </c>
      <c r="F282" t="s">
        <v>18</v>
      </c>
      <c r="G282">
        <v>1</v>
      </c>
      <c r="H282">
        <v>110668</v>
      </c>
      <c r="I282">
        <v>4916</v>
      </c>
      <c r="J282" t="s">
        <v>32</v>
      </c>
      <c r="K282" t="str">
        <f>_xlfn.XLOOKUP(datos_ventas[[#This Row],[Ciudad]],Tabla2[Ciudades],Tabla2[Provincias],"no se encuentra")</f>
        <v>Barcelona</v>
      </c>
      <c r="L282" t="str">
        <f>_xlfn.XLOOKUP(datos_ventas[[#This Row],[Provincia]],Tabla2[Provincias],Tabla2[Comunidades],"no se encuentra")</f>
        <v>Cataluña</v>
      </c>
      <c r="M282" t="s">
        <v>13</v>
      </c>
      <c r="N282">
        <v>3</v>
      </c>
    </row>
    <row r="283" spans="1:14" x14ac:dyDescent="0.25">
      <c r="A283">
        <v>1282</v>
      </c>
      <c r="B283" s="1">
        <v>45865</v>
      </c>
      <c r="C283" s="4">
        <f>MONTH(datos_ventas[[#This Row],[Fecha]])</f>
        <v>7</v>
      </c>
      <c r="D283" s="4">
        <f>WEEKNUM(datos_ventas[[#This Row],[Fecha]],2)</f>
        <v>30</v>
      </c>
      <c r="E283" t="s">
        <v>17</v>
      </c>
      <c r="F283" t="s">
        <v>18</v>
      </c>
      <c r="G283">
        <v>1</v>
      </c>
      <c r="H283">
        <v>53862</v>
      </c>
      <c r="I283">
        <v>4379</v>
      </c>
      <c r="J283" t="s">
        <v>31</v>
      </c>
      <c r="K283" t="str">
        <f>_xlfn.XLOOKUP(datos_ventas[[#This Row],[Ciudad]],Tabla2[Ciudades],Tabla2[Provincias],"no se encuentra")</f>
        <v>Vizcaya</v>
      </c>
      <c r="L283" t="str">
        <f>_xlfn.XLOOKUP(datos_ventas[[#This Row],[Provincia]],Tabla2[Provincias],Tabla2[Comunidades],"no se encuentra")</f>
        <v>País Vasco</v>
      </c>
      <c r="M283" t="s">
        <v>15</v>
      </c>
      <c r="N283">
        <v>2</v>
      </c>
    </row>
    <row r="284" spans="1:14" x14ac:dyDescent="0.25">
      <c r="A284">
        <v>1283</v>
      </c>
      <c r="B284" s="1">
        <v>45688</v>
      </c>
      <c r="C284" s="4">
        <f>MONTH(datos_ventas[[#This Row],[Fecha]])</f>
        <v>1</v>
      </c>
      <c r="D284" s="4">
        <f>WEEKNUM(datos_ventas[[#This Row],[Fecha]],2)</f>
        <v>5</v>
      </c>
      <c r="E284" t="s">
        <v>20</v>
      </c>
      <c r="F284" t="s">
        <v>21</v>
      </c>
      <c r="G284">
        <v>3</v>
      </c>
      <c r="H284">
        <v>54949</v>
      </c>
      <c r="I284">
        <v>1444</v>
      </c>
      <c r="J284" t="s">
        <v>14</v>
      </c>
      <c r="K284" t="str">
        <f>_xlfn.XLOOKUP(datos_ventas[[#This Row],[Ciudad]],Tabla2[Ciudades],Tabla2[Provincias],"no se encuentra")</f>
        <v>Madrid</v>
      </c>
      <c r="L284" t="str">
        <f>_xlfn.XLOOKUP(datos_ventas[[#This Row],[Provincia]],Tabla2[Provincias],Tabla2[Comunidades],"no se encuentra")</f>
        <v>Comunidad de Madrid</v>
      </c>
      <c r="M284" t="s">
        <v>13</v>
      </c>
      <c r="N284">
        <v>3</v>
      </c>
    </row>
    <row r="285" spans="1:14" x14ac:dyDescent="0.25">
      <c r="A285">
        <v>1284</v>
      </c>
      <c r="B285" s="1">
        <v>45882</v>
      </c>
      <c r="C285" s="4">
        <f>MONTH(datos_ventas[[#This Row],[Fecha]])</f>
        <v>8</v>
      </c>
      <c r="D285" s="4">
        <f>WEEKNUM(datos_ventas[[#This Row],[Fecha]],2)</f>
        <v>33</v>
      </c>
      <c r="E285" t="s">
        <v>23</v>
      </c>
      <c r="F285" t="s">
        <v>18</v>
      </c>
      <c r="G285">
        <v>3</v>
      </c>
      <c r="H285">
        <v>2008</v>
      </c>
      <c r="I285">
        <v>814</v>
      </c>
      <c r="J285" t="s">
        <v>31</v>
      </c>
      <c r="K285" t="str">
        <f>_xlfn.XLOOKUP(datos_ventas[[#This Row],[Ciudad]],Tabla2[Ciudades],Tabla2[Provincias],"no se encuentra")</f>
        <v>Vizcaya</v>
      </c>
      <c r="L285" t="str">
        <f>_xlfn.XLOOKUP(datos_ventas[[#This Row],[Provincia]],Tabla2[Provincias],Tabla2[Comunidades],"no se encuentra")</f>
        <v>País Vasco</v>
      </c>
      <c r="M285" t="s">
        <v>28</v>
      </c>
      <c r="N285">
        <v>1</v>
      </c>
    </row>
    <row r="286" spans="1:14" x14ac:dyDescent="0.25">
      <c r="A286">
        <v>1285</v>
      </c>
      <c r="B286" s="1">
        <v>45710</v>
      </c>
      <c r="C286" s="4">
        <f>MONTH(datos_ventas[[#This Row],[Fecha]])</f>
        <v>2</v>
      </c>
      <c r="D286" s="4">
        <f>WEEKNUM(datos_ventas[[#This Row],[Fecha]],2)</f>
        <v>8</v>
      </c>
      <c r="E286" t="s">
        <v>26</v>
      </c>
      <c r="F286" t="s">
        <v>18</v>
      </c>
      <c r="G286">
        <v>4</v>
      </c>
      <c r="H286">
        <v>62714</v>
      </c>
      <c r="I286">
        <v>2872</v>
      </c>
      <c r="J286" t="s">
        <v>12</v>
      </c>
      <c r="K286" t="str">
        <f>_xlfn.XLOOKUP(datos_ventas[[#This Row],[Ciudad]],Tabla2[Ciudades],Tabla2[Provincias],"no se encuentra")</f>
        <v>Málaga</v>
      </c>
      <c r="L286" t="str">
        <f>_xlfn.XLOOKUP(datos_ventas[[#This Row],[Provincia]],Tabla2[Provincias],Tabla2[Comunidades],"no se encuentra")</f>
        <v>Andalucía</v>
      </c>
      <c r="M286" t="s">
        <v>15</v>
      </c>
      <c r="N286">
        <v>2</v>
      </c>
    </row>
    <row r="287" spans="1:14" x14ac:dyDescent="0.25">
      <c r="A287">
        <v>1286</v>
      </c>
      <c r="B287" s="1">
        <v>45831</v>
      </c>
      <c r="C287" s="4">
        <f>MONTH(datos_ventas[[#This Row],[Fecha]])</f>
        <v>6</v>
      </c>
      <c r="D287" s="4">
        <f>WEEKNUM(datos_ventas[[#This Row],[Fecha]],2)</f>
        <v>26</v>
      </c>
      <c r="E287" t="s">
        <v>26</v>
      </c>
      <c r="F287" t="s">
        <v>18</v>
      </c>
      <c r="G287">
        <v>1</v>
      </c>
      <c r="H287">
        <v>21751</v>
      </c>
      <c r="I287">
        <v>4664</v>
      </c>
      <c r="J287" t="s">
        <v>12</v>
      </c>
      <c r="K287" t="str">
        <f>_xlfn.XLOOKUP(datos_ventas[[#This Row],[Ciudad]],Tabla2[Ciudades],Tabla2[Provincias],"no se encuentra")</f>
        <v>Málaga</v>
      </c>
      <c r="L287" t="str">
        <f>_xlfn.XLOOKUP(datos_ventas[[#This Row],[Provincia]],Tabla2[Provincias],Tabla2[Comunidades],"no se encuentra")</f>
        <v>Andalucía</v>
      </c>
      <c r="M287" t="s">
        <v>19</v>
      </c>
      <c r="N287">
        <v>3</v>
      </c>
    </row>
    <row r="288" spans="1:14" x14ac:dyDescent="0.25">
      <c r="A288">
        <v>1287</v>
      </c>
      <c r="B288" s="1">
        <v>45838</v>
      </c>
      <c r="C288" s="4">
        <f>MONTH(datos_ventas[[#This Row],[Fecha]])</f>
        <v>6</v>
      </c>
      <c r="D288" s="4">
        <f>WEEKNUM(datos_ventas[[#This Row],[Fecha]],2)</f>
        <v>27</v>
      </c>
      <c r="E288" t="s">
        <v>23</v>
      </c>
      <c r="F288" t="s">
        <v>18</v>
      </c>
      <c r="G288">
        <v>4</v>
      </c>
      <c r="H288">
        <v>102828</v>
      </c>
      <c r="I288">
        <v>1506</v>
      </c>
      <c r="J288" t="s">
        <v>22</v>
      </c>
      <c r="K288" t="str">
        <f>_xlfn.XLOOKUP(datos_ventas[[#This Row],[Ciudad]],Tabla2[Ciudades],Tabla2[Provincias],"no se encuentra")</f>
        <v>Valencia</v>
      </c>
      <c r="L288" t="str">
        <f>_xlfn.XLOOKUP(datos_ventas[[#This Row],[Provincia]],Tabla2[Provincias],Tabla2[Comunidades],"no se encuentra")</f>
        <v>Comunidad Valenciana</v>
      </c>
      <c r="M288" t="s">
        <v>19</v>
      </c>
      <c r="N288">
        <v>3</v>
      </c>
    </row>
    <row r="289" spans="1:14" x14ac:dyDescent="0.25">
      <c r="A289">
        <v>1288</v>
      </c>
      <c r="B289" s="1">
        <v>45864</v>
      </c>
      <c r="C289" s="4">
        <f>MONTH(datos_ventas[[#This Row],[Fecha]])</f>
        <v>7</v>
      </c>
      <c r="D289" s="4">
        <f>WEEKNUM(datos_ventas[[#This Row],[Fecha]],2)</f>
        <v>30</v>
      </c>
      <c r="E289" t="s">
        <v>24</v>
      </c>
      <c r="F289" t="s">
        <v>25</v>
      </c>
      <c r="G289">
        <v>3</v>
      </c>
      <c r="H289">
        <v>4600</v>
      </c>
      <c r="I289">
        <v>1185</v>
      </c>
      <c r="J289" t="s">
        <v>12</v>
      </c>
      <c r="K289" t="str">
        <f>_xlfn.XLOOKUP(datos_ventas[[#This Row],[Ciudad]],Tabla2[Ciudades],Tabla2[Provincias],"no se encuentra")</f>
        <v>Málaga</v>
      </c>
      <c r="L289" t="str">
        <f>_xlfn.XLOOKUP(datos_ventas[[#This Row],[Provincia]],Tabla2[Provincias],Tabla2[Comunidades],"no se encuentra")</f>
        <v>Andalucía</v>
      </c>
      <c r="M289" t="s">
        <v>13</v>
      </c>
      <c r="N289">
        <v>4</v>
      </c>
    </row>
    <row r="290" spans="1:14" x14ac:dyDescent="0.25">
      <c r="A290">
        <v>1289</v>
      </c>
      <c r="B290" s="1">
        <v>45668</v>
      </c>
      <c r="C290" s="4">
        <f>MONTH(datos_ventas[[#This Row],[Fecha]])</f>
        <v>1</v>
      </c>
      <c r="D290" s="4">
        <f>WEEKNUM(datos_ventas[[#This Row],[Fecha]],2)</f>
        <v>2</v>
      </c>
      <c r="E290" t="s">
        <v>20</v>
      </c>
      <c r="F290" t="s">
        <v>21</v>
      </c>
      <c r="G290">
        <v>1</v>
      </c>
      <c r="H290">
        <v>7264</v>
      </c>
      <c r="I290">
        <v>3711</v>
      </c>
      <c r="J290" t="s">
        <v>14</v>
      </c>
      <c r="K290" t="str">
        <f>_xlfn.XLOOKUP(datos_ventas[[#This Row],[Ciudad]],Tabla2[Ciudades],Tabla2[Provincias],"no se encuentra")</f>
        <v>Madrid</v>
      </c>
      <c r="L290" t="str">
        <f>_xlfn.XLOOKUP(datos_ventas[[#This Row],[Provincia]],Tabla2[Provincias],Tabla2[Comunidades],"no se encuentra")</f>
        <v>Comunidad de Madrid</v>
      </c>
      <c r="M290" t="s">
        <v>13</v>
      </c>
      <c r="N290">
        <v>3</v>
      </c>
    </row>
    <row r="291" spans="1:14" x14ac:dyDescent="0.25">
      <c r="A291">
        <v>1290</v>
      </c>
      <c r="B291" s="1">
        <v>45691</v>
      </c>
      <c r="C291" s="4">
        <f>MONTH(datos_ventas[[#This Row],[Fecha]])</f>
        <v>2</v>
      </c>
      <c r="D291" s="4">
        <f>WEEKNUM(datos_ventas[[#This Row],[Fecha]],2)</f>
        <v>6</v>
      </c>
      <c r="E291" t="s">
        <v>20</v>
      </c>
      <c r="F291" t="s">
        <v>21</v>
      </c>
      <c r="G291">
        <v>5</v>
      </c>
      <c r="H291">
        <v>20148</v>
      </c>
      <c r="I291">
        <v>3555</v>
      </c>
      <c r="J291" t="s">
        <v>14</v>
      </c>
      <c r="K291" t="str">
        <f>_xlfn.XLOOKUP(datos_ventas[[#This Row],[Ciudad]],Tabla2[Ciudades],Tabla2[Provincias],"no se encuentra")</f>
        <v>Madrid</v>
      </c>
      <c r="L291" t="str">
        <f>_xlfn.XLOOKUP(datos_ventas[[#This Row],[Provincia]],Tabla2[Provincias],Tabla2[Comunidades],"no se encuentra")</f>
        <v>Comunidad de Madrid</v>
      </c>
      <c r="M291" t="s">
        <v>19</v>
      </c>
      <c r="N291">
        <v>5</v>
      </c>
    </row>
    <row r="292" spans="1:14" x14ac:dyDescent="0.25">
      <c r="A292">
        <v>1291</v>
      </c>
      <c r="B292" s="1">
        <v>45739</v>
      </c>
      <c r="C292" s="4">
        <f>MONTH(datos_ventas[[#This Row],[Fecha]])</f>
        <v>3</v>
      </c>
      <c r="D292" s="4">
        <f>WEEKNUM(datos_ventas[[#This Row],[Fecha]],2)</f>
        <v>12</v>
      </c>
      <c r="E292" t="s">
        <v>24</v>
      </c>
      <c r="F292" t="s">
        <v>25</v>
      </c>
      <c r="G292">
        <v>4</v>
      </c>
      <c r="H292">
        <v>1225</v>
      </c>
      <c r="I292">
        <v>389</v>
      </c>
      <c r="J292" t="s">
        <v>32</v>
      </c>
      <c r="K292" t="str">
        <f>_xlfn.XLOOKUP(datos_ventas[[#This Row],[Ciudad]],Tabla2[Ciudades],Tabla2[Provincias],"no se encuentra")</f>
        <v>Barcelona</v>
      </c>
      <c r="L292" t="str">
        <f>_xlfn.XLOOKUP(datos_ventas[[#This Row],[Provincia]],Tabla2[Provincias],Tabla2[Comunidades],"no se encuentra")</f>
        <v>Cataluña</v>
      </c>
      <c r="M292" t="s">
        <v>13</v>
      </c>
      <c r="N292">
        <v>5</v>
      </c>
    </row>
    <row r="293" spans="1:14" x14ac:dyDescent="0.25">
      <c r="A293">
        <v>1292</v>
      </c>
      <c r="B293" s="1">
        <v>45739</v>
      </c>
      <c r="C293" s="4">
        <f>MONTH(datos_ventas[[#This Row],[Fecha]])</f>
        <v>3</v>
      </c>
      <c r="D293" s="4">
        <f>WEEKNUM(datos_ventas[[#This Row],[Fecha]],2)</f>
        <v>12</v>
      </c>
      <c r="E293" t="s">
        <v>20</v>
      </c>
      <c r="F293" t="s">
        <v>21</v>
      </c>
      <c r="G293">
        <v>2</v>
      </c>
      <c r="H293">
        <v>2768</v>
      </c>
      <c r="I293">
        <v>2452</v>
      </c>
      <c r="J293" t="s">
        <v>32</v>
      </c>
      <c r="K293" t="str">
        <f>_xlfn.XLOOKUP(datos_ventas[[#This Row],[Ciudad]],Tabla2[Ciudades],Tabla2[Provincias],"no se encuentra")</f>
        <v>Barcelona</v>
      </c>
      <c r="L293" t="str">
        <f>_xlfn.XLOOKUP(datos_ventas[[#This Row],[Provincia]],Tabla2[Provincias],Tabla2[Comunidades],"no se encuentra")</f>
        <v>Cataluña</v>
      </c>
      <c r="M293" t="s">
        <v>28</v>
      </c>
      <c r="N293">
        <v>4</v>
      </c>
    </row>
    <row r="294" spans="1:14" x14ac:dyDescent="0.25">
      <c r="A294">
        <v>1293</v>
      </c>
      <c r="B294" s="1">
        <v>45997</v>
      </c>
      <c r="C294" s="4">
        <f>MONTH(datos_ventas[[#This Row],[Fecha]])</f>
        <v>12</v>
      </c>
      <c r="D294" s="4">
        <f>WEEKNUM(datos_ventas[[#This Row],[Fecha]],2)</f>
        <v>49</v>
      </c>
      <c r="E294" t="s">
        <v>10</v>
      </c>
      <c r="F294" t="s">
        <v>11</v>
      </c>
      <c r="G294">
        <v>2</v>
      </c>
      <c r="H294">
        <v>47927</v>
      </c>
      <c r="I294">
        <v>3099</v>
      </c>
      <c r="J294" t="s">
        <v>12</v>
      </c>
      <c r="K294" t="str">
        <f>_xlfn.XLOOKUP(datos_ventas[[#This Row],[Ciudad]],Tabla2[Ciudades],Tabla2[Provincias],"no se encuentra")</f>
        <v>Málaga</v>
      </c>
      <c r="L294" t="str">
        <f>_xlfn.XLOOKUP(datos_ventas[[#This Row],[Provincia]],Tabla2[Provincias],Tabla2[Comunidades],"no se encuentra")</f>
        <v>Andalucía</v>
      </c>
      <c r="M294" t="s">
        <v>28</v>
      </c>
      <c r="N294">
        <v>2</v>
      </c>
    </row>
    <row r="295" spans="1:14" x14ac:dyDescent="0.25">
      <c r="A295">
        <v>1294</v>
      </c>
      <c r="B295" s="1">
        <v>45724</v>
      </c>
      <c r="C295" s="4">
        <f>MONTH(datos_ventas[[#This Row],[Fecha]])</f>
        <v>3</v>
      </c>
      <c r="D295" s="4">
        <f>WEEKNUM(datos_ventas[[#This Row],[Fecha]],2)</f>
        <v>10</v>
      </c>
      <c r="E295" t="s">
        <v>24</v>
      </c>
      <c r="F295" t="s">
        <v>25</v>
      </c>
      <c r="G295">
        <v>4</v>
      </c>
      <c r="H295">
        <v>30354</v>
      </c>
      <c r="I295">
        <v>3797</v>
      </c>
      <c r="J295" t="s">
        <v>32</v>
      </c>
      <c r="K295" t="str">
        <f>_xlfn.XLOOKUP(datos_ventas[[#This Row],[Ciudad]],Tabla2[Ciudades],Tabla2[Provincias],"no se encuentra")</f>
        <v>Barcelona</v>
      </c>
      <c r="L295" t="str">
        <f>_xlfn.XLOOKUP(datos_ventas[[#This Row],[Provincia]],Tabla2[Provincias],Tabla2[Comunidades],"no se encuentra")</f>
        <v>Cataluña</v>
      </c>
      <c r="M295" t="s">
        <v>28</v>
      </c>
      <c r="N295">
        <v>5</v>
      </c>
    </row>
    <row r="296" spans="1:14" x14ac:dyDescent="0.25">
      <c r="A296">
        <v>1295</v>
      </c>
      <c r="B296" s="1">
        <v>45899</v>
      </c>
      <c r="C296" s="4">
        <f>MONTH(datos_ventas[[#This Row],[Fecha]])</f>
        <v>8</v>
      </c>
      <c r="D296" s="4">
        <f>WEEKNUM(datos_ventas[[#This Row],[Fecha]],2)</f>
        <v>35</v>
      </c>
      <c r="E296" t="s">
        <v>24</v>
      </c>
      <c r="F296" t="s">
        <v>25</v>
      </c>
      <c r="G296">
        <v>2</v>
      </c>
      <c r="H296">
        <v>2512</v>
      </c>
      <c r="I296">
        <v>2466</v>
      </c>
      <c r="J296" t="s">
        <v>27</v>
      </c>
      <c r="K296" t="str">
        <f>_xlfn.XLOOKUP(datos_ventas[[#This Row],[Ciudad]],Tabla2[Ciudades],Tabla2[Provincias],"no se encuentra")</f>
        <v>Sevilla</v>
      </c>
      <c r="L296" t="str">
        <f>_xlfn.XLOOKUP(datos_ventas[[#This Row],[Provincia]],Tabla2[Provincias],Tabla2[Comunidades],"no se encuentra")</f>
        <v>Andalucía</v>
      </c>
      <c r="M296" t="s">
        <v>28</v>
      </c>
      <c r="N296">
        <v>5</v>
      </c>
    </row>
    <row r="297" spans="1:14" x14ac:dyDescent="0.25">
      <c r="A297">
        <v>1296</v>
      </c>
      <c r="B297" s="1">
        <v>46008</v>
      </c>
      <c r="C297" s="4">
        <f>MONTH(datos_ventas[[#This Row],[Fecha]])</f>
        <v>12</v>
      </c>
      <c r="D297" s="4">
        <f>WEEKNUM(datos_ventas[[#This Row],[Fecha]],2)</f>
        <v>51</v>
      </c>
      <c r="E297" t="s">
        <v>20</v>
      </c>
      <c r="F297" t="s">
        <v>21</v>
      </c>
      <c r="G297">
        <v>5</v>
      </c>
      <c r="H297">
        <v>92587</v>
      </c>
      <c r="I297">
        <v>697</v>
      </c>
      <c r="J297" t="s">
        <v>27</v>
      </c>
      <c r="K297" t="str">
        <f>_xlfn.XLOOKUP(datos_ventas[[#This Row],[Ciudad]],Tabla2[Ciudades],Tabla2[Provincias],"no se encuentra")</f>
        <v>Sevilla</v>
      </c>
      <c r="L297" t="str">
        <f>_xlfn.XLOOKUP(datos_ventas[[#This Row],[Provincia]],Tabla2[Provincias],Tabla2[Comunidades],"no se encuentra")</f>
        <v>Andalucía</v>
      </c>
      <c r="M297" t="s">
        <v>28</v>
      </c>
      <c r="N297">
        <v>4</v>
      </c>
    </row>
    <row r="298" spans="1:14" x14ac:dyDescent="0.25">
      <c r="A298">
        <v>1297</v>
      </c>
      <c r="B298" s="1">
        <v>46018</v>
      </c>
      <c r="C298" s="4">
        <f>MONTH(datos_ventas[[#This Row],[Fecha]])</f>
        <v>12</v>
      </c>
      <c r="D298" s="4">
        <f>WEEKNUM(datos_ventas[[#This Row],[Fecha]],2)</f>
        <v>52</v>
      </c>
      <c r="E298" t="s">
        <v>20</v>
      </c>
      <c r="F298" t="s">
        <v>21</v>
      </c>
      <c r="G298">
        <v>4</v>
      </c>
      <c r="H298">
        <v>119895</v>
      </c>
      <c r="I298">
        <v>836</v>
      </c>
      <c r="J298" t="s">
        <v>31</v>
      </c>
      <c r="K298" t="str">
        <f>_xlfn.XLOOKUP(datos_ventas[[#This Row],[Ciudad]],Tabla2[Ciudades],Tabla2[Provincias],"no se encuentra")</f>
        <v>Vizcaya</v>
      </c>
      <c r="L298" t="str">
        <f>_xlfn.XLOOKUP(datos_ventas[[#This Row],[Provincia]],Tabla2[Provincias],Tabla2[Comunidades],"no se encuentra")</f>
        <v>País Vasco</v>
      </c>
      <c r="M298" t="s">
        <v>28</v>
      </c>
      <c r="N298">
        <v>5</v>
      </c>
    </row>
    <row r="299" spans="1:14" x14ac:dyDescent="0.25">
      <c r="A299">
        <v>1298</v>
      </c>
      <c r="B299" s="1">
        <v>45913</v>
      </c>
      <c r="C299" s="4">
        <f>MONTH(datos_ventas[[#This Row],[Fecha]])</f>
        <v>9</v>
      </c>
      <c r="D299" s="4">
        <f>WEEKNUM(datos_ventas[[#This Row],[Fecha]],2)</f>
        <v>37</v>
      </c>
      <c r="E299" t="s">
        <v>24</v>
      </c>
      <c r="F299" t="s">
        <v>25</v>
      </c>
      <c r="G299">
        <v>4</v>
      </c>
      <c r="H299">
        <v>62924</v>
      </c>
      <c r="I299">
        <v>82</v>
      </c>
      <c r="J299" t="s">
        <v>12</v>
      </c>
      <c r="K299" t="str">
        <f>_xlfn.XLOOKUP(datos_ventas[[#This Row],[Ciudad]],Tabla2[Ciudades],Tabla2[Provincias],"no se encuentra")</f>
        <v>Málaga</v>
      </c>
      <c r="L299" t="str">
        <f>_xlfn.XLOOKUP(datos_ventas[[#This Row],[Provincia]],Tabla2[Provincias],Tabla2[Comunidades],"no se encuentra")</f>
        <v>Andalucía</v>
      </c>
      <c r="M299" t="s">
        <v>13</v>
      </c>
      <c r="N299">
        <v>3</v>
      </c>
    </row>
    <row r="300" spans="1:14" x14ac:dyDescent="0.25">
      <c r="A300">
        <v>1299</v>
      </c>
      <c r="B300" s="1">
        <v>45982</v>
      </c>
      <c r="C300" s="4">
        <f>MONTH(datos_ventas[[#This Row],[Fecha]])</f>
        <v>11</v>
      </c>
      <c r="D300" s="4">
        <f>WEEKNUM(datos_ventas[[#This Row],[Fecha]],2)</f>
        <v>47</v>
      </c>
      <c r="E300" t="s">
        <v>10</v>
      </c>
      <c r="F300" t="s">
        <v>11</v>
      </c>
      <c r="G300">
        <v>4</v>
      </c>
      <c r="H300">
        <v>111322</v>
      </c>
      <c r="I300">
        <v>3127</v>
      </c>
      <c r="J300" t="s">
        <v>32</v>
      </c>
      <c r="K300" t="str">
        <f>_xlfn.XLOOKUP(datos_ventas[[#This Row],[Ciudad]],Tabla2[Ciudades],Tabla2[Provincias],"no se encuentra")</f>
        <v>Barcelona</v>
      </c>
      <c r="L300" t="str">
        <f>_xlfn.XLOOKUP(datos_ventas[[#This Row],[Provincia]],Tabla2[Provincias],Tabla2[Comunidades],"no se encuentra")</f>
        <v>Cataluña</v>
      </c>
      <c r="M300" t="s">
        <v>19</v>
      </c>
      <c r="N300">
        <v>2</v>
      </c>
    </row>
    <row r="301" spans="1:14" x14ac:dyDescent="0.25">
      <c r="A301">
        <v>1300</v>
      </c>
      <c r="B301" s="1">
        <v>46002</v>
      </c>
      <c r="C301" s="4">
        <f>MONTH(datos_ventas[[#This Row],[Fecha]])</f>
        <v>12</v>
      </c>
      <c r="D301" s="4">
        <f>WEEKNUM(datos_ventas[[#This Row],[Fecha]],2)</f>
        <v>50</v>
      </c>
      <c r="E301" t="s">
        <v>24</v>
      </c>
      <c r="F301" t="s">
        <v>25</v>
      </c>
      <c r="G301">
        <v>3</v>
      </c>
      <c r="H301">
        <v>22437</v>
      </c>
      <c r="I301">
        <v>1677</v>
      </c>
      <c r="J301" t="s">
        <v>31</v>
      </c>
      <c r="K301" t="str">
        <f>_xlfn.XLOOKUP(datos_ventas[[#This Row],[Ciudad]],Tabla2[Ciudades],Tabla2[Provincias],"no se encuentra")</f>
        <v>Vizcaya</v>
      </c>
      <c r="L301" t="str">
        <f>_xlfn.XLOOKUP(datos_ventas[[#This Row],[Provincia]],Tabla2[Provincias],Tabla2[Comunidades],"no se encuentra")</f>
        <v>País Vasco</v>
      </c>
      <c r="M301" t="s">
        <v>15</v>
      </c>
      <c r="N301">
        <v>4</v>
      </c>
    </row>
    <row r="302" spans="1:14" x14ac:dyDescent="0.25">
      <c r="A302">
        <v>1301</v>
      </c>
      <c r="B302" s="1">
        <v>45857</v>
      </c>
      <c r="C302" s="4">
        <f>MONTH(datos_ventas[[#This Row],[Fecha]])</f>
        <v>7</v>
      </c>
      <c r="D302" s="4">
        <f>WEEKNUM(datos_ventas[[#This Row],[Fecha]],2)</f>
        <v>29</v>
      </c>
      <c r="E302" t="s">
        <v>26</v>
      </c>
      <c r="F302" t="s">
        <v>18</v>
      </c>
      <c r="G302">
        <v>4</v>
      </c>
      <c r="H302">
        <v>47331</v>
      </c>
      <c r="I302">
        <v>2467</v>
      </c>
      <c r="J302" t="s">
        <v>14</v>
      </c>
      <c r="K302" t="str">
        <f>_xlfn.XLOOKUP(datos_ventas[[#This Row],[Ciudad]],Tabla2[Ciudades],Tabla2[Provincias],"no se encuentra")</f>
        <v>Madrid</v>
      </c>
      <c r="L302" t="str">
        <f>_xlfn.XLOOKUP(datos_ventas[[#This Row],[Provincia]],Tabla2[Provincias],Tabla2[Comunidades],"no se encuentra")</f>
        <v>Comunidad de Madrid</v>
      </c>
      <c r="M302" t="s">
        <v>15</v>
      </c>
      <c r="N302">
        <v>2</v>
      </c>
    </row>
    <row r="303" spans="1:14" x14ac:dyDescent="0.25">
      <c r="A303">
        <v>1302</v>
      </c>
      <c r="B303" s="1">
        <v>45990</v>
      </c>
      <c r="C303" s="4">
        <f>MONTH(datos_ventas[[#This Row],[Fecha]])</f>
        <v>11</v>
      </c>
      <c r="D303" s="4">
        <f>WEEKNUM(datos_ventas[[#This Row],[Fecha]],2)</f>
        <v>48</v>
      </c>
      <c r="E303" t="s">
        <v>26</v>
      </c>
      <c r="F303" t="s">
        <v>18</v>
      </c>
      <c r="G303">
        <v>3</v>
      </c>
      <c r="H303">
        <v>55425</v>
      </c>
      <c r="I303">
        <v>4022</v>
      </c>
      <c r="J303" t="s">
        <v>32</v>
      </c>
      <c r="K303" t="str">
        <f>_xlfn.XLOOKUP(datos_ventas[[#This Row],[Ciudad]],Tabla2[Ciudades],Tabla2[Provincias],"no se encuentra")</f>
        <v>Barcelona</v>
      </c>
      <c r="L303" t="str">
        <f>_xlfn.XLOOKUP(datos_ventas[[#This Row],[Provincia]],Tabla2[Provincias],Tabla2[Comunidades],"no se encuentra")</f>
        <v>Cataluña</v>
      </c>
      <c r="M303" t="s">
        <v>19</v>
      </c>
      <c r="N303">
        <v>5</v>
      </c>
    </row>
    <row r="304" spans="1:14" x14ac:dyDescent="0.25">
      <c r="A304">
        <v>1303</v>
      </c>
      <c r="B304" s="1">
        <v>45724</v>
      </c>
      <c r="C304" s="4">
        <f>MONTH(datos_ventas[[#This Row],[Fecha]])</f>
        <v>3</v>
      </c>
      <c r="D304" s="4">
        <f>WEEKNUM(datos_ventas[[#This Row],[Fecha]],2)</f>
        <v>10</v>
      </c>
      <c r="E304" t="s">
        <v>17</v>
      </c>
      <c r="F304" t="s">
        <v>18</v>
      </c>
      <c r="G304">
        <v>3</v>
      </c>
      <c r="H304">
        <v>8968</v>
      </c>
      <c r="I304">
        <v>3336</v>
      </c>
      <c r="J304" t="s">
        <v>31</v>
      </c>
      <c r="K304" t="str">
        <f>_xlfn.XLOOKUP(datos_ventas[[#This Row],[Ciudad]],Tabla2[Ciudades],Tabla2[Provincias],"no se encuentra")</f>
        <v>Vizcaya</v>
      </c>
      <c r="L304" t="str">
        <f>_xlfn.XLOOKUP(datos_ventas[[#This Row],[Provincia]],Tabla2[Provincias],Tabla2[Comunidades],"no se encuentra")</f>
        <v>País Vasco</v>
      </c>
      <c r="M304" t="s">
        <v>15</v>
      </c>
      <c r="N304">
        <v>5</v>
      </c>
    </row>
    <row r="305" spans="1:14" x14ac:dyDescent="0.25">
      <c r="A305">
        <v>1304</v>
      </c>
      <c r="B305" s="1">
        <v>45833</v>
      </c>
      <c r="C305" s="4">
        <f>MONTH(datos_ventas[[#This Row],[Fecha]])</f>
        <v>6</v>
      </c>
      <c r="D305" s="4">
        <f>WEEKNUM(datos_ventas[[#This Row],[Fecha]],2)</f>
        <v>26</v>
      </c>
      <c r="E305" t="s">
        <v>24</v>
      </c>
      <c r="F305" t="s">
        <v>25</v>
      </c>
      <c r="G305">
        <v>2</v>
      </c>
      <c r="H305">
        <v>14908</v>
      </c>
      <c r="I305">
        <v>4983</v>
      </c>
      <c r="J305" t="s">
        <v>14</v>
      </c>
      <c r="K305" t="str">
        <f>_xlfn.XLOOKUP(datos_ventas[[#This Row],[Ciudad]],Tabla2[Ciudades],Tabla2[Provincias],"no se encuentra")</f>
        <v>Madrid</v>
      </c>
      <c r="L305" t="str">
        <f>_xlfn.XLOOKUP(datos_ventas[[#This Row],[Provincia]],Tabla2[Provincias],Tabla2[Comunidades],"no se encuentra")</f>
        <v>Comunidad de Madrid</v>
      </c>
      <c r="M305" t="s">
        <v>28</v>
      </c>
      <c r="N305">
        <v>4</v>
      </c>
    </row>
    <row r="306" spans="1:14" x14ac:dyDescent="0.25">
      <c r="A306">
        <v>1305</v>
      </c>
      <c r="B306" s="1">
        <v>45808</v>
      </c>
      <c r="C306" s="4">
        <f>MONTH(datos_ventas[[#This Row],[Fecha]])</f>
        <v>5</v>
      </c>
      <c r="D306" s="4">
        <f>WEEKNUM(datos_ventas[[#This Row],[Fecha]],2)</f>
        <v>22</v>
      </c>
      <c r="E306" t="s">
        <v>29</v>
      </c>
      <c r="F306" t="s">
        <v>30</v>
      </c>
      <c r="G306">
        <v>5</v>
      </c>
      <c r="H306">
        <v>23393</v>
      </c>
      <c r="I306">
        <v>4833</v>
      </c>
      <c r="J306" t="s">
        <v>12</v>
      </c>
      <c r="K306" t="str">
        <f>_xlfn.XLOOKUP(datos_ventas[[#This Row],[Ciudad]],Tabla2[Ciudades],Tabla2[Provincias],"no se encuentra")</f>
        <v>Málaga</v>
      </c>
      <c r="L306" t="str">
        <f>_xlfn.XLOOKUP(datos_ventas[[#This Row],[Provincia]],Tabla2[Provincias],Tabla2[Comunidades],"no se encuentra")</f>
        <v>Andalucía</v>
      </c>
      <c r="M306" t="s">
        <v>15</v>
      </c>
      <c r="N306">
        <v>1</v>
      </c>
    </row>
    <row r="307" spans="1:14" x14ac:dyDescent="0.25">
      <c r="A307">
        <v>1306</v>
      </c>
      <c r="B307" s="1">
        <v>45789</v>
      </c>
      <c r="C307" s="4">
        <f>MONTH(datos_ventas[[#This Row],[Fecha]])</f>
        <v>5</v>
      </c>
      <c r="D307" s="4">
        <f>WEEKNUM(datos_ventas[[#This Row],[Fecha]],2)</f>
        <v>20</v>
      </c>
      <c r="E307" t="s">
        <v>17</v>
      </c>
      <c r="F307" t="s">
        <v>18</v>
      </c>
      <c r="G307">
        <v>4</v>
      </c>
      <c r="H307">
        <v>27322</v>
      </c>
      <c r="I307">
        <v>4537</v>
      </c>
      <c r="J307" t="s">
        <v>22</v>
      </c>
      <c r="K307" t="str">
        <f>_xlfn.XLOOKUP(datos_ventas[[#This Row],[Ciudad]],Tabla2[Ciudades],Tabla2[Provincias],"no se encuentra")</f>
        <v>Valencia</v>
      </c>
      <c r="L307" t="str">
        <f>_xlfn.XLOOKUP(datos_ventas[[#This Row],[Provincia]],Tabla2[Provincias],Tabla2[Comunidades],"no se encuentra")</f>
        <v>Comunidad Valenciana</v>
      </c>
      <c r="M307" t="s">
        <v>13</v>
      </c>
      <c r="N307">
        <v>5</v>
      </c>
    </row>
    <row r="308" spans="1:14" x14ac:dyDescent="0.25">
      <c r="A308">
        <v>1307</v>
      </c>
      <c r="B308" s="1">
        <v>45931</v>
      </c>
      <c r="C308" s="4">
        <f>MONTH(datos_ventas[[#This Row],[Fecha]])</f>
        <v>10</v>
      </c>
      <c r="D308" s="4">
        <f>WEEKNUM(datos_ventas[[#This Row],[Fecha]],2)</f>
        <v>40</v>
      </c>
      <c r="E308" t="s">
        <v>26</v>
      </c>
      <c r="F308" t="s">
        <v>18</v>
      </c>
      <c r="G308">
        <v>4</v>
      </c>
      <c r="H308">
        <v>72124</v>
      </c>
      <c r="I308">
        <v>3446</v>
      </c>
      <c r="J308" t="s">
        <v>32</v>
      </c>
      <c r="K308" t="str">
        <f>_xlfn.XLOOKUP(datos_ventas[[#This Row],[Ciudad]],Tabla2[Ciudades],Tabla2[Provincias],"no se encuentra")</f>
        <v>Barcelona</v>
      </c>
      <c r="L308" t="str">
        <f>_xlfn.XLOOKUP(datos_ventas[[#This Row],[Provincia]],Tabla2[Provincias],Tabla2[Comunidades],"no se encuentra")</f>
        <v>Cataluña</v>
      </c>
      <c r="M308" t="s">
        <v>15</v>
      </c>
      <c r="N308">
        <v>3</v>
      </c>
    </row>
    <row r="309" spans="1:14" x14ac:dyDescent="0.25">
      <c r="A309">
        <v>1308</v>
      </c>
      <c r="B309" s="1">
        <v>45996</v>
      </c>
      <c r="C309" s="4">
        <f>MONTH(datos_ventas[[#This Row],[Fecha]])</f>
        <v>12</v>
      </c>
      <c r="D309" s="4">
        <f>WEEKNUM(datos_ventas[[#This Row],[Fecha]],2)</f>
        <v>49</v>
      </c>
      <c r="E309" t="s">
        <v>26</v>
      </c>
      <c r="F309" t="s">
        <v>18</v>
      </c>
      <c r="G309">
        <v>4</v>
      </c>
      <c r="H309">
        <v>4801</v>
      </c>
      <c r="I309">
        <v>1725</v>
      </c>
      <c r="J309" t="s">
        <v>22</v>
      </c>
      <c r="K309" t="str">
        <f>_xlfn.XLOOKUP(datos_ventas[[#This Row],[Ciudad]],Tabla2[Ciudades],Tabla2[Provincias],"no se encuentra")</f>
        <v>Valencia</v>
      </c>
      <c r="L309" t="str">
        <f>_xlfn.XLOOKUP(datos_ventas[[#This Row],[Provincia]],Tabla2[Provincias],Tabla2[Comunidades],"no se encuentra")</f>
        <v>Comunidad Valenciana</v>
      </c>
      <c r="M309" t="s">
        <v>15</v>
      </c>
      <c r="N309">
        <v>3</v>
      </c>
    </row>
    <row r="310" spans="1:14" x14ac:dyDescent="0.25">
      <c r="A310">
        <v>1309</v>
      </c>
      <c r="B310" s="1">
        <v>46020</v>
      </c>
      <c r="C310" s="4">
        <f>MONTH(datos_ventas[[#This Row],[Fecha]])</f>
        <v>12</v>
      </c>
      <c r="D310" s="4">
        <f>WEEKNUM(datos_ventas[[#This Row],[Fecha]],2)</f>
        <v>53</v>
      </c>
      <c r="E310" t="s">
        <v>23</v>
      </c>
      <c r="F310" t="s">
        <v>18</v>
      </c>
      <c r="G310">
        <v>1</v>
      </c>
      <c r="H310">
        <v>98772</v>
      </c>
      <c r="I310">
        <v>4854</v>
      </c>
      <c r="J310" t="s">
        <v>14</v>
      </c>
      <c r="K310" t="str">
        <f>_xlfn.XLOOKUP(datos_ventas[[#This Row],[Ciudad]],Tabla2[Ciudades],Tabla2[Provincias],"no se encuentra")</f>
        <v>Madrid</v>
      </c>
      <c r="L310" t="str">
        <f>_xlfn.XLOOKUP(datos_ventas[[#This Row],[Provincia]],Tabla2[Provincias],Tabla2[Comunidades],"no se encuentra")</f>
        <v>Comunidad de Madrid</v>
      </c>
      <c r="M310" t="s">
        <v>19</v>
      </c>
      <c r="N310">
        <v>5</v>
      </c>
    </row>
    <row r="311" spans="1:14" x14ac:dyDescent="0.25">
      <c r="A311">
        <v>1310</v>
      </c>
      <c r="B311" s="1">
        <v>45840</v>
      </c>
      <c r="C311" s="4">
        <f>MONTH(datos_ventas[[#This Row],[Fecha]])</f>
        <v>7</v>
      </c>
      <c r="D311" s="4">
        <f>WEEKNUM(datos_ventas[[#This Row],[Fecha]],2)</f>
        <v>27</v>
      </c>
      <c r="E311" t="s">
        <v>10</v>
      </c>
      <c r="F311" t="s">
        <v>11</v>
      </c>
      <c r="G311">
        <v>1</v>
      </c>
      <c r="H311">
        <v>118323</v>
      </c>
      <c r="I311">
        <v>179</v>
      </c>
      <c r="J311" t="s">
        <v>14</v>
      </c>
      <c r="K311" t="str">
        <f>_xlfn.XLOOKUP(datos_ventas[[#This Row],[Ciudad]],Tabla2[Ciudades],Tabla2[Provincias],"no se encuentra")</f>
        <v>Madrid</v>
      </c>
      <c r="L311" t="str">
        <f>_xlfn.XLOOKUP(datos_ventas[[#This Row],[Provincia]],Tabla2[Provincias],Tabla2[Comunidades],"no se encuentra")</f>
        <v>Comunidad de Madrid</v>
      </c>
      <c r="M311" t="s">
        <v>28</v>
      </c>
      <c r="N311">
        <v>5</v>
      </c>
    </row>
    <row r="312" spans="1:14" x14ac:dyDescent="0.25">
      <c r="A312">
        <v>1311</v>
      </c>
      <c r="B312" s="1">
        <v>46020</v>
      </c>
      <c r="C312" s="4">
        <f>MONTH(datos_ventas[[#This Row],[Fecha]])</f>
        <v>12</v>
      </c>
      <c r="D312" s="4">
        <f>WEEKNUM(datos_ventas[[#This Row],[Fecha]],2)</f>
        <v>53</v>
      </c>
      <c r="E312" t="s">
        <v>20</v>
      </c>
      <c r="F312" t="s">
        <v>21</v>
      </c>
      <c r="G312">
        <v>4</v>
      </c>
      <c r="H312">
        <v>86044</v>
      </c>
      <c r="I312">
        <v>2484</v>
      </c>
      <c r="J312" t="s">
        <v>14</v>
      </c>
      <c r="K312" t="str">
        <f>_xlfn.XLOOKUP(datos_ventas[[#This Row],[Ciudad]],Tabla2[Ciudades],Tabla2[Provincias],"no se encuentra")</f>
        <v>Madrid</v>
      </c>
      <c r="L312" t="str">
        <f>_xlfn.XLOOKUP(datos_ventas[[#This Row],[Provincia]],Tabla2[Provincias],Tabla2[Comunidades],"no se encuentra")</f>
        <v>Comunidad de Madrid</v>
      </c>
      <c r="M312" t="s">
        <v>13</v>
      </c>
      <c r="N312">
        <v>3</v>
      </c>
    </row>
    <row r="313" spans="1:14" x14ac:dyDescent="0.25">
      <c r="A313">
        <v>1312</v>
      </c>
      <c r="B313" s="1">
        <v>45897</v>
      </c>
      <c r="C313" s="4">
        <f>MONTH(datos_ventas[[#This Row],[Fecha]])</f>
        <v>8</v>
      </c>
      <c r="D313" s="4">
        <f>WEEKNUM(datos_ventas[[#This Row],[Fecha]],2)</f>
        <v>35</v>
      </c>
      <c r="E313" t="s">
        <v>29</v>
      </c>
      <c r="F313" t="s">
        <v>30</v>
      </c>
      <c r="G313">
        <v>4</v>
      </c>
      <c r="H313">
        <v>60146</v>
      </c>
      <c r="I313">
        <v>4193</v>
      </c>
      <c r="J313" t="s">
        <v>14</v>
      </c>
      <c r="K313" t="str">
        <f>_xlfn.XLOOKUP(datos_ventas[[#This Row],[Ciudad]],Tabla2[Ciudades],Tabla2[Provincias],"no se encuentra")</f>
        <v>Madrid</v>
      </c>
      <c r="L313" t="str">
        <f>_xlfn.XLOOKUP(datos_ventas[[#This Row],[Provincia]],Tabla2[Provincias],Tabla2[Comunidades],"no se encuentra")</f>
        <v>Comunidad de Madrid</v>
      </c>
      <c r="M313" t="s">
        <v>13</v>
      </c>
      <c r="N313">
        <v>4</v>
      </c>
    </row>
    <row r="314" spans="1:14" x14ac:dyDescent="0.25">
      <c r="A314">
        <v>1313</v>
      </c>
      <c r="B314" s="1">
        <v>45744</v>
      </c>
      <c r="C314" s="4">
        <f>MONTH(datos_ventas[[#This Row],[Fecha]])</f>
        <v>3</v>
      </c>
      <c r="D314" s="4">
        <f>WEEKNUM(datos_ventas[[#This Row],[Fecha]],2)</f>
        <v>13</v>
      </c>
      <c r="E314" t="s">
        <v>29</v>
      </c>
      <c r="F314" t="s">
        <v>30</v>
      </c>
      <c r="G314">
        <v>5</v>
      </c>
      <c r="H314">
        <v>111156</v>
      </c>
      <c r="I314">
        <v>3301</v>
      </c>
      <c r="J314" t="s">
        <v>32</v>
      </c>
      <c r="K314" t="str">
        <f>_xlfn.XLOOKUP(datos_ventas[[#This Row],[Ciudad]],Tabla2[Ciudades],Tabla2[Provincias],"no se encuentra")</f>
        <v>Barcelona</v>
      </c>
      <c r="L314" t="str">
        <f>_xlfn.XLOOKUP(datos_ventas[[#This Row],[Provincia]],Tabla2[Provincias],Tabla2[Comunidades],"no se encuentra")</f>
        <v>Cataluña</v>
      </c>
      <c r="M314" t="s">
        <v>19</v>
      </c>
      <c r="N314">
        <v>2</v>
      </c>
    </row>
    <row r="315" spans="1:14" x14ac:dyDescent="0.25">
      <c r="A315">
        <v>1314</v>
      </c>
      <c r="B315" s="1">
        <v>45676</v>
      </c>
      <c r="C315" s="4">
        <f>MONTH(datos_ventas[[#This Row],[Fecha]])</f>
        <v>1</v>
      </c>
      <c r="D315" s="4">
        <f>WEEKNUM(datos_ventas[[#This Row],[Fecha]],2)</f>
        <v>3</v>
      </c>
      <c r="E315" t="s">
        <v>16</v>
      </c>
      <c r="F315" t="s">
        <v>11</v>
      </c>
      <c r="G315">
        <v>3</v>
      </c>
      <c r="H315">
        <v>58443</v>
      </c>
      <c r="I315">
        <v>1432</v>
      </c>
      <c r="J315" t="s">
        <v>22</v>
      </c>
      <c r="K315" t="str">
        <f>_xlfn.XLOOKUP(datos_ventas[[#This Row],[Ciudad]],Tabla2[Ciudades],Tabla2[Provincias],"no se encuentra")</f>
        <v>Valencia</v>
      </c>
      <c r="L315" t="str">
        <f>_xlfn.XLOOKUP(datos_ventas[[#This Row],[Provincia]],Tabla2[Provincias],Tabla2[Comunidades],"no se encuentra")</f>
        <v>Comunidad Valenciana</v>
      </c>
      <c r="M315" t="s">
        <v>13</v>
      </c>
      <c r="N315">
        <v>3</v>
      </c>
    </row>
    <row r="316" spans="1:14" x14ac:dyDescent="0.25">
      <c r="A316">
        <v>1315</v>
      </c>
      <c r="B316" s="1">
        <v>45740</v>
      </c>
      <c r="C316" s="4">
        <f>MONTH(datos_ventas[[#This Row],[Fecha]])</f>
        <v>3</v>
      </c>
      <c r="D316" s="4">
        <f>WEEKNUM(datos_ventas[[#This Row],[Fecha]],2)</f>
        <v>13</v>
      </c>
      <c r="E316" t="s">
        <v>10</v>
      </c>
      <c r="F316" t="s">
        <v>11</v>
      </c>
      <c r="G316">
        <v>5</v>
      </c>
      <c r="H316">
        <v>101026</v>
      </c>
      <c r="I316">
        <v>2741</v>
      </c>
      <c r="J316" t="s">
        <v>12</v>
      </c>
      <c r="K316" t="str">
        <f>_xlfn.XLOOKUP(datos_ventas[[#This Row],[Ciudad]],Tabla2[Ciudades],Tabla2[Provincias],"no se encuentra")</f>
        <v>Málaga</v>
      </c>
      <c r="L316" t="str">
        <f>_xlfn.XLOOKUP(datos_ventas[[#This Row],[Provincia]],Tabla2[Provincias],Tabla2[Comunidades],"no se encuentra")</f>
        <v>Andalucía</v>
      </c>
      <c r="M316" t="s">
        <v>15</v>
      </c>
      <c r="N316">
        <v>1</v>
      </c>
    </row>
    <row r="317" spans="1:14" x14ac:dyDescent="0.25">
      <c r="A317">
        <v>1316</v>
      </c>
      <c r="B317" s="1">
        <v>45974</v>
      </c>
      <c r="C317" s="4">
        <f>MONTH(datos_ventas[[#This Row],[Fecha]])</f>
        <v>11</v>
      </c>
      <c r="D317" s="4">
        <f>WEEKNUM(datos_ventas[[#This Row],[Fecha]],2)</f>
        <v>46</v>
      </c>
      <c r="E317" t="s">
        <v>29</v>
      </c>
      <c r="F317" t="s">
        <v>30</v>
      </c>
      <c r="G317">
        <v>1</v>
      </c>
      <c r="H317">
        <v>2364</v>
      </c>
      <c r="I317">
        <v>3037</v>
      </c>
      <c r="J317" t="s">
        <v>31</v>
      </c>
      <c r="K317" t="str">
        <f>_xlfn.XLOOKUP(datos_ventas[[#This Row],[Ciudad]],Tabla2[Ciudades],Tabla2[Provincias],"no se encuentra")</f>
        <v>Vizcaya</v>
      </c>
      <c r="L317" t="str">
        <f>_xlfn.XLOOKUP(datos_ventas[[#This Row],[Provincia]],Tabla2[Provincias],Tabla2[Comunidades],"no se encuentra")</f>
        <v>País Vasco</v>
      </c>
      <c r="M317" t="s">
        <v>13</v>
      </c>
      <c r="N317">
        <v>2</v>
      </c>
    </row>
    <row r="318" spans="1:14" x14ac:dyDescent="0.25">
      <c r="A318">
        <v>1317</v>
      </c>
      <c r="B318" s="1">
        <v>45910</v>
      </c>
      <c r="C318" s="4">
        <f>MONTH(datos_ventas[[#This Row],[Fecha]])</f>
        <v>9</v>
      </c>
      <c r="D318" s="4">
        <f>WEEKNUM(datos_ventas[[#This Row],[Fecha]],2)</f>
        <v>37</v>
      </c>
      <c r="E318" t="s">
        <v>10</v>
      </c>
      <c r="F318" t="s">
        <v>11</v>
      </c>
      <c r="G318">
        <v>3</v>
      </c>
      <c r="H318">
        <v>6880</v>
      </c>
      <c r="I318">
        <v>4977</v>
      </c>
      <c r="J318" t="s">
        <v>27</v>
      </c>
      <c r="K318" t="str">
        <f>_xlfn.XLOOKUP(datos_ventas[[#This Row],[Ciudad]],Tabla2[Ciudades],Tabla2[Provincias],"no se encuentra")</f>
        <v>Sevilla</v>
      </c>
      <c r="L318" t="str">
        <f>_xlfn.XLOOKUP(datos_ventas[[#This Row],[Provincia]],Tabla2[Provincias],Tabla2[Comunidades],"no se encuentra")</f>
        <v>Andalucía</v>
      </c>
      <c r="M318" t="s">
        <v>28</v>
      </c>
      <c r="N318">
        <v>5</v>
      </c>
    </row>
    <row r="319" spans="1:14" x14ac:dyDescent="0.25">
      <c r="A319">
        <v>1318</v>
      </c>
      <c r="B319" s="1">
        <v>45943</v>
      </c>
      <c r="C319" s="4">
        <f>MONTH(datos_ventas[[#This Row],[Fecha]])</f>
        <v>10</v>
      </c>
      <c r="D319" s="4">
        <f>WEEKNUM(datos_ventas[[#This Row],[Fecha]],2)</f>
        <v>42</v>
      </c>
      <c r="E319" t="s">
        <v>16</v>
      </c>
      <c r="F319" t="s">
        <v>11</v>
      </c>
      <c r="G319">
        <v>3</v>
      </c>
      <c r="H319">
        <v>114588</v>
      </c>
      <c r="I319">
        <v>4051</v>
      </c>
      <c r="J319" t="s">
        <v>27</v>
      </c>
      <c r="K319" t="str">
        <f>_xlfn.XLOOKUP(datos_ventas[[#This Row],[Ciudad]],Tabla2[Ciudades],Tabla2[Provincias],"no se encuentra")</f>
        <v>Sevilla</v>
      </c>
      <c r="L319" t="str">
        <f>_xlfn.XLOOKUP(datos_ventas[[#This Row],[Provincia]],Tabla2[Provincias],Tabla2[Comunidades],"no se encuentra")</f>
        <v>Andalucía</v>
      </c>
      <c r="M319" t="s">
        <v>15</v>
      </c>
      <c r="N319">
        <v>2</v>
      </c>
    </row>
    <row r="320" spans="1:14" x14ac:dyDescent="0.25">
      <c r="A320">
        <v>1319</v>
      </c>
      <c r="B320" s="1">
        <v>45712</v>
      </c>
      <c r="C320" s="4">
        <f>MONTH(datos_ventas[[#This Row],[Fecha]])</f>
        <v>2</v>
      </c>
      <c r="D320" s="4">
        <f>WEEKNUM(datos_ventas[[#This Row],[Fecha]],2)</f>
        <v>9</v>
      </c>
      <c r="E320" t="s">
        <v>10</v>
      </c>
      <c r="F320" t="s">
        <v>11</v>
      </c>
      <c r="G320">
        <v>1</v>
      </c>
      <c r="H320">
        <v>111428</v>
      </c>
      <c r="I320">
        <v>941</v>
      </c>
      <c r="J320" t="s">
        <v>32</v>
      </c>
      <c r="K320" t="str">
        <f>_xlfn.XLOOKUP(datos_ventas[[#This Row],[Ciudad]],Tabla2[Ciudades],Tabla2[Provincias],"no se encuentra")</f>
        <v>Barcelona</v>
      </c>
      <c r="L320" t="str">
        <f>_xlfn.XLOOKUP(datos_ventas[[#This Row],[Provincia]],Tabla2[Provincias],Tabla2[Comunidades],"no se encuentra")</f>
        <v>Cataluña</v>
      </c>
      <c r="M320" t="s">
        <v>19</v>
      </c>
      <c r="N320">
        <v>3</v>
      </c>
    </row>
    <row r="321" spans="1:14" x14ac:dyDescent="0.25">
      <c r="A321">
        <v>1320</v>
      </c>
      <c r="B321" s="1">
        <v>45698</v>
      </c>
      <c r="C321" s="4">
        <f>MONTH(datos_ventas[[#This Row],[Fecha]])</f>
        <v>2</v>
      </c>
      <c r="D321" s="4">
        <f>WEEKNUM(datos_ventas[[#This Row],[Fecha]],2)</f>
        <v>7</v>
      </c>
      <c r="E321" t="s">
        <v>17</v>
      </c>
      <c r="F321" t="s">
        <v>18</v>
      </c>
      <c r="G321">
        <v>3</v>
      </c>
      <c r="H321">
        <v>74091</v>
      </c>
      <c r="I321">
        <v>3585</v>
      </c>
      <c r="J321" t="s">
        <v>31</v>
      </c>
      <c r="K321" t="str">
        <f>_xlfn.XLOOKUP(datos_ventas[[#This Row],[Ciudad]],Tabla2[Ciudades],Tabla2[Provincias],"no se encuentra")</f>
        <v>Vizcaya</v>
      </c>
      <c r="L321" t="str">
        <f>_xlfn.XLOOKUP(datos_ventas[[#This Row],[Provincia]],Tabla2[Provincias],Tabla2[Comunidades],"no se encuentra")</f>
        <v>País Vasco</v>
      </c>
      <c r="M321" t="s">
        <v>15</v>
      </c>
      <c r="N321">
        <v>4</v>
      </c>
    </row>
    <row r="322" spans="1:14" x14ac:dyDescent="0.25">
      <c r="A322">
        <v>1321</v>
      </c>
      <c r="B322" s="1">
        <v>45773</v>
      </c>
      <c r="C322" s="4">
        <f>MONTH(datos_ventas[[#This Row],[Fecha]])</f>
        <v>4</v>
      </c>
      <c r="D322" s="4">
        <f>WEEKNUM(datos_ventas[[#This Row],[Fecha]],2)</f>
        <v>17</v>
      </c>
      <c r="E322" t="s">
        <v>17</v>
      </c>
      <c r="F322" t="s">
        <v>18</v>
      </c>
      <c r="G322">
        <v>4</v>
      </c>
      <c r="H322">
        <v>41717</v>
      </c>
      <c r="I322">
        <v>1731</v>
      </c>
      <c r="J322" t="s">
        <v>22</v>
      </c>
      <c r="K322" t="str">
        <f>_xlfn.XLOOKUP(datos_ventas[[#This Row],[Ciudad]],Tabla2[Ciudades],Tabla2[Provincias],"no se encuentra")</f>
        <v>Valencia</v>
      </c>
      <c r="L322" t="str">
        <f>_xlfn.XLOOKUP(datos_ventas[[#This Row],[Provincia]],Tabla2[Provincias],Tabla2[Comunidades],"no se encuentra")</f>
        <v>Comunidad Valenciana</v>
      </c>
      <c r="M322" t="s">
        <v>28</v>
      </c>
      <c r="N322">
        <v>1</v>
      </c>
    </row>
    <row r="323" spans="1:14" x14ac:dyDescent="0.25">
      <c r="A323">
        <v>1322</v>
      </c>
      <c r="B323" s="1">
        <v>45764</v>
      </c>
      <c r="C323" s="4">
        <f>MONTH(datos_ventas[[#This Row],[Fecha]])</f>
        <v>4</v>
      </c>
      <c r="D323" s="4">
        <f>WEEKNUM(datos_ventas[[#This Row],[Fecha]],2)</f>
        <v>16</v>
      </c>
      <c r="E323" t="s">
        <v>20</v>
      </c>
      <c r="F323" t="s">
        <v>21</v>
      </c>
      <c r="G323">
        <v>3</v>
      </c>
      <c r="H323">
        <v>5005</v>
      </c>
      <c r="I323">
        <v>896</v>
      </c>
      <c r="J323" t="s">
        <v>32</v>
      </c>
      <c r="K323" t="str">
        <f>_xlfn.XLOOKUP(datos_ventas[[#This Row],[Ciudad]],Tabla2[Ciudades],Tabla2[Provincias],"no se encuentra")</f>
        <v>Barcelona</v>
      </c>
      <c r="L323" t="str">
        <f>_xlfn.XLOOKUP(datos_ventas[[#This Row],[Provincia]],Tabla2[Provincias],Tabla2[Comunidades],"no se encuentra")</f>
        <v>Cataluña</v>
      </c>
      <c r="M323" t="s">
        <v>15</v>
      </c>
      <c r="N323">
        <v>2</v>
      </c>
    </row>
    <row r="324" spans="1:14" x14ac:dyDescent="0.25">
      <c r="A324">
        <v>1323</v>
      </c>
      <c r="B324" s="1">
        <v>45864</v>
      </c>
      <c r="C324" s="4">
        <f>MONTH(datos_ventas[[#This Row],[Fecha]])</f>
        <v>7</v>
      </c>
      <c r="D324" s="4">
        <f>WEEKNUM(datos_ventas[[#This Row],[Fecha]],2)</f>
        <v>30</v>
      </c>
      <c r="E324" t="s">
        <v>26</v>
      </c>
      <c r="F324" t="s">
        <v>18</v>
      </c>
      <c r="G324">
        <v>5</v>
      </c>
      <c r="H324">
        <v>64478</v>
      </c>
      <c r="I324">
        <v>2566</v>
      </c>
      <c r="J324" t="s">
        <v>27</v>
      </c>
      <c r="K324" t="str">
        <f>_xlfn.XLOOKUP(datos_ventas[[#This Row],[Ciudad]],Tabla2[Ciudades],Tabla2[Provincias],"no se encuentra")</f>
        <v>Sevilla</v>
      </c>
      <c r="L324" t="str">
        <f>_xlfn.XLOOKUP(datos_ventas[[#This Row],[Provincia]],Tabla2[Provincias],Tabla2[Comunidades],"no se encuentra")</f>
        <v>Andalucía</v>
      </c>
      <c r="M324" t="s">
        <v>19</v>
      </c>
      <c r="N324">
        <v>4</v>
      </c>
    </row>
    <row r="325" spans="1:14" x14ac:dyDescent="0.25">
      <c r="A325">
        <v>1324</v>
      </c>
      <c r="B325" s="1">
        <v>45983</v>
      </c>
      <c r="C325" s="4">
        <f>MONTH(datos_ventas[[#This Row],[Fecha]])</f>
        <v>11</v>
      </c>
      <c r="D325" s="4">
        <f>WEEKNUM(datos_ventas[[#This Row],[Fecha]],2)</f>
        <v>47</v>
      </c>
      <c r="E325" t="s">
        <v>29</v>
      </c>
      <c r="F325" t="s">
        <v>30</v>
      </c>
      <c r="G325">
        <v>1</v>
      </c>
      <c r="H325">
        <v>37044</v>
      </c>
      <c r="I325">
        <v>313</v>
      </c>
      <c r="J325" t="s">
        <v>12</v>
      </c>
      <c r="K325" t="str">
        <f>_xlfn.XLOOKUP(datos_ventas[[#This Row],[Ciudad]],Tabla2[Ciudades],Tabla2[Provincias],"no se encuentra")</f>
        <v>Málaga</v>
      </c>
      <c r="L325" t="str">
        <f>_xlfn.XLOOKUP(datos_ventas[[#This Row],[Provincia]],Tabla2[Provincias],Tabla2[Comunidades],"no se encuentra")</f>
        <v>Andalucía</v>
      </c>
      <c r="M325" t="s">
        <v>28</v>
      </c>
      <c r="N325">
        <v>5</v>
      </c>
    </row>
    <row r="326" spans="1:14" x14ac:dyDescent="0.25">
      <c r="A326">
        <v>1325</v>
      </c>
      <c r="B326" s="1">
        <v>45885</v>
      </c>
      <c r="C326" s="4">
        <f>MONTH(datos_ventas[[#This Row],[Fecha]])</f>
        <v>8</v>
      </c>
      <c r="D326" s="4">
        <f>WEEKNUM(datos_ventas[[#This Row],[Fecha]],2)</f>
        <v>33</v>
      </c>
      <c r="E326" t="s">
        <v>10</v>
      </c>
      <c r="F326" t="s">
        <v>11</v>
      </c>
      <c r="G326">
        <v>3</v>
      </c>
      <c r="H326">
        <v>29962</v>
      </c>
      <c r="I326">
        <v>1612</v>
      </c>
      <c r="J326" t="s">
        <v>32</v>
      </c>
      <c r="K326" t="str">
        <f>_xlfn.XLOOKUP(datos_ventas[[#This Row],[Ciudad]],Tabla2[Ciudades],Tabla2[Provincias],"no se encuentra")</f>
        <v>Barcelona</v>
      </c>
      <c r="L326" t="str">
        <f>_xlfn.XLOOKUP(datos_ventas[[#This Row],[Provincia]],Tabla2[Provincias],Tabla2[Comunidades],"no se encuentra")</f>
        <v>Cataluña</v>
      </c>
      <c r="M326" t="s">
        <v>13</v>
      </c>
      <c r="N326">
        <v>5</v>
      </c>
    </row>
    <row r="327" spans="1:14" x14ac:dyDescent="0.25">
      <c r="A327">
        <v>1326</v>
      </c>
      <c r="B327" s="1">
        <v>45996</v>
      </c>
      <c r="C327" s="4">
        <f>MONTH(datos_ventas[[#This Row],[Fecha]])</f>
        <v>12</v>
      </c>
      <c r="D327" s="4">
        <f>WEEKNUM(datos_ventas[[#This Row],[Fecha]],2)</f>
        <v>49</v>
      </c>
      <c r="E327" t="s">
        <v>26</v>
      </c>
      <c r="F327" t="s">
        <v>18</v>
      </c>
      <c r="G327">
        <v>1</v>
      </c>
      <c r="H327">
        <v>12883</v>
      </c>
      <c r="I327">
        <v>125</v>
      </c>
      <c r="J327" t="s">
        <v>32</v>
      </c>
      <c r="K327" t="str">
        <f>_xlfn.XLOOKUP(datos_ventas[[#This Row],[Ciudad]],Tabla2[Ciudades],Tabla2[Provincias],"no se encuentra")</f>
        <v>Barcelona</v>
      </c>
      <c r="L327" t="str">
        <f>_xlfn.XLOOKUP(datos_ventas[[#This Row],[Provincia]],Tabla2[Provincias],Tabla2[Comunidades],"no se encuentra")</f>
        <v>Cataluña</v>
      </c>
      <c r="M327" t="s">
        <v>15</v>
      </c>
      <c r="N327">
        <v>4</v>
      </c>
    </row>
    <row r="328" spans="1:14" x14ac:dyDescent="0.25">
      <c r="A328">
        <v>1327</v>
      </c>
      <c r="B328" s="1">
        <v>45833</v>
      </c>
      <c r="C328" s="4">
        <f>MONTH(datos_ventas[[#This Row],[Fecha]])</f>
        <v>6</v>
      </c>
      <c r="D328" s="4">
        <f>WEEKNUM(datos_ventas[[#This Row],[Fecha]],2)</f>
        <v>26</v>
      </c>
      <c r="E328" t="s">
        <v>26</v>
      </c>
      <c r="F328" t="s">
        <v>18</v>
      </c>
      <c r="G328">
        <v>5</v>
      </c>
      <c r="H328">
        <v>111598</v>
      </c>
      <c r="I328">
        <v>3689</v>
      </c>
      <c r="J328" t="s">
        <v>22</v>
      </c>
      <c r="K328" t="str">
        <f>_xlfn.XLOOKUP(datos_ventas[[#This Row],[Ciudad]],Tabla2[Ciudades],Tabla2[Provincias],"no se encuentra")</f>
        <v>Valencia</v>
      </c>
      <c r="L328" t="str">
        <f>_xlfn.XLOOKUP(datos_ventas[[#This Row],[Provincia]],Tabla2[Provincias],Tabla2[Comunidades],"no se encuentra")</f>
        <v>Comunidad Valenciana</v>
      </c>
      <c r="M328" t="s">
        <v>15</v>
      </c>
      <c r="N328">
        <v>2</v>
      </c>
    </row>
    <row r="329" spans="1:14" x14ac:dyDescent="0.25">
      <c r="A329">
        <v>1328</v>
      </c>
      <c r="B329" s="1">
        <v>45692</v>
      </c>
      <c r="C329" s="4">
        <f>MONTH(datos_ventas[[#This Row],[Fecha]])</f>
        <v>2</v>
      </c>
      <c r="D329" s="4">
        <f>WEEKNUM(datos_ventas[[#This Row],[Fecha]],2)</f>
        <v>6</v>
      </c>
      <c r="E329" t="s">
        <v>23</v>
      </c>
      <c r="F329" t="s">
        <v>18</v>
      </c>
      <c r="G329">
        <v>2</v>
      </c>
      <c r="H329">
        <v>36019</v>
      </c>
      <c r="I329">
        <v>4016</v>
      </c>
      <c r="J329" t="s">
        <v>27</v>
      </c>
      <c r="K329" t="str">
        <f>_xlfn.XLOOKUP(datos_ventas[[#This Row],[Ciudad]],Tabla2[Ciudades],Tabla2[Provincias],"no se encuentra")</f>
        <v>Sevilla</v>
      </c>
      <c r="L329" t="str">
        <f>_xlfn.XLOOKUP(datos_ventas[[#This Row],[Provincia]],Tabla2[Provincias],Tabla2[Comunidades],"no se encuentra")</f>
        <v>Andalucía</v>
      </c>
      <c r="M329" t="s">
        <v>15</v>
      </c>
      <c r="N329">
        <v>4</v>
      </c>
    </row>
    <row r="330" spans="1:14" x14ac:dyDescent="0.25">
      <c r="A330">
        <v>1329</v>
      </c>
      <c r="B330" s="1">
        <v>45977</v>
      </c>
      <c r="C330" s="4">
        <f>MONTH(datos_ventas[[#This Row],[Fecha]])</f>
        <v>11</v>
      </c>
      <c r="D330" s="4">
        <f>WEEKNUM(datos_ventas[[#This Row],[Fecha]],2)</f>
        <v>46</v>
      </c>
      <c r="E330" t="s">
        <v>10</v>
      </c>
      <c r="F330" t="s">
        <v>11</v>
      </c>
      <c r="G330">
        <v>5</v>
      </c>
      <c r="H330">
        <v>10435</v>
      </c>
      <c r="I330">
        <v>1913</v>
      </c>
      <c r="J330" t="s">
        <v>32</v>
      </c>
      <c r="K330" t="str">
        <f>_xlfn.XLOOKUP(datos_ventas[[#This Row],[Ciudad]],Tabla2[Ciudades],Tabla2[Provincias],"no se encuentra")</f>
        <v>Barcelona</v>
      </c>
      <c r="L330" t="str">
        <f>_xlfn.XLOOKUP(datos_ventas[[#This Row],[Provincia]],Tabla2[Provincias],Tabla2[Comunidades],"no se encuentra")</f>
        <v>Cataluña</v>
      </c>
      <c r="M330" t="s">
        <v>19</v>
      </c>
      <c r="N330">
        <v>2</v>
      </c>
    </row>
    <row r="331" spans="1:14" x14ac:dyDescent="0.25">
      <c r="A331">
        <v>1330</v>
      </c>
      <c r="B331" s="1">
        <v>45960</v>
      </c>
      <c r="C331" s="4">
        <f>MONTH(datos_ventas[[#This Row],[Fecha]])</f>
        <v>10</v>
      </c>
      <c r="D331" s="4">
        <f>WEEKNUM(datos_ventas[[#This Row],[Fecha]],2)</f>
        <v>44</v>
      </c>
      <c r="E331" t="s">
        <v>26</v>
      </c>
      <c r="F331" t="s">
        <v>18</v>
      </c>
      <c r="G331">
        <v>3</v>
      </c>
      <c r="H331">
        <v>61151</v>
      </c>
      <c r="I331">
        <v>4249</v>
      </c>
      <c r="J331" t="s">
        <v>32</v>
      </c>
      <c r="K331" t="str">
        <f>_xlfn.XLOOKUP(datos_ventas[[#This Row],[Ciudad]],Tabla2[Ciudades],Tabla2[Provincias],"no se encuentra")</f>
        <v>Barcelona</v>
      </c>
      <c r="L331" t="str">
        <f>_xlfn.XLOOKUP(datos_ventas[[#This Row],[Provincia]],Tabla2[Provincias],Tabla2[Comunidades],"no se encuentra")</f>
        <v>Cataluña</v>
      </c>
      <c r="M331" t="s">
        <v>28</v>
      </c>
      <c r="N331">
        <v>5</v>
      </c>
    </row>
    <row r="332" spans="1:14" x14ac:dyDescent="0.25">
      <c r="A332">
        <v>1331</v>
      </c>
      <c r="B332" s="1">
        <v>46011</v>
      </c>
      <c r="C332" s="4">
        <f>MONTH(datos_ventas[[#This Row],[Fecha]])</f>
        <v>12</v>
      </c>
      <c r="D332" s="4">
        <f>WEEKNUM(datos_ventas[[#This Row],[Fecha]],2)</f>
        <v>51</v>
      </c>
      <c r="E332" t="s">
        <v>24</v>
      </c>
      <c r="F332" t="s">
        <v>25</v>
      </c>
      <c r="G332">
        <v>5</v>
      </c>
      <c r="H332">
        <v>82055</v>
      </c>
      <c r="I332">
        <v>53</v>
      </c>
      <c r="J332" t="s">
        <v>32</v>
      </c>
      <c r="K332" t="str">
        <f>_xlfn.XLOOKUP(datos_ventas[[#This Row],[Ciudad]],Tabla2[Ciudades],Tabla2[Provincias],"no se encuentra")</f>
        <v>Barcelona</v>
      </c>
      <c r="L332" t="str">
        <f>_xlfn.XLOOKUP(datos_ventas[[#This Row],[Provincia]],Tabla2[Provincias],Tabla2[Comunidades],"no se encuentra")</f>
        <v>Cataluña</v>
      </c>
      <c r="M332" t="s">
        <v>28</v>
      </c>
      <c r="N332">
        <v>2</v>
      </c>
    </row>
    <row r="333" spans="1:14" x14ac:dyDescent="0.25">
      <c r="A333">
        <v>1332</v>
      </c>
      <c r="B333" s="1">
        <v>45904</v>
      </c>
      <c r="C333" s="4">
        <f>MONTH(datos_ventas[[#This Row],[Fecha]])</f>
        <v>9</v>
      </c>
      <c r="D333" s="4">
        <f>WEEKNUM(datos_ventas[[#This Row],[Fecha]],2)</f>
        <v>36</v>
      </c>
      <c r="E333" t="s">
        <v>16</v>
      </c>
      <c r="F333" t="s">
        <v>11</v>
      </c>
      <c r="G333">
        <v>1</v>
      </c>
      <c r="H333">
        <v>75809</v>
      </c>
      <c r="I333">
        <v>3487</v>
      </c>
      <c r="J333" t="s">
        <v>32</v>
      </c>
      <c r="K333" t="str">
        <f>_xlfn.XLOOKUP(datos_ventas[[#This Row],[Ciudad]],Tabla2[Ciudades],Tabla2[Provincias],"no se encuentra")</f>
        <v>Barcelona</v>
      </c>
      <c r="L333" t="str">
        <f>_xlfn.XLOOKUP(datos_ventas[[#This Row],[Provincia]],Tabla2[Provincias],Tabla2[Comunidades],"no se encuentra")</f>
        <v>Cataluña</v>
      </c>
      <c r="M333" t="s">
        <v>28</v>
      </c>
      <c r="N333">
        <v>3</v>
      </c>
    </row>
    <row r="334" spans="1:14" x14ac:dyDescent="0.25">
      <c r="A334">
        <v>1333</v>
      </c>
      <c r="B334" s="1">
        <v>45849</v>
      </c>
      <c r="C334" s="4">
        <f>MONTH(datos_ventas[[#This Row],[Fecha]])</f>
        <v>7</v>
      </c>
      <c r="D334" s="4">
        <f>WEEKNUM(datos_ventas[[#This Row],[Fecha]],2)</f>
        <v>28</v>
      </c>
      <c r="E334" t="s">
        <v>16</v>
      </c>
      <c r="F334" t="s">
        <v>11</v>
      </c>
      <c r="G334">
        <v>4</v>
      </c>
      <c r="H334">
        <v>110496</v>
      </c>
      <c r="I334">
        <v>1165</v>
      </c>
      <c r="J334" t="s">
        <v>12</v>
      </c>
      <c r="K334" t="str">
        <f>_xlfn.XLOOKUP(datos_ventas[[#This Row],[Ciudad]],Tabla2[Ciudades],Tabla2[Provincias],"no se encuentra")</f>
        <v>Málaga</v>
      </c>
      <c r="L334" t="str">
        <f>_xlfn.XLOOKUP(datos_ventas[[#This Row],[Provincia]],Tabla2[Provincias],Tabla2[Comunidades],"no se encuentra")</f>
        <v>Andalucía</v>
      </c>
      <c r="M334" t="s">
        <v>15</v>
      </c>
      <c r="N334">
        <v>5</v>
      </c>
    </row>
    <row r="335" spans="1:14" x14ac:dyDescent="0.25">
      <c r="A335">
        <v>1334</v>
      </c>
      <c r="B335" s="1">
        <v>45994</v>
      </c>
      <c r="C335" s="4">
        <f>MONTH(datos_ventas[[#This Row],[Fecha]])</f>
        <v>12</v>
      </c>
      <c r="D335" s="4">
        <f>WEEKNUM(datos_ventas[[#This Row],[Fecha]],2)</f>
        <v>49</v>
      </c>
      <c r="E335" t="s">
        <v>20</v>
      </c>
      <c r="F335" t="s">
        <v>21</v>
      </c>
      <c r="G335">
        <v>5</v>
      </c>
      <c r="H335">
        <v>105588</v>
      </c>
      <c r="I335">
        <v>3939</v>
      </c>
      <c r="J335" t="s">
        <v>14</v>
      </c>
      <c r="K335" t="str">
        <f>_xlfn.XLOOKUP(datos_ventas[[#This Row],[Ciudad]],Tabla2[Ciudades],Tabla2[Provincias],"no se encuentra")</f>
        <v>Madrid</v>
      </c>
      <c r="L335" t="str">
        <f>_xlfn.XLOOKUP(datos_ventas[[#This Row],[Provincia]],Tabla2[Provincias],Tabla2[Comunidades],"no se encuentra")</f>
        <v>Comunidad de Madrid</v>
      </c>
      <c r="M335" t="s">
        <v>19</v>
      </c>
      <c r="N335">
        <v>5</v>
      </c>
    </row>
    <row r="336" spans="1:14" x14ac:dyDescent="0.25">
      <c r="A336">
        <v>1335</v>
      </c>
      <c r="B336" s="1">
        <v>45966</v>
      </c>
      <c r="C336" s="4">
        <f>MONTH(datos_ventas[[#This Row],[Fecha]])</f>
        <v>11</v>
      </c>
      <c r="D336" s="4">
        <f>WEEKNUM(datos_ventas[[#This Row],[Fecha]],2)</f>
        <v>45</v>
      </c>
      <c r="E336" t="s">
        <v>29</v>
      </c>
      <c r="F336" t="s">
        <v>30</v>
      </c>
      <c r="G336">
        <v>1</v>
      </c>
      <c r="H336">
        <v>83511</v>
      </c>
      <c r="I336">
        <v>3361</v>
      </c>
      <c r="J336" t="s">
        <v>22</v>
      </c>
      <c r="K336" t="str">
        <f>_xlfn.XLOOKUP(datos_ventas[[#This Row],[Ciudad]],Tabla2[Ciudades],Tabla2[Provincias],"no se encuentra")</f>
        <v>Valencia</v>
      </c>
      <c r="L336" t="str">
        <f>_xlfn.XLOOKUP(datos_ventas[[#This Row],[Provincia]],Tabla2[Provincias],Tabla2[Comunidades],"no se encuentra")</f>
        <v>Comunidad Valenciana</v>
      </c>
      <c r="M336" t="s">
        <v>28</v>
      </c>
      <c r="N336">
        <v>5</v>
      </c>
    </row>
    <row r="337" spans="1:14" x14ac:dyDescent="0.25">
      <c r="A337">
        <v>1336</v>
      </c>
      <c r="B337" s="1">
        <v>46009</v>
      </c>
      <c r="C337" s="4">
        <f>MONTH(datos_ventas[[#This Row],[Fecha]])</f>
        <v>12</v>
      </c>
      <c r="D337" s="4">
        <f>WEEKNUM(datos_ventas[[#This Row],[Fecha]],2)</f>
        <v>51</v>
      </c>
      <c r="E337" t="s">
        <v>26</v>
      </c>
      <c r="F337" t="s">
        <v>18</v>
      </c>
      <c r="G337">
        <v>5</v>
      </c>
      <c r="H337">
        <v>32853</v>
      </c>
      <c r="I337">
        <v>1391</v>
      </c>
      <c r="J337" t="s">
        <v>14</v>
      </c>
      <c r="K337" t="str">
        <f>_xlfn.XLOOKUP(datos_ventas[[#This Row],[Ciudad]],Tabla2[Ciudades],Tabla2[Provincias],"no se encuentra")</f>
        <v>Madrid</v>
      </c>
      <c r="L337" t="str">
        <f>_xlfn.XLOOKUP(datos_ventas[[#This Row],[Provincia]],Tabla2[Provincias],Tabla2[Comunidades],"no se encuentra")</f>
        <v>Comunidad de Madrid</v>
      </c>
      <c r="M337" t="s">
        <v>13</v>
      </c>
      <c r="N337">
        <v>3</v>
      </c>
    </row>
    <row r="338" spans="1:14" x14ac:dyDescent="0.25">
      <c r="A338">
        <v>1337</v>
      </c>
      <c r="B338" s="1">
        <v>45902</v>
      </c>
      <c r="C338" s="4">
        <f>MONTH(datos_ventas[[#This Row],[Fecha]])</f>
        <v>9</v>
      </c>
      <c r="D338" s="4">
        <f>WEEKNUM(datos_ventas[[#This Row],[Fecha]],2)</f>
        <v>36</v>
      </c>
      <c r="E338" t="s">
        <v>10</v>
      </c>
      <c r="F338" t="s">
        <v>11</v>
      </c>
      <c r="G338">
        <v>2</v>
      </c>
      <c r="H338">
        <v>103554</v>
      </c>
      <c r="I338">
        <v>4849</v>
      </c>
      <c r="J338" t="s">
        <v>14</v>
      </c>
      <c r="K338" t="str">
        <f>_xlfn.XLOOKUP(datos_ventas[[#This Row],[Ciudad]],Tabla2[Ciudades],Tabla2[Provincias],"no se encuentra")</f>
        <v>Madrid</v>
      </c>
      <c r="L338" t="str">
        <f>_xlfn.XLOOKUP(datos_ventas[[#This Row],[Provincia]],Tabla2[Provincias],Tabla2[Comunidades],"no se encuentra")</f>
        <v>Comunidad de Madrid</v>
      </c>
      <c r="M338" t="s">
        <v>19</v>
      </c>
      <c r="N338">
        <v>1</v>
      </c>
    </row>
    <row r="339" spans="1:14" x14ac:dyDescent="0.25">
      <c r="A339">
        <v>1338</v>
      </c>
      <c r="B339" s="1">
        <v>46018</v>
      </c>
      <c r="C339" s="4">
        <f>MONTH(datos_ventas[[#This Row],[Fecha]])</f>
        <v>12</v>
      </c>
      <c r="D339" s="4">
        <f>WEEKNUM(datos_ventas[[#This Row],[Fecha]],2)</f>
        <v>52</v>
      </c>
      <c r="E339" t="s">
        <v>17</v>
      </c>
      <c r="F339" t="s">
        <v>18</v>
      </c>
      <c r="G339">
        <v>4</v>
      </c>
      <c r="H339">
        <v>34787</v>
      </c>
      <c r="I339">
        <v>1073</v>
      </c>
      <c r="J339" t="s">
        <v>27</v>
      </c>
      <c r="K339" t="str">
        <f>_xlfn.XLOOKUP(datos_ventas[[#This Row],[Ciudad]],Tabla2[Ciudades],Tabla2[Provincias],"no se encuentra")</f>
        <v>Sevilla</v>
      </c>
      <c r="L339" t="str">
        <f>_xlfn.XLOOKUP(datos_ventas[[#This Row],[Provincia]],Tabla2[Provincias],Tabla2[Comunidades],"no se encuentra")</f>
        <v>Andalucía</v>
      </c>
      <c r="M339" t="s">
        <v>28</v>
      </c>
      <c r="N339">
        <v>1</v>
      </c>
    </row>
    <row r="340" spans="1:14" x14ac:dyDescent="0.25">
      <c r="A340">
        <v>1339</v>
      </c>
      <c r="B340" s="1">
        <v>45877</v>
      </c>
      <c r="C340" s="4">
        <f>MONTH(datos_ventas[[#This Row],[Fecha]])</f>
        <v>8</v>
      </c>
      <c r="D340" s="4">
        <f>WEEKNUM(datos_ventas[[#This Row],[Fecha]],2)</f>
        <v>32</v>
      </c>
      <c r="E340" t="s">
        <v>17</v>
      </c>
      <c r="F340" t="s">
        <v>18</v>
      </c>
      <c r="G340">
        <v>1</v>
      </c>
      <c r="H340">
        <v>81395</v>
      </c>
      <c r="I340">
        <v>142</v>
      </c>
      <c r="J340" t="s">
        <v>12</v>
      </c>
      <c r="K340" t="str">
        <f>_xlfn.XLOOKUP(datos_ventas[[#This Row],[Ciudad]],Tabla2[Ciudades],Tabla2[Provincias],"no se encuentra")</f>
        <v>Málaga</v>
      </c>
      <c r="L340" t="str">
        <f>_xlfn.XLOOKUP(datos_ventas[[#This Row],[Provincia]],Tabla2[Provincias],Tabla2[Comunidades],"no se encuentra")</f>
        <v>Andalucía</v>
      </c>
      <c r="M340" t="s">
        <v>15</v>
      </c>
      <c r="N340">
        <v>3</v>
      </c>
    </row>
    <row r="341" spans="1:14" x14ac:dyDescent="0.25">
      <c r="A341">
        <v>1340</v>
      </c>
      <c r="B341" s="1">
        <v>45668</v>
      </c>
      <c r="C341" s="4">
        <f>MONTH(datos_ventas[[#This Row],[Fecha]])</f>
        <v>1</v>
      </c>
      <c r="D341" s="4">
        <f>WEEKNUM(datos_ventas[[#This Row],[Fecha]],2)</f>
        <v>2</v>
      </c>
      <c r="E341" t="s">
        <v>10</v>
      </c>
      <c r="F341" t="s">
        <v>11</v>
      </c>
      <c r="G341">
        <v>1</v>
      </c>
      <c r="H341">
        <v>2167</v>
      </c>
      <c r="I341">
        <v>2115</v>
      </c>
      <c r="J341" t="s">
        <v>22</v>
      </c>
      <c r="K341" t="str">
        <f>_xlfn.XLOOKUP(datos_ventas[[#This Row],[Ciudad]],Tabla2[Ciudades],Tabla2[Provincias],"no se encuentra")</f>
        <v>Valencia</v>
      </c>
      <c r="L341" t="str">
        <f>_xlfn.XLOOKUP(datos_ventas[[#This Row],[Provincia]],Tabla2[Provincias],Tabla2[Comunidades],"no se encuentra")</f>
        <v>Comunidad Valenciana</v>
      </c>
      <c r="M341" t="s">
        <v>15</v>
      </c>
      <c r="N341">
        <v>4</v>
      </c>
    </row>
    <row r="342" spans="1:14" x14ac:dyDescent="0.25">
      <c r="A342">
        <v>1341</v>
      </c>
      <c r="B342" s="1">
        <v>45933</v>
      </c>
      <c r="C342" s="4">
        <f>MONTH(datos_ventas[[#This Row],[Fecha]])</f>
        <v>10</v>
      </c>
      <c r="D342" s="4">
        <f>WEEKNUM(datos_ventas[[#This Row],[Fecha]],2)</f>
        <v>40</v>
      </c>
      <c r="E342" t="s">
        <v>10</v>
      </c>
      <c r="F342" t="s">
        <v>11</v>
      </c>
      <c r="G342">
        <v>5</v>
      </c>
      <c r="H342">
        <v>16989</v>
      </c>
      <c r="I342">
        <v>707</v>
      </c>
      <c r="J342" t="s">
        <v>27</v>
      </c>
      <c r="K342" t="str">
        <f>_xlfn.XLOOKUP(datos_ventas[[#This Row],[Ciudad]],Tabla2[Ciudades],Tabla2[Provincias],"no se encuentra")</f>
        <v>Sevilla</v>
      </c>
      <c r="L342" t="str">
        <f>_xlfn.XLOOKUP(datos_ventas[[#This Row],[Provincia]],Tabla2[Provincias],Tabla2[Comunidades],"no se encuentra")</f>
        <v>Andalucía</v>
      </c>
      <c r="M342" t="s">
        <v>13</v>
      </c>
      <c r="N342">
        <v>1</v>
      </c>
    </row>
    <row r="343" spans="1:14" x14ac:dyDescent="0.25">
      <c r="A343">
        <v>1342</v>
      </c>
      <c r="B343" s="1">
        <v>45849</v>
      </c>
      <c r="C343" s="4">
        <f>MONTH(datos_ventas[[#This Row],[Fecha]])</f>
        <v>7</v>
      </c>
      <c r="D343" s="4">
        <f>WEEKNUM(datos_ventas[[#This Row],[Fecha]],2)</f>
        <v>28</v>
      </c>
      <c r="E343" t="s">
        <v>10</v>
      </c>
      <c r="F343" t="s">
        <v>11</v>
      </c>
      <c r="G343">
        <v>2</v>
      </c>
      <c r="H343">
        <v>97342</v>
      </c>
      <c r="I343">
        <v>1274</v>
      </c>
      <c r="J343" t="s">
        <v>22</v>
      </c>
      <c r="K343" t="str">
        <f>_xlfn.XLOOKUP(datos_ventas[[#This Row],[Ciudad]],Tabla2[Ciudades],Tabla2[Provincias],"no se encuentra")</f>
        <v>Valencia</v>
      </c>
      <c r="L343" t="str">
        <f>_xlfn.XLOOKUP(datos_ventas[[#This Row],[Provincia]],Tabla2[Provincias],Tabla2[Comunidades],"no se encuentra")</f>
        <v>Comunidad Valenciana</v>
      </c>
      <c r="M343" t="s">
        <v>19</v>
      </c>
      <c r="N343">
        <v>2</v>
      </c>
    </row>
    <row r="344" spans="1:14" x14ac:dyDescent="0.25">
      <c r="A344">
        <v>1343</v>
      </c>
      <c r="B344" s="1">
        <v>45913</v>
      </c>
      <c r="C344" s="4">
        <f>MONTH(datos_ventas[[#This Row],[Fecha]])</f>
        <v>9</v>
      </c>
      <c r="D344" s="4">
        <f>WEEKNUM(datos_ventas[[#This Row],[Fecha]],2)</f>
        <v>37</v>
      </c>
      <c r="E344" t="s">
        <v>10</v>
      </c>
      <c r="F344" t="s">
        <v>11</v>
      </c>
      <c r="G344">
        <v>5</v>
      </c>
      <c r="H344">
        <v>104886</v>
      </c>
      <c r="I344">
        <v>1575</v>
      </c>
      <c r="J344" t="s">
        <v>32</v>
      </c>
      <c r="K344" t="str">
        <f>_xlfn.XLOOKUP(datos_ventas[[#This Row],[Ciudad]],Tabla2[Ciudades],Tabla2[Provincias],"no se encuentra")</f>
        <v>Barcelona</v>
      </c>
      <c r="L344" t="str">
        <f>_xlfn.XLOOKUP(datos_ventas[[#This Row],[Provincia]],Tabla2[Provincias],Tabla2[Comunidades],"no se encuentra")</f>
        <v>Cataluña</v>
      </c>
      <c r="M344" t="s">
        <v>15</v>
      </c>
      <c r="N344">
        <v>1</v>
      </c>
    </row>
    <row r="345" spans="1:14" x14ac:dyDescent="0.25">
      <c r="A345">
        <v>1344</v>
      </c>
      <c r="B345" s="1">
        <v>45810</v>
      </c>
      <c r="C345" s="4">
        <f>MONTH(datos_ventas[[#This Row],[Fecha]])</f>
        <v>6</v>
      </c>
      <c r="D345" s="4">
        <f>WEEKNUM(datos_ventas[[#This Row],[Fecha]],2)</f>
        <v>23</v>
      </c>
      <c r="E345" t="s">
        <v>23</v>
      </c>
      <c r="F345" t="s">
        <v>18</v>
      </c>
      <c r="G345">
        <v>2</v>
      </c>
      <c r="H345">
        <v>109803</v>
      </c>
      <c r="I345">
        <v>607</v>
      </c>
      <c r="J345" t="s">
        <v>12</v>
      </c>
      <c r="K345" t="str">
        <f>_xlfn.XLOOKUP(datos_ventas[[#This Row],[Ciudad]],Tabla2[Ciudades],Tabla2[Provincias],"no se encuentra")</f>
        <v>Málaga</v>
      </c>
      <c r="L345" t="str">
        <f>_xlfn.XLOOKUP(datos_ventas[[#This Row],[Provincia]],Tabla2[Provincias],Tabla2[Comunidades],"no se encuentra")</f>
        <v>Andalucía</v>
      </c>
      <c r="M345" t="s">
        <v>15</v>
      </c>
      <c r="N345">
        <v>2</v>
      </c>
    </row>
    <row r="346" spans="1:14" x14ac:dyDescent="0.25">
      <c r="A346">
        <v>1345</v>
      </c>
      <c r="B346" s="1">
        <v>45676</v>
      </c>
      <c r="C346" s="4">
        <f>MONTH(datos_ventas[[#This Row],[Fecha]])</f>
        <v>1</v>
      </c>
      <c r="D346" s="4">
        <f>WEEKNUM(datos_ventas[[#This Row],[Fecha]],2)</f>
        <v>3</v>
      </c>
      <c r="E346" t="s">
        <v>26</v>
      </c>
      <c r="F346" t="s">
        <v>18</v>
      </c>
      <c r="G346">
        <v>1</v>
      </c>
      <c r="H346">
        <v>544</v>
      </c>
      <c r="I346">
        <v>3614</v>
      </c>
      <c r="J346" t="s">
        <v>27</v>
      </c>
      <c r="K346" t="str">
        <f>_xlfn.XLOOKUP(datos_ventas[[#This Row],[Ciudad]],Tabla2[Ciudades],Tabla2[Provincias],"no se encuentra")</f>
        <v>Sevilla</v>
      </c>
      <c r="L346" t="str">
        <f>_xlfn.XLOOKUP(datos_ventas[[#This Row],[Provincia]],Tabla2[Provincias],Tabla2[Comunidades],"no se encuentra")</f>
        <v>Andalucía</v>
      </c>
      <c r="M346" t="s">
        <v>13</v>
      </c>
      <c r="N346">
        <v>2</v>
      </c>
    </row>
    <row r="347" spans="1:14" x14ac:dyDescent="0.25">
      <c r="A347">
        <v>1346</v>
      </c>
      <c r="B347" s="1">
        <v>45680</v>
      </c>
      <c r="C347" s="4">
        <f>MONTH(datos_ventas[[#This Row],[Fecha]])</f>
        <v>1</v>
      </c>
      <c r="D347" s="4">
        <f>WEEKNUM(datos_ventas[[#This Row],[Fecha]],2)</f>
        <v>4</v>
      </c>
      <c r="E347" t="s">
        <v>29</v>
      </c>
      <c r="F347" t="s">
        <v>30</v>
      </c>
      <c r="G347">
        <v>1</v>
      </c>
      <c r="H347">
        <v>6741</v>
      </c>
      <c r="I347">
        <v>1926</v>
      </c>
      <c r="J347" t="s">
        <v>12</v>
      </c>
      <c r="K347" t="str">
        <f>_xlfn.XLOOKUP(datos_ventas[[#This Row],[Ciudad]],Tabla2[Ciudades],Tabla2[Provincias],"no se encuentra")</f>
        <v>Málaga</v>
      </c>
      <c r="L347" t="str">
        <f>_xlfn.XLOOKUP(datos_ventas[[#This Row],[Provincia]],Tabla2[Provincias],Tabla2[Comunidades],"no se encuentra")</f>
        <v>Andalucía</v>
      </c>
      <c r="M347" t="s">
        <v>19</v>
      </c>
      <c r="N347">
        <v>5</v>
      </c>
    </row>
    <row r="348" spans="1:14" x14ac:dyDescent="0.25">
      <c r="A348">
        <v>1347</v>
      </c>
      <c r="B348" s="1">
        <v>45806</v>
      </c>
      <c r="C348" s="4">
        <f>MONTH(datos_ventas[[#This Row],[Fecha]])</f>
        <v>5</v>
      </c>
      <c r="D348" s="4">
        <f>WEEKNUM(datos_ventas[[#This Row],[Fecha]],2)</f>
        <v>22</v>
      </c>
      <c r="E348" t="s">
        <v>17</v>
      </c>
      <c r="F348" t="s">
        <v>18</v>
      </c>
      <c r="G348">
        <v>1</v>
      </c>
      <c r="H348">
        <v>26759</v>
      </c>
      <c r="I348">
        <v>3791</v>
      </c>
      <c r="J348" t="s">
        <v>12</v>
      </c>
      <c r="K348" t="str">
        <f>_xlfn.XLOOKUP(datos_ventas[[#This Row],[Ciudad]],Tabla2[Ciudades],Tabla2[Provincias],"no se encuentra")</f>
        <v>Málaga</v>
      </c>
      <c r="L348" t="str">
        <f>_xlfn.XLOOKUP(datos_ventas[[#This Row],[Provincia]],Tabla2[Provincias],Tabla2[Comunidades],"no se encuentra")</f>
        <v>Andalucía</v>
      </c>
      <c r="M348" t="s">
        <v>19</v>
      </c>
      <c r="N348">
        <v>1</v>
      </c>
    </row>
    <row r="349" spans="1:14" x14ac:dyDescent="0.25">
      <c r="A349">
        <v>1348</v>
      </c>
      <c r="B349" s="1">
        <v>45787</v>
      </c>
      <c r="C349" s="4">
        <f>MONTH(datos_ventas[[#This Row],[Fecha]])</f>
        <v>5</v>
      </c>
      <c r="D349" s="4">
        <f>WEEKNUM(datos_ventas[[#This Row],[Fecha]],2)</f>
        <v>19</v>
      </c>
      <c r="E349" t="s">
        <v>16</v>
      </c>
      <c r="F349" t="s">
        <v>11</v>
      </c>
      <c r="G349">
        <v>5</v>
      </c>
      <c r="H349">
        <v>2237</v>
      </c>
      <c r="I349">
        <v>1398</v>
      </c>
      <c r="J349" t="s">
        <v>14</v>
      </c>
      <c r="K349" t="str">
        <f>_xlfn.XLOOKUP(datos_ventas[[#This Row],[Ciudad]],Tabla2[Ciudades],Tabla2[Provincias],"no se encuentra")</f>
        <v>Madrid</v>
      </c>
      <c r="L349" t="str">
        <f>_xlfn.XLOOKUP(datos_ventas[[#This Row],[Provincia]],Tabla2[Provincias],Tabla2[Comunidades],"no se encuentra")</f>
        <v>Comunidad de Madrid</v>
      </c>
      <c r="M349" t="s">
        <v>15</v>
      </c>
      <c r="N349">
        <v>4</v>
      </c>
    </row>
    <row r="350" spans="1:14" x14ac:dyDescent="0.25">
      <c r="A350">
        <v>1349</v>
      </c>
      <c r="B350" s="1">
        <v>45716</v>
      </c>
      <c r="C350" s="4">
        <f>MONTH(datos_ventas[[#This Row],[Fecha]])</f>
        <v>2</v>
      </c>
      <c r="D350" s="4">
        <f>WEEKNUM(datos_ventas[[#This Row],[Fecha]],2)</f>
        <v>9</v>
      </c>
      <c r="E350" t="s">
        <v>26</v>
      </c>
      <c r="F350" t="s">
        <v>18</v>
      </c>
      <c r="G350">
        <v>4</v>
      </c>
      <c r="H350">
        <v>69212</v>
      </c>
      <c r="I350">
        <v>4533</v>
      </c>
      <c r="J350" t="s">
        <v>27</v>
      </c>
      <c r="K350" t="str">
        <f>_xlfn.XLOOKUP(datos_ventas[[#This Row],[Ciudad]],Tabla2[Ciudades],Tabla2[Provincias],"no se encuentra")</f>
        <v>Sevilla</v>
      </c>
      <c r="L350" t="str">
        <f>_xlfn.XLOOKUP(datos_ventas[[#This Row],[Provincia]],Tabla2[Provincias],Tabla2[Comunidades],"no se encuentra")</f>
        <v>Andalucía</v>
      </c>
      <c r="M350" t="s">
        <v>19</v>
      </c>
      <c r="N350">
        <v>2</v>
      </c>
    </row>
    <row r="351" spans="1:14" x14ac:dyDescent="0.25">
      <c r="A351">
        <v>1350</v>
      </c>
      <c r="B351" s="1">
        <v>45993</v>
      </c>
      <c r="C351" s="4">
        <f>MONTH(datos_ventas[[#This Row],[Fecha]])</f>
        <v>12</v>
      </c>
      <c r="D351" s="4">
        <f>WEEKNUM(datos_ventas[[#This Row],[Fecha]],2)</f>
        <v>49</v>
      </c>
      <c r="E351" t="s">
        <v>29</v>
      </c>
      <c r="F351" t="s">
        <v>30</v>
      </c>
      <c r="G351">
        <v>3</v>
      </c>
      <c r="H351">
        <v>2555</v>
      </c>
      <c r="I351">
        <v>1179</v>
      </c>
      <c r="J351" t="s">
        <v>31</v>
      </c>
      <c r="K351" t="str">
        <f>_xlfn.XLOOKUP(datos_ventas[[#This Row],[Ciudad]],Tabla2[Ciudades],Tabla2[Provincias],"no se encuentra")</f>
        <v>Vizcaya</v>
      </c>
      <c r="L351" t="str">
        <f>_xlfn.XLOOKUP(datos_ventas[[#This Row],[Provincia]],Tabla2[Provincias],Tabla2[Comunidades],"no se encuentra")</f>
        <v>País Vasco</v>
      </c>
      <c r="M351" t="s">
        <v>15</v>
      </c>
      <c r="N351">
        <v>2</v>
      </c>
    </row>
    <row r="352" spans="1:14" x14ac:dyDescent="0.25">
      <c r="A352">
        <v>1351</v>
      </c>
      <c r="B352" s="1">
        <v>45861</v>
      </c>
      <c r="C352" s="4">
        <f>MONTH(datos_ventas[[#This Row],[Fecha]])</f>
        <v>7</v>
      </c>
      <c r="D352" s="4">
        <f>WEEKNUM(datos_ventas[[#This Row],[Fecha]],2)</f>
        <v>30</v>
      </c>
      <c r="E352" t="s">
        <v>16</v>
      </c>
      <c r="F352" t="s">
        <v>11</v>
      </c>
      <c r="G352">
        <v>3</v>
      </c>
      <c r="H352">
        <v>5904</v>
      </c>
      <c r="I352">
        <v>3428</v>
      </c>
      <c r="J352" t="s">
        <v>14</v>
      </c>
      <c r="K352" t="str">
        <f>_xlfn.XLOOKUP(datos_ventas[[#This Row],[Ciudad]],Tabla2[Ciudades],Tabla2[Provincias],"no se encuentra")</f>
        <v>Madrid</v>
      </c>
      <c r="L352" t="str">
        <f>_xlfn.XLOOKUP(datos_ventas[[#This Row],[Provincia]],Tabla2[Provincias],Tabla2[Comunidades],"no se encuentra")</f>
        <v>Comunidad de Madrid</v>
      </c>
      <c r="M352" t="s">
        <v>19</v>
      </c>
      <c r="N352">
        <v>5</v>
      </c>
    </row>
    <row r="353" spans="1:14" x14ac:dyDescent="0.25">
      <c r="A353">
        <v>1352</v>
      </c>
      <c r="B353" s="1">
        <v>45872</v>
      </c>
      <c r="C353" s="4">
        <f>MONTH(datos_ventas[[#This Row],[Fecha]])</f>
        <v>8</v>
      </c>
      <c r="D353" s="4">
        <f>WEEKNUM(datos_ventas[[#This Row],[Fecha]],2)</f>
        <v>31</v>
      </c>
      <c r="E353" t="s">
        <v>17</v>
      </c>
      <c r="F353" t="s">
        <v>18</v>
      </c>
      <c r="G353">
        <v>5</v>
      </c>
      <c r="H353">
        <v>81293</v>
      </c>
      <c r="I353">
        <v>1339</v>
      </c>
      <c r="J353" t="s">
        <v>32</v>
      </c>
      <c r="K353" t="str">
        <f>_xlfn.XLOOKUP(datos_ventas[[#This Row],[Ciudad]],Tabla2[Ciudades],Tabla2[Provincias],"no se encuentra")</f>
        <v>Barcelona</v>
      </c>
      <c r="L353" t="str">
        <f>_xlfn.XLOOKUP(datos_ventas[[#This Row],[Provincia]],Tabla2[Provincias],Tabla2[Comunidades],"no se encuentra")</f>
        <v>Cataluña</v>
      </c>
      <c r="M353" t="s">
        <v>19</v>
      </c>
      <c r="N353">
        <v>1</v>
      </c>
    </row>
    <row r="354" spans="1:14" x14ac:dyDescent="0.25">
      <c r="A354">
        <v>1353</v>
      </c>
      <c r="B354" s="1">
        <v>46017</v>
      </c>
      <c r="C354" s="4">
        <f>MONTH(datos_ventas[[#This Row],[Fecha]])</f>
        <v>12</v>
      </c>
      <c r="D354" s="4">
        <f>WEEKNUM(datos_ventas[[#This Row],[Fecha]],2)</f>
        <v>52</v>
      </c>
      <c r="E354" t="s">
        <v>24</v>
      </c>
      <c r="F354" t="s">
        <v>25</v>
      </c>
      <c r="G354">
        <v>1</v>
      </c>
      <c r="H354">
        <v>40753</v>
      </c>
      <c r="I354">
        <v>2246</v>
      </c>
      <c r="J354" t="s">
        <v>12</v>
      </c>
      <c r="K354" t="str">
        <f>_xlfn.XLOOKUP(datos_ventas[[#This Row],[Ciudad]],Tabla2[Ciudades],Tabla2[Provincias],"no se encuentra")</f>
        <v>Málaga</v>
      </c>
      <c r="L354" t="str">
        <f>_xlfn.XLOOKUP(datos_ventas[[#This Row],[Provincia]],Tabla2[Provincias],Tabla2[Comunidades],"no se encuentra")</f>
        <v>Andalucía</v>
      </c>
      <c r="M354" t="s">
        <v>28</v>
      </c>
      <c r="N354">
        <v>1</v>
      </c>
    </row>
    <row r="355" spans="1:14" x14ac:dyDescent="0.25">
      <c r="A355">
        <v>1354</v>
      </c>
      <c r="B355" s="1">
        <v>45927</v>
      </c>
      <c r="C355" s="4">
        <f>MONTH(datos_ventas[[#This Row],[Fecha]])</f>
        <v>9</v>
      </c>
      <c r="D355" s="4">
        <f>WEEKNUM(datos_ventas[[#This Row],[Fecha]],2)</f>
        <v>39</v>
      </c>
      <c r="E355" t="s">
        <v>24</v>
      </c>
      <c r="F355" t="s">
        <v>25</v>
      </c>
      <c r="G355">
        <v>2</v>
      </c>
      <c r="H355">
        <v>17803</v>
      </c>
      <c r="I355">
        <v>1085</v>
      </c>
      <c r="J355" t="s">
        <v>14</v>
      </c>
      <c r="K355" t="str">
        <f>_xlfn.XLOOKUP(datos_ventas[[#This Row],[Ciudad]],Tabla2[Ciudades],Tabla2[Provincias],"no se encuentra")</f>
        <v>Madrid</v>
      </c>
      <c r="L355" t="str">
        <f>_xlfn.XLOOKUP(datos_ventas[[#This Row],[Provincia]],Tabla2[Provincias],Tabla2[Comunidades],"no se encuentra")</f>
        <v>Comunidad de Madrid</v>
      </c>
      <c r="M355" t="s">
        <v>15</v>
      </c>
      <c r="N355">
        <v>1</v>
      </c>
    </row>
    <row r="356" spans="1:14" x14ac:dyDescent="0.25">
      <c r="A356">
        <v>1355</v>
      </c>
      <c r="B356" s="1">
        <v>45982</v>
      </c>
      <c r="C356" s="4">
        <f>MONTH(datos_ventas[[#This Row],[Fecha]])</f>
        <v>11</v>
      </c>
      <c r="D356" s="4">
        <f>WEEKNUM(datos_ventas[[#This Row],[Fecha]],2)</f>
        <v>47</v>
      </c>
      <c r="E356" t="s">
        <v>16</v>
      </c>
      <c r="F356" t="s">
        <v>11</v>
      </c>
      <c r="G356">
        <v>5</v>
      </c>
      <c r="H356">
        <v>86254</v>
      </c>
      <c r="I356">
        <v>4168</v>
      </c>
      <c r="J356" t="s">
        <v>12</v>
      </c>
      <c r="K356" t="str">
        <f>_xlfn.XLOOKUP(datos_ventas[[#This Row],[Ciudad]],Tabla2[Ciudades],Tabla2[Provincias],"no se encuentra")</f>
        <v>Málaga</v>
      </c>
      <c r="L356" t="str">
        <f>_xlfn.XLOOKUP(datos_ventas[[#This Row],[Provincia]],Tabla2[Provincias],Tabla2[Comunidades],"no se encuentra")</f>
        <v>Andalucía</v>
      </c>
      <c r="M356" t="s">
        <v>15</v>
      </c>
      <c r="N356">
        <v>3</v>
      </c>
    </row>
    <row r="357" spans="1:14" x14ac:dyDescent="0.25">
      <c r="A357">
        <v>1356</v>
      </c>
      <c r="B357" s="1">
        <v>45841</v>
      </c>
      <c r="C357" s="4">
        <f>MONTH(datos_ventas[[#This Row],[Fecha]])</f>
        <v>7</v>
      </c>
      <c r="D357" s="4">
        <f>WEEKNUM(datos_ventas[[#This Row],[Fecha]],2)</f>
        <v>27</v>
      </c>
      <c r="E357" t="s">
        <v>17</v>
      </c>
      <c r="F357" t="s">
        <v>18</v>
      </c>
      <c r="G357">
        <v>4</v>
      </c>
      <c r="H357">
        <v>113675</v>
      </c>
      <c r="I357">
        <v>2512</v>
      </c>
      <c r="J357" t="s">
        <v>22</v>
      </c>
      <c r="K357" t="str">
        <f>_xlfn.XLOOKUP(datos_ventas[[#This Row],[Ciudad]],Tabla2[Ciudades],Tabla2[Provincias],"no se encuentra")</f>
        <v>Valencia</v>
      </c>
      <c r="L357" t="str">
        <f>_xlfn.XLOOKUP(datos_ventas[[#This Row],[Provincia]],Tabla2[Provincias],Tabla2[Comunidades],"no se encuentra")</f>
        <v>Comunidad Valenciana</v>
      </c>
      <c r="M357" t="s">
        <v>13</v>
      </c>
      <c r="N357">
        <v>2</v>
      </c>
    </row>
    <row r="358" spans="1:14" x14ac:dyDescent="0.25">
      <c r="A358">
        <v>1357</v>
      </c>
      <c r="B358" s="1">
        <v>45867</v>
      </c>
      <c r="C358" s="4">
        <f>MONTH(datos_ventas[[#This Row],[Fecha]])</f>
        <v>7</v>
      </c>
      <c r="D358" s="4">
        <f>WEEKNUM(datos_ventas[[#This Row],[Fecha]],2)</f>
        <v>31</v>
      </c>
      <c r="E358" t="s">
        <v>26</v>
      </c>
      <c r="F358" t="s">
        <v>18</v>
      </c>
      <c r="G358">
        <v>2</v>
      </c>
      <c r="H358">
        <v>54618</v>
      </c>
      <c r="I358">
        <v>2551</v>
      </c>
      <c r="J358" t="s">
        <v>14</v>
      </c>
      <c r="K358" t="str">
        <f>_xlfn.XLOOKUP(datos_ventas[[#This Row],[Ciudad]],Tabla2[Ciudades],Tabla2[Provincias],"no se encuentra")</f>
        <v>Madrid</v>
      </c>
      <c r="L358" t="str">
        <f>_xlfn.XLOOKUP(datos_ventas[[#This Row],[Provincia]],Tabla2[Provincias],Tabla2[Comunidades],"no se encuentra")</f>
        <v>Comunidad de Madrid</v>
      </c>
      <c r="M358" t="s">
        <v>15</v>
      </c>
      <c r="N358">
        <v>1</v>
      </c>
    </row>
    <row r="359" spans="1:14" x14ac:dyDescent="0.25">
      <c r="A359">
        <v>1358</v>
      </c>
      <c r="B359" s="1">
        <v>45989</v>
      </c>
      <c r="C359" s="4">
        <f>MONTH(datos_ventas[[#This Row],[Fecha]])</f>
        <v>11</v>
      </c>
      <c r="D359" s="4">
        <f>WEEKNUM(datos_ventas[[#This Row],[Fecha]],2)</f>
        <v>48</v>
      </c>
      <c r="E359" t="s">
        <v>29</v>
      </c>
      <c r="F359" t="s">
        <v>30</v>
      </c>
      <c r="G359">
        <v>1</v>
      </c>
      <c r="H359">
        <v>64945</v>
      </c>
      <c r="I359">
        <v>1665</v>
      </c>
      <c r="J359" t="s">
        <v>32</v>
      </c>
      <c r="K359" t="str">
        <f>_xlfn.XLOOKUP(datos_ventas[[#This Row],[Ciudad]],Tabla2[Ciudades],Tabla2[Provincias],"no se encuentra")</f>
        <v>Barcelona</v>
      </c>
      <c r="L359" t="str">
        <f>_xlfn.XLOOKUP(datos_ventas[[#This Row],[Provincia]],Tabla2[Provincias],Tabla2[Comunidades],"no se encuentra")</f>
        <v>Cataluña</v>
      </c>
      <c r="M359" t="s">
        <v>28</v>
      </c>
      <c r="N359">
        <v>1</v>
      </c>
    </row>
    <row r="360" spans="1:14" x14ac:dyDescent="0.25">
      <c r="A360">
        <v>1359</v>
      </c>
      <c r="B360" s="1">
        <v>45721</v>
      </c>
      <c r="C360" s="4">
        <f>MONTH(datos_ventas[[#This Row],[Fecha]])</f>
        <v>3</v>
      </c>
      <c r="D360" s="4">
        <f>WEEKNUM(datos_ventas[[#This Row],[Fecha]],2)</f>
        <v>10</v>
      </c>
      <c r="E360" t="s">
        <v>17</v>
      </c>
      <c r="F360" t="s">
        <v>18</v>
      </c>
      <c r="G360">
        <v>4</v>
      </c>
      <c r="H360">
        <v>264</v>
      </c>
      <c r="I360">
        <v>3356</v>
      </c>
      <c r="J360" t="s">
        <v>32</v>
      </c>
      <c r="K360" t="str">
        <f>_xlfn.XLOOKUP(datos_ventas[[#This Row],[Ciudad]],Tabla2[Ciudades],Tabla2[Provincias],"no se encuentra")</f>
        <v>Barcelona</v>
      </c>
      <c r="L360" t="str">
        <f>_xlfn.XLOOKUP(datos_ventas[[#This Row],[Provincia]],Tabla2[Provincias],Tabla2[Comunidades],"no se encuentra")</f>
        <v>Cataluña</v>
      </c>
      <c r="M360" t="s">
        <v>19</v>
      </c>
      <c r="N360">
        <v>5</v>
      </c>
    </row>
    <row r="361" spans="1:14" x14ac:dyDescent="0.25">
      <c r="A361">
        <v>1360</v>
      </c>
      <c r="B361" s="1">
        <v>46004</v>
      </c>
      <c r="C361" s="4">
        <f>MONTH(datos_ventas[[#This Row],[Fecha]])</f>
        <v>12</v>
      </c>
      <c r="D361" s="4">
        <f>WEEKNUM(datos_ventas[[#This Row],[Fecha]],2)</f>
        <v>50</v>
      </c>
      <c r="E361" t="s">
        <v>17</v>
      </c>
      <c r="F361" t="s">
        <v>18</v>
      </c>
      <c r="G361">
        <v>1</v>
      </c>
      <c r="H361">
        <v>16947</v>
      </c>
      <c r="I361">
        <v>2024</v>
      </c>
      <c r="J361" t="s">
        <v>12</v>
      </c>
      <c r="K361" t="str">
        <f>_xlfn.XLOOKUP(datos_ventas[[#This Row],[Ciudad]],Tabla2[Ciudades],Tabla2[Provincias],"no se encuentra")</f>
        <v>Málaga</v>
      </c>
      <c r="L361" t="str">
        <f>_xlfn.XLOOKUP(datos_ventas[[#This Row],[Provincia]],Tabla2[Provincias],Tabla2[Comunidades],"no se encuentra")</f>
        <v>Andalucía</v>
      </c>
      <c r="M361" t="s">
        <v>13</v>
      </c>
      <c r="N361">
        <v>4</v>
      </c>
    </row>
    <row r="362" spans="1:14" x14ac:dyDescent="0.25">
      <c r="A362">
        <v>1361</v>
      </c>
      <c r="B362" s="1">
        <v>45725</v>
      </c>
      <c r="C362" s="4">
        <f>MONTH(datos_ventas[[#This Row],[Fecha]])</f>
        <v>3</v>
      </c>
      <c r="D362" s="4">
        <f>WEEKNUM(datos_ventas[[#This Row],[Fecha]],2)</f>
        <v>10</v>
      </c>
      <c r="E362" t="s">
        <v>29</v>
      </c>
      <c r="F362" t="s">
        <v>30</v>
      </c>
      <c r="G362">
        <v>1</v>
      </c>
      <c r="H362">
        <v>29345</v>
      </c>
      <c r="I362">
        <v>501</v>
      </c>
      <c r="J362" t="s">
        <v>27</v>
      </c>
      <c r="K362" t="str">
        <f>_xlfn.XLOOKUP(datos_ventas[[#This Row],[Ciudad]],Tabla2[Ciudades],Tabla2[Provincias],"no se encuentra")</f>
        <v>Sevilla</v>
      </c>
      <c r="L362" t="str">
        <f>_xlfn.XLOOKUP(datos_ventas[[#This Row],[Provincia]],Tabla2[Provincias],Tabla2[Comunidades],"no se encuentra")</f>
        <v>Andalucía</v>
      </c>
      <c r="M362" t="s">
        <v>19</v>
      </c>
      <c r="N362">
        <v>4</v>
      </c>
    </row>
    <row r="363" spans="1:14" x14ac:dyDescent="0.25">
      <c r="A363">
        <v>1362</v>
      </c>
      <c r="B363" s="1">
        <v>45777</v>
      </c>
      <c r="C363" s="4">
        <f>MONTH(datos_ventas[[#This Row],[Fecha]])</f>
        <v>4</v>
      </c>
      <c r="D363" s="4">
        <f>WEEKNUM(datos_ventas[[#This Row],[Fecha]],2)</f>
        <v>18</v>
      </c>
      <c r="E363" t="s">
        <v>29</v>
      </c>
      <c r="F363" t="s">
        <v>30</v>
      </c>
      <c r="G363">
        <v>3</v>
      </c>
      <c r="H363">
        <v>80645</v>
      </c>
      <c r="I363">
        <v>4107</v>
      </c>
      <c r="J363" t="s">
        <v>32</v>
      </c>
      <c r="K363" t="str">
        <f>_xlfn.XLOOKUP(datos_ventas[[#This Row],[Ciudad]],Tabla2[Ciudades],Tabla2[Provincias],"no se encuentra")</f>
        <v>Barcelona</v>
      </c>
      <c r="L363" t="str">
        <f>_xlfn.XLOOKUP(datos_ventas[[#This Row],[Provincia]],Tabla2[Provincias],Tabla2[Comunidades],"no se encuentra")</f>
        <v>Cataluña</v>
      </c>
      <c r="M363" t="s">
        <v>28</v>
      </c>
      <c r="N363">
        <v>3</v>
      </c>
    </row>
    <row r="364" spans="1:14" x14ac:dyDescent="0.25">
      <c r="A364">
        <v>1363</v>
      </c>
      <c r="B364" s="1">
        <v>45697</v>
      </c>
      <c r="C364" s="4">
        <f>MONTH(datos_ventas[[#This Row],[Fecha]])</f>
        <v>2</v>
      </c>
      <c r="D364" s="4">
        <f>WEEKNUM(datos_ventas[[#This Row],[Fecha]],2)</f>
        <v>6</v>
      </c>
      <c r="E364" t="s">
        <v>10</v>
      </c>
      <c r="F364" t="s">
        <v>11</v>
      </c>
      <c r="G364">
        <v>2</v>
      </c>
      <c r="H364">
        <v>63234</v>
      </c>
      <c r="I364">
        <v>1279</v>
      </c>
      <c r="J364" t="s">
        <v>12</v>
      </c>
      <c r="K364" t="str">
        <f>_xlfn.XLOOKUP(datos_ventas[[#This Row],[Ciudad]],Tabla2[Ciudades],Tabla2[Provincias],"no se encuentra")</f>
        <v>Málaga</v>
      </c>
      <c r="L364" t="str">
        <f>_xlfn.XLOOKUP(datos_ventas[[#This Row],[Provincia]],Tabla2[Provincias],Tabla2[Comunidades],"no se encuentra")</f>
        <v>Andalucía</v>
      </c>
      <c r="M364" t="s">
        <v>19</v>
      </c>
      <c r="N364">
        <v>2</v>
      </c>
    </row>
    <row r="365" spans="1:14" x14ac:dyDescent="0.25">
      <c r="A365">
        <v>1364</v>
      </c>
      <c r="B365" s="1">
        <v>45831</v>
      </c>
      <c r="C365" s="4">
        <f>MONTH(datos_ventas[[#This Row],[Fecha]])</f>
        <v>6</v>
      </c>
      <c r="D365" s="4">
        <f>WEEKNUM(datos_ventas[[#This Row],[Fecha]],2)</f>
        <v>26</v>
      </c>
      <c r="E365" t="s">
        <v>16</v>
      </c>
      <c r="F365" t="s">
        <v>11</v>
      </c>
      <c r="G365">
        <v>4</v>
      </c>
      <c r="H365">
        <v>103068</v>
      </c>
      <c r="I365">
        <v>3054</v>
      </c>
      <c r="J365" t="s">
        <v>14</v>
      </c>
      <c r="K365" t="str">
        <f>_xlfn.XLOOKUP(datos_ventas[[#This Row],[Ciudad]],Tabla2[Ciudades],Tabla2[Provincias],"no se encuentra")</f>
        <v>Madrid</v>
      </c>
      <c r="L365" t="str">
        <f>_xlfn.XLOOKUP(datos_ventas[[#This Row],[Provincia]],Tabla2[Provincias],Tabla2[Comunidades],"no se encuentra")</f>
        <v>Comunidad de Madrid</v>
      </c>
      <c r="M365" t="s">
        <v>13</v>
      </c>
      <c r="N365">
        <v>1</v>
      </c>
    </row>
    <row r="366" spans="1:14" x14ac:dyDescent="0.25">
      <c r="A366">
        <v>1365</v>
      </c>
      <c r="B366" s="1">
        <v>45829</v>
      </c>
      <c r="C366" s="4">
        <f>MONTH(datos_ventas[[#This Row],[Fecha]])</f>
        <v>6</v>
      </c>
      <c r="D366" s="4">
        <f>WEEKNUM(datos_ventas[[#This Row],[Fecha]],2)</f>
        <v>25</v>
      </c>
      <c r="E366" t="s">
        <v>17</v>
      </c>
      <c r="F366" t="s">
        <v>18</v>
      </c>
      <c r="G366">
        <v>1</v>
      </c>
      <c r="H366">
        <v>66304</v>
      </c>
      <c r="I366">
        <v>2396</v>
      </c>
      <c r="J366" t="s">
        <v>27</v>
      </c>
      <c r="K366" t="str">
        <f>_xlfn.XLOOKUP(datos_ventas[[#This Row],[Ciudad]],Tabla2[Ciudades],Tabla2[Provincias],"no se encuentra")</f>
        <v>Sevilla</v>
      </c>
      <c r="L366" t="str">
        <f>_xlfn.XLOOKUP(datos_ventas[[#This Row],[Provincia]],Tabla2[Provincias],Tabla2[Comunidades],"no se encuentra")</f>
        <v>Andalucía</v>
      </c>
      <c r="M366" t="s">
        <v>13</v>
      </c>
      <c r="N366">
        <v>5</v>
      </c>
    </row>
    <row r="367" spans="1:14" x14ac:dyDescent="0.25">
      <c r="A367">
        <v>1366</v>
      </c>
      <c r="B367" s="1">
        <v>45921</v>
      </c>
      <c r="C367" s="4">
        <f>MONTH(datos_ventas[[#This Row],[Fecha]])</f>
        <v>9</v>
      </c>
      <c r="D367" s="4">
        <f>WEEKNUM(datos_ventas[[#This Row],[Fecha]],2)</f>
        <v>38</v>
      </c>
      <c r="E367" t="s">
        <v>23</v>
      </c>
      <c r="F367" t="s">
        <v>18</v>
      </c>
      <c r="G367">
        <v>3</v>
      </c>
      <c r="H367">
        <v>112859</v>
      </c>
      <c r="I367">
        <v>3477</v>
      </c>
      <c r="J367" t="s">
        <v>31</v>
      </c>
      <c r="K367" t="str">
        <f>_xlfn.XLOOKUP(datos_ventas[[#This Row],[Ciudad]],Tabla2[Ciudades],Tabla2[Provincias],"no se encuentra")</f>
        <v>Vizcaya</v>
      </c>
      <c r="L367" t="str">
        <f>_xlfn.XLOOKUP(datos_ventas[[#This Row],[Provincia]],Tabla2[Provincias],Tabla2[Comunidades],"no se encuentra")</f>
        <v>País Vasco</v>
      </c>
      <c r="M367" t="s">
        <v>13</v>
      </c>
      <c r="N367">
        <v>3</v>
      </c>
    </row>
    <row r="368" spans="1:14" x14ac:dyDescent="0.25">
      <c r="A368">
        <v>1367</v>
      </c>
      <c r="B368" s="1">
        <v>45889</v>
      </c>
      <c r="C368" s="4">
        <f>MONTH(datos_ventas[[#This Row],[Fecha]])</f>
        <v>8</v>
      </c>
      <c r="D368" s="4">
        <f>WEEKNUM(datos_ventas[[#This Row],[Fecha]],2)</f>
        <v>34</v>
      </c>
      <c r="E368" t="s">
        <v>10</v>
      </c>
      <c r="F368" t="s">
        <v>11</v>
      </c>
      <c r="G368">
        <v>1</v>
      </c>
      <c r="H368">
        <v>82144</v>
      </c>
      <c r="I368">
        <v>4577</v>
      </c>
      <c r="J368" t="s">
        <v>22</v>
      </c>
      <c r="K368" t="str">
        <f>_xlfn.XLOOKUP(datos_ventas[[#This Row],[Ciudad]],Tabla2[Ciudades],Tabla2[Provincias],"no se encuentra")</f>
        <v>Valencia</v>
      </c>
      <c r="L368" t="str">
        <f>_xlfn.XLOOKUP(datos_ventas[[#This Row],[Provincia]],Tabla2[Provincias],Tabla2[Comunidades],"no se encuentra")</f>
        <v>Comunidad Valenciana</v>
      </c>
      <c r="M368" t="s">
        <v>19</v>
      </c>
      <c r="N368">
        <v>2</v>
      </c>
    </row>
    <row r="369" spans="1:14" x14ac:dyDescent="0.25">
      <c r="A369">
        <v>1368</v>
      </c>
      <c r="B369" s="1">
        <v>45873</v>
      </c>
      <c r="C369" s="4">
        <f>MONTH(datos_ventas[[#This Row],[Fecha]])</f>
        <v>8</v>
      </c>
      <c r="D369" s="4">
        <f>WEEKNUM(datos_ventas[[#This Row],[Fecha]],2)</f>
        <v>32</v>
      </c>
      <c r="E369" t="s">
        <v>23</v>
      </c>
      <c r="F369" t="s">
        <v>18</v>
      </c>
      <c r="G369">
        <v>3</v>
      </c>
      <c r="H369">
        <v>15194</v>
      </c>
      <c r="I369">
        <v>514</v>
      </c>
      <c r="J369" t="s">
        <v>27</v>
      </c>
      <c r="K369" t="str">
        <f>_xlfn.XLOOKUP(datos_ventas[[#This Row],[Ciudad]],Tabla2[Ciudades],Tabla2[Provincias],"no se encuentra")</f>
        <v>Sevilla</v>
      </c>
      <c r="L369" t="str">
        <f>_xlfn.XLOOKUP(datos_ventas[[#This Row],[Provincia]],Tabla2[Provincias],Tabla2[Comunidades],"no se encuentra")</f>
        <v>Andalucía</v>
      </c>
      <c r="M369" t="s">
        <v>28</v>
      </c>
      <c r="N369">
        <v>3</v>
      </c>
    </row>
    <row r="370" spans="1:14" x14ac:dyDescent="0.25">
      <c r="A370">
        <v>1369</v>
      </c>
      <c r="B370" s="1">
        <v>45658</v>
      </c>
      <c r="C370" s="4">
        <f>MONTH(datos_ventas[[#This Row],[Fecha]])</f>
        <v>1</v>
      </c>
      <c r="D370" s="4">
        <f>WEEKNUM(datos_ventas[[#This Row],[Fecha]],2)</f>
        <v>1</v>
      </c>
      <c r="E370" t="s">
        <v>20</v>
      </c>
      <c r="F370" t="s">
        <v>21</v>
      </c>
      <c r="G370">
        <v>2</v>
      </c>
      <c r="H370">
        <v>27521</v>
      </c>
      <c r="I370">
        <v>998</v>
      </c>
      <c r="J370" t="s">
        <v>27</v>
      </c>
      <c r="K370" t="str">
        <f>_xlfn.XLOOKUP(datos_ventas[[#This Row],[Ciudad]],Tabla2[Ciudades],Tabla2[Provincias],"no se encuentra")</f>
        <v>Sevilla</v>
      </c>
      <c r="L370" t="str">
        <f>_xlfn.XLOOKUP(datos_ventas[[#This Row],[Provincia]],Tabla2[Provincias],Tabla2[Comunidades],"no se encuentra")</f>
        <v>Andalucía</v>
      </c>
      <c r="M370" t="s">
        <v>15</v>
      </c>
      <c r="N370">
        <v>1</v>
      </c>
    </row>
    <row r="371" spans="1:14" x14ac:dyDescent="0.25">
      <c r="A371">
        <v>1370</v>
      </c>
      <c r="B371" s="1">
        <v>45816</v>
      </c>
      <c r="C371" s="4">
        <f>MONTH(datos_ventas[[#This Row],[Fecha]])</f>
        <v>6</v>
      </c>
      <c r="D371" s="4">
        <f>WEEKNUM(datos_ventas[[#This Row],[Fecha]],2)</f>
        <v>23</v>
      </c>
      <c r="E371" t="s">
        <v>10</v>
      </c>
      <c r="F371" t="s">
        <v>11</v>
      </c>
      <c r="G371">
        <v>4</v>
      </c>
      <c r="H371">
        <v>90928</v>
      </c>
      <c r="I371">
        <v>2049</v>
      </c>
      <c r="J371" t="s">
        <v>31</v>
      </c>
      <c r="K371" t="str">
        <f>_xlfn.XLOOKUP(datos_ventas[[#This Row],[Ciudad]],Tabla2[Ciudades],Tabla2[Provincias],"no se encuentra")</f>
        <v>Vizcaya</v>
      </c>
      <c r="L371" t="str">
        <f>_xlfn.XLOOKUP(datos_ventas[[#This Row],[Provincia]],Tabla2[Provincias],Tabla2[Comunidades],"no se encuentra")</f>
        <v>País Vasco</v>
      </c>
      <c r="M371" t="s">
        <v>15</v>
      </c>
      <c r="N371">
        <v>2</v>
      </c>
    </row>
    <row r="372" spans="1:14" x14ac:dyDescent="0.25">
      <c r="A372">
        <v>1371</v>
      </c>
      <c r="B372" s="1">
        <v>45945</v>
      </c>
      <c r="C372" s="4">
        <f>MONTH(datos_ventas[[#This Row],[Fecha]])</f>
        <v>10</v>
      </c>
      <c r="D372" s="4">
        <f>WEEKNUM(datos_ventas[[#This Row],[Fecha]],2)</f>
        <v>42</v>
      </c>
      <c r="E372" t="s">
        <v>17</v>
      </c>
      <c r="F372" t="s">
        <v>18</v>
      </c>
      <c r="G372">
        <v>5</v>
      </c>
      <c r="H372">
        <v>15603</v>
      </c>
      <c r="I372">
        <v>1642</v>
      </c>
      <c r="J372" t="s">
        <v>32</v>
      </c>
      <c r="K372" t="str">
        <f>_xlfn.XLOOKUP(datos_ventas[[#This Row],[Ciudad]],Tabla2[Ciudades],Tabla2[Provincias],"no se encuentra")</f>
        <v>Barcelona</v>
      </c>
      <c r="L372" t="str">
        <f>_xlfn.XLOOKUP(datos_ventas[[#This Row],[Provincia]],Tabla2[Provincias],Tabla2[Comunidades],"no se encuentra")</f>
        <v>Cataluña</v>
      </c>
      <c r="M372" t="s">
        <v>15</v>
      </c>
      <c r="N372">
        <v>4</v>
      </c>
    </row>
    <row r="373" spans="1:14" x14ac:dyDescent="0.25">
      <c r="A373">
        <v>1372</v>
      </c>
      <c r="B373" s="1">
        <v>45986</v>
      </c>
      <c r="C373" s="4">
        <f>MONTH(datos_ventas[[#This Row],[Fecha]])</f>
        <v>11</v>
      </c>
      <c r="D373" s="4">
        <f>WEEKNUM(datos_ventas[[#This Row],[Fecha]],2)</f>
        <v>48</v>
      </c>
      <c r="E373" t="s">
        <v>29</v>
      </c>
      <c r="F373" t="s">
        <v>30</v>
      </c>
      <c r="G373">
        <v>4</v>
      </c>
      <c r="H373">
        <v>18836</v>
      </c>
      <c r="I373">
        <v>3744</v>
      </c>
      <c r="J373" t="s">
        <v>14</v>
      </c>
      <c r="K373" t="str">
        <f>_xlfn.XLOOKUP(datos_ventas[[#This Row],[Ciudad]],Tabla2[Ciudades],Tabla2[Provincias],"no se encuentra")</f>
        <v>Madrid</v>
      </c>
      <c r="L373" t="str">
        <f>_xlfn.XLOOKUP(datos_ventas[[#This Row],[Provincia]],Tabla2[Provincias],Tabla2[Comunidades],"no se encuentra")</f>
        <v>Comunidad de Madrid</v>
      </c>
      <c r="M373" t="s">
        <v>28</v>
      </c>
      <c r="N373">
        <v>1</v>
      </c>
    </row>
    <row r="374" spans="1:14" x14ac:dyDescent="0.25">
      <c r="A374">
        <v>1373</v>
      </c>
      <c r="B374" s="1">
        <v>45964</v>
      </c>
      <c r="C374" s="4">
        <f>MONTH(datos_ventas[[#This Row],[Fecha]])</f>
        <v>11</v>
      </c>
      <c r="D374" s="4">
        <f>WEEKNUM(datos_ventas[[#This Row],[Fecha]],2)</f>
        <v>45</v>
      </c>
      <c r="E374" t="s">
        <v>20</v>
      </c>
      <c r="F374" t="s">
        <v>21</v>
      </c>
      <c r="G374">
        <v>3</v>
      </c>
      <c r="H374">
        <v>115249</v>
      </c>
      <c r="I374">
        <v>3708</v>
      </c>
      <c r="J374" t="s">
        <v>14</v>
      </c>
      <c r="K374" t="str">
        <f>_xlfn.XLOOKUP(datos_ventas[[#This Row],[Ciudad]],Tabla2[Ciudades],Tabla2[Provincias],"no se encuentra")</f>
        <v>Madrid</v>
      </c>
      <c r="L374" t="str">
        <f>_xlfn.XLOOKUP(datos_ventas[[#This Row],[Provincia]],Tabla2[Provincias],Tabla2[Comunidades],"no se encuentra")</f>
        <v>Comunidad de Madrid</v>
      </c>
      <c r="M374" t="s">
        <v>19</v>
      </c>
      <c r="N374">
        <v>5</v>
      </c>
    </row>
    <row r="375" spans="1:14" x14ac:dyDescent="0.25">
      <c r="A375">
        <v>1374</v>
      </c>
      <c r="B375" s="1">
        <v>45694</v>
      </c>
      <c r="C375" s="4">
        <f>MONTH(datos_ventas[[#This Row],[Fecha]])</f>
        <v>2</v>
      </c>
      <c r="D375" s="4">
        <f>WEEKNUM(datos_ventas[[#This Row],[Fecha]],2)</f>
        <v>6</v>
      </c>
      <c r="E375" t="s">
        <v>17</v>
      </c>
      <c r="F375" t="s">
        <v>18</v>
      </c>
      <c r="G375">
        <v>4</v>
      </c>
      <c r="H375">
        <v>3823</v>
      </c>
      <c r="I375">
        <v>3785</v>
      </c>
      <c r="J375" t="s">
        <v>32</v>
      </c>
      <c r="K375" t="str">
        <f>_xlfn.XLOOKUP(datos_ventas[[#This Row],[Ciudad]],Tabla2[Ciudades],Tabla2[Provincias],"no se encuentra")</f>
        <v>Barcelona</v>
      </c>
      <c r="L375" t="str">
        <f>_xlfn.XLOOKUP(datos_ventas[[#This Row],[Provincia]],Tabla2[Provincias],Tabla2[Comunidades],"no se encuentra")</f>
        <v>Cataluña</v>
      </c>
      <c r="M375" t="s">
        <v>19</v>
      </c>
      <c r="N375">
        <v>5</v>
      </c>
    </row>
    <row r="376" spans="1:14" x14ac:dyDescent="0.25">
      <c r="A376">
        <v>1375</v>
      </c>
      <c r="B376" s="1">
        <v>45856</v>
      </c>
      <c r="C376" s="4">
        <f>MONTH(datos_ventas[[#This Row],[Fecha]])</f>
        <v>7</v>
      </c>
      <c r="D376" s="4">
        <f>WEEKNUM(datos_ventas[[#This Row],[Fecha]],2)</f>
        <v>29</v>
      </c>
      <c r="E376" t="s">
        <v>10</v>
      </c>
      <c r="F376" t="s">
        <v>11</v>
      </c>
      <c r="G376">
        <v>4</v>
      </c>
      <c r="H376">
        <v>5587</v>
      </c>
      <c r="I376">
        <v>3587</v>
      </c>
      <c r="J376" t="s">
        <v>12</v>
      </c>
      <c r="K376" t="str">
        <f>_xlfn.XLOOKUP(datos_ventas[[#This Row],[Ciudad]],Tabla2[Ciudades],Tabla2[Provincias],"no se encuentra")</f>
        <v>Málaga</v>
      </c>
      <c r="L376" t="str">
        <f>_xlfn.XLOOKUP(datos_ventas[[#This Row],[Provincia]],Tabla2[Provincias],Tabla2[Comunidades],"no se encuentra")</f>
        <v>Andalucía</v>
      </c>
      <c r="M376" t="s">
        <v>15</v>
      </c>
      <c r="N376">
        <v>4</v>
      </c>
    </row>
    <row r="377" spans="1:14" x14ac:dyDescent="0.25">
      <c r="A377">
        <v>1376</v>
      </c>
      <c r="B377" s="1">
        <v>46000</v>
      </c>
      <c r="C377" s="4">
        <f>MONTH(datos_ventas[[#This Row],[Fecha]])</f>
        <v>12</v>
      </c>
      <c r="D377" s="4">
        <f>WEEKNUM(datos_ventas[[#This Row],[Fecha]],2)</f>
        <v>50</v>
      </c>
      <c r="E377" t="s">
        <v>24</v>
      </c>
      <c r="F377" t="s">
        <v>25</v>
      </c>
      <c r="G377">
        <v>4</v>
      </c>
      <c r="H377">
        <v>80241</v>
      </c>
      <c r="I377">
        <v>4288</v>
      </c>
      <c r="J377" t="s">
        <v>22</v>
      </c>
      <c r="K377" t="str">
        <f>_xlfn.XLOOKUP(datos_ventas[[#This Row],[Ciudad]],Tabla2[Ciudades],Tabla2[Provincias],"no se encuentra")</f>
        <v>Valencia</v>
      </c>
      <c r="L377" t="str">
        <f>_xlfn.XLOOKUP(datos_ventas[[#This Row],[Provincia]],Tabla2[Provincias],Tabla2[Comunidades],"no se encuentra")</f>
        <v>Comunidad Valenciana</v>
      </c>
      <c r="M377" t="s">
        <v>19</v>
      </c>
      <c r="N377">
        <v>5</v>
      </c>
    </row>
    <row r="378" spans="1:14" x14ac:dyDescent="0.25">
      <c r="A378">
        <v>1377</v>
      </c>
      <c r="B378" s="1">
        <v>45848</v>
      </c>
      <c r="C378" s="4">
        <f>MONTH(datos_ventas[[#This Row],[Fecha]])</f>
        <v>7</v>
      </c>
      <c r="D378" s="4">
        <f>WEEKNUM(datos_ventas[[#This Row],[Fecha]],2)</f>
        <v>28</v>
      </c>
      <c r="E378" t="s">
        <v>24</v>
      </c>
      <c r="F378" t="s">
        <v>25</v>
      </c>
      <c r="G378">
        <v>5</v>
      </c>
      <c r="H378">
        <v>14603</v>
      </c>
      <c r="I378">
        <v>2794</v>
      </c>
      <c r="J378" t="s">
        <v>32</v>
      </c>
      <c r="K378" t="str">
        <f>_xlfn.XLOOKUP(datos_ventas[[#This Row],[Ciudad]],Tabla2[Ciudades],Tabla2[Provincias],"no se encuentra")</f>
        <v>Barcelona</v>
      </c>
      <c r="L378" t="str">
        <f>_xlfn.XLOOKUP(datos_ventas[[#This Row],[Provincia]],Tabla2[Provincias],Tabla2[Comunidades],"no se encuentra")</f>
        <v>Cataluña</v>
      </c>
      <c r="M378" t="s">
        <v>19</v>
      </c>
      <c r="N378">
        <v>2</v>
      </c>
    </row>
    <row r="379" spans="1:14" x14ac:dyDescent="0.25">
      <c r="A379">
        <v>1378</v>
      </c>
      <c r="B379" s="1">
        <v>45700</v>
      </c>
      <c r="C379" s="4">
        <f>MONTH(datos_ventas[[#This Row],[Fecha]])</f>
        <v>2</v>
      </c>
      <c r="D379" s="4">
        <f>WEEKNUM(datos_ventas[[#This Row],[Fecha]],2)</f>
        <v>7</v>
      </c>
      <c r="E379" t="s">
        <v>10</v>
      </c>
      <c r="F379" t="s">
        <v>11</v>
      </c>
      <c r="G379">
        <v>4</v>
      </c>
      <c r="H379">
        <v>81058</v>
      </c>
      <c r="I379">
        <v>3945</v>
      </c>
      <c r="J379" t="s">
        <v>27</v>
      </c>
      <c r="K379" t="str">
        <f>_xlfn.XLOOKUP(datos_ventas[[#This Row],[Ciudad]],Tabla2[Ciudades],Tabla2[Provincias],"no se encuentra")</f>
        <v>Sevilla</v>
      </c>
      <c r="L379" t="str">
        <f>_xlfn.XLOOKUP(datos_ventas[[#This Row],[Provincia]],Tabla2[Provincias],Tabla2[Comunidades],"no se encuentra")</f>
        <v>Andalucía</v>
      </c>
      <c r="M379" t="s">
        <v>13</v>
      </c>
      <c r="N379">
        <v>3</v>
      </c>
    </row>
    <row r="380" spans="1:14" x14ac:dyDescent="0.25">
      <c r="A380">
        <v>1379</v>
      </c>
      <c r="B380" s="1">
        <v>45681</v>
      </c>
      <c r="C380" s="4">
        <f>MONTH(datos_ventas[[#This Row],[Fecha]])</f>
        <v>1</v>
      </c>
      <c r="D380" s="4">
        <f>WEEKNUM(datos_ventas[[#This Row],[Fecha]],2)</f>
        <v>4</v>
      </c>
      <c r="E380" t="s">
        <v>29</v>
      </c>
      <c r="F380" t="s">
        <v>30</v>
      </c>
      <c r="G380">
        <v>4</v>
      </c>
      <c r="H380">
        <v>8555</v>
      </c>
      <c r="I380">
        <v>4779</v>
      </c>
      <c r="J380" t="s">
        <v>27</v>
      </c>
      <c r="K380" t="str">
        <f>_xlfn.XLOOKUP(datos_ventas[[#This Row],[Ciudad]],Tabla2[Ciudades],Tabla2[Provincias],"no se encuentra")</f>
        <v>Sevilla</v>
      </c>
      <c r="L380" t="str">
        <f>_xlfn.XLOOKUP(datos_ventas[[#This Row],[Provincia]],Tabla2[Provincias],Tabla2[Comunidades],"no se encuentra")</f>
        <v>Andalucía</v>
      </c>
      <c r="M380" t="s">
        <v>19</v>
      </c>
      <c r="N380">
        <v>2</v>
      </c>
    </row>
    <row r="381" spans="1:14" x14ac:dyDescent="0.25">
      <c r="A381">
        <v>1380</v>
      </c>
      <c r="B381" s="1">
        <v>45716</v>
      </c>
      <c r="C381" s="4">
        <f>MONTH(datos_ventas[[#This Row],[Fecha]])</f>
        <v>2</v>
      </c>
      <c r="D381" s="4">
        <f>WEEKNUM(datos_ventas[[#This Row],[Fecha]],2)</f>
        <v>9</v>
      </c>
      <c r="E381" t="s">
        <v>24</v>
      </c>
      <c r="F381" t="s">
        <v>25</v>
      </c>
      <c r="G381">
        <v>1</v>
      </c>
      <c r="H381">
        <v>76259</v>
      </c>
      <c r="I381">
        <v>3607</v>
      </c>
      <c r="J381" t="s">
        <v>27</v>
      </c>
      <c r="K381" t="str">
        <f>_xlfn.XLOOKUP(datos_ventas[[#This Row],[Ciudad]],Tabla2[Ciudades],Tabla2[Provincias],"no se encuentra")</f>
        <v>Sevilla</v>
      </c>
      <c r="L381" t="str">
        <f>_xlfn.XLOOKUP(datos_ventas[[#This Row],[Provincia]],Tabla2[Provincias],Tabla2[Comunidades],"no se encuentra")</f>
        <v>Andalucía</v>
      </c>
      <c r="M381" t="s">
        <v>28</v>
      </c>
      <c r="N381">
        <v>3</v>
      </c>
    </row>
    <row r="382" spans="1:14" x14ac:dyDescent="0.25">
      <c r="A382">
        <v>1381</v>
      </c>
      <c r="B382" s="1">
        <v>45848</v>
      </c>
      <c r="C382" s="4">
        <f>MONTH(datos_ventas[[#This Row],[Fecha]])</f>
        <v>7</v>
      </c>
      <c r="D382" s="4">
        <f>WEEKNUM(datos_ventas[[#This Row],[Fecha]],2)</f>
        <v>28</v>
      </c>
      <c r="E382" t="s">
        <v>20</v>
      </c>
      <c r="F382" t="s">
        <v>21</v>
      </c>
      <c r="G382">
        <v>4</v>
      </c>
      <c r="H382">
        <v>2270</v>
      </c>
      <c r="I382">
        <v>1502</v>
      </c>
      <c r="J382" t="s">
        <v>32</v>
      </c>
      <c r="K382" t="str">
        <f>_xlfn.XLOOKUP(datos_ventas[[#This Row],[Ciudad]],Tabla2[Ciudades],Tabla2[Provincias],"no se encuentra")</f>
        <v>Barcelona</v>
      </c>
      <c r="L382" t="str">
        <f>_xlfn.XLOOKUP(datos_ventas[[#This Row],[Provincia]],Tabla2[Provincias],Tabla2[Comunidades],"no se encuentra")</f>
        <v>Cataluña</v>
      </c>
      <c r="M382" t="s">
        <v>19</v>
      </c>
      <c r="N382">
        <v>5</v>
      </c>
    </row>
    <row r="383" spans="1:14" x14ac:dyDescent="0.25">
      <c r="A383">
        <v>1382</v>
      </c>
      <c r="B383" s="1">
        <v>45758</v>
      </c>
      <c r="C383" s="4">
        <f>MONTH(datos_ventas[[#This Row],[Fecha]])</f>
        <v>4</v>
      </c>
      <c r="D383" s="4">
        <f>WEEKNUM(datos_ventas[[#This Row],[Fecha]],2)</f>
        <v>15</v>
      </c>
      <c r="E383" t="s">
        <v>23</v>
      </c>
      <c r="F383" t="s">
        <v>18</v>
      </c>
      <c r="G383">
        <v>1</v>
      </c>
      <c r="H383">
        <v>4009</v>
      </c>
      <c r="I383">
        <v>2878</v>
      </c>
      <c r="J383" t="s">
        <v>32</v>
      </c>
      <c r="K383" t="str">
        <f>_xlfn.XLOOKUP(datos_ventas[[#This Row],[Ciudad]],Tabla2[Ciudades],Tabla2[Provincias],"no se encuentra")</f>
        <v>Barcelona</v>
      </c>
      <c r="L383" t="str">
        <f>_xlfn.XLOOKUP(datos_ventas[[#This Row],[Provincia]],Tabla2[Provincias],Tabla2[Comunidades],"no se encuentra")</f>
        <v>Cataluña</v>
      </c>
      <c r="M383" t="s">
        <v>19</v>
      </c>
      <c r="N383">
        <v>1</v>
      </c>
    </row>
    <row r="384" spans="1:14" x14ac:dyDescent="0.25">
      <c r="A384">
        <v>1383</v>
      </c>
      <c r="B384" s="1">
        <v>45776</v>
      </c>
      <c r="C384" s="4">
        <f>MONTH(datos_ventas[[#This Row],[Fecha]])</f>
        <v>4</v>
      </c>
      <c r="D384" s="4">
        <f>WEEKNUM(datos_ventas[[#This Row],[Fecha]],2)</f>
        <v>18</v>
      </c>
      <c r="E384" t="s">
        <v>24</v>
      </c>
      <c r="F384" t="s">
        <v>25</v>
      </c>
      <c r="G384">
        <v>2</v>
      </c>
      <c r="H384">
        <v>77402</v>
      </c>
      <c r="I384">
        <v>2242</v>
      </c>
      <c r="J384" t="s">
        <v>27</v>
      </c>
      <c r="K384" t="str">
        <f>_xlfn.XLOOKUP(datos_ventas[[#This Row],[Ciudad]],Tabla2[Ciudades],Tabla2[Provincias],"no se encuentra")</f>
        <v>Sevilla</v>
      </c>
      <c r="L384" t="str">
        <f>_xlfn.XLOOKUP(datos_ventas[[#This Row],[Provincia]],Tabla2[Provincias],Tabla2[Comunidades],"no se encuentra")</f>
        <v>Andalucía</v>
      </c>
      <c r="M384" t="s">
        <v>28</v>
      </c>
      <c r="N384">
        <v>4</v>
      </c>
    </row>
    <row r="385" spans="1:14" x14ac:dyDescent="0.25">
      <c r="A385">
        <v>1384</v>
      </c>
      <c r="B385" s="1">
        <v>45667</v>
      </c>
      <c r="C385" s="4">
        <f>MONTH(datos_ventas[[#This Row],[Fecha]])</f>
        <v>1</v>
      </c>
      <c r="D385" s="4">
        <f>WEEKNUM(datos_ventas[[#This Row],[Fecha]],2)</f>
        <v>2</v>
      </c>
      <c r="E385" t="s">
        <v>10</v>
      </c>
      <c r="F385" t="s">
        <v>11</v>
      </c>
      <c r="G385">
        <v>2</v>
      </c>
      <c r="H385">
        <v>37899</v>
      </c>
      <c r="I385">
        <v>3879</v>
      </c>
      <c r="J385" t="s">
        <v>14</v>
      </c>
      <c r="K385" t="str">
        <f>_xlfn.XLOOKUP(datos_ventas[[#This Row],[Ciudad]],Tabla2[Ciudades],Tabla2[Provincias],"no se encuentra")</f>
        <v>Madrid</v>
      </c>
      <c r="L385" t="str">
        <f>_xlfn.XLOOKUP(datos_ventas[[#This Row],[Provincia]],Tabla2[Provincias],Tabla2[Comunidades],"no se encuentra")</f>
        <v>Comunidad de Madrid</v>
      </c>
      <c r="M385" t="s">
        <v>15</v>
      </c>
      <c r="N385">
        <v>5</v>
      </c>
    </row>
    <row r="386" spans="1:14" x14ac:dyDescent="0.25">
      <c r="A386">
        <v>1385</v>
      </c>
      <c r="B386" s="1">
        <v>45720</v>
      </c>
      <c r="C386" s="4">
        <f>MONTH(datos_ventas[[#This Row],[Fecha]])</f>
        <v>3</v>
      </c>
      <c r="D386" s="4">
        <f>WEEKNUM(datos_ventas[[#This Row],[Fecha]],2)</f>
        <v>10</v>
      </c>
      <c r="E386" t="s">
        <v>24</v>
      </c>
      <c r="F386" t="s">
        <v>25</v>
      </c>
      <c r="G386">
        <v>4</v>
      </c>
      <c r="H386">
        <v>19753</v>
      </c>
      <c r="I386">
        <v>169</v>
      </c>
      <c r="J386" t="s">
        <v>27</v>
      </c>
      <c r="K386" t="str">
        <f>_xlfn.XLOOKUP(datos_ventas[[#This Row],[Ciudad]],Tabla2[Ciudades],Tabla2[Provincias],"no se encuentra")</f>
        <v>Sevilla</v>
      </c>
      <c r="L386" t="str">
        <f>_xlfn.XLOOKUP(datos_ventas[[#This Row],[Provincia]],Tabla2[Provincias],Tabla2[Comunidades],"no se encuentra")</f>
        <v>Andalucía</v>
      </c>
      <c r="M386" t="s">
        <v>13</v>
      </c>
      <c r="N386">
        <v>2</v>
      </c>
    </row>
    <row r="387" spans="1:14" x14ac:dyDescent="0.25">
      <c r="A387">
        <v>1386</v>
      </c>
      <c r="B387" s="1">
        <v>45885</v>
      </c>
      <c r="C387" s="4">
        <f>MONTH(datos_ventas[[#This Row],[Fecha]])</f>
        <v>8</v>
      </c>
      <c r="D387" s="4">
        <f>WEEKNUM(datos_ventas[[#This Row],[Fecha]],2)</f>
        <v>33</v>
      </c>
      <c r="E387" t="s">
        <v>10</v>
      </c>
      <c r="F387" t="s">
        <v>11</v>
      </c>
      <c r="G387">
        <v>3</v>
      </c>
      <c r="H387">
        <v>58362</v>
      </c>
      <c r="I387">
        <v>4649</v>
      </c>
      <c r="J387" t="s">
        <v>31</v>
      </c>
      <c r="K387" t="str">
        <f>_xlfn.XLOOKUP(datos_ventas[[#This Row],[Ciudad]],Tabla2[Ciudades],Tabla2[Provincias],"no se encuentra")</f>
        <v>Vizcaya</v>
      </c>
      <c r="L387" t="str">
        <f>_xlfn.XLOOKUP(datos_ventas[[#This Row],[Provincia]],Tabla2[Provincias],Tabla2[Comunidades],"no se encuentra")</f>
        <v>País Vasco</v>
      </c>
      <c r="M387" t="s">
        <v>19</v>
      </c>
      <c r="N387">
        <v>5</v>
      </c>
    </row>
    <row r="388" spans="1:14" x14ac:dyDescent="0.25">
      <c r="A388">
        <v>1387</v>
      </c>
      <c r="B388" s="1">
        <v>45884</v>
      </c>
      <c r="C388" s="4">
        <f>MONTH(datos_ventas[[#This Row],[Fecha]])</f>
        <v>8</v>
      </c>
      <c r="D388" s="4">
        <f>WEEKNUM(datos_ventas[[#This Row],[Fecha]],2)</f>
        <v>33</v>
      </c>
      <c r="E388" t="s">
        <v>29</v>
      </c>
      <c r="F388" t="s">
        <v>30</v>
      </c>
      <c r="G388">
        <v>3</v>
      </c>
      <c r="H388">
        <v>39648</v>
      </c>
      <c r="I388">
        <v>125</v>
      </c>
      <c r="J388" t="s">
        <v>32</v>
      </c>
      <c r="K388" t="str">
        <f>_xlfn.XLOOKUP(datos_ventas[[#This Row],[Ciudad]],Tabla2[Ciudades],Tabla2[Provincias],"no se encuentra")</f>
        <v>Barcelona</v>
      </c>
      <c r="L388" t="str">
        <f>_xlfn.XLOOKUP(datos_ventas[[#This Row],[Provincia]],Tabla2[Provincias],Tabla2[Comunidades],"no se encuentra")</f>
        <v>Cataluña</v>
      </c>
      <c r="M388" t="s">
        <v>13</v>
      </c>
      <c r="N388">
        <v>4</v>
      </c>
    </row>
    <row r="389" spans="1:14" x14ac:dyDescent="0.25">
      <c r="A389">
        <v>1388</v>
      </c>
      <c r="B389" s="1">
        <v>45844</v>
      </c>
      <c r="C389" s="4">
        <f>MONTH(datos_ventas[[#This Row],[Fecha]])</f>
        <v>7</v>
      </c>
      <c r="D389" s="4">
        <f>WEEKNUM(datos_ventas[[#This Row],[Fecha]],2)</f>
        <v>27</v>
      </c>
      <c r="E389" t="s">
        <v>29</v>
      </c>
      <c r="F389" t="s">
        <v>30</v>
      </c>
      <c r="G389">
        <v>2</v>
      </c>
      <c r="H389">
        <v>94523</v>
      </c>
      <c r="I389">
        <v>3056</v>
      </c>
      <c r="J389" t="s">
        <v>31</v>
      </c>
      <c r="K389" t="str">
        <f>_xlfn.XLOOKUP(datos_ventas[[#This Row],[Ciudad]],Tabla2[Ciudades],Tabla2[Provincias],"no se encuentra")</f>
        <v>Vizcaya</v>
      </c>
      <c r="L389" t="str">
        <f>_xlfn.XLOOKUP(datos_ventas[[#This Row],[Provincia]],Tabla2[Provincias],Tabla2[Comunidades],"no se encuentra")</f>
        <v>País Vasco</v>
      </c>
      <c r="M389" t="s">
        <v>28</v>
      </c>
      <c r="N389">
        <v>4</v>
      </c>
    </row>
    <row r="390" spans="1:14" x14ac:dyDescent="0.25">
      <c r="A390">
        <v>1389</v>
      </c>
      <c r="B390" s="1">
        <v>45947</v>
      </c>
      <c r="C390" s="4">
        <f>MONTH(datos_ventas[[#This Row],[Fecha]])</f>
        <v>10</v>
      </c>
      <c r="D390" s="4">
        <f>WEEKNUM(datos_ventas[[#This Row],[Fecha]],2)</f>
        <v>42</v>
      </c>
      <c r="E390" t="s">
        <v>17</v>
      </c>
      <c r="F390" t="s">
        <v>18</v>
      </c>
      <c r="G390">
        <v>2</v>
      </c>
      <c r="H390">
        <v>97211</v>
      </c>
      <c r="I390">
        <v>1091</v>
      </c>
      <c r="J390" t="s">
        <v>22</v>
      </c>
      <c r="K390" t="str">
        <f>_xlfn.XLOOKUP(datos_ventas[[#This Row],[Ciudad]],Tabla2[Ciudades],Tabla2[Provincias],"no se encuentra")</f>
        <v>Valencia</v>
      </c>
      <c r="L390" t="str">
        <f>_xlfn.XLOOKUP(datos_ventas[[#This Row],[Provincia]],Tabla2[Provincias],Tabla2[Comunidades],"no se encuentra")</f>
        <v>Comunidad Valenciana</v>
      </c>
      <c r="M390" t="s">
        <v>15</v>
      </c>
      <c r="N390">
        <v>3</v>
      </c>
    </row>
    <row r="391" spans="1:14" x14ac:dyDescent="0.25">
      <c r="A391">
        <v>1390</v>
      </c>
      <c r="B391" s="1">
        <v>45970</v>
      </c>
      <c r="C391" s="4">
        <f>MONTH(datos_ventas[[#This Row],[Fecha]])</f>
        <v>11</v>
      </c>
      <c r="D391" s="4">
        <f>WEEKNUM(datos_ventas[[#This Row],[Fecha]],2)</f>
        <v>45</v>
      </c>
      <c r="E391" t="s">
        <v>29</v>
      </c>
      <c r="F391" t="s">
        <v>30</v>
      </c>
      <c r="G391">
        <v>4</v>
      </c>
      <c r="H391">
        <v>118097</v>
      </c>
      <c r="I391">
        <v>2764</v>
      </c>
      <c r="J391" t="s">
        <v>32</v>
      </c>
      <c r="K391" t="str">
        <f>_xlfn.XLOOKUP(datos_ventas[[#This Row],[Ciudad]],Tabla2[Ciudades],Tabla2[Provincias],"no se encuentra")</f>
        <v>Barcelona</v>
      </c>
      <c r="L391" t="str">
        <f>_xlfn.XLOOKUP(datos_ventas[[#This Row],[Provincia]],Tabla2[Provincias],Tabla2[Comunidades],"no se encuentra")</f>
        <v>Cataluña</v>
      </c>
      <c r="M391" t="s">
        <v>13</v>
      </c>
      <c r="N391">
        <v>1</v>
      </c>
    </row>
    <row r="392" spans="1:14" x14ac:dyDescent="0.25">
      <c r="A392">
        <v>1391</v>
      </c>
      <c r="B392" s="1">
        <v>45697</v>
      </c>
      <c r="C392" s="4">
        <f>MONTH(datos_ventas[[#This Row],[Fecha]])</f>
        <v>2</v>
      </c>
      <c r="D392" s="4">
        <f>WEEKNUM(datos_ventas[[#This Row],[Fecha]],2)</f>
        <v>6</v>
      </c>
      <c r="E392" t="s">
        <v>24</v>
      </c>
      <c r="F392" t="s">
        <v>25</v>
      </c>
      <c r="G392">
        <v>2</v>
      </c>
      <c r="H392">
        <v>6466</v>
      </c>
      <c r="I392">
        <v>2121</v>
      </c>
      <c r="J392" t="s">
        <v>12</v>
      </c>
      <c r="K392" t="str">
        <f>_xlfn.XLOOKUP(datos_ventas[[#This Row],[Ciudad]],Tabla2[Ciudades],Tabla2[Provincias],"no se encuentra")</f>
        <v>Málaga</v>
      </c>
      <c r="L392" t="str">
        <f>_xlfn.XLOOKUP(datos_ventas[[#This Row],[Provincia]],Tabla2[Provincias],Tabla2[Comunidades],"no se encuentra")</f>
        <v>Andalucía</v>
      </c>
      <c r="M392" t="s">
        <v>15</v>
      </c>
      <c r="N392">
        <v>4</v>
      </c>
    </row>
    <row r="393" spans="1:14" x14ac:dyDescent="0.25">
      <c r="A393">
        <v>1392</v>
      </c>
      <c r="B393" s="1">
        <v>45674</v>
      </c>
      <c r="C393" s="4">
        <f>MONTH(datos_ventas[[#This Row],[Fecha]])</f>
        <v>1</v>
      </c>
      <c r="D393" s="4">
        <f>WEEKNUM(datos_ventas[[#This Row],[Fecha]],2)</f>
        <v>3</v>
      </c>
      <c r="E393" t="s">
        <v>17</v>
      </c>
      <c r="F393" t="s">
        <v>18</v>
      </c>
      <c r="G393">
        <v>5</v>
      </c>
      <c r="H393">
        <v>7486</v>
      </c>
      <c r="I393">
        <v>4088</v>
      </c>
      <c r="J393" t="s">
        <v>22</v>
      </c>
      <c r="K393" t="str">
        <f>_xlfn.XLOOKUP(datos_ventas[[#This Row],[Ciudad]],Tabla2[Ciudades],Tabla2[Provincias],"no se encuentra")</f>
        <v>Valencia</v>
      </c>
      <c r="L393" t="str">
        <f>_xlfn.XLOOKUP(datos_ventas[[#This Row],[Provincia]],Tabla2[Provincias],Tabla2[Comunidades],"no se encuentra")</f>
        <v>Comunidad Valenciana</v>
      </c>
      <c r="M393" t="s">
        <v>13</v>
      </c>
      <c r="N393">
        <v>4</v>
      </c>
    </row>
    <row r="394" spans="1:14" x14ac:dyDescent="0.25">
      <c r="A394">
        <v>1393</v>
      </c>
      <c r="B394" s="1">
        <v>45753</v>
      </c>
      <c r="C394" s="4">
        <f>MONTH(datos_ventas[[#This Row],[Fecha]])</f>
        <v>4</v>
      </c>
      <c r="D394" s="4">
        <f>WEEKNUM(datos_ventas[[#This Row],[Fecha]],2)</f>
        <v>14</v>
      </c>
      <c r="E394" t="s">
        <v>24</v>
      </c>
      <c r="F394" t="s">
        <v>25</v>
      </c>
      <c r="G394">
        <v>1</v>
      </c>
      <c r="H394">
        <v>30604</v>
      </c>
      <c r="I394">
        <v>3168</v>
      </c>
      <c r="J394" t="s">
        <v>14</v>
      </c>
      <c r="K394" t="str">
        <f>_xlfn.XLOOKUP(datos_ventas[[#This Row],[Ciudad]],Tabla2[Ciudades],Tabla2[Provincias],"no se encuentra")</f>
        <v>Madrid</v>
      </c>
      <c r="L394" t="str">
        <f>_xlfn.XLOOKUP(datos_ventas[[#This Row],[Provincia]],Tabla2[Provincias],Tabla2[Comunidades],"no se encuentra")</f>
        <v>Comunidad de Madrid</v>
      </c>
      <c r="M394" t="s">
        <v>13</v>
      </c>
      <c r="N394">
        <v>1</v>
      </c>
    </row>
    <row r="395" spans="1:14" x14ac:dyDescent="0.25">
      <c r="A395">
        <v>1394</v>
      </c>
      <c r="B395" s="1">
        <v>45689</v>
      </c>
      <c r="C395" s="4">
        <f>MONTH(datos_ventas[[#This Row],[Fecha]])</f>
        <v>2</v>
      </c>
      <c r="D395" s="4">
        <f>WEEKNUM(datos_ventas[[#This Row],[Fecha]],2)</f>
        <v>5</v>
      </c>
      <c r="E395" t="s">
        <v>16</v>
      </c>
      <c r="F395" t="s">
        <v>11</v>
      </c>
      <c r="G395">
        <v>4</v>
      </c>
      <c r="H395">
        <v>20416</v>
      </c>
      <c r="I395">
        <v>512</v>
      </c>
      <c r="J395" t="s">
        <v>32</v>
      </c>
      <c r="K395" t="str">
        <f>_xlfn.XLOOKUP(datos_ventas[[#This Row],[Ciudad]],Tabla2[Ciudades],Tabla2[Provincias],"no se encuentra")</f>
        <v>Barcelona</v>
      </c>
      <c r="L395" t="str">
        <f>_xlfn.XLOOKUP(datos_ventas[[#This Row],[Provincia]],Tabla2[Provincias],Tabla2[Comunidades],"no se encuentra")</f>
        <v>Cataluña</v>
      </c>
      <c r="M395" t="s">
        <v>28</v>
      </c>
      <c r="N395">
        <v>1</v>
      </c>
    </row>
    <row r="396" spans="1:14" x14ac:dyDescent="0.25">
      <c r="A396">
        <v>1395</v>
      </c>
      <c r="B396" s="1">
        <v>45768</v>
      </c>
      <c r="C396" s="4">
        <f>MONTH(datos_ventas[[#This Row],[Fecha]])</f>
        <v>4</v>
      </c>
      <c r="D396" s="4">
        <f>WEEKNUM(datos_ventas[[#This Row],[Fecha]],2)</f>
        <v>17</v>
      </c>
      <c r="E396" t="s">
        <v>10</v>
      </c>
      <c r="F396" t="s">
        <v>11</v>
      </c>
      <c r="G396">
        <v>5</v>
      </c>
      <c r="H396">
        <v>94478</v>
      </c>
      <c r="I396">
        <v>2098</v>
      </c>
      <c r="J396" t="s">
        <v>32</v>
      </c>
      <c r="K396" t="str">
        <f>_xlfn.XLOOKUP(datos_ventas[[#This Row],[Ciudad]],Tabla2[Ciudades],Tabla2[Provincias],"no se encuentra")</f>
        <v>Barcelona</v>
      </c>
      <c r="L396" t="str">
        <f>_xlfn.XLOOKUP(datos_ventas[[#This Row],[Provincia]],Tabla2[Provincias],Tabla2[Comunidades],"no se encuentra")</f>
        <v>Cataluña</v>
      </c>
      <c r="M396" t="s">
        <v>13</v>
      </c>
      <c r="N396">
        <v>4</v>
      </c>
    </row>
    <row r="397" spans="1:14" x14ac:dyDescent="0.25">
      <c r="A397">
        <v>1396</v>
      </c>
      <c r="B397" s="1">
        <v>45682</v>
      </c>
      <c r="C397" s="4">
        <f>MONTH(datos_ventas[[#This Row],[Fecha]])</f>
        <v>1</v>
      </c>
      <c r="D397" s="4">
        <f>WEEKNUM(datos_ventas[[#This Row],[Fecha]],2)</f>
        <v>4</v>
      </c>
      <c r="E397" t="s">
        <v>29</v>
      </c>
      <c r="F397" t="s">
        <v>30</v>
      </c>
      <c r="G397">
        <v>5</v>
      </c>
      <c r="H397">
        <v>95608</v>
      </c>
      <c r="I397">
        <v>2922</v>
      </c>
      <c r="J397" t="s">
        <v>14</v>
      </c>
      <c r="K397" t="str">
        <f>_xlfn.XLOOKUP(datos_ventas[[#This Row],[Ciudad]],Tabla2[Ciudades],Tabla2[Provincias],"no se encuentra")</f>
        <v>Madrid</v>
      </c>
      <c r="L397" t="str">
        <f>_xlfn.XLOOKUP(datos_ventas[[#This Row],[Provincia]],Tabla2[Provincias],Tabla2[Comunidades],"no se encuentra")</f>
        <v>Comunidad de Madrid</v>
      </c>
      <c r="M397" t="s">
        <v>13</v>
      </c>
      <c r="N397">
        <v>3</v>
      </c>
    </row>
    <row r="398" spans="1:14" x14ac:dyDescent="0.25">
      <c r="A398">
        <v>1397</v>
      </c>
      <c r="B398" s="1">
        <v>45802</v>
      </c>
      <c r="C398" s="4">
        <f>MONTH(datos_ventas[[#This Row],[Fecha]])</f>
        <v>5</v>
      </c>
      <c r="D398" s="4">
        <f>WEEKNUM(datos_ventas[[#This Row],[Fecha]],2)</f>
        <v>21</v>
      </c>
      <c r="E398" t="s">
        <v>16</v>
      </c>
      <c r="F398" t="s">
        <v>11</v>
      </c>
      <c r="G398">
        <v>5</v>
      </c>
      <c r="H398">
        <v>58169</v>
      </c>
      <c r="I398">
        <v>4737</v>
      </c>
      <c r="J398" t="s">
        <v>31</v>
      </c>
      <c r="K398" t="str">
        <f>_xlfn.XLOOKUP(datos_ventas[[#This Row],[Ciudad]],Tabla2[Ciudades],Tabla2[Provincias],"no se encuentra")</f>
        <v>Vizcaya</v>
      </c>
      <c r="L398" t="str">
        <f>_xlfn.XLOOKUP(datos_ventas[[#This Row],[Provincia]],Tabla2[Provincias],Tabla2[Comunidades],"no se encuentra")</f>
        <v>País Vasco</v>
      </c>
      <c r="M398" t="s">
        <v>28</v>
      </c>
      <c r="N398">
        <v>4</v>
      </c>
    </row>
    <row r="399" spans="1:14" x14ac:dyDescent="0.25">
      <c r="A399">
        <v>1398</v>
      </c>
      <c r="B399" s="1">
        <v>45694</v>
      </c>
      <c r="C399" s="4">
        <f>MONTH(datos_ventas[[#This Row],[Fecha]])</f>
        <v>2</v>
      </c>
      <c r="D399" s="4">
        <f>WEEKNUM(datos_ventas[[#This Row],[Fecha]],2)</f>
        <v>6</v>
      </c>
      <c r="E399" t="s">
        <v>29</v>
      </c>
      <c r="F399" t="s">
        <v>30</v>
      </c>
      <c r="G399">
        <v>2</v>
      </c>
      <c r="H399">
        <v>17531</v>
      </c>
      <c r="I399">
        <v>4915</v>
      </c>
      <c r="J399" t="s">
        <v>14</v>
      </c>
      <c r="K399" t="str">
        <f>_xlfn.XLOOKUP(datos_ventas[[#This Row],[Ciudad]],Tabla2[Ciudades],Tabla2[Provincias],"no se encuentra")</f>
        <v>Madrid</v>
      </c>
      <c r="L399" t="str">
        <f>_xlfn.XLOOKUP(datos_ventas[[#This Row],[Provincia]],Tabla2[Provincias],Tabla2[Comunidades],"no se encuentra")</f>
        <v>Comunidad de Madrid</v>
      </c>
      <c r="M399" t="s">
        <v>28</v>
      </c>
      <c r="N399">
        <v>3</v>
      </c>
    </row>
    <row r="400" spans="1:14" x14ac:dyDescent="0.25">
      <c r="A400">
        <v>1399</v>
      </c>
      <c r="B400" s="1">
        <v>45992</v>
      </c>
      <c r="C400" s="4">
        <f>MONTH(datos_ventas[[#This Row],[Fecha]])</f>
        <v>12</v>
      </c>
      <c r="D400" s="4">
        <f>WEEKNUM(datos_ventas[[#This Row],[Fecha]],2)</f>
        <v>49</v>
      </c>
      <c r="E400" t="s">
        <v>16</v>
      </c>
      <c r="F400" t="s">
        <v>11</v>
      </c>
      <c r="G400">
        <v>5</v>
      </c>
      <c r="H400">
        <v>4728</v>
      </c>
      <c r="I400">
        <v>1086</v>
      </c>
      <c r="J400" t="s">
        <v>27</v>
      </c>
      <c r="K400" t="str">
        <f>_xlfn.XLOOKUP(datos_ventas[[#This Row],[Ciudad]],Tabla2[Ciudades],Tabla2[Provincias],"no se encuentra")</f>
        <v>Sevilla</v>
      </c>
      <c r="L400" t="str">
        <f>_xlfn.XLOOKUP(datos_ventas[[#This Row],[Provincia]],Tabla2[Provincias],Tabla2[Comunidades],"no se encuentra")</f>
        <v>Andalucía</v>
      </c>
      <c r="M400" t="s">
        <v>28</v>
      </c>
      <c r="N400">
        <v>4</v>
      </c>
    </row>
    <row r="401" spans="1:14" x14ac:dyDescent="0.25">
      <c r="A401">
        <v>1400</v>
      </c>
      <c r="B401" s="1">
        <v>45807</v>
      </c>
      <c r="C401" s="4">
        <f>MONTH(datos_ventas[[#This Row],[Fecha]])</f>
        <v>5</v>
      </c>
      <c r="D401" s="4">
        <f>WEEKNUM(datos_ventas[[#This Row],[Fecha]],2)</f>
        <v>22</v>
      </c>
      <c r="E401" t="s">
        <v>16</v>
      </c>
      <c r="F401" t="s">
        <v>11</v>
      </c>
      <c r="G401">
        <v>5</v>
      </c>
      <c r="H401">
        <v>41915</v>
      </c>
      <c r="I401">
        <v>3502</v>
      </c>
      <c r="J401" t="s">
        <v>12</v>
      </c>
      <c r="K401" t="str">
        <f>_xlfn.XLOOKUP(datos_ventas[[#This Row],[Ciudad]],Tabla2[Ciudades],Tabla2[Provincias],"no se encuentra")</f>
        <v>Málaga</v>
      </c>
      <c r="L401" t="str">
        <f>_xlfn.XLOOKUP(datos_ventas[[#This Row],[Provincia]],Tabla2[Provincias],Tabla2[Comunidades],"no se encuentra")</f>
        <v>Andalucía</v>
      </c>
      <c r="M401" t="s">
        <v>19</v>
      </c>
      <c r="N401">
        <v>2</v>
      </c>
    </row>
    <row r="402" spans="1:14" x14ac:dyDescent="0.25">
      <c r="A402">
        <v>1401</v>
      </c>
      <c r="B402" s="1">
        <v>45797</v>
      </c>
      <c r="C402" s="4">
        <f>MONTH(datos_ventas[[#This Row],[Fecha]])</f>
        <v>5</v>
      </c>
      <c r="D402" s="4">
        <f>WEEKNUM(datos_ventas[[#This Row],[Fecha]],2)</f>
        <v>21</v>
      </c>
      <c r="E402" t="s">
        <v>23</v>
      </c>
      <c r="F402" t="s">
        <v>18</v>
      </c>
      <c r="G402">
        <v>4</v>
      </c>
      <c r="H402">
        <v>9913</v>
      </c>
      <c r="I402">
        <v>536</v>
      </c>
      <c r="J402" t="s">
        <v>32</v>
      </c>
      <c r="K402" t="str">
        <f>_xlfn.XLOOKUP(datos_ventas[[#This Row],[Ciudad]],Tabla2[Ciudades],Tabla2[Provincias],"no se encuentra")</f>
        <v>Barcelona</v>
      </c>
      <c r="L402" t="str">
        <f>_xlfn.XLOOKUP(datos_ventas[[#This Row],[Provincia]],Tabla2[Provincias],Tabla2[Comunidades],"no se encuentra")</f>
        <v>Cataluña</v>
      </c>
      <c r="M402" t="s">
        <v>13</v>
      </c>
      <c r="N402">
        <v>3</v>
      </c>
    </row>
    <row r="403" spans="1:14" x14ac:dyDescent="0.25">
      <c r="A403">
        <v>1402</v>
      </c>
      <c r="B403" s="1">
        <v>45664</v>
      </c>
      <c r="C403" s="4">
        <f>MONTH(datos_ventas[[#This Row],[Fecha]])</f>
        <v>1</v>
      </c>
      <c r="D403" s="4">
        <f>WEEKNUM(datos_ventas[[#This Row],[Fecha]],2)</f>
        <v>2</v>
      </c>
      <c r="E403" t="s">
        <v>24</v>
      </c>
      <c r="F403" t="s">
        <v>25</v>
      </c>
      <c r="G403">
        <v>5</v>
      </c>
      <c r="H403">
        <v>104156</v>
      </c>
      <c r="I403">
        <v>566</v>
      </c>
      <c r="J403" t="s">
        <v>27</v>
      </c>
      <c r="K403" t="str">
        <f>_xlfn.XLOOKUP(datos_ventas[[#This Row],[Ciudad]],Tabla2[Ciudades],Tabla2[Provincias],"no se encuentra")</f>
        <v>Sevilla</v>
      </c>
      <c r="L403" t="str">
        <f>_xlfn.XLOOKUP(datos_ventas[[#This Row],[Provincia]],Tabla2[Provincias],Tabla2[Comunidades],"no se encuentra")</f>
        <v>Andalucía</v>
      </c>
      <c r="M403" t="s">
        <v>28</v>
      </c>
      <c r="N403">
        <v>3</v>
      </c>
    </row>
    <row r="404" spans="1:14" x14ac:dyDescent="0.25">
      <c r="A404">
        <v>1403</v>
      </c>
      <c r="B404" s="1">
        <v>45922</v>
      </c>
      <c r="C404" s="4">
        <f>MONTH(datos_ventas[[#This Row],[Fecha]])</f>
        <v>9</v>
      </c>
      <c r="D404" s="4">
        <f>WEEKNUM(datos_ventas[[#This Row],[Fecha]],2)</f>
        <v>39</v>
      </c>
      <c r="E404" t="s">
        <v>10</v>
      </c>
      <c r="F404" t="s">
        <v>11</v>
      </c>
      <c r="G404">
        <v>2</v>
      </c>
      <c r="H404">
        <v>6821</v>
      </c>
      <c r="I404">
        <v>4606</v>
      </c>
      <c r="J404" t="s">
        <v>27</v>
      </c>
      <c r="K404" t="str">
        <f>_xlfn.XLOOKUP(datos_ventas[[#This Row],[Ciudad]],Tabla2[Ciudades],Tabla2[Provincias],"no se encuentra")</f>
        <v>Sevilla</v>
      </c>
      <c r="L404" t="str">
        <f>_xlfn.XLOOKUP(datos_ventas[[#This Row],[Provincia]],Tabla2[Provincias],Tabla2[Comunidades],"no se encuentra")</f>
        <v>Andalucía</v>
      </c>
      <c r="M404" t="s">
        <v>28</v>
      </c>
      <c r="N404">
        <v>2</v>
      </c>
    </row>
    <row r="405" spans="1:14" x14ac:dyDescent="0.25">
      <c r="A405">
        <v>1404</v>
      </c>
      <c r="B405" s="1">
        <v>45775</v>
      </c>
      <c r="C405" s="4">
        <f>MONTH(datos_ventas[[#This Row],[Fecha]])</f>
        <v>4</v>
      </c>
      <c r="D405" s="4">
        <f>WEEKNUM(datos_ventas[[#This Row],[Fecha]],2)</f>
        <v>18</v>
      </c>
      <c r="E405" t="s">
        <v>24</v>
      </c>
      <c r="F405" t="s">
        <v>25</v>
      </c>
      <c r="G405">
        <v>1</v>
      </c>
      <c r="H405">
        <v>54892</v>
      </c>
      <c r="I405">
        <v>3494</v>
      </c>
      <c r="J405" t="s">
        <v>27</v>
      </c>
      <c r="K405" t="str">
        <f>_xlfn.XLOOKUP(datos_ventas[[#This Row],[Ciudad]],Tabla2[Ciudades],Tabla2[Provincias],"no se encuentra")</f>
        <v>Sevilla</v>
      </c>
      <c r="L405" t="str">
        <f>_xlfn.XLOOKUP(datos_ventas[[#This Row],[Provincia]],Tabla2[Provincias],Tabla2[Comunidades],"no se encuentra")</f>
        <v>Andalucía</v>
      </c>
      <c r="M405" t="s">
        <v>15</v>
      </c>
      <c r="N405">
        <v>2</v>
      </c>
    </row>
    <row r="406" spans="1:14" x14ac:dyDescent="0.25">
      <c r="A406">
        <v>1405</v>
      </c>
      <c r="B406" s="1">
        <v>45843</v>
      </c>
      <c r="C406" s="4">
        <f>MONTH(datos_ventas[[#This Row],[Fecha]])</f>
        <v>7</v>
      </c>
      <c r="D406" s="4">
        <f>WEEKNUM(datos_ventas[[#This Row],[Fecha]],2)</f>
        <v>27</v>
      </c>
      <c r="E406" t="s">
        <v>23</v>
      </c>
      <c r="F406" t="s">
        <v>18</v>
      </c>
      <c r="G406">
        <v>5</v>
      </c>
      <c r="H406">
        <v>73864</v>
      </c>
      <c r="I406">
        <v>4646</v>
      </c>
      <c r="J406" t="s">
        <v>31</v>
      </c>
      <c r="K406" t="str">
        <f>_xlfn.XLOOKUP(datos_ventas[[#This Row],[Ciudad]],Tabla2[Ciudades],Tabla2[Provincias],"no se encuentra")</f>
        <v>Vizcaya</v>
      </c>
      <c r="L406" t="str">
        <f>_xlfn.XLOOKUP(datos_ventas[[#This Row],[Provincia]],Tabla2[Provincias],Tabla2[Comunidades],"no se encuentra")</f>
        <v>País Vasco</v>
      </c>
      <c r="M406" t="s">
        <v>19</v>
      </c>
      <c r="N406">
        <v>1</v>
      </c>
    </row>
    <row r="407" spans="1:14" x14ac:dyDescent="0.25">
      <c r="A407">
        <v>1406</v>
      </c>
      <c r="B407" s="1">
        <v>45943</v>
      </c>
      <c r="C407" s="4">
        <f>MONTH(datos_ventas[[#This Row],[Fecha]])</f>
        <v>10</v>
      </c>
      <c r="D407" s="4">
        <f>WEEKNUM(datos_ventas[[#This Row],[Fecha]],2)</f>
        <v>42</v>
      </c>
      <c r="E407" t="s">
        <v>26</v>
      </c>
      <c r="F407" t="s">
        <v>18</v>
      </c>
      <c r="G407">
        <v>2</v>
      </c>
      <c r="H407">
        <v>110071</v>
      </c>
      <c r="I407">
        <v>3914</v>
      </c>
      <c r="J407" t="s">
        <v>14</v>
      </c>
      <c r="K407" t="str">
        <f>_xlfn.XLOOKUP(datos_ventas[[#This Row],[Ciudad]],Tabla2[Ciudades],Tabla2[Provincias],"no se encuentra")</f>
        <v>Madrid</v>
      </c>
      <c r="L407" t="str">
        <f>_xlfn.XLOOKUP(datos_ventas[[#This Row],[Provincia]],Tabla2[Provincias],Tabla2[Comunidades],"no se encuentra")</f>
        <v>Comunidad de Madrid</v>
      </c>
      <c r="M407" t="s">
        <v>13</v>
      </c>
      <c r="N407">
        <v>3</v>
      </c>
    </row>
    <row r="408" spans="1:14" x14ac:dyDescent="0.25">
      <c r="A408">
        <v>1407</v>
      </c>
      <c r="B408" s="1">
        <v>45795</v>
      </c>
      <c r="C408" s="4">
        <f>MONTH(datos_ventas[[#This Row],[Fecha]])</f>
        <v>5</v>
      </c>
      <c r="D408" s="4">
        <f>WEEKNUM(datos_ventas[[#This Row],[Fecha]],2)</f>
        <v>20</v>
      </c>
      <c r="E408" t="s">
        <v>10</v>
      </c>
      <c r="F408" t="s">
        <v>11</v>
      </c>
      <c r="G408">
        <v>2</v>
      </c>
      <c r="H408">
        <v>16146</v>
      </c>
      <c r="I408">
        <v>1261</v>
      </c>
      <c r="J408" t="s">
        <v>12</v>
      </c>
      <c r="K408" t="str">
        <f>_xlfn.XLOOKUP(datos_ventas[[#This Row],[Ciudad]],Tabla2[Ciudades],Tabla2[Provincias],"no se encuentra")</f>
        <v>Málaga</v>
      </c>
      <c r="L408" t="str">
        <f>_xlfn.XLOOKUP(datos_ventas[[#This Row],[Provincia]],Tabla2[Provincias],Tabla2[Comunidades],"no se encuentra")</f>
        <v>Andalucía</v>
      </c>
      <c r="M408" t="s">
        <v>13</v>
      </c>
      <c r="N408">
        <v>3</v>
      </c>
    </row>
    <row r="409" spans="1:14" x14ac:dyDescent="0.25">
      <c r="A409">
        <v>1408</v>
      </c>
      <c r="B409" s="1">
        <v>45745</v>
      </c>
      <c r="C409" s="4">
        <f>MONTH(datos_ventas[[#This Row],[Fecha]])</f>
        <v>3</v>
      </c>
      <c r="D409" s="4">
        <f>WEEKNUM(datos_ventas[[#This Row],[Fecha]],2)</f>
        <v>13</v>
      </c>
      <c r="E409" t="s">
        <v>29</v>
      </c>
      <c r="F409" t="s">
        <v>30</v>
      </c>
      <c r="G409">
        <v>5</v>
      </c>
      <c r="H409">
        <v>47723</v>
      </c>
      <c r="I409">
        <v>3824</v>
      </c>
      <c r="J409" t="s">
        <v>22</v>
      </c>
      <c r="K409" t="str">
        <f>_xlfn.XLOOKUP(datos_ventas[[#This Row],[Ciudad]],Tabla2[Ciudades],Tabla2[Provincias],"no se encuentra")</f>
        <v>Valencia</v>
      </c>
      <c r="L409" t="str">
        <f>_xlfn.XLOOKUP(datos_ventas[[#This Row],[Provincia]],Tabla2[Provincias],Tabla2[Comunidades],"no se encuentra")</f>
        <v>Comunidad Valenciana</v>
      </c>
      <c r="M409" t="s">
        <v>13</v>
      </c>
      <c r="N409">
        <v>5</v>
      </c>
    </row>
    <row r="410" spans="1:14" x14ac:dyDescent="0.25">
      <c r="A410">
        <v>1409</v>
      </c>
      <c r="B410" s="1">
        <v>45690</v>
      </c>
      <c r="C410" s="4">
        <f>MONTH(datos_ventas[[#This Row],[Fecha]])</f>
        <v>2</v>
      </c>
      <c r="D410" s="4">
        <f>WEEKNUM(datos_ventas[[#This Row],[Fecha]],2)</f>
        <v>5</v>
      </c>
      <c r="E410" t="s">
        <v>24</v>
      </c>
      <c r="F410" t="s">
        <v>25</v>
      </c>
      <c r="G410">
        <v>4</v>
      </c>
      <c r="H410">
        <v>33403</v>
      </c>
      <c r="I410">
        <v>4247</v>
      </c>
      <c r="J410" t="s">
        <v>22</v>
      </c>
      <c r="K410" t="str">
        <f>_xlfn.XLOOKUP(datos_ventas[[#This Row],[Ciudad]],Tabla2[Ciudades],Tabla2[Provincias],"no se encuentra")</f>
        <v>Valencia</v>
      </c>
      <c r="L410" t="str">
        <f>_xlfn.XLOOKUP(datos_ventas[[#This Row],[Provincia]],Tabla2[Provincias],Tabla2[Comunidades],"no se encuentra")</f>
        <v>Comunidad Valenciana</v>
      </c>
      <c r="M410" t="s">
        <v>15</v>
      </c>
      <c r="N410">
        <v>1</v>
      </c>
    </row>
    <row r="411" spans="1:14" x14ac:dyDescent="0.25">
      <c r="A411">
        <v>1410</v>
      </c>
      <c r="B411" s="1">
        <v>45865</v>
      </c>
      <c r="C411" s="4">
        <f>MONTH(datos_ventas[[#This Row],[Fecha]])</f>
        <v>7</v>
      </c>
      <c r="D411" s="4">
        <f>WEEKNUM(datos_ventas[[#This Row],[Fecha]],2)</f>
        <v>30</v>
      </c>
      <c r="E411" t="s">
        <v>10</v>
      </c>
      <c r="F411" t="s">
        <v>11</v>
      </c>
      <c r="G411">
        <v>1</v>
      </c>
      <c r="H411">
        <v>61725</v>
      </c>
      <c r="I411">
        <v>2149</v>
      </c>
      <c r="J411" t="s">
        <v>14</v>
      </c>
      <c r="K411" t="str">
        <f>_xlfn.XLOOKUP(datos_ventas[[#This Row],[Ciudad]],Tabla2[Ciudades],Tabla2[Provincias],"no se encuentra")</f>
        <v>Madrid</v>
      </c>
      <c r="L411" t="str">
        <f>_xlfn.XLOOKUP(datos_ventas[[#This Row],[Provincia]],Tabla2[Provincias],Tabla2[Comunidades],"no se encuentra")</f>
        <v>Comunidad de Madrid</v>
      </c>
      <c r="M411" t="s">
        <v>28</v>
      </c>
      <c r="N411">
        <v>1</v>
      </c>
    </row>
    <row r="412" spans="1:14" x14ac:dyDescent="0.25">
      <c r="A412">
        <v>1411</v>
      </c>
      <c r="B412" s="1">
        <v>45776</v>
      </c>
      <c r="C412" s="4">
        <f>MONTH(datos_ventas[[#This Row],[Fecha]])</f>
        <v>4</v>
      </c>
      <c r="D412" s="4">
        <f>WEEKNUM(datos_ventas[[#This Row],[Fecha]],2)</f>
        <v>18</v>
      </c>
      <c r="E412" t="s">
        <v>24</v>
      </c>
      <c r="F412" t="s">
        <v>25</v>
      </c>
      <c r="G412">
        <v>3</v>
      </c>
      <c r="H412">
        <v>66538</v>
      </c>
      <c r="I412">
        <v>979</v>
      </c>
      <c r="J412" t="s">
        <v>27</v>
      </c>
      <c r="K412" t="str">
        <f>_xlfn.XLOOKUP(datos_ventas[[#This Row],[Ciudad]],Tabla2[Ciudades],Tabla2[Provincias],"no se encuentra")</f>
        <v>Sevilla</v>
      </c>
      <c r="L412" t="str">
        <f>_xlfn.XLOOKUP(datos_ventas[[#This Row],[Provincia]],Tabla2[Provincias],Tabla2[Comunidades],"no se encuentra")</f>
        <v>Andalucía</v>
      </c>
      <c r="M412" t="s">
        <v>28</v>
      </c>
      <c r="N412">
        <v>1</v>
      </c>
    </row>
    <row r="413" spans="1:14" x14ac:dyDescent="0.25">
      <c r="A413">
        <v>1412</v>
      </c>
      <c r="B413" s="1">
        <v>45849</v>
      </c>
      <c r="C413" s="4">
        <f>MONTH(datos_ventas[[#This Row],[Fecha]])</f>
        <v>7</v>
      </c>
      <c r="D413" s="4">
        <f>WEEKNUM(datos_ventas[[#This Row],[Fecha]],2)</f>
        <v>28</v>
      </c>
      <c r="E413" t="s">
        <v>20</v>
      </c>
      <c r="F413" t="s">
        <v>21</v>
      </c>
      <c r="G413">
        <v>5</v>
      </c>
      <c r="H413">
        <v>84707</v>
      </c>
      <c r="I413">
        <v>1189</v>
      </c>
      <c r="J413" t="s">
        <v>32</v>
      </c>
      <c r="K413" t="str">
        <f>_xlfn.XLOOKUP(datos_ventas[[#This Row],[Ciudad]],Tabla2[Ciudades],Tabla2[Provincias],"no se encuentra")</f>
        <v>Barcelona</v>
      </c>
      <c r="L413" t="str">
        <f>_xlfn.XLOOKUP(datos_ventas[[#This Row],[Provincia]],Tabla2[Provincias],Tabla2[Comunidades],"no se encuentra")</f>
        <v>Cataluña</v>
      </c>
      <c r="M413" t="s">
        <v>15</v>
      </c>
      <c r="N413">
        <v>4</v>
      </c>
    </row>
    <row r="414" spans="1:14" x14ac:dyDescent="0.25">
      <c r="A414">
        <v>1413</v>
      </c>
      <c r="B414" s="1">
        <v>45713</v>
      </c>
      <c r="C414" s="4">
        <f>MONTH(datos_ventas[[#This Row],[Fecha]])</f>
        <v>2</v>
      </c>
      <c r="D414" s="4">
        <f>WEEKNUM(datos_ventas[[#This Row],[Fecha]],2)</f>
        <v>9</v>
      </c>
      <c r="E414" t="s">
        <v>17</v>
      </c>
      <c r="F414" t="s">
        <v>18</v>
      </c>
      <c r="G414">
        <v>2</v>
      </c>
      <c r="H414">
        <v>45644</v>
      </c>
      <c r="I414">
        <v>573</v>
      </c>
      <c r="J414" t="s">
        <v>31</v>
      </c>
      <c r="K414" t="str">
        <f>_xlfn.XLOOKUP(datos_ventas[[#This Row],[Ciudad]],Tabla2[Ciudades],Tabla2[Provincias],"no se encuentra")</f>
        <v>Vizcaya</v>
      </c>
      <c r="L414" t="str">
        <f>_xlfn.XLOOKUP(datos_ventas[[#This Row],[Provincia]],Tabla2[Provincias],Tabla2[Comunidades],"no se encuentra")</f>
        <v>País Vasco</v>
      </c>
      <c r="M414" t="s">
        <v>28</v>
      </c>
      <c r="N414">
        <v>3</v>
      </c>
    </row>
    <row r="415" spans="1:14" x14ac:dyDescent="0.25">
      <c r="A415">
        <v>1414</v>
      </c>
      <c r="B415" s="1">
        <v>45817</v>
      </c>
      <c r="C415" s="4">
        <f>MONTH(datos_ventas[[#This Row],[Fecha]])</f>
        <v>6</v>
      </c>
      <c r="D415" s="4">
        <f>WEEKNUM(datos_ventas[[#This Row],[Fecha]],2)</f>
        <v>24</v>
      </c>
      <c r="E415" t="s">
        <v>23</v>
      </c>
      <c r="F415" t="s">
        <v>18</v>
      </c>
      <c r="G415">
        <v>4</v>
      </c>
      <c r="H415">
        <v>71415</v>
      </c>
      <c r="I415">
        <v>99</v>
      </c>
      <c r="J415" t="s">
        <v>12</v>
      </c>
      <c r="K415" t="str">
        <f>_xlfn.XLOOKUP(datos_ventas[[#This Row],[Ciudad]],Tabla2[Ciudades],Tabla2[Provincias],"no se encuentra")</f>
        <v>Málaga</v>
      </c>
      <c r="L415" t="str">
        <f>_xlfn.XLOOKUP(datos_ventas[[#This Row],[Provincia]],Tabla2[Provincias],Tabla2[Comunidades],"no se encuentra")</f>
        <v>Andalucía</v>
      </c>
      <c r="M415" t="s">
        <v>13</v>
      </c>
      <c r="N415">
        <v>4</v>
      </c>
    </row>
    <row r="416" spans="1:14" x14ac:dyDescent="0.25">
      <c r="A416">
        <v>1415</v>
      </c>
      <c r="B416" s="1">
        <v>45665</v>
      </c>
      <c r="C416" s="4">
        <f>MONTH(datos_ventas[[#This Row],[Fecha]])</f>
        <v>1</v>
      </c>
      <c r="D416" s="4">
        <f>WEEKNUM(datos_ventas[[#This Row],[Fecha]],2)</f>
        <v>2</v>
      </c>
      <c r="E416" t="s">
        <v>20</v>
      </c>
      <c r="F416" t="s">
        <v>21</v>
      </c>
      <c r="G416">
        <v>5</v>
      </c>
      <c r="H416">
        <v>26547</v>
      </c>
      <c r="I416">
        <v>2007</v>
      </c>
      <c r="J416" t="s">
        <v>22</v>
      </c>
      <c r="K416" t="str">
        <f>_xlfn.XLOOKUP(datos_ventas[[#This Row],[Ciudad]],Tabla2[Ciudades],Tabla2[Provincias],"no se encuentra")</f>
        <v>Valencia</v>
      </c>
      <c r="L416" t="str">
        <f>_xlfn.XLOOKUP(datos_ventas[[#This Row],[Provincia]],Tabla2[Provincias],Tabla2[Comunidades],"no se encuentra")</f>
        <v>Comunidad Valenciana</v>
      </c>
      <c r="M416" t="s">
        <v>28</v>
      </c>
      <c r="N416">
        <v>1</v>
      </c>
    </row>
    <row r="417" spans="1:14" x14ac:dyDescent="0.25">
      <c r="A417">
        <v>1416</v>
      </c>
      <c r="B417" s="1">
        <v>45792</v>
      </c>
      <c r="C417" s="4">
        <f>MONTH(datos_ventas[[#This Row],[Fecha]])</f>
        <v>5</v>
      </c>
      <c r="D417" s="4">
        <f>WEEKNUM(datos_ventas[[#This Row],[Fecha]],2)</f>
        <v>20</v>
      </c>
      <c r="E417" t="s">
        <v>20</v>
      </c>
      <c r="F417" t="s">
        <v>21</v>
      </c>
      <c r="G417">
        <v>3</v>
      </c>
      <c r="H417">
        <v>64314</v>
      </c>
      <c r="I417">
        <v>1402</v>
      </c>
      <c r="J417" t="s">
        <v>27</v>
      </c>
      <c r="K417" t="str">
        <f>_xlfn.XLOOKUP(datos_ventas[[#This Row],[Ciudad]],Tabla2[Ciudades],Tabla2[Provincias],"no se encuentra")</f>
        <v>Sevilla</v>
      </c>
      <c r="L417" t="str">
        <f>_xlfn.XLOOKUP(datos_ventas[[#This Row],[Provincia]],Tabla2[Provincias],Tabla2[Comunidades],"no se encuentra")</f>
        <v>Andalucía</v>
      </c>
      <c r="M417" t="s">
        <v>15</v>
      </c>
      <c r="N417">
        <v>3</v>
      </c>
    </row>
    <row r="418" spans="1:14" x14ac:dyDescent="0.25">
      <c r="A418">
        <v>1417</v>
      </c>
      <c r="B418" s="1">
        <v>45885</v>
      </c>
      <c r="C418" s="4">
        <f>MONTH(datos_ventas[[#This Row],[Fecha]])</f>
        <v>8</v>
      </c>
      <c r="D418" s="4">
        <f>WEEKNUM(datos_ventas[[#This Row],[Fecha]],2)</f>
        <v>33</v>
      </c>
      <c r="E418" t="s">
        <v>16</v>
      </c>
      <c r="F418" t="s">
        <v>11</v>
      </c>
      <c r="G418">
        <v>2</v>
      </c>
      <c r="H418">
        <v>21474</v>
      </c>
      <c r="I418">
        <v>1643</v>
      </c>
      <c r="J418" t="s">
        <v>31</v>
      </c>
      <c r="K418" t="str">
        <f>_xlfn.XLOOKUP(datos_ventas[[#This Row],[Ciudad]],Tabla2[Ciudades],Tabla2[Provincias],"no se encuentra")</f>
        <v>Vizcaya</v>
      </c>
      <c r="L418" t="str">
        <f>_xlfn.XLOOKUP(datos_ventas[[#This Row],[Provincia]],Tabla2[Provincias],Tabla2[Comunidades],"no se encuentra")</f>
        <v>País Vasco</v>
      </c>
      <c r="M418" t="s">
        <v>13</v>
      </c>
      <c r="N418">
        <v>2</v>
      </c>
    </row>
    <row r="419" spans="1:14" x14ac:dyDescent="0.25">
      <c r="A419">
        <v>1418</v>
      </c>
      <c r="B419" s="1">
        <v>45915</v>
      </c>
      <c r="C419" s="4">
        <f>MONTH(datos_ventas[[#This Row],[Fecha]])</f>
        <v>9</v>
      </c>
      <c r="D419" s="4">
        <f>WEEKNUM(datos_ventas[[#This Row],[Fecha]],2)</f>
        <v>38</v>
      </c>
      <c r="E419" t="s">
        <v>10</v>
      </c>
      <c r="F419" t="s">
        <v>11</v>
      </c>
      <c r="G419">
        <v>4</v>
      </c>
      <c r="H419">
        <v>6579</v>
      </c>
      <c r="I419">
        <v>4775</v>
      </c>
      <c r="J419" t="s">
        <v>14</v>
      </c>
      <c r="K419" t="str">
        <f>_xlfn.XLOOKUP(datos_ventas[[#This Row],[Ciudad]],Tabla2[Ciudades],Tabla2[Provincias],"no se encuentra")</f>
        <v>Madrid</v>
      </c>
      <c r="L419" t="str">
        <f>_xlfn.XLOOKUP(datos_ventas[[#This Row],[Provincia]],Tabla2[Provincias],Tabla2[Comunidades],"no se encuentra")</f>
        <v>Comunidad de Madrid</v>
      </c>
      <c r="M419" t="s">
        <v>28</v>
      </c>
      <c r="N419">
        <v>5</v>
      </c>
    </row>
    <row r="420" spans="1:14" x14ac:dyDescent="0.25">
      <c r="A420">
        <v>1419</v>
      </c>
      <c r="B420" s="1">
        <v>45953</v>
      </c>
      <c r="C420" s="4">
        <f>MONTH(datos_ventas[[#This Row],[Fecha]])</f>
        <v>10</v>
      </c>
      <c r="D420" s="4">
        <f>WEEKNUM(datos_ventas[[#This Row],[Fecha]],2)</f>
        <v>43</v>
      </c>
      <c r="E420" t="s">
        <v>17</v>
      </c>
      <c r="F420" t="s">
        <v>18</v>
      </c>
      <c r="G420">
        <v>4</v>
      </c>
      <c r="H420">
        <v>17752</v>
      </c>
      <c r="I420">
        <v>586</v>
      </c>
      <c r="J420" t="s">
        <v>22</v>
      </c>
      <c r="K420" t="str">
        <f>_xlfn.XLOOKUP(datos_ventas[[#This Row],[Ciudad]],Tabla2[Ciudades],Tabla2[Provincias],"no se encuentra")</f>
        <v>Valencia</v>
      </c>
      <c r="L420" t="str">
        <f>_xlfn.XLOOKUP(datos_ventas[[#This Row],[Provincia]],Tabla2[Provincias],Tabla2[Comunidades],"no se encuentra")</f>
        <v>Comunidad Valenciana</v>
      </c>
      <c r="M420" t="s">
        <v>13</v>
      </c>
      <c r="N420">
        <v>4</v>
      </c>
    </row>
    <row r="421" spans="1:14" x14ac:dyDescent="0.25">
      <c r="A421">
        <v>1420</v>
      </c>
      <c r="B421" s="1">
        <v>46020</v>
      </c>
      <c r="C421" s="4">
        <f>MONTH(datos_ventas[[#This Row],[Fecha]])</f>
        <v>12</v>
      </c>
      <c r="D421" s="4">
        <f>WEEKNUM(datos_ventas[[#This Row],[Fecha]],2)</f>
        <v>53</v>
      </c>
      <c r="E421" t="s">
        <v>24</v>
      </c>
      <c r="F421" t="s">
        <v>25</v>
      </c>
      <c r="G421">
        <v>2</v>
      </c>
      <c r="H421">
        <v>78469</v>
      </c>
      <c r="I421">
        <v>4199</v>
      </c>
      <c r="J421" t="s">
        <v>22</v>
      </c>
      <c r="K421" t="str">
        <f>_xlfn.XLOOKUP(datos_ventas[[#This Row],[Ciudad]],Tabla2[Ciudades],Tabla2[Provincias],"no se encuentra")</f>
        <v>Valencia</v>
      </c>
      <c r="L421" t="str">
        <f>_xlfn.XLOOKUP(datos_ventas[[#This Row],[Provincia]],Tabla2[Provincias],Tabla2[Comunidades],"no se encuentra")</f>
        <v>Comunidad Valenciana</v>
      </c>
      <c r="M421" t="s">
        <v>15</v>
      </c>
      <c r="N421">
        <v>3</v>
      </c>
    </row>
    <row r="422" spans="1:14" x14ac:dyDescent="0.25">
      <c r="A422">
        <v>1421</v>
      </c>
      <c r="B422" s="1">
        <v>45933</v>
      </c>
      <c r="C422" s="4">
        <f>MONTH(datos_ventas[[#This Row],[Fecha]])</f>
        <v>10</v>
      </c>
      <c r="D422" s="4">
        <f>WEEKNUM(datos_ventas[[#This Row],[Fecha]],2)</f>
        <v>40</v>
      </c>
      <c r="E422" t="s">
        <v>24</v>
      </c>
      <c r="F422" t="s">
        <v>25</v>
      </c>
      <c r="G422">
        <v>2</v>
      </c>
      <c r="H422">
        <v>97433</v>
      </c>
      <c r="I422">
        <v>1287</v>
      </c>
      <c r="J422" t="s">
        <v>14</v>
      </c>
      <c r="K422" t="str">
        <f>_xlfn.XLOOKUP(datos_ventas[[#This Row],[Ciudad]],Tabla2[Ciudades],Tabla2[Provincias],"no se encuentra")</f>
        <v>Madrid</v>
      </c>
      <c r="L422" t="str">
        <f>_xlfn.XLOOKUP(datos_ventas[[#This Row],[Provincia]],Tabla2[Provincias],Tabla2[Comunidades],"no se encuentra")</f>
        <v>Comunidad de Madrid</v>
      </c>
      <c r="M422" t="s">
        <v>19</v>
      </c>
      <c r="N422">
        <v>1</v>
      </c>
    </row>
    <row r="423" spans="1:14" x14ac:dyDescent="0.25">
      <c r="A423">
        <v>1422</v>
      </c>
      <c r="B423" s="1">
        <v>45800</v>
      </c>
      <c r="C423" s="4">
        <f>MONTH(datos_ventas[[#This Row],[Fecha]])</f>
        <v>5</v>
      </c>
      <c r="D423" s="4">
        <f>WEEKNUM(datos_ventas[[#This Row],[Fecha]],2)</f>
        <v>21</v>
      </c>
      <c r="E423" t="s">
        <v>26</v>
      </c>
      <c r="F423" t="s">
        <v>18</v>
      </c>
      <c r="G423">
        <v>1</v>
      </c>
      <c r="H423">
        <v>77982</v>
      </c>
      <c r="I423">
        <v>831</v>
      </c>
      <c r="J423" t="s">
        <v>31</v>
      </c>
      <c r="K423" t="str">
        <f>_xlfn.XLOOKUP(datos_ventas[[#This Row],[Ciudad]],Tabla2[Ciudades],Tabla2[Provincias],"no se encuentra")</f>
        <v>Vizcaya</v>
      </c>
      <c r="L423" t="str">
        <f>_xlfn.XLOOKUP(datos_ventas[[#This Row],[Provincia]],Tabla2[Provincias],Tabla2[Comunidades],"no se encuentra")</f>
        <v>País Vasco</v>
      </c>
      <c r="M423" t="s">
        <v>19</v>
      </c>
      <c r="N423">
        <v>4</v>
      </c>
    </row>
    <row r="424" spans="1:14" x14ac:dyDescent="0.25">
      <c r="A424">
        <v>1423</v>
      </c>
      <c r="B424" s="1">
        <v>45883</v>
      </c>
      <c r="C424" s="4">
        <f>MONTH(datos_ventas[[#This Row],[Fecha]])</f>
        <v>8</v>
      </c>
      <c r="D424" s="4">
        <f>WEEKNUM(datos_ventas[[#This Row],[Fecha]],2)</f>
        <v>33</v>
      </c>
      <c r="E424" t="s">
        <v>16</v>
      </c>
      <c r="F424" t="s">
        <v>11</v>
      </c>
      <c r="G424">
        <v>2</v>
      </c>
      <c r="H424">
        <v>25575</v>
      </c>
      <c r="I424">
        <v>598</v>
      </c>
      <c r="J424" t="s">
        <v>12</v>
      </c>
      <c r="K424" t="str">
        <f>_xlfn.XLOOKUP(datos_ventas[[#This Row],[Ciudad]],Tabla2[Ciudades],Tabla2[Provincias],"no se encuentra")</f>
        <v>Málaga</v>
      </c>
      <c r="L424" t="str">
        <f>_xlfn.XLOOKUP(datos_ventas[[#This Row],[Provincia]],Tabla2[Provincias],Tabla2[Comunidades],"no se encuentra")</f>
        <v>Andalucía</v>
      </c>
      <c r="M424" t="s">
        <v>19</v>
      </c>
      <c r="N424">
        <v>3</v>
      </c>
    </row>
    <row r="425" spans="1:14" x14ac:dyDescent="0.25">
      <c r="A425">
        <v>1424</v>
      </c>
      <c r="B425" s="1">
        <v>45786</v>
      </c>
      <c r="C425" s="4">
        <f>MONTH(datos_ventas[[#This Row],[Fecha]])</f>
        <v>5</v>
      </c>
      <c r="D425" s="4">
        <f>WEEKNUM(datos_ventas[[#This Row],[Fecha]],2)</f>
        <v>19</v>
      </c>
      <c r="E425" t="s">
        <v>23</v>
      </c>
      <c r="F425" t="s">
        <v>18</v>
      </c>
      <c r="G425">
        <v>1</v>
      </c>
      <c r="H425">
        <v>37837</v>
      </c>
      <c r="I425">
        <v>2257</v>
      </c>
      <c r="J425" t="s">
        <v>14</v>
      </c>
      <c r="K425" t="str">
        <f>_xlfn.XLOOKUP(datos_ventas[[#This Row],[Ciudad]],Tabla2[Ciudades],Tabla2[Provincias],"no se encuentra")</f>
        <v>Madrid</v>
      </c>
      <c r="L425" t="str">
        <f>_xlfn.XLOOKUP(datos_ventas[[#This Row],[Provincia]],Tabla2[Provincias],Tabla2[Comunidades],"no se encuentra")</f>
        <v>Comunidad de Madrid</v>
      </c>
      <c r="M425" t="s">
        <v>13</v>
      </c>
      <c r="N425">
        <v>1</v>
      </c>
    </row>
    <row r="426" spans="1:14" x14ac:dyDescent="0.25">
      <c r="A426">
        <v>1425</v>
      </c>
      <c r="B426" s="1">
        <v>46015</v>
      </c>
      <c r="C426" s="4">
        <f>MONTH(datos_ventas[[#This Row],[Fecha]])</f>
        <v>12</v>
      </c>
      <c r="D426" s="4">
        <f>WEEKNUM(datos_ventas[[#This Row],[Fecha]],2)</f>
        <v>52</v>
      </c>
      <c r="E426" t="s">
        <v>17</v>
      </c>
      <c r="F426" t="s">
        <v>18</v>
      </c>
      <c r="G426">
        <v>4</v>
      </c>
      <c r="H426">
        <v>118586</v>
      </c>
      <c r="I426">
        <v>992</v>
      </c>
      <c r="J426" t="s">
        <v>12</v>
      </c>
      <c r="K426" t="str">
        <f>_xlfn.XLOOKUP(datos_ventas[[#This Row],[Ciudad]],Tabla2[Ciudades],Tabla2[Provincias],"no se encuentra")</f>
        <v>Málaga</v>
      </c>
      <c r="L426" t="str">
        <f>_xlfn.XLOOKUP(datos_ventas[[#This Row],[Provincia]],Tabla2[Provincias],Tabla2[Comunidades],"no se encuentra")</f>
        <v>Andalucía</v>
      </c>
      <c r="M426" t="s">
        <v>28</v>
      </c>
      <c r="N426">
        <v>3</v>
      </c>
    </row>
    <row r="427" spans="1:14" x14ac:dyDescent="0.25">
      <c r="A427">
        <v>1426</v>
      </c>
      <c r="B427" s="1">
        <v>45776</v>
      </c>
      <c r="C427" s="4">
        <f>MONTH(datos_ventas[[#This Row],[Fecha]])</f>
        <v>4</v>
      </c>
      <c r="D427" s="4">
        <f>WEEKNUM(datos_ventas[[#This Row],[Fecha]],2)</f>
        <v>18</v>
      </c>
      <c r="E427" t="s">
        <v>16</v>
      </c>
      <c r="F427" t="s">
        <v>11</v>
      </c>
      <c r="G427">
        <v>5</v>
      </c>
      <c r="H427">
        <v>118998</v>
      </c>
      <c r="I427">
        <v>63</v>
      </c>
      <c r="J427" t="s">
        <v>31</v>
      </c>
      <c r="K427" t="str">
        <f>_xlfn.XLOOKUP(datos_ventas[[#This Row],[Ciudad]],Tabla2[Ciudades],Tabla2[Provincias],"no se encuentra")</f>
        <v>Vizcaya</v>
      </c>
      <c r="L427" t="str">
        <f>_xlfn.XLOOKUP(datos_ventas[[#This Row],[Provincia]],Tabla2[Provincias],Tabla2[Comunidades],"no se encuentra")</f>
        <v>País Vasco</v>
      </c>
      <c r="M427" t="s">
        <v>13</v>
      </c>
      <c r="N427">
        <v>2</v>
      </c>
    </row>
    <row r="428" spans="1:14" x14ac:dyDescent="0.25">
      <c r="A428">
        <v>1427</v>
      </c>
      <c r="B428" s="1">
        <v>45900</v>
      </c>
      <c r="C428" s="4">
        <f>MONTH(datos_ventas[[#This Row],[Fecha]])</f>
        <v>8</v>
      </c>
      <c r="D428" s="4">
        <f>WEEKNUM(datos_ventas[[#This Row],[Fecha]],2)</f>
        <v>35</v>
      </c>
      <c r="E428" t="s">
        <v>20</v>
      </c>
      <c r="F428" t="s">
        <v>21</v>
      </c>
      <c r="G428">
        <v>5</v>
      </c>
      <c r="H428">
        <v>61432</v>
      </c>
      <c r="I428">
        <v>3757</v>
      </c>
      <c r="J428" t="s">
        <v>12</v>
      </c>
      <c r="K428" t="str">
        <f>_xlfn.XLOOKUP(datos_ventas[[#This Row],[Ciudad]],Tabla2[Ciudades],Tabla2[Provincias],"no se encuentra")</f>
        <v>Málaga</v>
      </c>
      <c r="L428" t="str">
        <f>_xlfn.XLOOKUP(datos_ventas[[#This Row],[Provincia]],Tabla2[Provincias],Tabla2[Comunidades],"no se encuentra")</f>
        <v>Andalucía</v>
      </c>
      <c r="M428" t="s">
        <v>19</v>
      </c>
      <c r="N428">
        <v>3</v>
      </c>
    </row>
    <row r="429" spans="1:14" x14ac:dyDescent="0.25">
      <c r="A429">
        <v>1428</v>
      </c>
      <c r="B429" s="1">
        <v>45758</v>
      </c>
      <c r="C429" s="4">
        <f>MONTH(datos_ventas[[#This Row],[Fecha]])</f>
        <v>4</v>
      </c>
      <c r="D429" s="4">
        <f>WEEKNUM(datos_ventas[[#This Row],[Fecha]],2)</f>
        <v>15</v>
      </c>
      <c r="E429" t="s">
        <v>16</v>
      </c>
      <c r="F429" t="s">
        <v>11</v>
      </c>
      <c r="G429">
        <v>4</v>
      </c>
      <c r="H429">
        <v>45392</v>
      </c>
      <c r="I429">
        <v>1061</v>
      </c>
      <c r="J429" t="s">
        <v>12</v>
      </c>
      <c r="K429" t="str">
        <f>_xlfn.XLOOKUP(datos_ventas[[#This Row],[Ciudad]],Tabla2[Ciudades],Tabla2[Provincias],"no se encuentra")</f>
        <v>Málaga</v>
      </c>
      <c r="L429" t="str">
        <f>_xlfn.XLOOKUP(datos_ventas[[#This Row],[Provincia]],Tabla2[Provincias],Tabla2[Comunidades],"no se encuentra")</f>
        <v>Andalucía</v>
      </c>
      <c r="M429" t="s">
        <v>13</v>
      </c>
      <c r="N429">
        <v>1</v>
      </c>
    </row>
    <row r="430" spans="1:14" x14ac:dyDescent="0.25">
      <c r="A430">
        <v>1429</v>
      </c>
      <c r="B430" s="1">
        <v>46012</v>
      </c>
      <c r="C430" s="4">
        <f>MONTH(datos_ventas[[#This Row],[Fecha]])</f>
        <v>12</v>
      </c>
      <c r="D430" s="4">
        <f>WEEKNUM(datos_ventas[[#This Row],[Fecha]],2)</f>
        <v>51</v>
      </c>
      <c r="E430" t="s">
        <v>10</v>
      </c>
      <c r="F430" t="s">
        <v>11</v>
      </c>
      <c r="G430">
        <v>3</v>
      </c>
      <c r="H430">
        <v>84673</v>
      </c>
      <c r="I430">
        <v>4703</v>
      </c>
      <c r="J430" t="s">
        <v>22</v>
      </c>
      <c r="K430" t="str">
        <f>_xlfn.XLOOKUP(datos_ventas[[#This Row],[Ciudad]],Tabla2[Ciudades],Tabla2[Provincias],"no se encuentra")</f>
        <v>Valencia</v>
      </c>
      <c r="L430" t="str">
        <f>_xlfn.XLOOKUP(datos_ventas[[#This Row],[Provincia]],Tabla2[Provincias],Tabla2[Comunidades],"no se encuentra")</f>
        <v>Comunidad Valenciana</v>
      </c>
      <c r="M430" t="s">
        <v>13</v>
      </c>
      <c r="N430">
        <v>3</v>
      </c>
    </row>
    <row r="431" spans="1:14" x14ac:dyDescent="0.25">
      <c r="A431">
        <v>1430</v>
      </c>
      <c r="B431" s="1">
        <v>45761</v>
      </c>
      <c r="C431" s="4">
        <f>MONTH(datos_ventas[[#This Row],[Fecha]])</f>
        <v>4</v>
      </c>
      <c r="D431" s="4">
        <f>WEEKNUM(datos_ventas[[#This Row],[Fecha]],2)</f>
        <v>16</v>
      </c>
      <c r="E431" t="s">
        <v>17</v>
      </c>
      <c r="F431" t="s">
        <v>18</v>
      </c>
      <c r="G431">
        <v>4</v>
      </c>
      <c r="H431">
        <v>102831</v>
      </c>
      <c r="I431">
        <v>2144</v>
      </c>
      <c r="J431" t="s">
        <v>14</v>
      </c>
      <c r="K431" t="str">
        <f>_xlfn.XLOOKUP(datos_ventas[[#This Row],[Ciudad]],Tabla2[Ciudades],Tabla2[Provincias],"no se encuentra")</f>
        <v>Madrid</v>
      </c>
      <c r="L431" t="str">
        <f>_xlfn.XLOOKUP(datos_ventas[[#This Row],[Provincia]],Tabla2[Provincias],Tabla2[Comunidades],"no se encuentra")</f>
        <v>Comunidad de Madrid</v>
      </c>
      <c r="M431" t="s">
        <v>15</v>
      </c>
      <c r="N431">
        <v>1</v>
      </c>
    </row>
    <row r="432" spans="1:14" x14ac:dyDescent="0.25">
      <c r="A432">
        <v>1431</v>
      </c>
      <c r="B432" s="1">
        <v>45778</v>
      </c>
      <c r="C432" s="4">
        <f>MONTH(datos_ventas[[#This Row],[Fecha]])</f>
        <v>5</v>
      </c>
      <c r="D432" s="4">
        <f>WEEKNUM(datos_ventas[[#This Row],[Fecha]],2)</f>
        <v>18</v>
      </c>
      <c r="E432" t="s">
        <v>16</v>
      </c>
      <c r="F432" t="s">
        <v>11</v>
      </c>
      <c r="G432">
        <v>1</v>
      </c>
      <c r="H432">
        <v>76606</v>
      </c>
      <c r="I432">
        <v>1951</v>
      </c>
      <c r="J432" t="s">
        <v>14</v>
      </c>
      <c r="K432" t="str">
        <f>_xlfn.XLOOKUP(datos_ventas[[#This Row],[Ciudad]],Tabla2[Ciudades],Tabla2[Provincias],"no se encuentra")</f>
        <v>Madrid</v>
      </c>
      <c r="L432" t="str">
        <f>_xlfn.XLOOKUP(datos_ventas[[#This Row],[Provincia]],Tabla2[Provincias],Tabla2[Comunidades],"no se encuentra")</f>
        <v>Comunidad de Madrid</v>
      </c>
      <c r="M432" t="s">
        <v>19</v>
      </c>
      <c r="N432">
        <v>3</v>
      </c>
    </row>
    <row r="433" spans="1:14" x14ac:dyDescent="0.25">
      <c r="A433">
        <v>1432</v>
      </c>
      <c r="B433" s="1">
        <v>45966</v>
      </c>
      <c r="C433" s="4">
        <f>MONTH(datos_ventas[[#This Row],[Fecha]])</f>
        <v>11</v>
      </c>
      <c r="D433" s="4">
        <f>WEEKNUM(datos_ventas[[#This Row],[Fecha]],2)</f>
        <v>45</v>
      </c>
      <c r="E433" t="s">
        <v>26</v>
      </c>
      <c r="F433" t="s">
        <v>18</v>
      </c>
      <c r="G433">
        <v>2</v>
      </c>
      <c r="H433">
        <v>10383</v>
      </c>
      <c r="I433">
        <v>1279</v>
      </c>
      <c r="J433" t="s">
        <v>27</v>
      </c>
      <c r="K433" t="str">
        <f>_xlfn.XLOOKUP(datos_ventas[[#This Row],[Ciudad]],Tabla2[Ciudades],Tabla2[Provincias],"no se encuentra")</f>
        <v>Sevilla</v>
      </c>
      <c r="L433" t="str">
        <f>_xlfn.XLOOKUP(datos_ventas[[#This Row],[Provincia]],Tabla2[Provincias],Tabla2[Comunidades],"no se encuentra")</f>
        <v>Andalucía</v>
      </c>
      <c r="M433" t="s">
        <v>19</v>
      </c>
      <c r="N433">
        <v>3</v>
      </c>
    </row>
    <row r="434" spans="1:14" x14ac:dyDescent="0.25">
      <c r="A434">
        <v>1433</v>
      </c>
      <c r="B434" s="1">
        <v>45738</v>
      </c>
      <c r="C434" s="4">
        <f>MONTH(datos_ventas[[#This Row],[Fecha]])</f>
        <v>3</v>
      </c>
      <c r="D434" s="4">
        <f>WEEKNUM(datos_ventas[[#This Row],[Fecha]],2)</f>
        <v>12</v>
      </c>
      <c r="E434" t="s">
        <v>17</v>
      </c>
      <c r="F434" t="s">
        <v>18</v>
      </c>
      <c r="G434">
        <v>5</v>
      </c>
      <c r="H434">
        <v>91145</v>
      </c>
      <c r="I434">
        <v>505</v>
      </c>
      <c r="J434" t="s">
        <v>27</v>
      </c>
      <c r="K434" t="str">
        <f>_xlfn.XLOOKUP(datos_ventas[[#This Row],[Ciudad]],Tabla2[Ciudades],Tabla2[Provincias],"no se encuentra")</f>
        <v>Sevilla</v>
      </c>
      <c r="L434" t="str">
        <f>_xlfn.XLOOKUP(datos_ventas[[#This Row],[Provincia]],Tabla2[Provincias],Tabla2[Comunidades],"no se encuentra")</f>
        <v>Andalucía</v>
      </c>
      <c r="M434" t="s">
        <v>13</v>
      </c>
      <c r="N434">
        <v>2</v>
      </c>
    </row>
    <row r="435" spans="1:14" x14ac:dyDescent="0.25">
      <c r="A435">
        <v>1434</v>
      </c>
      <c r="B435" s="1">
        <v>45948</v>
      </c>
      <c r="C435" s="4">
        <f>MONTH(datos_ventas[[#This Row],[Fecha]])</f>
        <v>10</v>
      </c>
      <c r="D435" s="4">
        <f>WEEKNUM(datos_ventas[[#This Row],[Fecha]],2)</f>
        <v>42</v>
      </c>
      <c r="E435" t="s">
        <v>23</v>
      </c>
      <c r="F435" t="s">
        <v>18</v>
      </c>
      <c r="G435">
        <v>3</v>
      </c>
      <c r="H435">
        <v>45193</v>
      </c>
      <c r="I435">
        <v>3747</v>
      </c>
      <c r="J435" t="s">
        <v>14</v>
      </c>
      <c r="K435" t="str">
        <f>_xlfn.XLOOKUP(datos_ventas[[#This Row],[Ciudad]],Tabla2[Ciudades],Tabla2[Provincias],"no se encuentra")</f>
        <v>Madrid</v>
      </c>
      <c r="L435" t="str">
        <f>_xlfn.XLOOKUP(datos_ventas[[#This Row],[Provincia]],Tabla2[Provincias],Tabla2[Comunidades],"no se encuentra")</f>
        <v>Comunidad de Madrid</v>
      </c>
      <c r="M435" t="s">
        <v>19</v>
      </c>
      <c r="N435">
        <v>5</v>
      </c>
    </row>
    <row r="436" spans="1:14" x14ac:dyDescent="0.25">
      <c r="A436">
        <v>1435</v>
      </c>
      <c r="B436" s="1">
        <v>45962</v>
      </c>
      <c r="C436" s="4">
        <f>MONTH(datos_ventas[[#This Row],[Fecha]])</f>
        <v>11</v>
      </c>
      <c r="D436" s="4">
        <f>WEEKNUM(datos_ventas[[#This Row],[Fecha]],2)</f>
        <v>44</v>
      </c>
      <c r="E436" t="s">
        <v>23</v>
      </c>
      <c r="F436" t="s">
        <v>18</v>
      </c>
      <c r="G436">
        <v>3</v>
      </c>
      <c r="H436">
        <v>119844</v>
      </c>
      <c r="I436">
        <v>3771</v>
      </c>
      <c r="J436" t="s">
        <v>27</v>
      </c>
      <c r="K436" t="str">
        <f>_xlfn.XLOOKUP(datos_ventas[[#This Row],[Ciudad]],Tabla2[Ciudades],Tabla2[Provincias],"no se encuentra")</f>
        <v>Sevilla</v>
      </c>
      <c r="L436" t="str">
        <f>_xlfn.XLOOKUP(datos_ventas[[#This Row],[Provincia]],Tabla2[Provincias],Tabla2[Comunidades],"no se encuentra")</f>
        <v>Andalucía</v>
      </c>
      <c r="M436" t="s">
        <v>19</v>
      </c>
      <c r="N436">
        <v>5</v>
      </c>
    </row>
    <row r="437" spans="1:14" x14ac:dyDescent="0.25">
      <c r="A437">
        <v>1436</v>
      </c>
      <c r="B437" s="1">
        <v>45839</v>
      </c>
      <c r="C437" s="4">
        <f>MONTH(datos_ventas[[#This Row],[Fecha]])</f>
        <v>7</v>
      </c>
      <c r="D437" s="4">
        <f>WEEKNUM(datos_ventas[[#This Row],[Fecha]],2)</f>
        <v>27</v>
      </c>
      <c r="E437" t="s">
        <v>29</v>
      </c>
      <c r="F437" t="s">
        <v>30</v>
      </c>
      <c r="G437">
        <v>1</v>
      </c>
      <c r="H437">
        <v>119738</v>
      </c>
      <c r="I437">
        <v>4987</v>
      </c>
      <c r="J437" t="s">
        <v>14</v>
      </c>
      <c r="K437" t="str">
        <f>_xlfn.XLOOKUP(datos_ventas[[#This Row],[Ciudad]],Tabla2[Ciudades],Tabla2[Provincias],"no se encuentra")</f>
        <v>Madrid</v>
      </c>
      <c r="L437" t="str">
        <f>_xlfn.XLOOKUP(datos_ventas[[#This Row],[Provincia]],Tabla2[Provincias],Tabla2[Comunidades],"no se encuentra")</f>
        <v>Comunidad de Madrid</v>
      </c>
      <c r="M437" t="s">
        <v>15</v>
      </c>
      <c r="N437">
        <v>1</v>
      </c>
    </row>
    <row r="438" spans="1:14" x14ac:dyDescent="0.25">
      <c r="A438">
        <v>1437</v>
      </c>
      <c r="B438" s="1">
        <v>45829</v>
      </c>
      <c r="C438" s="4">
        <f>MONTH(datos_ventas[[#This Row],[Fecha]])</f>
        <v>6</v>
      </c>
      <c r="D438" s="4">
        <f>WEEKNUM(datos_ventas[[#This Row],[Fecha]],2)</f>
        <v>25</v>
      </c>
      <c r="E438" t="s">
        <v>26</v>
      </c>
      <c r="F438" t="s">
        <v>18</v>
      </c>
      <c r="G438">
        <v>3</v>
      </c>
      <c r="H438">
        <v>53904</v>
      </c>
      <c r="I438">
        <v>1896</v>
      </c>
      <c r="J438" t="s">
        <v>22</v>
      </c>
      <c r="K438" t="str">
        <f>_xlfn.XLOOKUP(datos_ventas[[#This Row],[Ciudad]],Tabla2[Ciudades],Tabla2[Provincias],"no se encuentra")</f>
        <v>Valencia</v>
      </c>
      <c r="L438" t="str">
        <f>_xlfn.XLOOKUP(datos_ventas[[#This Row],[Provincia]],Tabla2[Provincias],Tabla2[Comunidades],"no se encuentra")</f>
        <v>Comunidad Valenciana</v>
      </c>
      <c r="M438" t="s">
        <v>19</v>
      </c>
      <c r="N438">
        <v>1</v>
      </c>
    </row>
    <row r="439" spans="1:14" x14ac:dyDescent="0.25">
      <c r="A439">
        <v>1438</v>
      </c>
      <c r="B439" s="1">
        <v>45869</v>
      </c>
      <c r="C439" s="4">
        <f>MONTH(datos_ventas[[#This Row],[Fecha]])</f>
        <v>7</v>
      </c>
      <c r="D439" s="4">
        <f>WEEKNUM(datos_ventas[[#This Row],[Fecha]],2)</f>
        <v>31</v>
      </c>
      <c r="E439" t="s">
        <v>26</v>
      </c>
      <c r="F439" t="s">
        <v>18</v>
      </c>
      <c r="G439">
        <v>2</v>
      </c>
      <c r="H439">
        <v>7024</v>
      </c>
      <c r="I439">
        <v>1264</v>
      </c>
      <c r="J439" t="s">
        <v>32</v>
      </c>
      <c r="K439" t="str">
        <f>_xlfn.XLOOKUP(datos_ventas[[#This Row],[Ciudad]],Tabla2[Ciudades],Tabla2[Provincias],"no se encuentra")</f>
        <v>Barcelona</v>
      </c>
      <c r="L439" t="str">
        <f>_xlfn.XLOOKUP(datos_ventas[[#This Row],[Provincia]],Tabla2[Provincias],Tabla2[Comunidades],"no se encuentra")</f>
        <v>Cataluña</v>
      </c>
      <c r="M439" t="s">
        <v>13</v>
      </c>
      <c r="N439">
        <v>2</v>
      </c>
    </row>
    <row r="440" spans="1:14" x14ac:dyDescent="0.25">
      <c r="A440">
        <v>1439</v>
      </c>
      <c r="B440" s="1">
        <v>45830</v>
      </c>
      <c r="C440" s="4">
        <f>MONTH(datos_ventas[[#This Row],[Fecha]])</f>
        <v>6</v>
      </c>
      <c r="D440" s="4">
        <f>WEEKNUM(datos_ventas[[#This Row],[Fecha]],2)</f>
        <v>25</v>
      </c>
      <c r="E440" t="s">
        <v>16</v>
      </c>
      <c r="F440" t="s">
        <v>11</v>
      </c>
      <c r="G440">
        <v>2</v>
      </c>
      <c r="H440">
        <v>43041</v>
      </c>
      <c r="I440">
        <v>2743</v>
      </c>
      <c r="J440" t="s">
        <v>32</v>
      </c>
      <c r="K440" t="str">
        <f>_xlfn.XLOOKUP(datos_ventas[[#This Row],[Ciudad]],Tabla2[Ciudades],Tabla2[Provincias],"no se encuentra")</f>
        <v>Barcelona</v>
      </c>
      <c r="L440" t="str">
        <f>_xlfn.XLOOKUP(datos_ventas[[#This Row],[Provincia]],Tabla2[Provincias],Tabla2[Comunidades],"no se encuentra")</f>
        <v>Cataluña</v>
      </c>
      <c r="M440" t="s">
        <v>13</v>
      </c>
      <c r="N440">
        <v>3</v>
      </c>
    </row>
    <row r="441" spans="1:14" x14ac:dyDescent="0.25">
      <c r="A441">
        <v>1440</v>
      </c>
      <c r="B441" s="1">
        <v>45904</v>
      </c>
      <c r="C441" s="4">
        <f>MONTH(datos_ventas[[#This Row],[Fecha]])</f>
        <v>9</v>
      </c>
      <c r="D441" s="4">
        <f>WEEKNUM(datos_ventas[[#This Row],[Fecha]],2)</f>
        <v>36</v>
      </c>
      <c r="E441" t="s">
        <v>17</v>
      </c>
      <c r="F441" t="s">
        <v>18</v>
      </c>
      <c r="G441">
        <v>1</v>
      </c>
      <c r="H441">
        <v>78639</v>
      </c>
      <c r="I441">
        <v>4803</v>
      </c>
      <c r="J441" t="s">
        <v>14</v>
      </c>
      <c r="K441" t="str">
        <f>_xlfn.XLOOKUP(datos_ventas[[#This Row],[Ciudad]],Tabla2[Ciudades],Tabla2[Provincias],"no se encuentra")</f>
        <v>Madrid</v>
      </c>
      <c r="L441" t="str">
        <f>_xlfn.XLOOKUP(datos_ventas[[#This Row],[Provincia]],Tabla2[Provincias],Tabla2[Comunidades],"no se encuentra")</f>
        <v>Comunidad de Madrid</v>
      </c>
      <c r="M441" t="s">
        <v>28</v>
      </c>
      <c r="N441">
        <v>2</v>
      </c>
    </row>
    <row r="442" spans="1:14" x14ac:dyDescent="0.25">
      <c r="A442">
        <v>1441</v>
      </c>
      <c r="B442" s="1">
        <v>45662</v>
      </c>
      <c r="C442" s="4">
        <f>MONTH(datos_ventas[[#This Row],[Fecha]])</f>
        <v>1</v>
      </c>
      <c r="D442" s="4">
        <f>WEEKNUM(datos_ventas[[#This Row],[Fecha]],2)</f>
        <v>1</v>
      </c>
      <c r="E442" t="s">
        <v>20</v>
      </c>
      <c r="F442" t="s">
        <v>21</v>
      </c>
      <c r="G442">
        <v>4</v>
      </c>
      <c r="H442">
        <v>11487</v>
      </c>
      <c r="I442">
        <v>1389</v>
      </c>
      <c r="J442" t="s">
        <v>32</v>
      </c>
      <c r="K442" t="str">
        <f>_xlfn.XLOOKUP(datos_ventas[[#This Row],[Ciudad]],Tabla2[Ciudades],Tabla2[Provincias],"no se encuentra")</f>
        <v>Barcelona</v>
      </c>
      <c r="L442" t="str">
        <f>_xlfn.XLOOKUP(datos_ventas[[#This Row],[Provincia]],Tabla2[Provincias],Tabla2[Comunidades],"no se encuentra")</f>
        <v>Cataluña</v>
      </c>
      <c r="M442" t="s">
        <v>28</v>
      </c>
      <c r="N442">
        <v>2</v>
      </c>
    </row>
    <row r="443" spans="1:14" x14ac:dyDescent="0.25">
      <c r="A443">
        <v>1442</v>
      </c>
      <c r="B443" s="1">
        <v>45677</v>
      </c>
      <c r="C443" s="4">
        <f>MONTH(datos_ventas[[#This Row],[Fecha]])</f>
        <v>1</v>
      </c>
      <c r="D443" s="4">
        <f>WEEKNUM(datos_ventas[[#This Row],[Fecha]],2)</f>
        <v>4</v>
      </c>
      <c r="E443" t="s">
        <v>16</v>
      </c>
      <c r="F443" t="s">
        <v>11</v>
      </c>
      <c r="G443">
        <v>1</v>
      </c>
      <c r="H443">
        <v>67473</v>
      </c>
      <c r="I443">
        <v>1733</v>
      </c>
      <c r="J443" t="s">
        <v>14</v>
      </c>
      <c r="K443" t="str">
        <f>_xlfn.XLOOKUP(datos_ventas[[#This Row],[Ciudad]],Tabla2[Ciudades],Tabla2[Provincias],"no se encuentra")</f>
        <v>Madrid</v>
      </c>
      <c r="L443" t="str">
        <f>_xlfn.XLOOKUP(datos_ventas[[#This Row],[Provincia]],Tabla2[Provincias],Tabla2[Comunidades],"no se encuentra")</f>
        <v>Comunidad de Madrid</v>
      </c>
      <c r="M443" t="s">
        <v>28</v>
      </c>
      <c r="N443">
        <v>1</v>
      </c>
    </row>
    <row r="444" spans="1:14" x14ac:dyDescent="0.25">
      <c r="A444">
        <v>1443</v>
      </c>
      <c r="B444" s="1">
        <v>46021</v>
      </c>
      <c r="C444" s="4">
        <f>MONTH(datos_ventas[[#This Row],[Fecha]])</f>
        <v>12</v>
      </c>
      <c r="D444" s="4">
        <f>WEEKNUM(datos_ventas[[#This Row],[Fecha]],2)</f>
        <v>53</v>
      </c>
      <c r="E444" t="s">
        <v>23</v>
      </c>
      <c r="F444" t="s">
        <v>18</v>
      </c>
      <c r="G444">
        <v>4</v>
      </c>
      <c r="H444">
        <v>7704</v>
      </c>
      <c r="I444">
        <v>2765</v>
      </c>
      <c r="J444" t="s">
        <v>27</v>
      </c>
      <c r="K444" t="str">
        <f>_xlfn.XLOOKUP(datos_ventas[[#This Row],[Ciudad]],Tabla2[Ciudades],Tabla2[Provincias],"no se encuentra")</f>
        <v>Sevilla</v>
      </c>
      <c r="L444" t="str">
        <f>_xlfn.XLOOKUP(datos_ventas[[#This Row],[Provincia]],Tabla2[Provincias],Tabla2[Comunidades],"no se encuentra")</f>
        <v>Andalucía</v>
      </c>
      <c r="M444" t="s">
        <v>19</v>
      </c>
      <c r="N444">
        <v>5</v>
      </c>
    </row>
    <row r="445" spans="1:14" x14ac:dyDescent="0.25">
      <c r="A445">
        <v>1444</v>
      </c>
      <c r="B445" s="1">
        <v>45956</v>
      </c>
      <c r="C445" s="4">
        <f>MONTH(datos_ventas[[#This Row],[Fecha]])</f>
        <v>10</v>
      </c>
      <c r="D445" s="4">
        <f>WEEKNUM(datos_ventas[[#This Row],[Fecha]],2)</f>
        <v>43</v>
      </c>
      <c r="E445" t="s">
        <v>16</v>
      </c>
      <c r="F445" t="s">
        <v>11</v>
      </c>
      <c r="G445">
        <v>1</v>
      </c>
      <c r="H445">
        <v>106551</v>
      </c>
      <c r="I445">
        <v>1158</v>
      </c>
      <c r="J445" t="s">
        <v>32</v>
      </c>
      <c r="K445" t="str">
        <f>_xlfn.XLOOKUP(datos_ventas[[#This Row],[Ciudad]],Tabla2[Ciudades],Tabla2[Provincias],"no se encuentra")</f>
        <v>Barcelona</v>
      </c>
      <c r="L445" t="str">
        <f>_xlfn.XLOOKUP(datos_ventas[[#This Row],[Provincia]],Tabla2[Provincias],Tabla2[Comunidades],"no se encuentra")</f>
        <v>Cataluña</v>
      </c>
      <c r="M445" t="s">
        <v>28</v>
      </c>
      <c r="N445">
        <v>3</v>
      </c>
    </row>
    <row r="446" spans="1:14" x14ac:dyDescent="0.25">
      <c r="A446">
        <v>1445</v>
      </c>
      <c r="B446" s="1">
        <v>45686</v>
      </c>
      <c r="C446" s="4">
        <f>MONTH(datos_ventas[[#This Row],[Fecha]])</f>
        <v>1</v>
      </c>
      <c r="D446" s="4">
        <f>WEEKNUM(datos_ventas[[#This Row],[Fecha]],2)</f>
        <v>5</v>
      </c>
      <c r="E446" t="s">
        <v>24</v>
      </c>
      <c r="F446" t="s">
        <v>25</v>
      </c>
      <c r="G446">
        <v>1</v>
      </c>
      <c r="H446">
        <v>69272</v>
      </c>
      <c r="I446">
        <v>51</v>
      </c>
      <c r="J446" t="s">
        <v>14</v>
      </c>
      <c r="K446" t="str">
        <f>_xlfn.XLOOKUP(datos_ventas[[#This Row],[Ciudad]],Tabla2[Ciudades],Tabla2[Provincias],"no se encuentra")</f>
        <v>Madrid</v>
      </c>
      <c r="L446" t="str">
        <f>_xlfn.XLOOKUP(datos_ventas[[#This Row],[Provincia]],Tabla2[Provincias],Tabla2[Comunidades],"no se encuentra")</f>
        <v>Comunidad de Madrid</v>
      </c>
      <c r="M446" t="s">
        <v>13</v>
      </c>
      <c r="N446">
        <v>5</v>
      </c>
    </row>
    <row r="447" spans="1:14" x14ac:dyDescent="0.25">
      <c r="A447">
        <v>1446</v>
      </c>
      <c r="B447" s="1">
        <v>45875</v>
      </c>
      <c r="C447" s="4">
        <f>MONTH(datos_ventas[[#This Row],[Fecha]])</f>
        <v>8</v>
      </c>
      <c r="D447" s="4">
        <f>WEEKNUM(datos_ventas[[#This Row],[Fecha]],2)</f>
        <v>32</v>
      </c>
      <c r="E447" t="s">
        <v>23</v>
      </c>
      <c r="F447" t="s">
        <v>18</v>
      </c>
      <c r="G447">
        <v>3</v>
      </c>
      <c r="H447">
        <v>7664</v>
      </c>
      <c r="I447">
        <v>272</v>
      </c>
      <c r="J447" t="s">
        <v>32</v>
      </c>
      <c r="K447" t="str">
        <f>_xlfn.XLOOKUP(datos_ventas[[#This Row],[Ciudad]],Tabla2[Ciudades],Tabla2[Provincias],"no se encuentra")</f>
        <v>Barcelona</v>
      </c>
      <c r="L447" t="str">
        <f>_xlfn.XLOOKUP(datos_ventas[[#This Row],[Provincia]],Tabla2[Provincias],Tabla2[Comunidades],"no se encuentra")</f>
        <v>Cataluña</v>
      </c>
      <c r="M447" t="s">
        <v>13</v>
      </c>
      <c r="N447">
        <v>3</v>
      </c>
    </row>
    <row r="448" spans="1:14" x14ac:dyDescent="0.25">
      <c r="A448">
        <v>1447</v>
      </c>
      <c r="B448" s="1">
        <v>45765</v>
      </c>
      <c r="C448" s="4">
        <f>MONTH(datos_ventas[[#This Row],[Fecha]])</f>
        <v>4</v>
      </c>
      <c r="D448" s="4">
        <f>WEEKNUM(datos_ventas[[#This Row],[Fecha]],2)</f>
        <v>16</v>
      </c>
      <c r="E448" t="s">
        <v>17</v>
      </c>
      <c r="F448" t="s">
        <v>18</v>
      </c>
      <c r="G448">
        <v>3</v>
      </c>
      <c r="H448">
        <v>82555</v>
      </c>
      <c r="I448">
        <v>3363</v>
      </c>
      <c r="J448" t="s">
        <v>31</v>
      </c>
      <c r="K448" t="str">
        <f>_xlfn.XLOOKUP(datos_ventas[[#This Row],[Ciudad]],Tabla2[Ciudades],Tabla2[Provincias],"no se encuentra")</f>
        <v>Vizcaya</v>
      </c>
      <c r="L448" t="str">
        <f>_xlfn.XLOOKUP(datos_ventas[[#This Row],[Provincia]],Tabla2[Provincias],Tabla2[Comunidades],"no se encuentra")</f>
        <v>País Vasco</v>
      </c>
      <c r="M448" t="s">
        <v>28</v>
      </c>
      <c r="N448">
        <v>4</v>
      </c>
    </row>
    <row r="449" spans="1:14" x14ac:dyDescent="0.25">
      <c r="A449">
        <v>1448</v>
      </c>
      <c r="B449" s="1">
        <v>45986</v>
      </c>
      <c r="C449" s="4">
        <f>MONTH(datos_ventas[[#This Row],[Fecha]])</f>
        <v>11</v>
      </c>
      <c r="D449" s="4">
        <f>WEEKNUM(datos_ventas[[#This Row],[Fecha]],2)</f>
        <v>48</v>
      </c>
      <c r="E449" t="s">
        <v>26</v>
      </c>
      <c r="F449" t="s">
        <v>18</v>
      </c>
      <c r="G449">
        <v>1</v>
      </c>
      <c r="H449">
        <v>76761</v>
      </c>
      <c r="I449">
        <v>3683</v>
      </c>
      <c r="J449" t="s">
        <v>12</v>
      </c>
      <c r="K449" t="str">
        <f>_xlfn.XLOOKUP(datos_ventas[[#This Row],[Ciudad]],Tabla2[Ciudades],Tabla2[Provincias],"no se encuentra")</f>
        <v>Málaga</v>
      </c>
      <c r="L449" t="str">
        <f>_xlfn.XLOOKUP(datos_ventas[[#This Row],[Provincia]],Tabla2[Provincias],Tabla2[Comunidades],"no se encuentra")</f>
        <v>Andalucía</v>
      </c>
      <c r="M449" t="s">
        <v>13</v>
      </c>
      <c r="N449">
        <v>4</v>
      </c>
    </row>
    <row r="450" spans="1:14" x14ac:dyDescent="0.25">
      <c r="A450">
        <v>1449</v>
      </c>
      <c r="B450" s="1">
        <v>45803</v>
      </c>
      <c r="C450" s="4">
        <f>MONTH(datos_ventas[[#This Row],[Fecha]])</f>
        <v>5</v>
      </c>
      <c r="D450" s="4">
        <f>WEEKNUM(datos_ventas[[#This Row],[Fecha]],2)</f>
        <v>22</v>
      </c>
      <c r="E450" t="s">
        <v>16</v>
      </c>
      <c r="F450" t="s">
        <v>11</v>
      </c>
      <c r="G450">
        <v>2</v>
      </c>
      <c r="H450">
        <v>105965</v>
      </c>
      <c r="I450">
        <v>1854</v>
      </c>
      <c r="J450" t="s">
        <v>22</v>
      </c>
      <c r="K450" t="str">
        <f>_xlfn.XLOOKUP(datos_ventas[[#This Row],[Ciudad]],Tabla2[Ciudades],Tabla2[Provincias],"no se encuentra")</f>
        <v>Valencia</v>
      </c>
      <c r="L450" t="str">
        <f>_xlfn.XLOOKUP(datos_ventas[[#This Row],[Provincia]],Tabla2[Provincias],Tabla2[Comunidades],"no se encuentra")</f>
        <v>Comunidad Valenciana</v>
      </c>
      <c r="M450" t="s">
        <v>28</v>
      </c>
      <c r="N450">
        <v>3</v>
      </c>
    </row>
    <row r="451" spans="1:14" x14ac:dyDescent="0.25">
      <c r="A451">
        <v>1450</v>
      </c>
      <c r="B451" s="1">
        <v>45811</v>
      </c>
      <c r="C451" s="4">
        <f>MONTH(datos_ventas[[#This Row],[Fecha]])</f>
        <v>6</v>
      </c>
      <c r="D451" s="4">
        <f>WEEKNUM(datos_ventas[[#This Row],[Fecha]],2)</f>
        <v>23</v>
      </c>
      <c r="E451" t="s">
        <v>17</v>
      </c>
      <c r="F451" t="s">
        <v>18</v>
      </c>
      <c r="G451">
        <v>5</v>
      </c>
      <c r="H451">
        <v>70872</v>
      </c>
      <c r="I451">
        <v>4195</v>
      </c>
      <c r="J451" t="s">
        <v>14</v>
      </c>
      <c r="K451" t="str">
        <f>_xlfn.XLOOKUP(datos_ventas[[#This Row],[Ciudad]],Tabla2[Ciudades],Tabla2[Provincias],"no se encuentra")</f>
        <v>Madrid</v>
      </c>
      <c r="L451" t="str">
        <f>_xlfn.XLOOKUP(datos_ventas[[#This Row],[Provincia]],Tabla2[Provincias],Tabla2[Comunidades],"no se encuentra")</f>
        <v>Comunidad de Madrid</v>
      </c>
      <c r="M451" t="s">
        <v>15</v>
      </c>
      <c r="N451">
        <v>3</v>
      </c>
    </row>
    <row r="452" spans="1:14" x14ac:dyDescent="0.25">
      <c r="A452">
        <v>1451</v>
      </c>
      <c r="B452" s="1">
        <v>45796</v>
      </c>
      <c r="C452" s="4">
        <f>MONTH(datos_ventas[[#This Row],[Fecha]])</f>
        <v>5</v>
      </c>
      <c r="D452" s="4">
        <f>WEEKNUM(datos_ventas[[#This Row],[Fecha]],2)</f>
        <v>21</v>
      </c>
      <c r="E452" t="s">
        <v>17</v>
      </c>
      <c r="F452" t="s">
        <v>18</v>
      </c>
      <c r="G452">
        <v>2</v>
      </c>
      <c r="H452">
        <v>76943</v>
      </c>
      <c r="I452">
        <v>4648</v>
      </c>
      <c r="J452" t="s">
        <v>22</v>
      </c>
      <c r="K452" t="str">
        <f>_xlfn.XLOOKUP(datos_ventas[[#This Row],[Ciudad]],Tabla2[Ciudades],Tabla2[Provincias],"no se encuentra")</f>
        <v>Valencia</v>
      </c>
      <c r="L452" t="str">
        <f>_xlfn.XLOOKUP(datos_ventas[[#This Row],[Provincia]],Tabla2[Provincias],Tabla2[Comunidades],"no se encuentra")</f>
        <v>Comunidad Valenciana</v>
      </c>
      <c r="M452" t="s">
        <v>13</v>
      </c>
      <c r="N452">
        <v>2</v>
      </c>
    </row>
    <row r="453" spans="1:14" x14ac:dyDescent="0.25">
      <c r="A453">
        <v>1452</v>
      </c>
      <c r="B453" s="1">
        <v>45805</v>
      </c>
      <c r="C453" s="4">
        <f>MONTH(datos_ventas[[#This Row],[Fecha]])</f>
        <v>5</v>
      </c>
      <c r="D453" s="4">
        <f>WEEKNUM(datos_ventas[[#This Row],[Fecha]],2)</f>
        <v>22</v>
      </c>
      <c r="E453" t="s">
        <v>20</v>
      </c>
      <c r="F453" t="s">
        <v>21</v>
      </c>
      <c r="G453">
        <v>1</v>
      </c>
      <c r="H453">
        <v>21094</v>
      </c>
      <c r="I453">
        <v>2552</v>
      </c>
      <c r="J453" t="s">
        <v>22</v>
      </c>
      <c r="K453" t="str">
        <f>_xlfn.XLOOKUP(datos_ventas[[#This Row],[Ciudad]],Tabla2[Ciudades],Tabla2[Provincias],"no se encuentra")</f>
        <v>Valencia</v>
      </c>
      <c r="L453" t="str">
        <f>_xlfn.XLOOKUP(datos_ventas[[#This Row],[Provincia]],Tabla2[Provincias],Tabla2[Comunidades],"no se encuentra")</f>
        <v>Comunidad Valenciana</v>
      </c>
      <c r="M453" t="s">
        <v>13</v>
      </c>
      <c r="N453">
        <v>5</v>
      </c>
    </row>
    <row r="454" spans="1:14" x14ac:dyDescent="0.25">
      <c r="A454">
        <v>1453</v>
      </c>
      <c r="B454" s="1">
        <v>45801</v>
      </c>
      <c r="C454" s="4">
        <f>MONTH(datos_ventas[[#This Row],[Fecha]])</f>
        <v>5</v>
      </c>
      <c r="D454" s="4">
        <f>WEEKNUM(datos_ventas[[#This Row],[Fecha]],2)</f>
        <v>21</v>
      </c>
      <c r="E454" t="s">
        <v>20</v>
      </c>
      <c r="F454" t="s">
        <v>21</v>
      </c>
      <c r="G454">
        <v>1</v>
      </c>
      <c r="H454">
        <v>93398</v>
      </c>
      <c r="I454">
        <v>4163</v>
      </c>
      <c r="J454" t="s">
        <v>22</v>
      </c>
      <c r="K454" t="str">
        <f>_xlfn.XLOOKUP(datos_ventas[[#This Row],[Ciudad]],Tabla2[Ciudades],Tabla2[Provincias],"no se encuentra")</f>
        <v>Valencia</v>
      </c>
      <c r="L454" t="str">
        <f>_xlfn.XLOOKUP(datos_ventas[[#This Row],[Provincia]],Tabla2[Provincias],Tabla2[Comunidades],"no se encuentra")</f>
        <v>Comunidad Valenciana</v>
      </c>
      <c r="M454" t="s">
        <v>13</v>
      </c>
      <c r="N454">
        <v>4</v>
      </c>
    </row>
    <row r="455" spans="1:14" x14ac:dyDescent="0.25">
      <c r="A455">
        <v>1454</v>
      </c>
      <c r="B455" s="1">
        <v>45958</v>
      </c>
      <c r="C455" s="4">
        <f>MONTH(datos_ventas[[#This Row],[Fecha]])</f>
        <v>10</v>
      </c>
      <c r="D455" s="4">
        <f>WEEKNUM(datos_ventas[[#This Row],[Fecha]],2)</f>
        <v>44</v>
      </c>
      <c r="E455" t="s">
        <v>20</v>
      </c>
      <c r="F455" t="s">
        <v>21</v>
      </c>
      <c r="G455">
        <v>4</v>
      </c>
      <c r="H455">
        <v>76678</v>
      </c>
      <c r="I455">
        <v>4205</v>
      </c>
      <c r="J455" t="s">
        <v>14</v>
      </c>
      <c r="K455" t="str">
        <f>_xlfn.XLOOKUP(datos_ventas[[#This Row],[Ciudad]],Tabla2[Ciudades],Tabla2[Provincias],"no se encuentra")</f>
        <v>Madrid</v>
      </c>
      <c r="L455" t="str">
        <f>_xlfn.XLOOKUP(datos_ventas[[#This Row],[Provincia]],Tabla2[Provincias],Tabla2[Comunidades],"no se encuentra")</f>
        <v>Comunidad de Madrid</v>
      </c>
      <c r="M455" t="s">
        <v>19</v>
      </c>
      <c r="N455">
        <v>4</v>
      </c>
    </row>
    <row r="456" spans="1:14" x14ac:dyDescent="0.25">
      <c r="A456">
        <v>1455</v>
      </c>
      <c r="B456" s="1">
        <v>45838</v>
      </c>
      <c r="C456" s="4">
        <f>MONTH(datos_ventas[[#This Row],[Fecha]])</f>
        <v>6</v>
      </c>
      <c r="D456" s="4">
        <f>WEEKNUM(datos_ventas[[#This Row],[Fecha]],2)</f>
        <v>27</v>
      </c>
      <c r="E456" t="s">
        <v>10</v>
      </c>
      <c r="F456" t="s">
        <v>11</v>
      </c>
      <c r="G456">
        <v>3</v>
      </c>
      <c r="H456">
        <v>6675</v>
      </c>
      <c r="I456">
        <v>3202</v>
      </c>
      <c r="J456" t="s">
        <v>12</v>
      </c>
      <c r="K456" t="str">
        <f>_xlfn.XLOOKUP(datos_ventas[[#This Row],[Ciudad]],Tabla2[Ciudades],Tabla2[Provincias],"no se encuentra")</f>
        <v>Málaga</v>
      </c>
      <c r="L456" t="str">
        <f>_xlfn.XLOOKUP(datos_ventas[[#This Row],[Provincia]],Tabla2[Provincias],Tabla2[Comunidades],"no se encuentra")</f>
        <v>Andalucía</v>
      </c>
      <c r="M456" t="s">
        <v>19</v>
      </c>
      <c r="N456">
        <v>5</v>
      </c>
    </row>
    <row r="457" spans="1:14" x14ac:dyDescent="0.25">
      <c r="A457">
        <v>1456</v>
      </c>
      <c r="B457" s="1">
        <v>45923</v>
      </c>
      <c r="C457" s="4">
        <f>MONTH(datos_ventas[[#This Row],[Fecha]])</f>
        <v>9</v>
      </c>
      <c r="D457" s="4">
        <f>WEEKNUM(datos_ventas[[#This Row],[Fecha]],2)</f>
        <v>39</v>
      </c>
      <c r="E457" t="s">
        <v>10</v>
      </c>
      <c r="F457" t="s">
        <v>11</v>
      </c>
      <c r="G457">
        <v>1</v>
      </c>
      <c r="H457">
        <v>22511</v>
      </c>
      <c r="I457">
        <v>4838</v>
      </c>
      <c r="J457" t="s">
        <v>12</v>
      </c>
      <c r="K457" t="str">
        <f>_xlfn.XLOOKUP(datos_ventas[[#This Row],[Ciudad]],Tabla2[Ciudades],Tabla2[Provincias],"no se encuentra")</f>
        <v>Málaga</v>
      </c>
      <c r="L457" t="str">
        <f>_xlfn.XLOOKUP(datos_ventas[[#This Row],[Provincia]],Tabla2[Provincias],Tabla2[Comunidades],"no se encuentra")</f>
        <v>Andalucía</v>
      </c>
      <c r="M457" t="s">
        <v>13</v>
      </c>
      <c r="N457">
        <v>1</v>
      </c>
    </row>
    <row r="458" spans="1:14" x14ac:dyDescent="0.25">
      <c r="A458">
        <v>1457</v>
      </c>
      <c r="B458" s="1">
        <v>45774</v>
      </c>
      <c r="C458" s="4">
        <f>MONTH(datos_ventas[[#This Row],[Fecha]])</f>
        <v>4</v>
      </c>
      <c r="D458" s="4">
        <f>WEEKNUM(datos_ventas[[#This Row],[Fecha]],2)</f>
        <v>17</v>
      </c>
      <c r="E458" t="s">
        <v>29</v>
      </c>
      <c r="F458" t="s">
        <v>30</v>
      </c>
      <c r="G458">
        <v>1</v>
      </c>
      <c r="H458">
        <v>8150</v>
      </c>
      <c r="I458">
        <v>4119</v>
      </c>
      <c r="J458" t="s">
        <v>27</v>
      </c>
      <c r="K458" t="str">
        <f>_xlfn.XLOOKUP(datos_ventas[[#This Row],[Ciudad]],Tabla2[Ciudades],Tabla2[Provincias],"no se encuentra")</f>
        <v>Sevilla</v>
      </c>
      <c r="L458" t="str">
        <f>_xlfn.XLOOKUP(datos_ventas[[#This Row],[Provincia]],Tabla2[Provincias],Tabla2[Comunidades],"no se encuentra")</f>
        <v>Andalucía</v>
      </c>
      <c r="M458" t="s">
        <v>13</v>
      </c>
      <c r="N458">
        <v>5</v>
      </c>
    </row>
    <row r="459" spans="1:14" x14ac:dyDescent="0.25">
      <c r="A459">
        <v>1458</v>
      </c>
      <c r="B459" s="1">
        <v>45749</v>
      </c>
      <c r="C459" s="4">
        <f>MONTH(datos_ventas[[#This Row],[Fecha]])</f>
        <v>4</v>
      </c>
      <c r="D459" s="4">
        <f>WEEKNUM(datos_ventas[[#This Row],[Fecha]],2)</f>
        <v>14</v>
      </c>
      <c r="E459" t="s">
        <v>10</v>
      </c>
      <c r="F459" t="s">
        <v>11</v>
      </c>
      <c r="G459">
        <v>2</v>
      </c>
      <c r="H459">
        <v>113229</v>
      </c>
      <c r="I459">
        <v>1049</v>
      </c>
      <c r="J459" t="s">
        <v>32</v>
      </c>
      <c r="K459" t="str">
        <f>_xlfn.XLOOKUP(datos_ventas[[#This Row],[Ciudad]],Tabla2[Ciudades],Tabla2[Provincias],"no se encuentra")</f>
        <v>Barcelona</v>
      </c>
      <c r="L459" t="str">
        <f>_xlfn.XLOOKUP(datos_ventas[[#This Row],[Provincia]],Tabla2[Provincias],Tabla2[Comunidades],"no se encuentra")</f>
        <v>Cataluña</v>
      </c>
      <c r="M459" t="s">
        <v>13</v>
      </c>
      <c r="N459">
        <v>2</v>
      </c>
    </row>
    <row r="460" spans="1:14" x14ac:dyDescent="0.25">
      <c r="A460">
        <v>1459</v>
      </c>
      <c r="B460" s="1">
        <v>45683</v>
      </c>
      <c r="C460" s="4">
        <f>MONTH(datos_ventas[[#This Row],[Fecha]])</f>
        <v>1</v>
      </c>
      <c r="D460" s="4">
        <f>WEEKNUM(datos_ventas[[#This Row],[Fecha]],2)</f>
        <v>4</v>
      </c>
      <c r="E460" t="s">
        <v>23</v>
      </c>
      <c r="F460" t="s">
        <v>18</v>
      </c>
      <c r="G460">
        <v>3</v>
      </c>
      <c r="H460">
        <v>109792</v>
      </c>
      <c r="I460">
        <v>4892</v>
      </c>
      <c r="J460" t="s">
        <v>12</v>
      </c>
      <c r="K460" t="str">
        <f>_xlfn.XLOOKUP(datos_ventas[[#This Row],[Ciudad]],Tabla2[Ciudades],Tabla2[Provincias],"no se encuentra")</f>
        <v>Málaga</v>
      </c>
      <c r="L460" t="str">
        <f>_xlfn.XLOOKUP(datos_ventas[[#This Row],[Provincia]],Tabla2[Provincias],Tabla2[Comunidades],"no se encuentra")</f>
        <v>Andalucía</v>
      </c>
      <c r="M460" t="s">
        <v>15</v>
      </c>
      <c r="N460">
        <v>1</v>
      </c>
    </row>
    <row r="461" spans="1:14" x14ac:dyDescent="0.25">
      <c r="A461">
        <v>1460</v>
      </c>
      <c r="B461" s="1">
        <v>45778</v>
      </c>
      <c r="C461" s="4">
        <f>MONTH(datos_ventas[[#This Row],[Fecha]])</f>
        <v>5</v>
      </c>
      <c r="D461" s="4">
        <f>WEEKNUM(datos_ventas[[#This Row],[Fecha]],2)</f>
        <v>18</v>
      </c>
      <c r="E461" t="s">
        <v>26</v>
      </c>
      <c r="F461" t="s">
        <v>18</v>
      </c>
      <c r="G461">
        <v>3</v>
      </c>
      <c r="H461">
        <v>9204</v>
      </c>
      <c r="I461">
        <v>304</v>
      </c>
      <c r="J461" t="s">
        <v>14</v>
      </c>
      <c r="K461" t="str">
        <f>_xlfn.XLOOKUP(datos_ventas[[#This Row],[Ciudad]],Tabla2[Ciudades],Tabla2[Provincias],"no se encuentra")</f>
        <v>Madrid</v>
      </c>
      <c r="L461" t="str">
        <f>_xlfn.XLOOKUP(datos_ventas[[#This Row],[Provincia]],Tabla2[Provincias],Tabla2[Comunidades],"no se encuentra")</f>
        <v>Comunidad de Madrid</v>
      </c>
      <c r="M461" t="s">
        <v>15</v>
      </c>
      <c r="N461">
        <v>5</v>
      </c>
    </row>
    <row r="462" spans="1:14" x14ac:dyDescent="0.25">
      <c r="A462">
        <v>1461</v>
      </c>
      <c r="B462" s="1">
        <v>45678</v>
      </c>
      <c r="C462" s="4">
        <f>MONTH(datos_ventas[[#This Row],[Fecha]])</f>
        <v>1</v>
      </c>
      <c r="D462" s="4">
        <f>WEEKNUM(datos_ventas[[#This Row],[Fecha]],2)</f>
        <v>4</v>
      </c>
      <c r="E462" t="s">
        <v>16</v>
      </c>
      <c r="F462" t="s">
        <v>11</v>
      </c>
      <c r="G462">
        <v>3</v>
      </c>
      <c r="H462">
        <v>24659</v>
      </c>
      <c r="I462">
        <v>3285</v>
      </c>
      <c r="J462" t="s">
        <v>32</v>
      </c>
      <c r="K462" t="str">
        <f>_xlfn.XLOOKUP(datos_ventas[[#This Row],[Ciudad]],Tabla2[Ciudades],Tabla2[Provincias],"no se encuentra")</f>
        <v>Barcelona</v>
      </c>
      <c r="L462" t="str">
        <f>_xlfn.XLOOKUP(datos_ventas[[#This Row],[Provincia]],Tabla2[Provincias],Tabla2[Comunidades],"no se encuentra")</f>
        <v>Cataluña</v>
      </c>
      <c r="M462" t="s">
        <v>28</v>
      </c>
      <c r="N462">
        <v>3</v>
      </c>
    </row>
    <row r="463" spans="1:14" x14ac:dyDescent="0.25">
      <c r="A463">
        <v>1462</v>
      </c>
      <c r="B463" s="1">
        <v>45678</v>
      </c>
      <c r="C463" s="4">
        <f>MONTH(datos_ventas[[#This Row],[Fecha]])</f>
        <v>1</v>
      </c>
      <c r="D463" s="4">
        <f>WEEKNUM(datos_ventas[[#This Row],[Fecha]],2)</f>
        <v>4</v>
      </c>
      <c r="E463" t="s">
        <v>20</v>
      </c>
      <c r="F463" t="s">
        <v>21</v>
      </c>
      <c r="G463">
        <v>5</v>
      </c>
      <c r="H463">
        <v>15345</v>
      </c>
      <c r="I463">
        <v>3195</v>
      </c>
      <c r="J463" t="s">
        <v>14</v>
      </c>
      <c r="K463" t="str">
        <f>_xlfn.XLOOKUP(datos_ventas[[#This Row],[Ciudad]],Tabla2[Ciudades],Tabla2[Provincias],"no se encuentra")</f>
        <v>Madrid</v>
      </c>
      <c r="L463" t="str">
        <f>_xlfn.XLOOKUP(datos_ventas[[#This Row],[Provincia]],Tabla2[Provincias],Tabla2[Comunidades],"no se encuentra")</f>
        <v>Comunidad de Madrid</v>
      </c>
      <c r="M463" t="s">
        <v>19</v>
      </c>
      <c r="N463">
        <v>5</v>
      </c>
    </row>
    <row r="464" spans="1:14" x14ac:dyDescent="0.25">
      <c r="A464">
        <v>1463</v>
      </c>
      <c r="B464" s="1">
        <v>46021</v>
      </c>
      <c r="C464" s="4">
        <f>MONTH(datos_ventas[[#This Row],[Fecha]])</f>
        <v>12</v>
      </c>
      <c r="D464" s="4">
        <f>WEEKNUM(datos_ventas[[#This Row],[Fecha]],2)</f>
        <v>53</v>
      </c>
      <c r="E464" t="s">
        <v>26</v>
      </c>
      <c r="F464" t="s">
        <v>18</v>
      </c>
      <c r="G464">
        <v>1</v>
      </c>
      <c r="H464">
        <v>97286</v>
      </c>
      <c r="I464">
        <v>1189</v>
      </c>
      <c r="J464" t="s">
        <v>27</v>
      </c>
      <c r="K464" t="str">
        <f>_xlfn.XLOOKUP(datos_ventas[[#This Row],[Ciudad]],Tabla2[Ciudades],Tabla2[Provincias],"no se encuentra")</f>
        <v>Sevilla</v>
      </c>
      <c r="L464" t="str">
        <f>_xlfn.XLOOKUP(datos_ventas[[#This Row],[Provincia]],Tabla2[Provincias],Tabla2[Comunidades],"no se encuentra")</f>
        <v>Andalucía</v>
      </c>
      <c r="M464" t="s">
        <v>15</v>
      </c>
      <c r="N464">
        <v>1</v>
      </c>
    </row>
    <row r="465" spans="1:14" x14ac:dyDescent="0.25">
      <c r="A465">
        <v>1464</v>
      </c>
      <c r="B465" s="1">
        <v>45938</v>
      </c>
      <c r="C465" s="4">
        <f>MONTH(datos_ventas[[#This Row],[Fecha]])</f>
        <v>10</v>
      </c>
      <c r="D465" s="4">
        <f>WEEKNUM(datos_ventas[[#This Row],[Fecha]],2)</f>
        <v>41</v>
      </c>
      <c r="E465" t="s">
        <v>20</v>
      </c>
      <c r="F465" t="s">
        <v>21</v>
      </c>
      <c r="G465">
        <v>1</v>
      </c>
      <c r="H465">
        <v>79287</v>
      </c>
      <c r="I465">
        <v>2725</v>
      </c>
      <c r="J465" t="s">
        <v>22</v>
      </c>
      <c r="K465" t="str">
        <f>_xlfn.XLOOKUP(datos_ventas[[#This Row],[Ciudad]],Tabla2[Ciudades],Tabla2[Provincias],"no se encuentra")</f>
        <v>Valencia</v>
      </c>
      <c r="L465" t="str">
        <f>_xlfn.XLOOKUP(datos_ventas[[#This Row],[Provincia]],Tabla2[Provincias],Tabla2[Comunidades],"no se encuentra")</f>
        <v>Comunidad Valenciana</v>
      </c>
      <c r="M465" t="s">
        <v>15</v>
      </c>
      <c r="N465">
        <v>3</v>
      </c>
    </row>
    <row r="466" spans="1:14" x14ac:dyDescent="0.25">
      <c r="A466">
        <v>1465</v>
      </c>
      <c r="B466" s="1">
        <v>46006</v>
      </c>
      <c r="C466" s="4">
        <f>MONTH(datos_ventas[[#This Row],[Fecha]])</f>
        <v>12</v>
      </c>
      <c r="D466" s="4">
        <f>WEEKNUM(datos_ventas[[#This Row],[Fecha]],2)</f>
        <v>51</v>
      </c>
      <c r="E466" t="s">
        <v>29</v>
      </c>
      <c r="F466" t="s">
        <v>30</v>
      </c>
      <c r="G466">
        <v>1</v>
      </c>
      <c r="H466">
        <v>109607</v>
      </c>
      <c r="I466">
        <v>4499</v>
      </c>
      <c r="J466" t="s">
        <v>31</v>
      </c>
      <c r="K466" t="str">
        <f>_xlfn.XLOOKUP(datos_ventas[[#This Row],[Ciudad]],Tabla2[Ciudades],Tabla2[Provincias],"no se encuentra")</f>
        <v>Vizcaya</v>
      </c>
      <c r="L466" t="str">
        <f>_xlfn.XLOOKUP(datos_ventas[[#This Row],[Provincia]],Tabla2[Provincias],Tabla2[Comunidades],"no se encuentra")</f>
        <v>País Vasco</v>
      </c>
      <c r="M466" t="s">
        <v>19</v>
      </c>
      <c r="N466">
        <v>1</v>
      </c>
    </row>
    <row r="467" spans="1:14" x14ac:dyDescent="0.25">
      <c r="A467">
        <v>1466</v>
      </c>
      <c r="B467" s="1">
        <v>45662</v>
      </c>
      <c r="C467" s="4">
        <f>MONTH(datos_ventas[[#This Row],[Fecha]])</f>
        <v>1</v>
      </c>
      <c r="D467" s="4">
        <f>WEEKNUM(datos_ventas[[#This Row],[Fecha]],2)</f>
        <v>1</v>
      </c>
      <c r="E467" t="s">
        <v>23</v>
      </c>
      <c r="F467" t="s">
        <v>18</v>
      </c>
      <c r="G467">
        <v>5</v>
      </c>
      <c r="H467">
        <v>40682</v>
      </c>
      <c r="I467">
        <v>4525</v>
      </c>
      <c r="J467" t="s">
        <v>31</v>
      </c>
      <c r="K467" t="str">
        <f>_xlfn.XLOOKUP(datos_ventas[[#This Row],[Ciudad]],Tabla2[Ciudades],Tabla2[Provincias],"no se encuentra")</f>
        <v>Vizcaya</v>
      </c>
      <c r="L467" t="str">
        <f>_xlfn.XLOOKUP(datos_ventas[[#This Row],[Provincia]],Tabla2[Provincias],Tabla2[Comunidades],"no se encuentra")</f>
        <v>País Vasco</v>
      </c>
      <c r="M467" t="s">
        <v>19</v>
      </c>
      <c r="N467">
        <v>2</v>
      </c>
    </row>
    <row r="468" spans="1:14" x14ac:dyDescent="0.25">
      <c r="A468">
        <v>1467</v>
      </c>
      <c r="B468" s="1">
        <v>46009</v>
      </c>
      <c r="C468" s="4">
        <f>MONTH(datos_ventas[[#This Row],[Fecha]])</f>
        <v>12</v>
      </c>
      <c r="D468" s="4">
        <f>WEEKNUM(datos_ventas[[#This Row],[Fecha]],2)</f>
        <v>51</v>
      </c>
      <c r="E468" t="s">
        <v>16</v>
      </c>
      <c r="F468" t="s">
        <v>11</v>
      </c>
      <c r="G468">
        <v>2</v>
      </c>
      <c r="H468">
        <v>22652</v>
      </c>
      <c r="I468">
        <v>785</v>
      </c>
      <c r="J468" t="s">
        <v>32</v>
      </c>
      <c r="K468" t="str">
        <f>_xlfn.XLOOKUP(datos_ventas[[#This Row],[Ciudad]],Tabla2[Ciudades],Tabla2[Provincias],"no se encuentra")</f>
        <v>Barcelona</v>
      </c>
      <c r="L468" t="str">
        <f>_xlfn.XLOOKUP(datos_ventas[[#This Row],[Provincia]],Tabla2[Provincias],Tabla2[Comunidades],"no se encuentra")</f>
        <v>Cataluña</v>
      </c>
      <c r="M468" t="s">
        <v>28</v>
      </c>
      <c r="N468">
        <v>4</v>
      </c>
    </row>
    <row r="469" spans="1:14" x14ac:dyDescent="0.25">
      <c r="A469">
        <v>1468</v>
      </c>
      <c r="B469" s="1">
        <v>45909</v>
      </c>
      <c r="C469" s="4">
        <f>MONTH(datos_ventas[[#This Row],[Fecha]])</f>
        <v>9</v>
      </c>
      <c r="D469" s="4">
        <f>WEEKNUM(datos_ventas[[#This Row],[Fecha]],2)</f>
        <v>37</v>
      </c>
      <c r="E469" t="s">
        <v>24</v>
      </c>
      <c r="F469" t="s">
        <v>25</v>
      </c>
      <c r="G469">
        <v>5</v>
      </c>
      <c r="H469">
        <v>23722</v>
      </c>
      <c r="I469">
        <v>2365</v>
      </c>
      <c r="J469" t="s">
        <v>22</v>
      </c>
      <c r="K469" t="str">
        <f>_xlfn.XLOOKUP(datos_ventas[[#This Row],[Ciudad]],Tabla2[Ciudades],Tabla2[Provincias],"no se encuentra")</f>
        <v>Valencia</v>
      </c>
      <c r="L469" t="str">
        <f>_xlfn.XLOOKUP(datos_ventas[[#This Row],[Provincia]],Tabla2[Provincias],Tabla2[Comunidades],"no se encuentra")</f>
        <v>Comunidad Valenciana</v>
      </c>
      <c r="M469" t="s">
        <v>13</v>
      </c>
      <c r="N469">
        <v>4</v>
      </c>
    </row>
    <row r="470" spans="1:14" x14ac:dyDescent="0.25">
      <c r="A470">
        <v>1469</v>
      </c>
      <c r="B470" s="1">
        <v>45871</v>
      </c>
      <c r="C470" s="4">
        <f>MONTH(datos_ventas[[#This Row],[Fecha]])</f>
        <v>8</v>
      </c>
      <c r="D470" s="4">
        <f>WEEKNUM(datos_ventas[[#This Row],[Fecha]],2)</f>
        <v>31</v>
      </c>
      <c r="E470" t="s">
        <v>29</v>
      </c>
      <c r="F470" t="s">
        <v>30</v>
      </c>
      <c r="G470">
        <v>3</v>
      </c>
      <c r="H470">
        <v>28275</v>
      </c>
      <c r="I470">
        <v>4112</v>
      </c>
      <c r="J470" t="s">
        <v>27</v>
      </c>
      <c r="K470" t="str">
        <f>_xlfn.XLOOKUP(datos_ventas[[#This Row],[Ciudad]],Tabla2[Ciudades],Tabla2[Provincias],"no se encuentra")</f>
        <v>Sevilla</v>
      </c>
      <c r="L470" t="str">
        <f>_xlfn.XLOOKUP(datos_ventas[[#This Row],[Provincia]],Tabla2[Provincias],Tabla2[Comunidades],"no se encuentra")</f>
        <v>Andalucía</v>
      </c>
      <c r="M470" t="s">
        <v>28</v>
      </c>
      <c r="N470">
        <v>1</v>
      </c>
    </row>
    <row r="471" spans="1:14" x14ac:dyDescent="0.25">
      <c r="A471">
        <v>1470</v>
      </c>
      <c r="B471" s="1">
        <v>45980</v>
      </c>
      <c r="C471" s="4">
        <f>MONTH(datos_ventas[[#This Row],[Fecha]])</f>
        <v>11</v>
      </c>
      <c r="D471" s="4">
        <f>WEEKNUM(datos_ventas[[#This Row],[Fecha]],2)</f>
        <v>47</v>
      </c>
      <c r="E471" t="s">
        <v>23</v>
      </c>
      <c r="F471" t="s">
        <v>18</v>
      </c>
      <c r="G471">
        <v>3</v>
      </c>
      <c r="H471">
        <v>4646</v>
      </c>
      <c r="I471">
        <v>1386</v>
      </c>
      <c r="J471" t="s">
        <v>32</v>
      </c>
      <c r="K471" t="str">
        <f>_xlfn.XLOOKUP(datos_ventas[[#This Row],[Ciudad]],Tabla2[Ciudades],Tabla2[Provincias],"no se encuentra")</f>
        <v>Barcelona</v>
      </c>
      <c r="L471" t="str">
        <f>_xlfn.XLOOKUP(datos_ventas[[#This Row],[Provincia]],Tabla2[Provincias],Tabla2[Comunidades],"no se encuentra")</f>
        <v>Cataluña</v>
      </c>
      <c r="M471" t="s">
        <v>13</v>
      </c>
      <c r="N471">
        <v>3</v>
      </c>
    </row>
    <row r="472" spans="1:14" x14ac:dyDescent="0.25">
      <c r="A472">
        <v>1471</v>
      </c>
      <c r="B472" s="1">
        <v>45718</v>
      </c>
      <c r="C472" s="4">
        <f>MONTH(datos_ventas[[#This Row],[Fecha]])</f>
        <v>3</v>
      </c>
      <c r="D472" s="4">
        <f>WEEKNUM(datos_ventas[[#This Row],[Fecha]],2)</f>
        <v>9</v>
      </c>
      <c r="E472" t="s">
        <v>17</v>
      </c>
      <c r="F472" t="s">
        <v>18</v>
      </c>
      <c r="G472">
        <v>2</v>
      </c>
      <c r="H472">
        <v>15331</v>
      </c>
      <c r="I472">
        <v>2378</v>
      </c>
      <c r="J472" t="s">
        <v>31</v>
      </c>
      <c r="K472" t="str">
        <f>_xlfn.XLOOKUP(datos_ventas[[#This Row],[Ciudad]],Tabla2[Ciudades],Tabla2[Provincias],"no se encuentra")</f>
        <v>Vizcaya</v>
      </c>
      <c r="L472" t="str">
        <f>_xlfn.XLOOKUP(datos_ventas[[#This Row],[Provincia]],Tabla2[Provincias],Tabla2[Comunidades],"no se encuentra")</f>
        <v>País Vasco</v>
      </c>
      <c r="M472" t="s">
        <v>13</v>
      </c>
      <c r="N472">
        <v>3</v>
      </c>
    </row>
    <row r="473" spans="1:14" x14ac:dyDescent="0.25">
      <c r="A473">
        <v>1472</v>
      </c>
      <c r="B473" s="1">
        <v>45768</v>
      </c>
      <c r="C473" s="4">
        <f>MONTH(datos_ventas[[#This Row],[Fecha]])</f>
        <v>4</v>
      </c>
      <c r="D473" s="4">
        <f>WEEKNUM(datos_ventas[[#This Row],[Fecha]],2)</f>
        <v>17</v>
      </c>
      <c r="E473" t="s">
        <v>20</v>
      </c>
      <c r="F473" t="s">
        <v>21</v>
      </c>
      <c r="G473">
        <v>5</v>
      </c>
      <c r="H473">
        <v>100422</v>
      </c>
      <c r="I473">
        <v>2525</v>
      </c>
      <c r="J473" t="s">
        <v>14</v>
      </c>
      <c r="K473" t="str">
        <f>_xlfn.XLOOKUP(datos_ventas[[#This Row],[Ciudad]],Tabla2[Ciudades],Tabla2[Provincias],"no se encuentra")</f>
        <v>Madrid</v>
      </c>
      <c r="L473" t="str">
        <f>_xlfn.XLOOKUP(datos_ventas[[#This Row],[Provincia]],Tabla2[Provincias],Tabla2[Comunidades],"no se encuentra")</f>
        <v>Comunidad de Madrid</v>
      </c>
      <c r="M473" t="s">
        <v>15</v>
      </c>
      <c r="N473">
        <v>5</v>
      </c>
    </row>
    <row r="474" spans="1:14" x14ac:dyDescent="0.25">
      <c r="A474">
        <v>1473</v>
      </c>
      <c r="B474" s="1">
        <v>45952</v>
      </c>
      <c r="C474" s="4">
        <f>MONTH(datos_ventas[[#This Row],[Fecha]])</f>
        <v>10</v>
      </c>
      <c r="D474" s="4">
        <f>WEEKNUM(datos_ventas[[#This Row],[Fecha]],2)</f>
        <v>43</v>
      </c>
      <c r="E474" t="s">
        <v>24</v>
      </c>
      <c r="F474" t="s">
        <v>25</v>
      </c>
      <c r="G474">
        <v>1</v>
      </c>
      <c r="H474">
        <v>81823</v>
      </c>
      <c r="I474">
        <v>4817</v>
      </c>
      <c r="J474" t="s">
        <v>14</v>
      </c>
      <c r="K474" t="str">
        <f>_xlfn.XLOOKUP(datos_ventas[[#This Row],[Ciudad]],Tabla2[Ciudades],Tabla2[Provincias],"no se encuentra")</f>
        <v>Madrid</v>
      </c>
      <c r="L474" t="str">
        <f>_xlfn.XLOOKUP(datos_ventas[[#This Row],[Provincia]],Tabla2[Provincias],Tabla2[Comunidades],"no se encuentra")</f>
        <v>Comunidad de Madrid</v>
      </c>
      <c r="M474" t="s">
        <v>15</v>
      </c>
      <c r="N474">
        <v>4</v>
      </c>
    </row>
    <row r="475" spans="1:14" x14ac:dyDescent="0.25">
      <c r="A475">
        <v>1474</v>
      </c>
      <c r="B475" s="1">
        <v>45799</v>
      </c>
      <c r="C475" s="4">
        <f>MONTH(datos_ventas[[#This Row],[Fecha]])</f>
        <v>5</v>
      </c>
      <c r="D475" s="4">
        <f>WEEKNUM(datos_ventas[[#This Row],[Fecha]],2)</f>
        <v>21</v>
      </c>
      <c r="E475" t="s">
        <v>10</v>
      </c>
      <c r="F475" t="s">
        <v>11</v>
      </c>
      <c r="G475">
        <v>5</v>
      </c>
      <c r="H475">
        <v>10418</v>
      </c>
      <c r="I475">
        <v>3739</v>
      </c>
      <c r="J475" t="s">
        <v>12</v>
      </c>
      <c r="K475" t="str">
        <f>_xlfn.XLOOKUP(datos_ventas[[#This Row],[Ciudad]],Tabla2[Ciudades],Tabla2[Provincias],"no se encuentra")</f>
        <v>Málaga</v>
      </c>
      <c r="L475" t="str">
        <f>_xlfn.XLOOKUP(datos_ventas[[#This Row],[Provincia]],Tabla2[Provincias],Tabla2[Comunidades],"no se encuentra")</f>
        <v>Andalucía</v>
      </c>
      <c r="M475" t="s">
        <v>13</v>
      </c>
      <c r="N475">
        <v>3</v>
      </c>
    </row>
    <row r="476" spans="1:14" x14ac:dyDescent="0.25">
      <c r="A476">
        <v>1475</v>
      </c>
      <c r="B476" s="1">
        <v>45801</v>
      </c>
      <c r="C476" s="4">
        <f>MONTH(datos_ventas[[#This Row],[Fecha]])</f>
        <v>5</v>
      </c>
      <c r="D476" s="4">
        <f>WEEKNUM(datos_ventas[[#This Row],[Fecha]],2)</f>
        <v>21</v>
      </c>
      <c r="E476" t="s">
        <v>24</v>
      </c>
      <c r="F476" t="s">
        <v>25</v>
      </c>
      <c r="G476">
        <v>2</v>
      </c>
      <c r="H476">
        <v>56391</v>
      </c>
      <c r="I476">
        <v>3413</v>
      </c>
      <c r="J476" t="s">
        <v>31</v>
      </c>
      <c r="K476" t="str">
        <f>_xlfn.XLOOKUP(datos_ventas[[#This Row],[Ciudad]],Tabla2[Ciudades],Tabla2[Provincias],"no se encuentra")</f>
        <v>Vizcaya</v>
      </c>
      <c r="L476" t="str">
        <f>_xlfn.XLOOKUP(datos_ventas[[#This Row],[Provincia]],Tabla2[Provincias],Tabla2[Comunidades],"no se encuentra")</f>
        <v>País Vasco</v>
      </c>
      <c r="M476" t="s">
        <v>28</v>
      </c>
      <c r="N476">
        <v>1</v>
      </c>
    </row>
    <row r="477" spans="1:14" x14ac:dyDescent="0.25">
      <c r="A477">
        <v>1476</v>
      </c>
      <c r="B477" s="1">
        <v>45828</v>
      </c>
      <c r="C477" s="4">
        <f>MONTH(datos_ventas[[#This Row],[Fecha]])</f>
        <v>6</v>
      </c>
      <c r="D477" s="4">
        <f>WEEKNUM(datos_ventas[[#This Row],[Fecha]],2)</f>
        <v>25</v>
      </c>
      <c r="E477" t="s">
        <v>17</v>
      </c>
      <c r="F477" t="s">
        <v>18</v>
      </c>
      <c r="G477">
        <v>5</v>
      </c>
      <c r="H477">
        <v>61178</v>
      </c>
      <c r="I477">
        <v>4814</v>
      </c>
      <c r="J477" t="s">
        <v>14</v>
      </c>
      <c r="K477" t="str">
        <f>_xlfn.XLOOKUP(datos_ventas[[#This Row],[Ciudad]],Tabla2[Ciudades],Tabla2[Provincias],"no se encuentra")</f>
        <v>Madrid</v>
      </c>
      <c r="L477" t="str">
        <f>_xlfn.XLOOKUP(datos_ventas[[#This Row],[Provincia]],Tabla2[Provincias],Tabla2[Comunidades],"no se encuentra")</f>
        <v>Comunidad de Madrid</v>
      </c>
      <c r="M477" t="s">
        <v>13</v>
      </c>
      <c r="N477">
        <v>4</v>
      </c>
    </row>
    <row r="478" spans="1:14" x14ac:dyDescent="0.25">
      <c r="A478">
        <v>1477</v>
      </c>
      <c r="B478" s="1">
        <v>45942</v>
      </c>
      <c r="C478" s="4">
        <f>MONTH(datos_ventas[[#This Row],[Fecha]])</f>
        <v>10</v>
      </c>
      <c r="D478" s="4">
        <f>WEEKNUM(datos_ventas[[#This Row],[Fecha]],2)</f>
        <v>41</v>
      </c>
      <c r="E478" t="s">
        <v>26</v>
      </c>
      <c r="F478" t="s">
        <v>18</v>
      </c>
      <c r="G478">
        <v>1</v>
      </c>
      <c r="H478">
        <v>82808</v>
      </c>
      <c r="I478">
        <v>1317</v>
      </c>
      <c r="J478" t="s">
        <v>27</v>
      </c>
      <c r="K478" t="str">
        <f>_xlfn.XLOOKUP(datos_ventas[[#This Row],[Ciudad]],Tabla2[Ciudades],Tabla2[Provincias],"no se encuentra")</f>
        <v>Sevilla</v>
      </c>
      <c r="L478" t="str">
        <f>_xlfn.XLOOKUP(datos_ventas[[#This Row],[Provincia]],Tabla2[Provincias],Tabla2[Comunidades],"no se encuentra")</f>
        <v>Andalucía</v>
      </c>
      <c r="M478" t="s">
        <v>15</v>
      </c>
      <c r="N478">
        <v>1</v>
      </c>
    </row>
    <row r="479" spans="1:14" x14ac:dyDescent="0.25">
      <c r="A479">
        <v>1478</v>
      </c>
      <c r="B479" s="1">
        <v>45849</v>
      </c>
      <c r="C479" s="4">
        <f>MONTH(datos_ventas[[#This Row],[Fecha]])</f>
        <v>7</v>
      </c>
      <c r="D479" s="4">
        <f>WEEKNUM(datos_ventas[[#This Row],[Fecha]],2)</f>
        <v>28</v>
      </c>
      <c r="E479" t="s">
        <v>16</v>
      </c>
      <c r="F479" t="s">
        <v>11</v>
      </c>
      <c r="G479">
        <v>1</v>
      </c>
      <c r="H479">
        <v>66769</v>
      </c>
      <c r="I479">
        <v>388</v>
      </c>
      <c r="J479" t="s">
        <v>14</v>
      </c>
      <c r="K479" t="str">
        <f>_xlfn.XLOOKUP(datos_ventas[[#This Row],[Ciudad]],Tabla2[Ciudades],Tabla2[Provincias],"no se encuentra")</f>
        <v>Madrid</v>
      </c>
      <c r="L479" t="str">
        <f>_xlfn.XLOOKUP(datos_ventas[[#This Row],[Provincia]],Tabla2[Provincias],Tabla2[Comunidades],"no se encuentra")</f>
        <v>Comunidad de Madrid</v>
      </c>
      <c r="M479" t="s">
        <v>15</v>
      </c>
      <c r="N479">
        <v>4</v>
      </c>
    </row>
    <row r="480" spans="1:14" x14ac:dyDescent="0.25">
      <c r="A480">
        <v>1479</v>
      </c>
      <c r="B480" s="1">
        <v>45859</v>
      </c>
      <c r="C480" s="4">
        <f>MONTH(datos_ventas[[#This Row],[Fecha]])</f>
        <v>7</v>
      </c>
      <c r="D480" s="4">
        <f>WEEKNUM(datos_ventas[[#This Row],[Fecha]],2)</f>
        <v>30</v>
      </c>
      <c r="E480" t="s">
        <v>24</v>
      </c>
      <c r="F480" t="s">
        <v>25</v>
      </c>
      <c r="G480">
        <v>3</v>
      </c>
      <c r="H480">
        <v>50263</v>
      </c>
      <c r="I480">
        <v>2883</v>
      </c>
      <c r="J480" t="s">
        <v>27</v>
      </c>
      <c r="K480" t="str">
        <f>_xlfn.XLOOKUP(datos_ventas[[#This Row],[Ciudad]],Tabla2[Ciudades],Tabla2[Provincias],"no se encuentra")</f>
        <v>Sevilla</v>
      </c>
      <c r="L480" t="str">
        <f>_xlfn.XLOOKUP(datos_ventas[[#This Row],[Provincia]],Tabla2[Provincias],Tabla2[Comunidades],"no se encuentra")</f>
        <v>Andalucía</v>
      </c>
      <c r="M480" t="s">
        <v>15</v>
      </c>
      <c r="N480">
        <v>1</v>
      </c>
    </row>
    <row r="481" spans="1:14" x14ac:dyDescent="0.25">
      <c r="A481">
        <v>1480</v>
      </c>
      <c r="B481" s="1">
        <v>45862</v>
      </c>
      <c r="C481" s="4">
        <f>MONTH(datos_ventas[[#This Row],[Fecha]])</f>
        <v>7</v>
      </c>
      <c r="D481" s="4">
        <f>WEEKNUM(datos_ventas[[#This Row],[Fecha]],2)</f>
        <v>30</v>
      </c>
      <c r="E481" t="s">
        <v>23</v>
      </c>
      <c r="F481" t="s">
        <v>18</v>
      </c>
      <c r="G481">
        <v>5</v>
      </c>
      <c r="H481">
        <v>106698</v>
      </c>
      <c r="I481">
        <v>182</v>
      </c>
      <c r="J481" t="s">
        <v>27</v>
      </c>
      <c r="K481" t="str">
        <f>_xlfn.XLOOKUP(datos_ventas[[#This Row],[Ciudad]],Tabla2[Ciudades],Tabla2[Provincias],"no se encuentra")</f>
        <v>Sevilla</v>
      </c>
      <c r="L481" t="str">
        <f>_xlfn.XLOOKUP(datos_ventas[[#This Row],[Provincia]],Tabla2[Provincias],Tabla2[Comunidades],"no se encuentra")</f>
        <v>Andalucía</v>
      </c>
      <c r="M481" t="s">
        <v>28</v>
      </c>
      <c r="N481">
        <v>3</v>
      </c>
    </row>
    <row r="482" spans="1:14" x14ac:dyDescent="0.25">
      <c r="A482">
        <v>1481</v>
      </c>
      <c r="B482" s="1">
        <v>45818</v>
      </c>
      <c r="C482" s="4">
        <f>MONTH(datos_ventas[[#This Row],[Fecha]])</f>
        <v>6</v>
      </c>
      <c r="D482" s="4">
        <f>WEEKNUM(datos_ventas[[#This Row],[Fecha]],2)</f>
        <v>24</v>
      </c>
      <c r="E482" t="s">
        <v>24</v>
      </c>
      <c r="F482" t="s">
        <v>25</v>
      </c>
      <c r="G482">
        <v>5</v>
      </c>
      <c r="H482">
        <v>8198</v>
      </c>
      <c r="I482">
        <v>1803</v>
      </c>
      <c r="J482" t="s">
        <v>27</v>
      </c>
      <c r="K482" t="str">
        <f>_xlfn.XLOOKUP(datos_ventas[[#This Row],[Ciudad]],Tabla2[Ciudades],Tabla2[Provincias],"no se encuentra")</f>
        <v>Sevilla</v>
      </c>
      <c r="L482" t="str">
        <f>_xlfn.XLOOKUP(datos_ventas[[#This Row],[Provincia]],Tabla2[Provincias],Tabla2[Comunidades],"no se encuentra")</f>
        <v>Andalucía</v>
      </c>
      <c r="M482" t="s">
        <v>19</v>
      </c>
      <c r="N482">
        <v>5</v>
      </c>
    </row>
    <row r="483" spans="1:14" x14ac:dyDescent="0.25">
      <c r="A483">
        <v>1482</v>
      </c>
      <c r="B483" s="1">
        <v>45783</v>
      </c>
      <c r="C483" s="4">
        <f>MONTH(datos_ventas[[#This Row],[Fecha]])</f>
        <v>5</v>
      </c>
      <c r="D483" s="4">
        <f>WEEKNUM(datos_ventas[[#This Row],[Fecha]],2)</f>
        <v>19</v>
      </c>
      <c r="E483" t="s">
        <v>20</v>
      </c>
      <c r="F483" t="s">
        <v>21</v>
      </c>
      <c r="G483">
        <v>1</v>
      </c>
      <c r="H483">
        <v>4854</v>
      </c>
      <c r="I483">
        <v>1225</v>
      </c>
      <c r="J483" t="s">
        <v>31</v>
      </c>
      <c r="K483" t="str">
        <f>_xlfn.XLOOKUP(datos_ventas[[#This Row],[Ciudad]],Tabla2[Ciudades],Tabla2[Provincias],"no se encuentra")</f>
        <v>Vizcaya</v>
      </c>
      <c r="L483" t="str">
        <f>_xlfn.XLOOKUP(datos_ventas[[#This Row],[Provincia]],Tabla2[Provincias],Tabla2[Comunidades],"no se encuentra")</f>
        <v>País Vasco</v>
      </c>
      <c r="M483" t="s">
        <v>28</v>
      </c>
      <c r="N483">
        <v>3</v>
      </c>
    </row>
    <row r="484" spans="1:14" x14ac:dyDescent="0.25">
      <c r="A484">
        <v>1483</v>
      </c>
      <c r="B484" s="1">
        <v>45834</v>
      </c>
      <c r="C484" s="4">
        <f>MONTH(datos_ventas[[#This Row],[Fecha]])</f>
        <v>6</v>
      </c>
      <c r="D484" s="4">
        <f>WEEKNUM(datos_ventas[[#This Row],[Fecha]],2)</f>
        <v>26</v>
      </c>
      <c r="E484" t="s">
        <v>29</v>
      </c>
      <c r="F484" t="s">
        <v>30</v>
      </c>
      <c r="G484">
        <v>2</v>
      </c>
      <c r="H484">
        <v>107935</v>
      </c>
      <c r="I484">
        <v>1903</v>
      </c>
      <c r="J484" t="s">
        <v>12</v>
      </c>
      <c r="K484" t="str">
        <f>_xlfn.XLOOKUP(datos_ventas[[#This Row],[Ciudad]],Tabla2[Ciudades],Tabla2[Provincias],"no se encuentra")</f>
        <v>Málaga</v>
      </c>
      <c r="L484" t="str">
        <f>_xlfn.XLOOKUP(datos_ventas[[#This Row],[Provincia]],Tabla2[Provincias],Tabla2[Comunidades],"no se encuentra")</f>
        <v>Andalucía</v>
      </c>
      <c r="M484" t="s">
        <v>19</v>
      </c>
      <c r="N484">
        <v>3</v>
      </c>
    </row>
    <row r="485" spans="1:14" x14ac:dyDescent="0.25">
      <c r="A485">
        <v>1484</v>
      </c>
      <c r="B485" s="1">
        <v>45815</v>
      </c>
      <c r="C485" s="4">
        <f>MONTH(datos_ventas[[#This Row],[Fecha]])</f>
        <v>6</v>
      </c>
      <c r="D485" s="4">
        <f>WEEKNUM(datos_ventas[[#This Row],[Fecha]],2)</f>
        <v>23</v>
      </c>
      <c r="E485" t="s">
        <v>10</v>
      </c>
      <c r="F485" t="s">
        <v>11</v>
      </c>
      <c r="G485">
        <v>4</v>
      </c>
      <c r="H485">
        <v>4866</v>
      </c>
      <c r="I485">
        <v>1674</v>
      </c>
      <c r="J485" t="s">
        <v>32</v>
      </c>
      <c r="K485" t="str">
        <f>_xlfn.XLOOKUP(datos_ventas[[#This Row],[Ciudad]],Tabla2[Ciudades],Tabla2[Provincias],"no se encuentra")</f>
        <v>Barcelona</v>
      </c>
      <c r="L485" t="str">
        <f>_xlfn.XLOOKUP(datos_ventas[[#This Row],[Provincia]],Tabla2[Provincias],Tabla2[Comunidades],"no se encuentra")</f>
        <v>Cataluña</v>
      </c>
      <c r="M485" t="s">
        <v>19</v>
      </c>
      <c r="N485">
        <v>2</v>
      </c>
    </row>
    <row r="486" spans="1:14" x14ac:dyDescent="0.25">
      <c r="A486">
        <v>1485</v>
      </c>
      <c r="B486" s="1">
        <v>45881</v>
      </c>
      <c r="C486" s="4">
        <f>MONTH(datos_ventas[[#This Row],[Fecha]])</f>
        <v>8</v>
      </c>
      <c r="D486" s="4">
        <f>WEEKNUM(datos_ventas[[#This Row],[Fecha]],2)</f>
        <v>33</v>
      </c>
      <c r="E486" t="s">
        <v>10</v>
      </c>
      <c r="F486" t="s">
        <v>11</v>
      </c>
      <c r="G486">
        <v>2</v>
      </c>
      <c r="H486">
        <v>3043</v>
      </c>
      <c r="I486">
        <v>908</v>
      </c>
      <c r="J486" t="s">
        <v>12</v>
      </c>
      <c r="K486" t="str">
        <f>_xlfn.XLOOKUP(datos_ventas[[#This Row],[Ciudad]],Tabla2[Ciudades],Tabla2[Provincias],"no se encuentra")</f>
        <v>Málaga</v>
      </c>
      <c r="L486" t="str">
        <f>_xlfn.XLOOKUP(datos_ventas[[#This Row],[Provincia]],Tabla2[Provincias],Tabla2[Comunidades],"no se encuentra")</f>
        <v>Andalucía</v>
      </c>
      <c r="M486" t="s">
        <v>13</v>
      </c>
      <c r="N486">
        <v>1</v>
      </c>
    </row>
    <row r="487" spans="1:14" x14ac:dyDescent="0.25">
      <c r="A487">
        <v>1486</v>
      </c>
      <c r="B487" s="1">
        <v>45755</v>
      </c>
      <c r="C487" s="4">
        <f>MONTH(datos_ventas[[#This Row],[Fecha]])</f>
        <v>4</v>
      </c>
      <c r="D487" s="4">
        <f>WEEKNUM(datos_ventas[[#This Row],[Fecha]],2)</f>
        <v>15</v>
      </c>
      <c r="E487" t="s">
        <v>20</v>
      </c>
      <c r="F487" t="s">
        <v>21</v>
      </c>
      <c r="G487">
        <v>2</v>
      </c>
      <c r="H487">
        <v>14929</v>
      </c>
      <c r="I487">
        <v>440</v>
      </c>
      <c r="J487" t="s">
        <v>27</v>
      </c>
      <c r="K487" t="str">
        <f>_xlfn.XLOOKUP(datos_ventas[[#This Row],[Ciudad]],Tabla2[Ciudades],Tabla2[Provincias],"no se encuentra")</f>
        <v>Sevilla</v>
      </c>
      <c r="L487" t="str">
        <f>_xlfn.XLOOKUP(datos_ventas[[#This Row],[Provincia]],Tabla2[Provincias],Tabla2[Comunidades],"no se encuentra")</f>
        <v>Andalucía</v>
      </c>
      <c r="M487" t="s">
        <v>15</v>
      </c>
      <c r="N487">
        <v>3</v>
      </c>
    </row>
    <row r="488" spans="1:14" x14ac:dyDescent="0.25">
      <c r="A488">
        <v>1487</v>
      </c>
      <c r="B488" s="1">
        <v>45737</v>
      </c>
      <c r="C488" s="4">
        <f>MONTH(datos_ventas[[#This Row],[Fecha]])</f>
        <v>3</v>
      </c>
      <c r="D488" s="4">
        <f>WEEKNUM(datos_ventas[[#This Row],[Fecha]],2)</f>
        <v>12</v>
      </c>
      <c r="E488" t="s">
        <v>10</v>
      </c>
      <c r="F488" t="s">
        <v>11</v>
      </c>
      <c r="G488">
        <v>4</v>
      </c>
      <c r="H488">
        <v>29505</v>
      </c>
      <c r="I488">
        <v>2827</v>
      </c>
      <c r="J488" t="s">
        <v>14</v>
      </c>
      <c r="K488" t="str">
        <f>_xlfn.XLOOKUP(datos_ventas[[#This Row],[Ciudad]],Tabla2[Ciudades],Tabla2[Provincias],"no se encuentra")</f>
        <v>Madrid</v>
      </c>
      <c r="L488" t="str">
        <f>_xlfn.XLOOKUP(datos_ventas[[#This Row],[Provincia]],Tabla2[Provincias],Tabla2[Comunidades],"no se encuentra")</f>
        <v>Comunidad de Madrid</v>
      </c>
      <c r="M488" t="s">
        <v>28</v>
      </c>
      <c r="N488">
        <v>3</v>
      </c>
    </row>
    <row r="489" spans="1:14" x14ac:dyDescent="0.25">
      <c r="A489">
        <v>1488</v>
      </c>
      <c r="B489" s="1">
        <v>45738</v>
      </c>
      <c r="C489" s="4">
        <f>MONTH(datos_ventas[[#This Row],[Fecha]])</f>
        <v>3</v>
      </c>
      <c r="D489" s="4">
        <f>WEEKNUM(datos_ventas[[#This Row],[Fecha]],2)</f>
        <v>12</v>
      </c>
      <c r="E489" t="s">
        <v>29</v>
      </c>
      <c r="F489" t="s">
        <v>30</v>
      </c>
      <c r="G489">
        <v>4</v>
      </c>
      <c r="H489">
        <v>86905</v>
      </c>
      <c r="I489">
        <v>2083</v>
      </c>
      <c r="J489" t="s">
        <v>27</v>
      </c>
      <c r="K489" t="str">
        <f>_xlfn.XLOOKUP(datos_ventas[[#This Row],[Ciudad]],Tabla2[Ciudades],Tabla2[Provincias],"no se encuentra")</f>
        <v>Sevilla</v>
      </c>
      <c r="L489" t="str">
        <f>_xlfn.XLOOKUP(datos_ventas[[#This Row],[Provincia]],Tabla2[Provincias],Tabla2[Comunidades],"no se encuentra")</f>
        <v>Andalucía</v>
      </c>
      <c r="M489" t="s">
        <v>13</v>
      </c>
      <c r="N489">
        <v>1</v>
      </c>
    </row>
    <row r="490" spans="1:14" x14ac:dyDescent="0.25">
      <c r="A490">
        <v>1489</v>
      </c>
      <c r="B490" s="1">
        <v>45996</v>
      </c>
      <c r="C490" s="4">
        <f>MONTH(datos_ventas[[#This Row],[Fecha]])</f>
        <v>12</v>
      </c>
      <c r="D490" s="4">
        <f>WEEKNUM(datos_ventas[[#This Row],[Fecha]],2)</f>
        <v>49</v>
      </c>
      <c r="E490" t="s">
        <v>24</v>
      </c>
      <c r="F490" t="s">
        <v>25</v>
      </c>
      <c r="G490">
        <v>3</v>
      </c>
      <c r="H490">
        <v>101931</v>
      </c>
      <c r="I490">
        <v>3824</v>
      </c>
      <c r="J490" t="s">
        <v>32</v>
      </c>
      <c r="K490" t="str">
        <f>_xlfn.XLOOKUP(datos_ventas[[#This Row],[Ciudad]],Tabla2[Ciudades],Tabla2[Provincias],"no se encuentra")</f>
        <v>Barcelona</v>
      </c>
      <c r="L490" t="str">
        <f>_xlfn.XLOOKUP(datos_ventas[[#This Row],[Provincia]],Tabla2[Provincias],Tabla2[Comunidades],"no se encuentra")</f>
        <v>Cataluña</v>
      </c>
      <c r="M490" t="s">
        <v>15</v>
      </c>
      <c r="N490">
        <v>4</v>
      </c>
    </row>
    <row r="491" spans="1:14" x14ac:dyDescent="0.25">
      <c r="A491">
        <v>1490</v>
      </c>
      <c r="B491" s="1">
        <v>45675</v>
      </c>
      <c r="C491" s="4">
        <f>MONTH(datos_ventas[[#This Row],[Fecha]])</f>
        <v>1</v>
      </c>
      <c r="D491" s="4">
        <f>WEEKNUM(datos_ventas[[#This Row],[Fecha]],2)</f>
        <v>3</v>
      </c>
      <c r="E491" t="s">
        <v>17</v>
      </c>
      <c r="F491" t="s">
        <v>18</v>
      </c>
      <c r="G491">
        <v>5</v>
      </c>
      <c r="H491">
        <v>92458</v>
      </c>
      <c r="I491">
        <v>2311</v>
      </c>
      <c r="J491" t="s">
        <v>12</v>
      </c>
      <c r="K491" t="str">
        <f>_xlfn.XLOOKUP(datos_ventas[[#This Row],[Ciudad]],Tabla2[Ciudades],Tabla2[Provincias],"no se encuentra")</f>
        <v>Málaga</v>
      </c>
      <c r="L491" t="str">
        <f>_xlfn.XLOOKUP(datos_ventas[[#This Row],[Provincia]],Tabla2[Provincias],Tabla2[Comunidades],"no se encuentra")</f>
        <v>Andalucía</v>
      </c>
      <c r="M491" t="s">
        <v>19</v>
      </c>
      <c r="N491">
        <v>5</v>
      </c>
    </row>
    <row r="492" spans="1:14" x14ac:dyDescent="0.25">
      <c r="A492">
        <v>1491</v>
      </c>
      <c r="B492" s="1">
        <v>45968</v>
      </c>
      <c r="C492" s="4">
        <f>MONTH(datos_ventas[[#This Row],[Fecha]])</f>
        <v>11</v>
      </c>
      <c r="D492" s="4">
        <f>WEEKNUM(datos_ventas[[#This Row],[Fecha]],2)</f>
        <v>45</v>
      </c>
      <c r="E492" t="s">
        <v>29</v>
      </c>
      <c r="F492" t="s">
        <v>30</v>
      </c>
      <c r="G492">
        <v>2</v>
      </c>
      <c r="H492">
        <v>106526</v>
      </c>
      <c r="I492">
        <v>1399</v>
      </c>
      <c r="J492" t="s">
        <v>14</v>
      </c>
      <c r="K492" t="str">
        <f>_xlfn.XLOOKUP(datos_ventas[[#This Row],[Ciudad]],Tabla2[Ciudades],Tabla2[Provincias],"no se encuentra")</f>
        <v>Madrid</v>
      </c>
      <c r="L492" t="str">
        <f>_xlfn.XLOOKUP(datos_ventas[[#This Row],[Provincia]],Tabla2[Provincias],Tabla2[Comunidades],"no se encuentra")</f>
        <v>Comunidad de Madrid</v>
      </c>
      <c r="M492" t="s">
        <v>15</v>
      </c>
      <c r="N492">
        <v>4</v>
      </c>
    </row>
    <row r="493" spans="1:14" x14ac:dyDescent="0.25">
      <c r="A493">
        <v>1492</v>
      </c>
      <c r="B493" s="1">
        <v>45666</v>
      </c>
      <c r="C493" s="4">
        <f>MONTH(datos_ventas[[#This Row],[Fecha]])</f>
        <v>1</v>
      </c>
      <c r="D493" s="4">
        <f>WEEKNUM(datos_ventas[[#This Row],[Fecha]],2)</f>
        <v>2</v>
      </c>
      <c r="E493" t="s">
        <v>10</v>
      </c>
      <c r="F493" t="s">
        <v>11</v>
      </c>
      <c r="G493">
        <v>3</v>
      </c>
      <c r="H493">
        <v>7339</v>
      </c>
      <c r="I493">
        <v>4546</v>
      </c>
      <c r="J493" t="s">
        <v>32</v>
      </c>
      <c r="K493" t="str">
        <f>_xlfn.XLOOKUP(datos_ventas[[#This Row],[Ciudad]],Tabla2[Ciudades],Tabla2[Provincias],"no se encuentra")</f>
        <v>Barcelona</v>
      </c>
      <c r="L493" t="str">
        <f>_xlfn.XLOOKUP(datos_ventas[[#This Row],[Provincia]],Tabla2[Provincias],Tabla2[Comunidades],"no se encuentra")</f>
        <v>Cataluña</v>
      </c>
      <c r="M493" t="s">
        <v>15</v>
      </c>
      <c r="N493">
        <v>5</v>
      </c>
    </row>
    <row r="494" spans="1:14" x14ac:dyDescent="0.25">
      <c r="A494">
        <v>1493</v>
      </c>
      <c r="B494" s="1">
        <v>45801</v>
      </c>
      <c r="C494" s="4">
        <f>MONTH(datos_ventas[[#This Row],[Fecha]])</f>
        <v>5</v>
      </c>
      <c r="D494" s="4">
        <f>WEEKNUM(datos_ventas[[#This Row],[Fecha]],2)</f>
        <v>21</v>
      </c>
      <c r="E494" t="s">
        <v>20</v>
      </c>
      <c r="F494" t="s">
        <v>21</v>
      </c>
      <c r="G494">
        <v>4</v>
      </c>
      <c r="H494">
        <v>28568</v>
      </c>
      <c r="I494">
        <v>2168</v>
      </c>
      <c r="J494" t="s">
        <v>32</v>
      </c>
      <c r="K494" t="str">
        <f>_xlfn.XLOOKUP(datos_ventas[[#This Row],[Ciudad]],Tabla2[Ciudades],Tabla2[Provincias],"no se encuentra")</f>
        <v>Barcelona</v>
      </c>
      <c r="L494" t="str">
        <f>_xlfn.XLOOKUP(datos_ventas[[#This Row],[Provincia]],Tabla2[Provincias],Tabla2[Comunidades],"no se encuentra")</f>
        <v>Cataluña</v>
      </c>
      <c r="M494" t="s">
        <v>28</v>
      </c>
      <c r="N494">
        <v>3</v>
      </c>
    </row>
    <row r="495" spans="1:14" x14ac:dyDescent="0.25">
      <c r="A495">
        <v>1494</v>
      </c>
      <c r="B495" s="1">
        <v>45886</v>
      </c>
      <c r="C495" s="4">
        <f>MONTH(datos_ventas[[#This Row],[Fecha]])</f>
        <v>8</v>
      </c>
      <c r="D495" s="4">
        <f>WEEKNUM(datos_ventas[[#This Row],[Fecha]],2)</f>
        <v>33</v>
      </c>
      <c r="E495" t="s">
        <v>16</v>
      </c>
      <c r="F495" t="s">
        <v>11</v>
      </c>
      <c r="G495">
        <v>5</v>
      </c>
      <c r="H495">
        <v>115382</v>
      </c>
      <c r="I495">
        <v>1135</v>
      </c>
      <c r="J495" t="s">
        <v>14</v>
      </c>
      <c r="K495" t="str">
        <f>_xlfn.XLOOKUP(datos_ventas[[#This Row],[Ciudad]],Tabla2[Ciudades],Tabla2[Provincias],"no se encuentra")</f>
        <v>Madrid</v>
      </c>
      <c r="L495" t="str">
        <f>_xlfn.XLOOKUP(datos_ventas[[#This Row],[Provincia]],Tabla2[Provincias],Tabla2[Comunidades],"no se encuentra")</f>
        <v>Comunidad de Madrid</v>
      </c>
      <c r="M495" t="s">
        <v>28</v>
      </c>
      <c r="N495">
        <v>3</v>
      </c>
    </row>
    <row r="496" spans="1:14" x14ac:dyDescent="0.25">
      <c r="A496">
        <v>1495</v>
      </c>
      <c r="B496" s="1">
        <v>45934</v>
      </c>
      <c r="C496" s="4">
        <f>MONTH(datos_ventas[[#This Row],[Fecha]])</f>
        <v>10</v>
      </c>
      <c r="D496" s="4">
        <f>WEEKNUM(datos_ventas[[#This Row],[Fecha]],2)</f>
        <v>40</v>
      </c>
      <c r="E496" t="s">
        <v>23</v>
      </c>
      <c r="F496" t="s">
        <v>18</v>
      </c>
      <c r="G496">
        <v>4</v>
      </c>
      <c r="H496">
        <v>95448</v>
      </c>
      <c r="I496">
        <v>3021</v>
      </c>
      <c r="J496" t="s">
        <v>27</v>
      </c>
      <c r="K496" t="str">
        <f>_xlfn.XLOOKUP(datos_ventas[[#This Row],[Ciudad]],Tabla2[Ciudades],Tabla2[Provincias],"no se encuentra")</f>
        <v>Sevilla</v>
      </c>
      <c r="L496" t="str">
        <f>_xlfn.XLOOKUP(datos_ventas[[#This Row],[Provincia]],Tabla2[Provincias],Tabla2[Comunidades],"no se encuentra")</f>
        <v>Andalucía</v>
      </c>
      <c r="M496" t="s">
        <v>19</v>
      </c>
      <c r="N496">
        <v>4</v>
      </c>
    </row>
    <row r="497" spans="1:14" x14ac:dyDescent="0.25">
      <c r="A497">
        <v>1496</v>
      </c>
      <c r="B497" s="1">
        <v>45685</v>
      </c>
      <c r="C497" s="4">
        <f>MONTH(datos_ventas[[#This Row],[Fecha]])</f>
        <v>1</v>
      </c>
      <c r="D497" s="4">
        <f>WEEKNUM(datos_ventas[[#This Row],[Fecha]],2)</f>
        <v>5</v>
      </c>
      <c r="E497" t="s">
        <v>24</v>
      </c>
      <c r="F497" t="s">
        <v>25</v>
      </c>
      <c r="G497">
        <v>3</v>
      </c>
      <c r="H497">
        <v>6560</v>
      </c>
      <c r="I497">
        <v>4197</v>
      </c>
      <c r="J497" t="s">
        <v>12</v>
      </c>
      <c r="K497" t="str">
        <f>_xlfn.XLOOKUP(datos_ventas[[#This Row],[Ciudad]],Tabla2[Ciudades],Tabla2[Provincias],"no se encuentra")</f>
        <v>Málaga</v>
      </c>
      <c r="L497" t="str">
        <f>_xlfn.XLOOKUP(datos_ventas[[#This Row],[Provincia]],Tabla2[Provincias],Tabla2[Comunidades],"no se encuentra")</f>
        <v>Andalucía</v>
      </c>
      <c r="M497" t="s">
        <v>13</v>
      </c>
      <c r="N497">
        <v>5</v>
      </c>
    </row>
    <row r="498" spans="1:14" x14ac:dyDescent="0.25">
      <c r="A498">
        <v>1497</v>
      </c>
      <c r="B498" s="1">
        <v>45951</v>
      </c>
      <c r="C498" s="4">
        <f>MONTH(datos_ventas[[#This Row],[Fecha]])</f>
        <v>10</v>
      </c>
      <c r="D498" s="4">
        <f>WEEKNUM(datos_ventas[[#This Row],[Fecha]],2)</f>
        <v>43</v>
      </c>
      <c r="E498" t="s">
        <v>10</v>
      </c>
      <c r="F498" t="s">
        <v>11</v>
      </c>
      <c r="G498">
        <v>5</v>
      </c>
      <c r="H498">
        <v>67161</v>
      </c>
      <c r="I498">
        <v>4491</v>
      </c>
      <c r="J498" t="s">
        <v>27</v>
      </c>
      <c r="K498" t="str">
        <f>_xlfn.XLOOKUP(datos_ventas[[#This Row],[Ciudad]],Tabla2[Ciudades],Tabla2[Provincias],"no se encuentra")</f>
        <v>Sevilla</v>
      </c>
      <c r="L498" t="str">
        <f>_xlfn.XLOOKUP(datos_ventas[[#This Row],[Provincia]],Tabla2[Provincias],Tabla2[Comunidades],"no se encuentra")</f>
        <v>Andalucía</v>
      </c>
      <c r="M498" t="s">
        <v>15</v>
      </c>
      <c r="N498">
        <v>5</v>
      </c>
    </row>
    <row r="499" spans="1:14" x14ac:dyDescent="0.25">
      <c r="A499">
        <v>1498</v>
      </c>
      <c r="B499" s="1">
        <v>45664</v>
      </c>
      <c r="C499" s="4">
        <f>MONTH(datos_ventas[[#This Row],[Fecha]])</f>
        <v>1</v>
      </c>
      <c r="D499" s="4">
        <f>WEEKNUM(datos_ventas[[#This Row],[Fecha]],2)</f>
        <v>2</v>
      </c>
      <c r="E499" t="s">
        <v>10</v>
      </c>
      <c r="F499" t="s">
        <v>11</v>
      </c>
      <c r="G499">
        <v>4</v>
      </c>
      <c r="H499">
        <v>8744</v>
      </c>
      <c r="I499">
        <v>4511</v>
      </c>
      <c r="J499" t="s">
        <v>31</v>
      </c>
      <c r="K499" t="str">
        <f>_xlfn.XLOOKUP(datos_ventas[[#This Row],[Ciudad]],Tabla2[Ciudades],Tabla2[Provincias],"no se encuentra")</f>
        <v>Vizcaya</v>
      </c>
      <c r="L499" t="str">
        <f>_xlfn.XLOOKUP(datos_ventas[[#This Row],[Provincia]],Tabla2[Provincias],Tabla2[Comunidades],"no se encuentra")</f>
        <v>País Vasco</v>
      </c>
      <c r="M499" t="s">
        <v>19</v>
      </c>
      <c r="N499">
        <v>2</v>
      </c>
    </row>
    <row r="500" spans="1:14" x14ac:dyDescent="0.25">
      <c r="A500">
        <v>1499</v>
      </c>
      <c r="B500" s="1">
        <v>45832</v>
      </c>
      <c r="C500" s="4">
        <f>MONTH(datos_ventas[[#This Row],[Fecha]])</f>
        <v>6</v>
      </c>
      <c r="D500" s="4">
        <f>WEEKNUM(datos_ventas[[#This Row],[Fecha]],2)</f>
        <v>26</v>
      </c>
      <c r="E500" t="s">
        <v>20</v>
      </c>
      <c r="F500" t="s">
        <v>21</v>
      </c>
      <c r="G500">
        <v>1</v>
      </c>
      <c r="H500">
        <v>81541</v>
      </c>
      <c r="I500">
        <v>4895</v>
      </c>
      <c r="J500" t="s">
        <v>22</v>
      </c>
      <c r="K500" t="str">
        <f>_xlfn.XLOOKUP(datos_ventas[[#This Row],[Ciudad]],Tabla2[Ciudades],Tabla2[Provincias],"no se encuentra")</f>
        <v>Valencia</v>
      </c>
      <c r="L500" t="str">
        <f>_xlfn.XLOOKUP(datos_ventas[[#This Row],[Provincia]],Tabla2[Provincias],Tabla2[Comunidades],"no se encuentra")</f>
        <v>Comunidad Valenciana</v>
      </c>
      <c r="M500" t="s">
        <v>28</v>
      </c>
      <c r="N500">
        <v>3</v>
      </c>
    </row>
    <row r="501" spans="1:14" x14ac:dyDescent="0.25">
      <c r="A501">
        <v>1500</v>
      </c>
      <c r="B501" s="1">
        <v>45852</v>
      </c>
      <c r="C501" s="4">
        <f>MONTH(datos_ventas[[#This Row],[Fecha]])</f>
        <v>7</v>
      </c>
      <c r="D501" s="4">
        <f>WEEKNUM(datos_ventas[[#This Row],[Fecha]],2)</f>
        <v>29</v>
      </c>
      <c r="E501" t="s">
        <v>16</v>
      </c>
      <c r="F501" t="s">
        <v>11</v>
      </c>
      <c r="G501">
        <v>5</v>
      </c>
      <c r="H501">
        <v>96709</v>
      </c>
      <c r="I501">
        <v>1264</v>
      </c>
      <c r="J501" t="s">
        <v>27</v>
      </c>
      <c r="K501" t="str">
        <f>_xlfn.XLOOKUP(datos_ventas[[#This Row],[Ciudad]],Tabla2[Ciudades],Tabla2[Provincias],"no se encuentra")</f>
        <v>Sevilla</v>
      </c>
      <c r="L501" t="str">
        <f>_xlfn.XLOOKUP(datos_ventas[[#This Row],[Provincia]],Tabla2[Provincias],Tabla2[Comunidades],"no se encuentra")</f>
        <v>Andalucía</v>
      </c>
      <c r="M501" t="s">
        <v>13</v>
      </c>
      <c r="N501">
        <v>2</v>
      </c>
    </row>
    <row r="502" spans="1:14" x14ac:dyDescent="0.25">
      <c r="A502">
        <v>1501</v>
      </c>
      <c r="B502" s="1">
        <v>45980</v>
      </c>
      <c r="C502" s="4">
        <f>MONTH(datos_ventas[[#This Row],[Fecha]])</f>
        <v>11</v>
      </c>
      <c r="D502" s="4">
        <f>WEEKNUM(datos_ventas[[#This Row],[Fecha]],2)</f>
        <v>47</v>
      </c>
      <c r="E502" t="s">
        <v>23</v>
      </c>
      <c r="F502" t="s">
        <v>18</v>
      </c>
      <c r="G502">
        <v>1</v>
      </c>
      <c r="H502">
        <v>33652</v>
      </c>
      <c r="I502">
        <v>3914</v>
      </c>
      <c r="J502" t="s">
        <v>12</v>
      </c>
      <c r="K502" t="str">
        <f>_xlfn.XLOOKUP(datos_ventas[[#This Row],[Ciudad]],Tabla2[Ciudades],Tabla2[Provincias],"no se encuentra")</f>
        <v>Málaga</v>
      </c>
      <c r="L502" t="str">
        <f>_xlfn.XLOOKUP(datos_ventas[[#This Row],[Provincia]],Tabla2[Provincias],Tabla2[Comunidades],"no se encuentra")</f>
        <v>Andalucía</v>
      </c>
      <c r="M502" t="s">
        <v>28</v>
      </c>
      <c r="N502">
        <v>2</v>
      </c>
    </row>
    <row r="503" spans="1:14" x14ac:dyDescent="0.25">
      <c r="A503">
        <v>1502</v>
      </c>
      <c r="B503" s="1">
        <v>45718</v>
      </c>
      <c r="C503" s="4">
        <f>MONTH(datos_ventas[[#This Row],[Fecha]])</f>
        <v>3</v>
      </c>
      <c r="D503" s="4">
        <f>WEEKNUM(datos_ventas[[#This Row],[Fecha]],2)</f>
        <v>9</v>
      </c>
      <c r="E503" t="s">
        <v>10</v>
      </c>
      <c r="F503" t="s">
        <v>11</v>
      </c>
      <c r="G503">
        <v>2</v>
      </c>
      <c r="H503">
        <v>86208</v>
      </c>
      <c r="I503">
        <v>2567</v>
      </c>
      <c r="J503" t="s">
        <v>22</v>
      </c>
      <c r="K503" t="str">
        <f>_xlfn.XLOOKUP(datos_ventas[[#This Row],[Ciudad]],Tabla2[Ciudades],Tabla2[Provincias],"no se encuentra")</f>
        <v>Valencia</v>
      </c>
      <c r="L503" t="str">
        <f>_xlfn.XLOOKUP(datos_ventas[[#This Row],[Provincia]],Tabla2[Provincias],Tabla2[Comunidades],"no se encuentra")</f>
        <v>Comunidad Valenciana</v>
      </c>
      <c r="M503" t="s">
        <v>13</v>
      </c>
      <c r="N503">
        <v>4</v>
      </c>
    </row>
    <row r="504" spans="1:14" x14ac:dyDescent="0.25">
      <c r="A504">
        <v>1503</v>
      </c>
      <c r="B504" s="1">
        <v>45686</v>
      </c>
      <c r="C504" s="4">
        <f>MONTH(datos_ventas[[#This Row],[Fecha]])</f>
        <v>1</v>
      </c>
      <c r="D504" s="4">
        <f>WEEKNUM(datos_ventas[[#This Row],[Fecha]],2)</f>
        <v>5</v>
      </c>
      <c r="E504" t="s">
        <v>24</v>
      </c>
      <c r="F504" t="s">
        <v>25</v>
      </c>
      <c r="G504">
        <v>4</v>
      </c>
      <c r="H504">
        <v>63702</v>
      </c>
      <c r="I504">
        <v>1124</v>
      </c>
      <c r="J504" t="s">
        <v>27</v>
      </c>
      <c r="K504" t="str">
        <f>_xlfn.XLOOKUP(datos_ventas[[#This Row],[Ciudad]],Tabla2[Ciudades],Tabla2[Provincias],"no se encuentra")</f>
        <v>Sevilla</v>
      </c>
      <c r="L504" t="str">
        <f>_xlfn.XLOOKUP(datos_ventas[[#This Row],[Provincia]],Tabla2[Provincias],Tabla2[Comunidades],"no se encuentra")</f>
        <v>Andalucía</v>
      </c>
      <c r="M504" t="s">
        <v>13</v>
      </c>
      <c r="N504">
        <v>5</v>
      </c>
    </row>
    <row r="505" spans="1:14" x14ac:dyDescent="0.25">
      <c r="A505">
        <v>1504</v>
      </c>
      <c r="B505" s="1">
        <v>46002</v>
      </c>
      <c r="C505" s="4">
        <f>MONTH(datos_ventas[[#This Row],[Fecha]])</f>
        <v>12</v>
      </c>
      <c r="D505" s="4">
        <f>WEEKNUM(datos_ventas[[#This Row],[Fecha]],2)</f>
        <v>50</v>
      </c>
      <c r="E505" t="s">
        <v>16</v>
      </c>
      <c r="F505" t="s">
        <v>11</v>
      </c>
      <c r="G505">
        <v>3</v>
      </c>
      <c r="H505">
        <v>49959</v>
      </c>
      <c r="I505">
        <v>82</v>
      </c>
      <c r="J505" t="s">
        <v>27</v>
      </c>
      <c r="K505" t="str">
        <f>_xlfn.XLOOKUP(datos_ventas[[#This Row],[Ciudad]],Tabla2[Ciudades],Tabla2[Provincias],"no se encuentra")</f>
        <v>Sevilla</v>
      </c>
      <c r="L505" t="str">
        <f>_xlfn.XLOOKUP(datos_ventas[[#This Row],[Provincia]],Tabla2[Provincias],Tabla2[Comunidades],"no se encuentra")</f>
        <v>Andalucía</v>
      </c>
      <c r="M505" t="s">
        <v>15</v>
      </c>
      <c r="N505">
        <v>5</v>
      </c>
    </row>
    <row r="506" spans="1:14" x14ac:dyDescent="0.25">
      <c r="A506">
        <v>1505</v>
      </c>
      <c r="B506" s="1">
        <v>45887</v>
      </c>
      <c r="C506" s="4">
        <f>MONTH(datos_ventas[[#This Row],[Fecha]])</f>
        <v>8</v>
      </c>
      <c r="D506" s="4">
        <f>WEEKNUM(datos_ventas[[#This Row],[Fecha]],2)</f>
        <v>34</v>
      </c>
      <c r="E506" t="s">
        <v>10</v>
      </c>
      <c r="F506" t="s">
        <v>11</v>
      </c>
      <c r="G506">
        <v>3</v>
      </c>
      <c r="H506">
        <v>52167</v>
      </c>
      <c r="I506">
        <v>4574</v>
      </c>
      <c r="J506" t="s">
        <v>14</v>
      </c>
      <c r="K506" t="str">
        <f>_xlfn.XLOOKUP(datos_ventas[[#This Row],[Ciudad]],Tabla2[Ciudades],Tabla2[Provincias],"no se encuentra")</f>
        <v>Madrid</v>
      </c>
      <c r="L506" t="str">
        <f>_xlfn.XLOOKUP(datos_ventas[[#This Row],[Provincia]],Tabla2[Provincias],Tabla2[Comunidades],"no se encuentra")</f>
        <v>Comunidad de Madrid</v>
      </c>
      <c r="M506" t="s">
        <v>19</v>
      </c>
      <c r="N506">
        <v>5</v>
      </c>
    </row>
    <row r="507" spans="1:14" x14ac:dyDescent="0.25">
      <c r="A507">
        <v>1506</v>
      </c>
      <c r="B507" s="1">
        <v>45984</v>
      </c>
      <c r="C507" s="4">
        <f>MONTH(datos_ventas[[#This Row],[Fecha]])</f>
        <v>11</v>
      </c>
      <c r="D507" s="4">
        <f>WEEKNUM(datos_ventas[[#This Row],[Fecha]],2)</f>
        <v>47</v>
      </c>
      <c r="E507" t="s">
        <v>10</v>
      </c>
      <c r="F507" t="s">
        <v>11</v>
      </c>
      <c r="G507">
        <v>1</v>
      </c>
      <c r="H507">
        <v>115964</v>
      </c>
      <c r="I507">
        <v>1302</v>
      </c>
      <c r="J507" t="s">
        <v>32</v>
      </c>
      <c r="K507" t="str">
        <f>_xlfn.XLOOKUP(datos_ventas[[#This Row],[Ciudad]],Tabla2[Ciudades],Tabla2[Provincias],"no se encuentra")</f>
        <v>Barcelona</v>
      </c>
      <c r="L507" t="str">
        <f>_xlfn.XLOOKUP(datos_ventas[[#This Row],[Provincia]],Tabla2[Provincias],Tabla2[Comunidades],"no se encuentra")</f>
        <v>Cataluña</v>
      </c>
      <c r="M507" t="s">
        <v>13</v>
      </c>
      <c r="N507">
        <v>3</v>
      </c>
    </row>
    <row r="508" spans="1:14" x14ac:dyDescent="0.25">
      <c r="A508">
        <v>1507</v>
      </c>
      <c r="B508" s="1">
        <v>45886</v>
      </c>
      <c r="C508" s="4">
        <f>MONTH(datos_ventas[[#This Row],[Fecha]])</f>
        <v>8</v>
      </c>
      <c r="D508" s="4">
        <f>WEEKNUM(datos_ventas[[#This Row],[Fecha]],2)</f>
        <v>33</v>
      </c>
      <c r="E508" t="s">
        <v>23</v>
      </c>
      <c r="F508" t="s">
        <v>18</v>
      </c>
      <c r="G508">
        <v>4</v>
      </c>
      <c r="H508">
        <v>61727</v>
      </c>
      <c r="I508">
        <v>4565</v>
      </c>
      <c r="J508" t="s">
        <v>14</v>
      </c>
      <c r="K508" t="str">
        <f>_xlfn.XLOOKUP(datos_ventas[[#This Row],[Ciudad]],Tabla2[Ciudades],Tabla2[Provincias],"no se encuentra")</f>
        <v>Madrid</v>
      </c>
      <c r="L508" t="str">
        <f>_xlfn.XLOOKUP(datos_ventas[[#This Row],[Provincia]],Tabla2[Provincias],Tabla2[Comunidades],"no se encuentra")</f>
        <v>Comunidad de Madrid</v>
      </c>
      <c r="M508" t="s">
        <v>15</v>
      </c>
      <c r="N508">
        <v>2</v>
      </c>
    </row>
    <row r="509" spans="1:14" x14ac:dyDescent="0.25">
      <c r="A509">
        <v>1508</v>
      </c>
      <c r="B509" s="1">
        <v>45801</v>
      </c>
      <c r="C509" s="4">
        <f>MONTH(datos_ventas[[#This Row],[Fecha]])</f>
        <v>5</v>
      </c>
      <c r="D509" s="4">
        <f>WEEKNUM(datos_ventas[[#This Row],[Fecha]],2)</f>
        <v>21</v>
      </c>
      <c r="E509" t="s">
        <v>10</v>
      </c>
      <c r="F509" t="s">
        <v>11</v>
      </c>
      <c r="G509">
        <v>2</v>
      </c>
      <c r="H509">
        <v>34717</v>
      </c>
      <c r="I509">
        <v>913</v>
      </c>
      <c r="J509" t="s">
        <v>12</v>
      </c>
      <c r="K509" t="str">
        <f>_xlfn.XLOOKUP(datos_ventas[[#This Row],[Ciudad]],Tabla2[Ciudades],Tabla2[Provincias],"no se encuentra")</f>
        <v>Málaga</v>
      </c>
      <c r="L509" t="str">
        <f>_xlfn.XLOOKUP(datos_ventas[[#This Row],[Provincia]],Tabla2[Provincias],Tabla2[Comunidades],"no se encuentra")</f>
        <v>Andalucía</v>
      </c>
      <c r="M509" t="s">
        <v>28</v>
      </c>
      <c r="N509">
        <v>3</v>
      </c>
    </row>
    <row r="510" spans="1:14" x14ac:dyDescent="0.25">
      <c r="A510">
        <v>1509</v>
      </c>
      <c r="B510" s="1">
        <v>45864</v>
      </c>
      <c r="C510" s="4">
        <f>MONTH(datos_ventas[[#This Row],[Fecha]])</f>
        <v>7</v>
      </c>
      <c r="D510" s="4">
        <f>WEEKNUM(datos_ventas[[#This Row],[Fecha]],2)</f>
        <v>30</v>
      </c>
      <c r="E510" t="s">
        <v>24</v>
      </c>
      <c r="F510" t="s">
        <v>25</v>
      </c>
      <c r="G510">
        <v>3</v>
      </c>
      <c r="H510">
        <v>48523</v>
      </c>
      <c r="I510">
        <v>2805</v>
      </c>
      <c r="J510" t="s">
        <v>22</v>
      </c>
      <c r="K510" t="str">
        <f>_xlfn.XLOOKUP(datos_ventas[[#This Row],[Ciudad]],Tabla2[Ciudades],Tabla2[Provincias],"no se encuentra")</f>
        <v>Valencia</v>
      </c>
      <c r="L510" t="str">
        <f>_xlfn.XLOOKUP(datos_ventas[[#This Row],[Provincia]],Tabla2[Provincias],Tabla2[Comunidades],"no se encuentra")</f>
        <v>Comunidad Valenciana</v>
      </c>
      <c r="M510" t="s">
        <v>19</v>
      </c>
      <c r="N510">
        <v>4</v>
      </c>
    </row>
    <row r="511" spans="1:14" x14ac:dyDescent="0.25">
      <c r="A511">
        <v>1510</v>
      </c>
      <c r="B511" s="1">
        <v>45887</v>
      </c>
      <c r="C511" s="4">
        <f>MONTH(datos_ventas[[#This Row],[Fecha]])</f>
        <v>8</v>
      </c>
      <c r="D511" s="4">
        <f>WEEKNUM(datos_ventas[[#This Row],[Fecha]],2)</f>
        <v>34</v>
      </c>
      <c r="E511" t="s">
        <v>23</v>
      </c>
      <c r="F511" t="s">
        <v>18</v>
      </c>
      <c r="G511">
        <v>5</v>
      </c>
      <c r="H511">
        <v>46128</v>
      </c>
      <c r="I511">
        <v>4491</v>
      </c>
      <c r="J511" t="s">
        <v>27</v>
      </c>
      <c r="K511" t="str">
        <f>_xlfn.XLOOKUP(datos_ventas[[#This Row],[Ciudad]],Tabla2[Ciudades],Tabla2[Provincias],"no se encuentra")</f>
        <v>Sevilla</v>
      </c>
      <c r="L511" t="str">
        <f>_xlfn.XLOOKUP(datos_ventas[[#This Row],[Provincia]],Tabla2[Provincias],Tabla2[Comunidades],"no se encuentra")</f>
        <v>Andalucía</v>
      </c>
      <c r="M511" t="s">
        <v>28</v>
      </c>
      <c r="N511">
        <v>4</v>
      </c>
    </row>
    <row r="512" spans="1:14" x14ac:dyDescent="0.25">
      <c r="A512">
        <v>1511</v>
      </c>
      <c r="B512" s="1">
        <v>45875</v>
      </c>
      <c r="C512" s="4">
        <f>MONTH(datos_ventas[[#This Row],[Fecha]])</f>
        <v>8</v>
      </c>
      <c r="D512" s="4">
        <f>WEEKNUM(datos_ventas[[#This Row],[Fecha]],2)</f>
        <v>32</v>
      </c>
      <c r="E512" t="s">
        <v>17</v>
      </c>
      <c r="F512" t="s">
        <v>18</v>
      </c>
      <c r="G512">
        <v>5</v>
      </c>
      <c r="H512">
        <v>119988</v>
      </c>
      <c r="I512">
        <v>207</v>
      </c>
      <c r="J512" t="s">
        <v>14</v>
      </c>
      <c r="K512" t="str">
        <f>_xlfn.XLOOKUP(datos_ventas[[#This Row],[Ciudad]],Tabla2[Ciudades],Tabla2[Provincias],"no se encuentra")</f>
        <v>Madrid</v>
      </c>
      <c r="L512" t="str">
        <f>_xlfn.XLOOKUP(datos_ventas[[#This Row],[Provincia]],Tabla2[Provincias],Tabla2[Comunidades],"no se encuentra")</f>
        <v>Comunidad de Madrid</v>
      </c>
      <c r="M512" t="s">
        <v>28</v>
      </c>
      <c r="N512">
        <v>4</v>
      </c>
    </row>
    <row r="513" spans="1:14" x14ac:dyDescent="0.25">
      <c r="A513">
        <v>1512</v>
      </c>
      <c r="B513" s="1">
        <v>45948</v>
      </c>
      <c r="C513" s="4">
        <f>MONTH(datos_ventas[[#This Row],[Fecha]])</f>
        <v>10</v>
      </c>
      <c r="D513" s="4">
        <f>WEEKNUM(datos_ventas[[#This Row],[Fecha]],2)</f>
        <v>42</v>
      </c>
      <c r="E513" t="s">
        <v>16</v>
      </c>
      <c r="F513" t="s">
        <v>11</v>
      </c>
      <c r="G513">
        <v>4</v>
      </c>
      <c r="H513">
        <v>61548</v>
      </c>
      <c r="I513">
        <v>3768</v>
      </c>
      <c r="J513" t="s">
        <v>27</v>
      </c>
      <c r="K513" t="str">
        <f>_xlfn.XLOOKUP(datos_ventas[[#This Row],[Ciudad]],Tabla2[Ciudades],Tabla2[Provincias],"no se encuentra")</f>
        <v>Sevilla</v>
      </c>
      <c r="L513" t="str">
        <f>_xlfn.XLOOKUP(datos_ventas[[#This Row],[Provincia]],Tabla2[Provincias],Tabla2[Comunidades],"no se encuentra")</f>
        <v>Andalucía</v>
      </c>
      <c r="M513" t="s">
        <v>19</v>
      </c>
      <c r="N513">
        <v>5</v>
      </c>
    </row>
    <row r="514" spans="1:14" x14ac:dyDescent="0.25">
      <c r="A514">
        <v>1513</v>
      </c>
      <c r="B514" s="1">
        <v>45800</v>
      </c>
      <c r="C514" s="4">
        <f>MONTH(datos_ventas[[#This Row],[Fecha]])</f>
        <v>5</v>
      </c>
      <c r="D514" s="4">
        <f>WEEKNUM(datos_ventas[[#This Row],[Fecha]],2)</f>
        <v>21</v>
      </c>
      <c r="E514" t="s">
        <v>20</v>
      </c>
      <c r="F514" t="s">
        <v>21</v>
      </c>
      <c r="G514">
        <v>3</v>
      </c>
      <c r="H514">
        <v>53659</v>
      </c>
      <c r="I514">
        <v>657</v>
      </c>
      <c r="J514" t="s">
        <v>31</v>
      </c>
      <c r="K514" t="str">
        <f>_xlfn.XLOOKUP(datos_ventas[[#This Row],[Ciudad]],Tabla2[Ciudades],Tabla2[Provincias],"no se encuentra")</f>
        <v>Vizcaya</v>
      </c>
      <c r="L514" t="str">
        <f>_xlfn.XLOOKUP(datos_ventas[[#This Row],[Provincia]],Tabla2[Provincias],Tabla2[Comunidades],"no se encuentra")</f>
        <v>País Vasco</v>
      </c>
      <c r="M514" t="s">
        <v>19</v>
      </c>
      <c r="N514">
        <v>1</v>
      </c>
    </row>
    <row r="515" spans="1:14" x14ac:dyDescent="0.25">
      <c r="A515">
        <v>1514</v>
      </c>
      <c r="B515" s="1">
        <v>45713</v>
      </c>
      <c r="C515" s="4">
        <f>MONTH(datos_ventas[[#This Row],[Fecha]])</f>
        <v>2</v>
      </c>
      <c r="D515" s="4">
        <f>WEEKNUM(datos_ventas[[#This Row],[Fecha]],2)</f>
        <v>9</v>
      </c>
      <c r="E515" t="s">
        <v>10</v>
      </c>
      <c r="F515" t="s">
        <v>11</v>
      </c>
      <c r="G515">
        <v>2</v>
      </c>
      <c r="H515">
        <v>1675</v>
      </c>
      <c r="I515">
        <v>1591</v>
      </c>
      <c r="J515" t="s">
        <v>27</v>
      </c>
      <c r="K515" t="str">
        <f>_xlfn.XLOOKUP(datos_ventas[[#This Row],[Ciudad]],Tabla2[Ciudades],Tabla2[Provincias],"no se encuentra")</f>
        <v>Sevilla</v>
      </c>
      <c r="L515" t="str">
        <f>_xlfn.XLOOKUP(datos_ventas[[#This Row],[Provincia]],Tabla2[Provincias],Tabla2[Comunidades],"no se encuentra")</f>
        <v>Andalucía</v>
      </c>
      <c r="M515" t="s">
        <v>13</v>
      </c>
      <c r="N515">
        <v>2</v>
      </c>
    </row>
    <row r="516" spans="1:14" x14ac:dyDescent="0.25">
      <c r="A516">
        <v>1515</v>
      </c>
      <c r="B516" s="1">
        <v>45869</v>
      </c>
      <c r="C516" s="4">
        <f>MONTH(datos_ventas[[#This Row],[Fecha]])</f>
        <v>7</v>
      </c>
      <c r="D516" s="4">
        <f>WEEKNUM(datos_ventas[[#This Row],[Fecha]],2)</f>
        <v>31</v>
      </c>
      <c r="E516" t="s">
        <v>26</v>
      </c>
      <c r="F516" t="s">
        <v>18</v>
      </c>
      <c r="G516">
        <v>2</v>
      </c>
      <c r="H516">
        <v>61689</v>
      </c>
      <c r="I516">
        <v>1125</v>
      </c>
      <c r="J516" t="s">
        <v>12</v>
      </c>
      <c r="K516" t="str">
        <f>_xlfn.XLOOKUP(datos_ventas[[#This Row],[Ciudad]],Tabla2[Ciudades],Tabla2[Provincias],"no se encuentra")</f>
        <v>Málaga</v>
      </c>
      <c r="L516" t="str">
        <f>_xlfn.XLOOKUP(datos_ventas[[#This Row],[Provincia]],Tabla2[Provincias],Tabla2[Comunidades],"no se encuentra")</f>
        <v>Andalucía</v>
      </c>
      <c r="M516" t="s">
        <v>19</v>
      </c>
      <c r="N516">
        <v>2</v>
      </c>
    </row>
    <row r="517" spans="1:14" x14ac:dyDescent="0.25">
      <c r="A517">
        <v>1516</v>
      </c>
      <c r="B517" s="1">
        <v>45763</v>
      </c>
      <c r="C517" s="4">
        <f>MONTH(datos_ventas[[#This Row],[Fecha]])</f>
        <v>4</v>
      </c>
      <c r="D517" s="4">
        <f>WEEKNUM(datos_ventas[[#This Row],[Fecha]],2)</f>
        <v>16</v>
      </c>
      <c r="E517" t="s">
        <v>29</v>
      </c>
      <c r="F517" t="s">
        <v>30</v>
      </c>
      <c r="G517">
        <v>3</v>
      </c>
      <c r="H517">
        <v>30817</v>
      </c>
      <c r="I517">
        <v>1487</v>
      </c>
      <c r="J517" t="s">
        <v>31</v>
      </c>
      <c r="K517" t="str">
        <f>_xlfn.XLOOKUP(datos_ventas[[#This Row],[Ciudad]],Tabla2[Ciudades],Tabla2[Provincias],"no se encuentra")</f>
        <v>Vizcaya</v>
      </c>
      <c r="L517" t="str">
        <f>_xlfn.XLOOKUP(datos_ventas[[#This Row],[Provincia]],Tabla2[Provincias],Tabla2[Comunidades],"no se encuentra")</f>
        <v>País Vasco</v>
      </c>
      <c r="M517" t="s">
        <v>15</v>
      </c>
      <c r="N517">
        <v>3</v>
      </c>
    </row>
    <row r="518" spans="1:14" x14ac:dyDescent="0.25">
      <c r="A518">
        <v>1517</v>
      </c>
      <c r="B518" s="1">
        <v>45697</v>
      </c>
      <c r="C518" s="4">
        <f>MONTH(datos_ventas[[#This Row],[Fecha]])</f>
        <v>2</v>
      </c>
      <c r="D518" s="4">
        <f>WEEKNUM(datos_ventas[[#This Row],[Fecha]],2)</f>
        <v>6</v>
      </c>
      <c r="E518" t="s">
        <v>10</v>
      </c>
      <c r="F518" t="s">
        <v>11</v>
      </c>
      <c r="G518">
        <v>2</v>
      </c>
      <c r="H518">
        <v>10808</v>
      </c>
      <c r="I518">
        <v>3125</v>
      </c>
      <c r="J518" t="s">
        <v>27</v>
      </c>
      <c r="K518" t="str">
        <f>_xlfn.XLOOKUP(datos_ventas[[#This Row],[Ciudad]],Tabla2[Ciudades],Tabla2[Provincias],"no se encuentra")</f>
        <v>Sevilla</v>
      </c>
      <c r="L518" t="str">
        <f>_xlfn.XLOOKUP(datos_ventas[[#This Row],[Provincia]],Tabla2[Provincias],Tabla2[Comunidades],"no se encuentra")</f>
        <v>Andalucía</v>
      </c>
      <c r="M518" t="s">
        <v>28</v>
      </c>
      <c r="N518">
        <v>5</v>
      </c>
    </row>
    <row r="519" spans="1:14" x14ac:dyDescent="0.25">
      <c r="A519">
        <v>1518</v>
      </c>
      <c r="B519" s="1">
        <v>45855</v>
      </c>
      <c r="C519" s="4">
        <f>MONTH(datos_ventas[[#This Row],[Fecha]])</f>
        <v>7</v>
      </c>
      <c r="D519" s="4">
        <f>WEEKNUM(datos_ventas[[#This Row],[Fecha]],2)</f>
        <v>29</v>
      </c>
      <c r="E519" t="s">
        <v>16</v>
      </c>
      <c r="F519" t="s">
        <v>11</v>
      </c>
      <c r="G519">
        <v>5</v>
      </c>
      <c r="H519">
        <v>4851</v>
      </c>
      <c r="I519">
        <v>4341</v>
      </c>
      <c r="J519" t="s">
        <v>14</v>
      </c>
      <c r="K519" t="str">
        <f>_xlfn.XLOOKUP(datos_ventas[[#This Row],[Ciudad]],Tabla2[Ciudades],Tabla2[Provincias],"no se encuentra")</f>
        <v>Madrid</v>
      </c>
      <c r="L519" t="str">
        <f>_xlfn.XLOOKUP(datos_ventas[[#This Row],[Provincia]],Tabla2[Provincias],Tabla2[Comunidades],"no se encuentra")</f>
        <v>Comunidad de Madrid</v>
      </c>
      <c r="M519" t="s">
        <v>19</v>
      </c>
      <c r="N519">
        <v>5</v>
      </c>
    </row>
    <row r="520" spans="1:14" x14ac:dyDescent="0.25">
      <c r="A520">
        <v>1519</v>
      </c>
      <c r="B520" s="1">
        <v>45755</v>
      </c>
      <c r="C520" s="4">
        <f>MONTH(datos_ventas[[#This Row],[Fecha]])</f>
        <v>4</v>
      </c>
      <c r="D520" s="4">
        <f>WEEKNUM(datos_ventas[[#This Row],[Fecha]],2)</f>
        <v>15</v>
      </c>
      <c r="E520" t="s">
        <v>10</v>
      </c>
      <c r="F520" t="s">
        <v>11</v>
      </c>
      <c r="G520">
        <v>4</v>
      </c>
      <c r="H520">
        <v>42823</v>
      </c>
      <c r="I520">
        <v>3235</v>
      </c>
      <c r="J520" t="s">
        <v>22</v>
      </c>
      <c r="K520" t="str">
        <f>_xlfn.XLOOKUP(datos_ventas[[#This Row],[Ciudad]],Tabla2[Ciudades],Tabla2[Provincias],"no se encuentra")</f>
        <v>Valencia</v>
      </c>
      <c r="L520" t="str">
        <f>_xlfn.XLOOKUP(datos_ventas[[#This Row],[Provincia]],Tabla2[Provincias],Tabla2[Comunidades],"no se encuentra")</f>
        <v>Comunidad Valenciana</v>
      </c>
      <c r="M520" t="s">
        <v>28</v>
      </c>
      <c r="N520">
        <v>3</v>
      </c>
    </row>
    <row r="521" spans="1:14" x14ac:dyDescent="0.25">
      <c r="A521">
        <v>1520</v>
      </c>
      <c r="B521" s="1">
        <v>45800</v>
      </c>
      <c r="C521" s="4">
        <f>MONTH(datos_ventas[[#This Row],[Fecha]])</f>
        <v>5</v>
      </c>
      <c r="D521" s="4">
        <f>WEEKNUM(datos_ventas[[#This Row],[Fecha]],2)</f>
        <v>21</v>
      </c>
      <c r="E521" t="s">
        <v>23</v>
      </c>
      <c r="F521" t="s">
        <v>18</v>
      </c>
      <c r="G521">
        <v>3</v>
      </c>
      <c r="H521">
        <v>117021</v>
      </c>
      <c r="I521">
        <v>1086</v>
      </c>
      <c r="J521" t="s">
        <v>22</v>
      </c>
      <c r="K521" t="str">
        <f>_xlfn.XLOOKUP(datos_ventas[[#This Row],[Ciudad]],Tabla2[Ciudades],Tabla2[Provincias],"no se encuentra")</f>
        <v>Valencia</v>
      </c>
      <c r="L521" t="str">
        <f>_xlfn.XLOOKUP(datos_ventas[[#This Row],[Provincia]],Tabla2[Provincias],Tabla2[Comunidades],"no se encuentra")</f>
        <v>Comunidad Valenciana</v>
      </c>
      <c r="M521" t="s">
        <v>13</v>
      </c>
      <c r="N521">
        <v>5</v>
      </c>
    </row>
    <row r="522" spans="1:14" x14ac:dyDescent="0.25">
      <c r="A522">
        <v>1521</v>
      </c>
      <c r="B522" s="1">
        <v>45999</v>
      </c>
      <c r="C522" s="4">
        <f>MONTH(datos_ventas[[#This Row],[Fecha]])</f>
        <v>12</v>
      </c>
      <c r="D522" s="4">
        <f>WEEKNUM(datos_ventas[[#This Row],[Fecha]],2)</f>
        <v>50</v>
      </c>
      <c r="E522" t="s">
        <v>20</v>
      </c>
      <c r="F522" t="s">
        <v>21</v>
      </c>
      <c r="G522">
        <v>1</v>
      </c>
      <c r="H522">
        <v>32167</v>
      </c>
      <c r="I522">
        <v>1121</v>
      </c>
      <c r="J522" t="s">
        <v>22</v>
      </c>
      <c r="K522" t="str">
        <f>_xlfn.XLOOKUP(datos_ventas[[#This Row],[Ciudad]],Tabla2[Ciudades],Tabla2[Provincias],"no se encuentra")</f>
        <v>Valencia</v>
      </c>
      <c r="L522" t="str">
        <f>_xlfn.XLOOKUP(datos_ventas[[#This Row],[Provincia]],Tabla2[Provincias],Tabla2[Comunidades],"no se encuentra")</f>
        <v>Comunidad Valenciana</v>
      </c>
      <c r="M522" t="s">
        <v>13</v>
      </c>
      <c r="N522">
        <v>4</v>
      </c>
    </row>
    <row r="523" spans="1:14" x14ac:dyDescent="0.25">
      <c r="A523">
        <v>1522</v>
      </c>
      <c r="B523" s="1">
        <v>45877</v>
      </c>
      <c r="C523" s="4">
        <f>MONTH(datos_ventas[[#This Row],[Fecha]])</f>
        <v>8</v>
      </c>
      <c r="D523" s="4">
        <f>WEEKNUM(datos_ventas[[#This Row],[Fecha]],2)</f>
        <v>32</v>
      </c>
      <c r="E523" t="s">
        <v>20</v>
      </c>
      <c r="F523" t="s">
        <v>21</v>
      </c>
      <c r="G523">
        <v>4</v>
      </c>
      <c r="H523">
        <v>34364</v>
      </c>
      <c r="I523">
        <v>421</v>
      </c>
      <c r="J523" t="s">
        <v>27</v>
      </c>
      <c r="K523" t="str">
        <f>_xlfn.XLOOKUP(datos_ventas[[#This Row],[Ciudad]],Tabla2[Ciudades],Tabla2[Provincias],"no se encuentra")</f>
        <v>Sevilla</v>
      </c>
      <c r="L523" t="str">
        <f>_xlfn.XLOOKUP(datos_ventas[[#This Row],[Provincia]],Tabla2[Provincias],Tabla2[Comunidades],"no se encuentra")</f>
        <v>Andalucía</v>
      </c>
      <c r="M523" t="s">
        <v>28</v>
      </c>
      <c r="N523">
        <v>5</v>
      </c>
    </row>
    <row r="524" spans="1:14" x14ac:dyDescent="0.25">
      <c r="A524">
        <v>1523</v>
      </c>
      <c r="B524" s="1">
        <v>45881</v>
      </c>
      <c r="C524" s="4">
        <f>MONTH(datos_ventas[[#This Row],[Fecha]])</f>
        <v>8</v>
      </c>
      <c r="D524" s="4">
        <f>WEEKNUM(datos_ventas[[#This Row],[Fecha]],2)</f>
        <v>33</v>
      </c>
      <c r="E524" t="s">
        <v>24</v>
      </c>
      <c r="F524" t="s">
        <v>25</v>
      </c>
      <c r="G524">
        <v>2</v>
      </c>
      <c r="H524">
        <v>69444</v>
      </c>
      <c r="I524">
        <v>2481</v>
      </c>
      <c r="J524" t="s">
        <v>27</v>
      </c>
      <c r="K524" t="str">
        <f>_xlfn.XLOOKUP(datos_ventas[[#This Row],[Ciudad]],Tabla2[Ciudades],Tabla2[Provincias],"no se encuentra")</f>
        <v>Sevilla</v>
      </c>
      <c r="L524" t="str">
        <f>_xlfn.XLOOKUP(datos_ventas[[#This Row],[Provincia]],Tabla2[Provincias],Tabla2[Comunidades],"no se encuentra")</f>
        <v>Andalucía</v>
      </c>
      <c r="M524" t="s">
        <v>15</v>
      </c>
      <c r="N524">
        <v>2</v>
      </c>
    </row>
    <row r="525" spans="1:14" x14ac:dyDescent="0.25">
      <c r="A525">
        <v>1524</v>
      </c>
      <c r="B525" s="1">
        <v>45943</v>
      </c>
      <c r="C525" s="4">
        <f>MONTH(datos_ventas[[#This Row],[Fecha]])</f>
        <v>10</v>
      </c>
      <c r="D525" s="4">
        <f>WEEKNUM(datos_ventas[[#This Row],[Fecha]],2)</f>
        <v>42</v>
      </c>
      <c r="E525" t="s">
        <v>29</v>
      </c>
      <c r="F525" t="s">
        <v>30</v>
      </c>
      <c r="G525">
        <v>2</v>
      </c>
      <c r="H525">
        <v>32254</v>
      </c>
      <c r="I525">
        <v>4112</v>
      </c>
      <c r="J525" t="s">
        <v>14</v>
      </c>
      <c r="K525" t="str">
        <f>_xlfn.XLOOKUP(datos_ventas[[#This Row],[Ciudad]],Tabla2[Ciudades],Tabla2[Provincias],"no se encuentra")</f>
        <v>Madrid</v>
      </c>
      <c r="L525" t="str">
        <f>_xlfn.XLOOKUP(datos_ventas[[#This Row],[Provincia]],Tabla2[Provincias],Tabla2[Comunidades],"no se encuentra")</f>
        <v>Comunidad de Madrid</v>
      </c>
      <c r="M525" t="s">
        <v>19</v>
      </c>
      <c r="N525">
        <v>3</v>
      </c>
    </row>
    <row r="526" spans="1:14" x14ac:dyDescent="0.25">
      <c r="A526">
        <v>1525</v>
      </c>
      <c r="B526" s="1">
        <v>45956</v>
      </c>
      <c r="C526" s="4">
        <f>MONTH(datos_ventas[[#This Row],[Fecha]])</f>
        <v>10</v>
      </c>
      <c r="D526" s="4">
        <f>WEEKNUM(datos_ventas[[#This Row],[Fecha]],2)</f>
        <v>43</v>
      </c>
      <c r="E526" t="s">
        <v>26</v>
      </c>
      <c r="F526" t="s">
        <v>18</v>
      </c>
      <c r="G526">
        <v>4</v>
      </c>
      <c r="H526">
        <v>33645</v>
      </c>
      <c r="I526">
        <v>4251</v>
      </c>
      <c r="J526" t="s">
        <v>31</v>
      </c>
      <c r="K526" t="str">
        <f>_xlfn.XLOOKUP(datos_ventas[[#This Row],[Ciudad]],Tabla2[Ciudades],Tabla2[Provincias],"no se encuentra")</f>
        <v>Vizcaya</v>
      </c>
      <c r="L526" t="str">
        <f>_xlfn.XLOOKUP(datos_ventas[[#This Row],[Provincia]],Tabla2[Provincias],Tabla2[Comunidades],"no se encuentra")</f>
        <v>País Vasco</v>
      </c>
      <c r="M526" t="s">
        <v>15</v>
      </c>
      <c r="N526">
        <v>4</v>
      </c>
    </row>
    <row r="527" spans="1:14" x14ac:dyDescent="0.25">
      <c r="A527">
        <v>1526</v>
      </c>
      <c r="B527" s="1">
        <v>45925</v>
      </c>
      <c r="C527" s="4">
        <f>MONTH(datos_ventas[[#This Row],[Fecha]])</f>
        <v>9</v>
      </c>
      <c r="D527" s="4">
        <f>WEEKNUM(datos_ventas[[#This Row],[Fecha]],2)</f>
        <v>39</v>
      </c>
      <c r="E527" t="s">
        <v>26</v>
      </c>
      <c r="F527" t="s">
        <v>18</v>
      </c>
      <c r="G527">
        <v>1</v>
      </c>
      <c r="H527">
        <v>81223</v>
      </c>
      <c r="I527">
        <v>4146</v>
      </c>
      <c r="J527" t="s">
        <v>31</v>
      </c>
      <c r="K527" t="str">
        <f>_xlfn.XLOOKUP(datos_ventas[[#This Row],[Ciudad]],Tabla2[Ciudades],Tabla2[Provincias],"no se encuentra")</f>
        <v>Vizcaya</v>
      </c>
      <c r="L527" t="str">
        <f>_xlfn.XLOOKUP(datos_ventas[[#This Row],[Provincia]],Tabla2[Provincias],Tabla2[Comunidades],"no se encuentra")</f>
        <v>País Vasco</v>
      </c>
      <c r="M527" t="s">
        <v>13</v>
      </c>
      <c r="N527">
        <v>5</v>
      </c>
    </row>
    <row r="528" spans="1:14" x14ac:dyDescent="0.25">
      <c r="A528">
        <v>1527</v>
      </c>
      <c r="B528" s="1">
        <v>45822</v>
      </c>
      <c r="C528" s="4">
        <f>MONTH(datos_ventas[[#This Row],[Fecha]])</f>
        <v>6</v>
      </c>
      <c r="D528" s="4">
        <f>WEEKNUM(datos_ventas[[#This Row],[Fecha]],2)</f>
        <v>24</v>
      </c>
      <c r="E528" t="s">
        <v>16</v>
      </c>
      <c r="F528" t="s">
        <v>11</v>
      </c>
      <c r="G528">
        <v>5</v>
      </c>
      <c r="H528">
        <v>10524</v>
      </c>
      <c r="I528">
        <v>4044</v>
      </c>
      <c r="J528" t="s">
        <v>14</v>
      </c>
      <c r="K528" t="str">
        <f>_xlfn.XLOOKUP(datos_ventas[[#This Row],[Ciudad]],Tabla2[Ciudades],Tabla2[Provincias],"no se encuentra")</f>
        <v>Madrid</v>
      </c>
      <c r="L528" t="str">
        <f>_xlfn.XLOOKUP(datos_ventas[[#This Row],[Provincia]],Tabla2[Provincias],Tabla2[Comunidades],"no se encuentra")</f>
        <v>Comunidad de Madrid</v>
      </c>
      <c r="M528" t="s">
        <v>28</v>
      </c>
      <c r="N528">
        <v>5</v>
      </c>
    </row>
    <row r="529" spans="1:14" x14ac:dyDescent="0.25">
      <c r="A529">
        <v>1528</v>
      </c>
      <c r="B529" s="1">
        <v>45840</v>
      </c>
      <c r="C529" s="4">
        <f>MONTH(datos_ventas[[#This Row],[Fecha]])</f>
        <v>7</v>
      </c>
      <c r="D529" s="4">
        <f>WEEKNUM(datos_ventas[[#This Row],[Fecha]],2)</f>
        <v>27</v>
      </c>
      <c r="E529" t="s">
        <v>17</v>
      </c>
      <c r="F529" t="s">
        <v>18</v>
      </c>
      <c r="G529">
        <v>5</v>
      </c>
      <c r="H529">
        <v>16787</v>
      </c>
      <c r="I529">
        <v>2421</v>
      </c>
      <c r="J529" t="s">
        <v>27</v>
      </c>
      <c r="K529" t="str">
        <f>_xlfn.XLOOKUP(datos_ventas[[#This Row],[Ciudad]],Tabla2[Ciudades],Tabla2[Provincias],"no se encuentra")</f>
        <v>Sevilla</v>
      </c>
      <c r="L529" t="str">
        <f>_xlfn.XLOOKUP(datos_ventas[[#This Row],[Provincia]],Tabla2[Provincias],Tabla2[Comunidades],"no se encuentra")</f>
        <v>Andalucía</v>
      </c>
      <c r="M529" t="s">
        <v>19</v>
      </c>
      <c r="N529">
        <v>1</v>
      </c>
    </row>
    <row r="530" spans="1:14" x14ac:dyDescent="0.25">
      <c r="A530">
        <v>1529</v>
      </c>
      <c r="B530" s="1">
        <v>45889</v>
      </c>
      <c r="C530" s="4">
        <f>MONTH(datos_ventas[[#This Row],[Fecha]])</f>
        <v>8</v>
      </c>
      <c r="D530" s="4">
        <f>WEEKNUM(datos_ventas[[#This Row],[Fecha]],2)</f>
        <v>34</v>
      </c>
      <c r="E530" t="s">
        <v>10</v>
      </c>
      <c r="F530" t="s">
        <v>11</v>
      </c>
      <c r="G530">
        <v>5</v>
      </c>
      <c r="H530">
        <v>54834</v>
      </c>
      <c r="I530">
        <v>3268</v>
      </c>
      <c r="J530" t="s">
        <v>14</v>
      </c>
      <c r="K530" t="str">
        <f>_xlfn.XLOOKUP(datos_ventas[[#This Row],[Ciudad]],Tabla2[Ciudades],Tabla2[Provincias],"no se encuentra")</f>
        <v>Madrid</v>
      </c>
      <c r="L530" t="str">
        <f>_xlfn.XLOOKUP(datos_ventas[[#This Row],[Provincia]],Tabla2[Provincias],Tabla2[Comunidades],"no se encuentra")</f>
        <v>Comunidad de Madrid</v>
      </c>
      <c r="M530" t="s">
        <v>19</v>
      </c>
      <c r="N530">
        <v>4</v>
      </c>
    </row>
    <row r="531" spans="1:14" x14ac:dyDescent="0.25">
      <c r="A531">
        <v>1530</v>
      </c>
      <c r="B531" s="1">
        <v>45754</v>
      </c>
      <c r="C531" s="4">
        <f>MONTH(datos_ventas[[#This Row],[Fecha]])</f>
        <v>4</v>
      </c>
      <c r="D531" s="4">
        <f>WEEKNUM(datos_ventas[[#This Row],[Fecha]],2)</f>
        <v>15</v>
      </c>
      <c r="E531" t="s">
        <v>26</v>
      </c>
      <c r="F531" t="s">
        <v>18</v>
      </c>
      <c r="G531">
        <v>2</v>
      </c>
      <c r="H531">
        <v>58092</v>
      </c>
      <c r="I531">
        <v>759</v>
      </c>
      <c r="J531" t="s">
        <v>31</v>
      </c>
      <c r="K531" t="str">
        <f>_xlfn.XLOOKUP(datos_ventas[[#This Row],[Ciudad]],Tabla2[Ciudades],Tabla2[Provincias],"no se encuentra")</f>
        <v>Vizcaya</v>
      </c>
      <c r="L531" t="str">
        <f>_xlfn.XLOOKUP(datos_ventas[[#This Row],[Provincia]],Tabla2[Provincias],Tabla2[Comunidades],"no se encuentra")</f>
        <v>País Vasco</v>
      </c>
      <c r="M531" t="s">
        <v>19</v>
      </c>
      <c r="N531">
        <v>4</v>
      </c>
    </row>
    <row r="532" spans="1:14" x14ac:dyDescent="0.25">
      <c r="A532">
        <v>1531</v>
      </c>
      <c r="B532" s="1">
        <v>45926</v>
      </c>
      <c r="C532" s="4">
        <f>MONTH(datos_ventas[[#This Row],[Fecha]])</f>
        <v>9</v>
      </c>
      <c r="D532" s="4">
        <f>WEEKNUM(datos_ventas[[#This Row],[Fecha]],2)</f>
        <v>39</v>
      </c>
      <c r="E532" t="s">
        <v>20</v>
      </c>
      <c r="F532" t="s">
        <v>21</v>
      </c>
      <c r="G532">
        <v>5</v>
      </c>
      <c r="H532">
        <v>8811</v>
      </c>
      <c r="I532">
        <v>430</v>
      </c>
      <c r="J532" t="s">
        <v>22</v>
      </c>
      <c r="K532" t="str">
        <f>_xlfn.XLOOKUP(datos_ventas[[#This Row],[Ciudad]],Tabla2[Ciudades],Tabla2[Provincias],"no se encuentra")</f>
        <v>Valencia</v>
      </c>
      <c r="L532" t="str">
        <f>_xlfn.XLOOKUP(datos_ventas[[#This Row],[Provincia]],Tabla2[Provincias],Tabla2[Comunidades],"no se encuentra")</f>
        <v>Comunidad Valenciana</v>
      </c>
      <c r="M532" t="s">
        <v>19</v>
      </c>
      <c r="N532">
        <v>5</v>
      </c>
    </row>
    <row r="533" spans="1:14" x14ac:dyDescent="0.25">
      <c r="A533">
        <v>1532</v>
      </c>
      <c r="B533" s="1">
        <v>45698</v>
      </c>
      <c r="C533" s="4">
        <f>MONTH(datos_ventas[[#This Row],[Fecha]])</f>
        <v>2</v>
      </c>
      <c r="D533" s="4">
        <f>WEEKNUM(datos_ventas[[#This Row],[Fecha]],2)</f>
        <v>7</v>
      </c>
      <c r="E533" t="s">
        <v>26</v>
      </c>
      <c r="F533" t="s">
        <v>18</v>
      </c>
      <c r="G533">
        <v>4</v>
      </c>
      <c r="H533">
        <v>17831</v>
      </c>
      <c r="I533">
        <v>220</v>
      </c>
      <c r="J533" t="s">
        <v>32</v>
      </c>
      <c r="K533" t="str">
        <f>_xlfn.XLOOKUP(datos_ventas[[#This Row],[Ciudad]],Tabla2[Ciudades],Tabla2[Provincias],"no se encuentra")</f>
        <v>Barcelona</v>
      </c>
      <c r="L533" t="str">
        <f>_xlfn.XLOOKUP(datos_ventas[[#This Row],[Provincia]],Tabla2[Provincias],Tabla2[Comunidades],"no se encuentra")</f>
        <v>Cataluña</v>
      </c>
      <c r="M533" t="s">
        <v>13</v>
      </c>
      <c r="N533">
        <v>2</v>
      </c>
    </row>
    <row r="534" spans="1:14" x14ac:dyDescent="0.25">
      <c r="A534">
        <v>1533</v>
      </c>
      <c r="B534" s="1">
        <v>45659</v>
      </c>
      <c r="C534" s="4">
        <f>MONTH(datos_ventas[[#This Row],[Fecha]])</f>
        <v>1</v>
      </c>
      <c r="D534" s="4">
        <f>WEEKNUM(datos_ventas[[#This Row],[Fecha]],2)</f>
        <v>1</v>
      </c>
      <c r="E534" t="s">
        <v>24</v>
      </c>
      <c r="F534" t="s">
        <v>25</v>
      </c>
      <c r="G534">
        <v>3</v>
      </c>
      <c r="H534">
        <v>24077</v>
      </c>
      <c r="I534">
        <v>368</v>
      </c>
      <c r="J534" t="s">
        <v>14</v>
      </c>
      <c r="K534" t="str">
        <f>_xlfn.XLOOKUP(datos_ventas[[#This Row],[Ciudad]],Tabla2[Ciudades],Tabla2[Provincias],"no se encuentra")</f>
        <v>Madrid</v>
      </c>
      <c r="L534" t="str">
        <f>_xlfn.XLOOKUP(datos_ventas[[#This Row],[Provincia]],Tabla2[Provincias],Tabla2[Comunidades],"no se encuentra")</f>
        <v>Comunidad de Madrid</v>
      </c>
      <c r="M534" t="s">
        <v>28</v>
      </c>
      <c r="N534">
        <v>1</v>
      </c>
    </row>
    <row r="535" spans="1:14" x14ac:dyDescent="0.25">
      <c r="A535">
        <v>1534</v>
      </c>
      <c r="B535" s="1">
        <v>45674</v>
      </c>
      <c r="C535" s="4">
        <f>MONTH(datos_ventas[[#This Row],[Fecha]])</f>
        <v>1</v>
      </c>
      <c r="D535" s="4">
        <f>WEEKNUM(datos_ventas[[#This Row],[Fecha]],2)</f>
        <v>3</v>
      </c>
      <c r="E535" t="s">
        <v>29</v>
      </c>
      <c r="F535" t="s">
        <v>30</v>
      </c>
      <c r="G535">
        <v>5</v>
      </c>
      <c r="H535">
        <v>34923</v>
      </c>
      <c r="I535">
        <v>4792</v>
      </c>
      <c r="J535" t="s">
        <v>27</v>
      </c>
      <c r="K535" t="str">
        <f>_xlfn.XLOOKUP(datos_ventas[[#This Row],[Ciudad]],Tabla2[Ciudades],Tabla2[Provincias],"no se encuentra")</f>
        <v>Sevilla</v>
      </c>
      <c r="L535" t="str">
        <f>_xlfn.XLOOKUP(datos_ventas[[#This Row],[Provincia]],Tabla2[Provincias],Tabla2[Comunidades],"no se encuentra")</f>
        <v>Andalucía</v>
      </c>
      <c r="M535" t="s">
        <v>13</v>
      </c>
      <c r="N535">
        <v>3</v>
      </c>
    </row>
    <row r="536" spans="1:14" x14ac:dyDescent="0.25">
      <c r="A536">
        <v>1535</v>
      </c>
      <c r="B536" s="1">
        <v>45825</v>
      </c>
      <c r="C536" s="4">
        <f>MONTH(datos_ventas[[#This Row],[Fecha]])</f>
        <v>6</v>
      </c>
      <c r="D536" s="4">
        <f>WEEKNUM(datos_ventas[[#This Row],[Fecha]],2)</f>
        <v>25</v>
      </c>
      <c r="E536" t="s">
        <v>20</v>
      </c>
      <c r="F536" t="s">
        <v>21</v>
      </c>
      <c r="G536">
        <v>4</v>
      </c>
      <c r="H536">
        <v>3931</v>
      </c>
      <c r="I536">
        <v>4618</v>
      </c>
      <c r="J536" t="s">
        <v>31</v>
      </c>
      <c r="K536" t="str">
        <f>_xlfn.XLOOKUP(datos_ventas[[#This Row],[Ciudad]],Tabla2[Ciudades],Tabla2[Provincias],"no se encuentra")</f>
        <v>Vizcaya</v>
      </c>
      <c r="L536" t="str">
        <f>_xlfn.XLOOKUP(datos_ventas[[#This Row],[Provincia]],Tabla2[Provincias],Tabla2[Comunidades],"no se encuentra")</f>
        <v>País Vasco</v>
      </c>
      <c r="M536" t="s">
        <v>28</v>
      </c>
      <c r="N536">
        <v>3</v>
      </c>
    </row>
    <row r="537" spans="1:14" x14ac:dyDescent="0.25">
      <c r="A537">
        <v>1536</v>
      </c>
      <c r="B537" s="1">
        <v>45717</v>
      </c>
      <c r="C537" s="4">
        <f>MONTH(datos_ventas[[#This Row],[Fecha]])</f>
        <v>3</v>
      </c>
      <c r="D537" s="4">
        <f>WEEKNUM(datos_ventas[[#This Row],[Fecha]],2)</f>
        <v>9</v>
      </c>
      <c r="E537" t="s">
        <v>20</v>
      </c>
      <c r="F537" t="s">
        <v>21</v>
      </c>
      <c r="G537">
        <v>5</v>
      </c>
      <c r="H537">
        <v>47553</v>
      </c>
      <c r="I537">
        <v>2043</v>
      </c>
      <c r="J537" t="s">
        <v>22</v>
      </c>
      <c r="K537" t="str">
        <f>_xlfn.XLOOKUP(datos_ventas[[#This Row],[Ciudad]],Tabla2[Ciudades],Tabla2[Provincias],"no se encuentra")</f>
        <v>Valencia</v>
      </c>
      <c r="L537" t="str">
        <f>_xlfn.XLOOKUP(datos_ventas[[#This Row],[Provincia]],Tabla2[Provincias],Tabla2[Comunidades],"no se encuentra")</f>
        <v>Comunidad Valenciana</v>
      </c>
      <c r="M537" t="s">
        <v>13</v>
      </c>
      <c r="N537">
        <v>1</v>
      </c>
    </row>
    <row r="538" spans="1:14" x14ac:dyDescent="0.25">
      <c r="A538">
        <v>1537</v>
      </c>
      <c r="B538" s="1">
        <v>45873</v>
      </c>
      <c r="C538" s="4">
        <f>MONTH(datos_ventas[[#This Row],[Fecha]])</f>
        <v>8</v>
      </c>
      <c r="D538" s="4">
        <f>WEEKNUM(datos_ventas[[#This Row],[Fecha]],2)</f>
        <v>32</v>
      </c>
      <c r="E538" t="s">
        <v>20</v>
      </c>
      <c r="F538" t="s">
        <v>21</v>
      </c>
      <c r="G538">
        <v>2</v>
      </c>
      <c r="H538">
        <v>6661</v>
      </c>
      <c r="I538">
        <v>812</v>
      </c>
      <c r="J538" t="s">
        <v>32</v>
      </c>
      <c r="K538" t="str">
        <f>_xlfn.XLOOKUP(datos_ventas[[#This Row],[Ciudad]],Tabla2[Ciudades],Tabla2[Provincias],"no se encuentra")</f>
        <v>Barcelona</v>
      </c>
      <c r="L538" t="str">
        <f>_xlfn.XLOOKUP(datos_ventas[[#This Row],[Provincia]],Tabla2[Provincias],Tabla2[Comunidades],"no se encuentra")</f>
        <v>Cataluña</v>
      </c>
      <c r="M538" t="s">
        <v>19</v>
      </c>
      <c r="N538">
        <v>5</v>
      </c>
    </row>
    <row r="539" spans="1:14" x14ac:dyDescent="0.25">
      <c r="A539">
        <v>1538</v>
      </c>
      <c r="B539" s="1">
        <v>45948</v>
      </c>
      <c r="C539" s="4">
        <f>MONTH(datos_ventas[[#This Row],[Fecha]])</f>
        <v>10</v>
      </c>
      <c r="D539" s="4">
        <f>WEEKNUM(datos_ventas[[#This Row],[Fecha]],2)</f>
        <v>42</v>
      </c>
      <c r="E539" t="s">
        <v>17</v>
      </c>
      <c r="F539" t="s">
        <v>18</v>
      </c>
      <c r="G539">
        <v>2</v>
      </c>
      <c r="H539">
        <v>103754</v>
      </c>
      <c r="I539">
        <v>1198</v>
      </c>
      <c r="J539" t="s">
        <v>14</v>
      </c>
      <c r="K539" t="str">
        <f>_xlfn.XLOOKUP(datos_ventas[[#This Row],[Ciudad]],Tabla2[Ciudades],Tabla2[Provincias],"no se encuentra")</f>
        <v>Madrid</v>
      </c>
      <c r="L539" t="str">
        <f>_xlfn.XLOOKUP(datos_ventas[[#This Row],[Provincia]],Tabla2[Provincias],Tabla2[Comunidades],"no se encuentra")</f>
        <v>Comunidad de Madrid</v>
      </c>
      <c r="M539" t="s">
        <v>28</v>
      </c>
      <c r="N539">
        <v>1</v>
      </c>
    </row>
    <row r="540" spans="1:14" x14ac:dyDescent="0.25">
      <c r="A540">
        <v>1539</v>
      </c>
      <c r="B540" s="1">
        <v>46010</v>
      </c>
      <c r="C540" s="4">
        <f>MONTH(datos_ventas[[#This Row],[Fecha]])</f>
        <v>12</v>
      </c>
      <c r="D540" s="4">
        <f>WEEKNUM(datos_ventas[[#This Row],[Fecha]],2)</f>
        <v>51</v>
      </c>
      <c r="E540" t="s">
        <v>20</v>
      </c>
      <c r="F540" t="s">
        <v>21</v>
      </c>
      <c r="G540">
        <v>3</v>
      </c>
      <c r="H540">
        <v>86629</v>
      </c>
      <c r="I540">
        <v>1255</v>
      </c>
      <c r="J540" t="s">
        <v>31</v>
      </c>
      <c r="K540" t="str">
        <f>_xlfn.XLOOKUP(datos_ventas[[#This Row],[Ciudad]],Tabla2[Ciudades],Tabla2[Provincias],"no se encuentra")</f>
        <v>Vizcaya</v>
      </c>
      <c r="L540" t="str">
        <f>_xlfn.XLOOKUP(datos_ventas[[#This Row],[Provincia]],Tabla2[Provincias],Tabla2[Comunidades],"no se encuentra")</f>
        <v>País Vasco</v>
      </c>
      <c r="M540" t="s">
        <v>13</v>
      </c>
      <c r="N540">
        <v>1</v>
      </c>
    </row>
    <row r="541" spans="1:14" x14ac:dyDescent="0.25">
      <c r="A541">
        <v>1540</v>
      </c>
      <c r="B541" s="1">
        <v>45906</v>
      </c>
      <c r="C541" s="4">
        <f>MONTH(datos_ventas[[#This Row],[Fecha]])</f>
        <v>9</v>
      </c>
      <c r="D541" s="4">
        <f>WEEKNUM(datos_ventas[[#This Row],[Fecha]],2)</f>
        <v>36</v>
      </c>
      <c r="E541" t="s">
        <v>29</v>
      </c>
      <c r="F541" t="s">
        <v>30</v>
      </c>
      <c r="G541">
        <v>2</v>
      </c>
      <c r="H541">
        <v>59178</v>
      </c>
      <c r="I541">
        <v>772</v>
      </c>
      <c r="J541" t="s">
        <v>22</v>
      </c>
      <c r="K541" t="str">
        <f>_xlfn.XLOOKUP(datos_ventas[[#This Row],[Ciudad]],Tabla2[Ciudades],Tabla2[Provincias],"no se encuentra")</f>
        <v>Valencia</v>
      </c>
      <c r="L541" t="str">
        <f>_xlfn.XLOOKUP(datos_ventas[[#This Row],[Provincia]],Tabla2[Provincias],Tabla2[Comunidades],"no se encuentra")</f>
        <v>Comunidad Valenciana</v>
      </c>
      <c r="M541" t="s">
        <v>13</v>
      </c>
      <c r="N541">
        <v>1</v>
      </c>
    </row>
    <row r="542" spans="1:14" x14ac:dyDescent="0.25">
      <c r="A542">
        <v>1541</v>
      </c>
      <c r="B542" s="1">
        <v>45662</v>
      </c>
      <c r="C542" s="4">
        <f>MONTH(datos_ventas[[#This Row],[Fecha]])</f>
        <v>1</v>
      </c>
      <c r="D542" s="4">
        <f>WEEKNUM(datos_ventas[[#This Row],[Fecha]],2)</f>
        <v>1</v>
      </c>
      <c r="E542" t="s">
        <v>16</v>
      </c>
      <c r="F542" t="s">
        <v>11</v>
      </c>
      <c r="G542">
        <v>4</v>
      </c>
      <c r="H542">
        <v>119678</v>
      </c>
      <c r="I542">
        <v>3177</v>
      </c>
      <c r="J542" t="s">
        <v>14</v>
      </c>
      <c r="K542" t="str">
        <f>_xlfn.XLOOKUP(datos_ventas[[#This Row],[Ciudad]],Tabla2[Ciudades],Tabla2[Provincias],"no se encuentra")</f>
        <v>Madrid</v>
      </c>
      <c r="L542" t="str">
        <f>_xlfn.XLOOKUP(datos_ventas[[#This Row],[Provincia]],Tabla2[Provincias],Tabla2[Comunidades],"no se encuentra")</f>
        <v>Comunidad de Madrid</v>
      </c>
      <c r="M542" t="s">
        <v>28</v>
      </c>
      <c r="N542">
        <v>2</v>
      </c>
    </row>
    <row r="543" spans="1:14" x14ac:dyDescent="0.25">
      <c r="A543">
        <v>1542</v>
      </c>
      <c r="B543" s="1">
        <v>45788</v>
      </c>
      <c r="C543" s="4">
        <f>MONTH(datos_ventas[[#This Row],[Fecha]])</f>
        <v>5</v>
      </c>
      <c r="D543" s="4">
        <f>WEEKNUM(datos_ventas[[#This Row],[Fecha]],2)</f>
        <v>19</v>
      </c>
      <c r="E543" t="s">
        <v>20</v>
      </c>
      <c r="F543" t="s">
        <v>21</v>
      </c>
      <c r="G543">
        <v>2</v>
      </c>
      <c r="H543">
        <v>98819</v>
      </c>
      <c r="I543">
        <v>2328</v>
      </c>
      <c r="J543" t="s">
        <v>22</v>
      </c>
      <c r="K543" t="str">
        <f>_xlfn.XLOOKUP(datos_ventas[[#This Row],[Ciudad]],Tabla2[Ciudades],Tabla2[Provincias],"no se encuentra")</f>
        <v>Valencia</v>
      </c>
      <c r="L543" t="str">
        <f>_xlfn.XLOOKUP(datos_ventas[[#This Row],[Provincia]],Tabla2[Provincias],Tabla2[Comunidades],"no se encuentra")</f>
        <v>Comunidad Valenciana</v>
      </c>
      <c r="M543" t="s">
        <v>13</v>
      </c>
      <c r="N543">
        <v>2</v>
      </c>
    </row>
    <row r="544" spans="1:14" x14ac:dyDescent="0.25">
      <c r="A544">
        <v>1543</v>
      </c>
      <c r="B544" s="1">
        <v>45888</v>
      </c>
      <c r="C544" s="4">
        <f>MONTH(datos_ventas[[#This Row],[Fecha]])</f>
        <v>8</v>
      </c>
      <c r="D544" s="4">
        <f>WEEKNUM(datos_ventas[[#This Row],[Fecha]],2)</f>
        <v>34</v>
      </c>
      <c r="E544" t="s">
        <v>23</v>
      </c>
      <c r="F544" t="s">
        <v>18</v>
      </c>
      <c r="G544">
        <v>2</v>
      </c>
      <c r="H544">
        <v>18363</v>
      </c>
      <c r="I544">
        <v>2124</v>
      </c>
      <c r="J544" t="s">
        <v>27</v>
      </c>
      <c r="K544" t="str">
        <f>_xlfn.XLOOKUP(datos_ventas[[#This Row],[Ciudad]],Tabla2[Ciudades],Tabla2[Provincias],"no se encuentra")</f>
        <v>Sevilla</v>
      </c>
      <c r="L544" t="str">
        <f>_xlfn.XLOOKUP(datos_ventas[[#This Row],[Provincia]],Tabla2[Provincias],Tabla2[Comunidades],"no se encuentra")</f>
        <v>Andalucía</v>
      </c>
      <c r="M544" t="s">
        <v>28</v>
      </c>
      <c r="N544">
        <v>1</v>
      </c>
    </row>
    <row r="545" spans="1:14" x14ac:dyDescent="0.25">
      <c r="A545">
        <v>1544</v>
      </c>
      <c r="B545" s="1">
        <v>46014</v>
      </c>
      <c r="C545" s="4">
        <f>MONTH(datos_ventas[[#This Row],[Fecha]])</f>
        <v>12</v>
      </c>
      <c r="D545" s="4">
        <f>WEEKNUM(datos_ventas[[#This Row],[Fecha]],2)</f>
        <v>52</v>
      </c>
      <c r="E545" t="s">
        <v>26</v>
      </c>
      <c r="F545" t="s">
        <v>18</v>
      </c>
      <c r="G545">
        <v>4</v>
      </c>
      <c r="H545">
        <v>88312</v>
      </c>
      <c r="I545">
        <v>4136</v>
      </c>
      <c r="J545" t="s">
        <v>32</v>
      </c>
      <c r="K545" t="str">
        <f>_xlfn.XLOOKUP(datos_ventas[[#This Row],[Ciudad]],Tabla2[Ciudades],Tabla2[Provincias],"no se encuentra")</f>
        <v>Barcelona</v>
      </c>
      <c r="L545" t="str">
        <f>_xlfn.XLOOKUP(datos_ventas[[#This Row],[Provincia]],Tabla2[Provincias],Tabla2[Comunidades],"no se encuentra")</f>
        <v>Cataluña</v>
      </c>
      <c r="M545" t="s">
        <v>19</v>
      </c>
      <c r="N545">
        <v>4</v>
      </c>
    </row>
    <row r="546" spans="1:14" x14ac:dyDescent="0.25">
      <c r="A546">
        <v>1545</v>
      </c>
      <c r="B546" s="1">
        <v>45836</v>
      </c>
      <c r="C546" s="4">
        <f>MONTH(datos_ventas[[#This Row],[Fecha]])</f>
        <v>6</v>
      </c>
      <c r="D546" s="4">
        <f>WEEKNUM(datos_ventas[[#This Row],[Fecha]],2)</f>
        <v>26</v>
      </c>
      <c r="E546" t="s">
        <v>10</v>
      </c>
      <c r="F546" t="s">
        <v>11</v>
      </c>
      <c r="G546">
        <v>5</v>
      </c>
      <c r="H546">
        <v>72404</v>
      </c>
      <c r="I546">
        <v>1972</v>
      </c>
      <c r="J546" t="s">
        <v>12</v>
      </c>
      <c r="K546" t="str">
        <f>_xlfn.XLOOKUP(datos_ventas[[#This Row],[Ciudad]],Tabla2[Ciudades],Tabla2[Provincias],"no se encuentra")</f>
        <v>Málaga</v>
      </c>
      <c r="L546" t="str">
        <f>_xlfn.XLOOKUP(datos_ventas[[#This Row],[Provincia]],Tabla2[Provincias],Tabla2[Comunidades],"no se encuentra")</f>
        <v>Andalucía</v>
      </c>
      <c r="M546" t="s">
        <v>28</v>
      </c>
      <c r="N546">
        <v>5</v>
      </c>
    </row>
    <row r="547" spans="1:14" x14ac:dyDescent="0.25">
      <c r="A547">
        <v>1546</v>
      </c>
      <c r="B547" s="1">
        <v>45828</v>
      </c>
      <c r="C547" s="4">
        <f>MONTH(datos_ventas[[#This Row],[Fecha]])</f>
        <v>6</v>
      </c>
      <c r="D547" s="4">
        <f>WEEKNUM(datos_ventas[[#This Row],[Fecha]],2)</f>
        <v>25</v>
      </c>
      <c r="E547" t="s">
        <v>24</v>
      </c>
      <c r="F547" t="s">
        <v>25</v>
      </c>
      <c r="G547">
        <v>5</v>
      </c>
      <c r="H547">
        <v>17363</v>
      </c>
      <c r="I547">
        <v>2772</v>
      </c>
      <c r="J547" t="s">
        <v>32</v>
      </c>
      <c r="K547" t="str">
        <f>_xlfn.XLOOKUP(datos_ventas[[#This Row],[Ciudad]],Tabla2[Ciudades],Tabla2[Provincias],"no se encuentra")</f>
        <v>Barcelona</v>
      </c>
      <c r="L547" t="str">
        <f>_xlfn.XLOOKUP(datos_ventas[[#This Row],[Provincia]],Tabla2[Provincias],Tabla2[Comunidades],"no se encuentra")</f>
        <v>Cataluña</v>
      </c>
      <c r="M547" t="s">
        <v>19</v>
      </c>
      <c r="N547">
        <v>4</v>
      </c>
    </row>
    <row r="548" spans="1:14" x14ac:dyDescent="0.25">
      <c r="A548">
        <v>1547</v>
      </c>
      <c r="B548" s="1">
        <v>45745</v>
      </c>
      <c r="C548" s="4">
        <f>MONTH(datos_ventas[[#This Row],[Fecha]])</f>
        <v>3</v>
      </c>
      <c r="D548" s="4">
        <f>WEEKNUM(datos_ventas[[#This Row],[Fecha]],2)</f>
        <v>13</v>
      </c>
      <c r="E548" t="s">
        <v>24</v>
      </c>
      <c r="F548" t="s">
        <v>25</v>
      </c>
      <c r="G548">
        <v>1</v>
      </c>
      <c r="H548">
        <v>49695</v>
      </c>
      <c r="I548">
        <v>3608</v>
      </c>
      <c r="J548" t="s">
        <v>12</v>
      </c>
      <c r="K548" t="str">
        <f>_xlfn.XLOOKUP(datos_ventas[[#This Row],[Ciudad]],Tabla2[Ciudades],Tabla2[Provincias],"no se encuentra")</f>
        <v>Málaga</v>
      </c>
      <c r="L548" t="str">
        <f>_xlfn.XLOOKUP(datos_ventas[[#This Row],[Provincia]],Tabla2[Provincias],Tabla2[Comunidades],"no se encuentra")</f>
        <v>Andalucía</v>
      </c>
      <c r="M548" t="s">
        <v>19</v>
      </c>
      <c r="N548">
        <v>5</v>
      </c>
    </row>
    <row r="549" spans="1:14" x14ac:dyDescent="0.25">
      <c r="A549">
        <v>1548</v>
      </c>
      <c r="B549" s="1">
        <v>45749</v>
      </c>
      <c r="C549" s="4">
        <f>MONTH(datos_ventas[[#This Row],[Fecha]])</f>
        <v>4</v>
      </c>
      <c r="D549" s="4">
        <f>WEEKNUM(datos_ventas[[#This Row],[Fecha]],2)</f>
        <v>14</v>
      </c>
      <c r="E549" t="s">
        <v>17</v>
      </c>
      <c r="F549" t="s">
        <v>18</v>
      </c>
      <c r="G549">
        <v>2</v>
      </c>
      <c r="H549">
        <v>117155</v>
      </c>
      <c r="I549">
        <v>4134</v>
      </c>
      <c r="J549" t="s">
        <v>27</v>
      </c>
      <c r="K549" t="str">
        <f>_xlfn.XLOOKUP(datos_ventas[[#This Row],[Ciudad]],Tabla2[Ciudades],Tabla2[Provincias],"no se encuentra")</f>
        <v>Sevilla</v>
      </c>
      <c r="L549" t="str">
        <f>_xlfn.XLOOKUP(datos_ventas[[#This Row],[Provincia]],Tabla2[Provincias],Tabla2[Comunidades],"no se encuentra")</f>
        <v>Andalucía</v>
      </c>
      <c r="M549" t="s">
        <v>28</v>
      </c>
      <c r="N549">
        <v>5</v>
      </c>
    </row>
    <row r="550" spans="1:14" x14ac:dyDescent="0.25">
      <c r="A550">
        <v>1549</v>
      </c>
      <c r="B550" s="1">
        <v>45733</v>
      </c>
      <c r="C550" s="4">
        <f>MONTH(datos_ventas[[#This Row],[Fecha]])</f>
        <v>3</v>
      </c>
      <c r="D550" s="4">
        <f>WEEKNUM(datos_ventas[[#This Row],[Fecha]],2)</f>
        <v>12</v>
      </c>
      <c r="E550" t="s">
        <v>10</v>
      </c>
      <c r="F550" t="s">
        <v>11</v>
      </c>
      <c r="G550">
        <v>3</v>
      </c>
      <c r="H550">
        <v>12464</v>
      </c>
      <c r="I550">
        <v>3114</v>
      </c>
      <c r="J550" t="s">
        <v>27</v>
      </c>
      <c r="K550" t="str">
        <f>_xlfn.XLOOKUP(datos_ventas[[#This Row],[Ciudad]],Tabla2[Ciudades],Tabla2[Provincias],"no se encuentra")</f>
        <v>Sevilla</v>
      </c>
      <c r="L550" t="str">
        <f>_xlfn.XLOOKUP(datos_ventas[[#This Row],[Provincia]],Tabla2[Provincias],Tabla2[Comunidades],"no se encuentra")</f>
        <v>Andalucía</v>
      </c>
      <c r="M550" t="s">
        <v>19</v>
      </c>
      <c r="N550">
        <v>4</v>
      </c>
    </row>
    <row r="551" spans="1:14" x14ac:dyDescent="0.25">
      <c r="A551">
        <v>1550</v>
      </c>
      <c r="B551" s="1">
        <v>45835</v>
      </c>
      <c r="C551" s="4">
        <f>MONTH(datos_ventas[[#This Row],[Fecha]])</f>
        <v>6</v>
      </c>
      <c r="D551" s="4">
        <f>WEEKNUM(datos_ventas[[#This Row],[Fecha]],2)</f>
        <v>26</v>
      </c>
      <c r="E551" t="s">
        <v>17</v>
      </c>
      <c r="F551" t="s">
        <v>18</v>
      </c>
      <c r="G551">
        <v>4</v>
      </c>
      <c r="H551">
        <v>5714</v>
      </c>
      <c r="I551">
        <v>2468</v>
      </c>
      <c r="J551" t="s">
        <v>27</v>
      </c>
      <c r="K551" t="str">
        <f>_xlfn.XLOOKUP(datos_ventas[[#This Row],[Ciudad]],Tabla2[Ciudades],Tabla2[Provincias],"no se encuentra")</f>
        <v>Sevilla</v>
      </c>
      <c r="L551" t="str">
        <f>_xlfn.XLOOKUP(datos_ventas[[#This Row],[Provincia]],Tabla2[Provincias],Tabla2[Comunidades],"no se encuentra")</f>
        <v>Andalucía</v>
      </c>
      <c r="M551" t="s">
        <v>13</v>
      </c>
      <c r="N551">
        <v>4</v>
      </c>
    </row>
    <row r="552" spans="1:14" x14ac:dyDescent="0.25">
      <c r="A552">
        <v>1551</v>
      </c>
      <c r="B552" s="1">
        <v>45821</v>
      </c>
      <c r="C552" s="4">
        <f>MONTH(datos_ventas[[#This Row],[Fecha]])</f>
        <v>6</v>
      </c>
      <c r="D552" s="4">
        <f>WEEKNUM(datos_ventas[[#This Row],[Fecha]],2)</f>
        <v>24</v>
      </c>
      <c r="E552" t="s">
        <v>16</v>
      </c>
      <c r="F552" t="s">
        <v>11</v>
      </c>
      <c r="G552">
        <v>2</v>
      </c>
      <c r="H552">
        <v>44721</v>
      </c>
      <c r="I552">
        <v>3924</v>
      </c>
      <c r="J552" t="s">
        <v>31</v>
      </c>
      <c r="K552" t="str">
        <f>_xlfn.XLOOKUP(datos_ventas[[#This Row],[Ciudad]],Tabla2[Ciudades],Tabla2[Provincias],"no se encuentra")</f>
        <v>Vizcaya</v>
      </c>
      <c r="L552" t="str">
        <f>_xlfn.XLOOKUP(datos_ventas[[#This Row],[Provincia]],Tabla2[Provincias],Tabla2[Comunidades],"no se encuentra")</f>
        <v>País Vasco</v>
      </c>
      <c r="M552" t="s">
        <v>28</v>
      </c>
      <c r="N552">
        <v>4</v>
      </c>
    </row>
    <row r="553" spans="1:14" x14ac:dyDescent="0.25">
      <c r="A553">
        <v>1552</v>
      </c>
      <c r="B553" s="1">
        <v>45827</v>
      </c>
      <c r="C553" s="4">
        <f>MONTH(datos_ventas[[#This Row],[Fecha]])</f>
        <v>6</v>
      </c>
      <c r="D553" s="4">
        <f>WEEKNUM(datos_ventas[[#This Row],[Fecha]],2)</f>
        <v>25</v>
      </c>
      <c r="E553" t="s">
        <v>17</v>
      </c>
      <c r="F553" t="s">
        <v>18</v>
      </c>
      <c r="G553">
        <v>5</v>
      </c>
      <c r="H553">
        <v>87904</v>
      </c>
      <c r="I553">
        <v>4442</v>
      </c>
      <c r="J553" t="s">
        <v>31</v>
      </c>
      <c r="K553" t="str">
        <f>_xlfn.XLOOKUP(datos_ventas[[#This Row],[Ciudad]],Tabla2[Ciudades],Tabla2[Provincias],"no se encuentra")</f>
        <v>Vizcaya</v>
      </c>
      <c r="L553" t="str">
        <f>_xlfn.XLOOKUP(datos_ventas[[#This Row],[Provincia]],Tabla2[Provincias],Tabla2[Comunidades],"no se encuentra")</f>
        <v>País Vasco</v>
      </c>
      <c r="M553" t="s">
        <v>13</v>
      </c>
      <c r="N553">
        <v>2</v>
      </c>
    </row>
    <row r="554" spans="1:14" x14ac:dyDescent="0.25">
      <c r="A554">
        <v>1553</v>
      </c>
      <c r="B554" s="1">
        <v>45829</v>
      </c>
      <c r="C554" s="4">
        <f>MONTH(datos_ventas[[#This Row],[Fecha]])</f>
        <v>6</v>
      </c>
      <c r="D554" s="4">
        <f>WEEKNUM(datos_ventas[[#This Row],[Fecha]],2)</f>
        <v>25</v>
      </c>
      <c r="E554" t="s">
        <v>20</v>
      </c>
      <c r="F554" t="s">
        <v>21</v>
      </c>
      <c r="G554">
        <v>1</v>
      </c>
      <c r="H554">
        <v>49273</v>
      </c>
      <c r="I554">
        <v>100</v>
      </c>
      <c r="J554" t="s">
        <v>27</v>
      </c>
      <c r="K554" t="str">
        <f>_xlfn.XLOOKUP(datos_ventas[[#This Row],[Ciudad]],Tabla2[Ciudades],Tabla2[Provincias],"no se encuentra")</f>
        <v>Sevilla</v>
      </c>
      <c r="L554" t="str">
        <f>_xlfn.XLOOKUP(datos_ventas[[#This Row],[Provincia]],Tabla2[Provincias],Tabla2[Comunidades],"no se encuentra")</f>
        <v>Andalucía</v>
      </c>
      <c r="M554" t="s">
        <v>19</v>
      </c>
      <c r="N554">
        <v>2</v>
      </c>
    </row>
    <row r="555" spans="1:14" x14ac:dyDescent="0.25">
      <c r="A555">
        <v>1554</v>
      </c>
      <c r="B555" s="1">
        <v>45681</v>
      </c>
      <c r="C555" s="4">
        <f>MONTH(datos_ventas[[#This Row],[Fecha]])</f>
        <v>1</v>
      </c>
      <c r="D555" s="4">
        <f>WEEKNUM(datos_ventas[[#This Row],[Fecha]],2)</f>
        <v>4</v>
      </c>
      <c r="E555" t="s">
        <v>23</v>
      </c>
      <c r="F555" t="s">
        <v>18</v>
      </c>
      <c r="G555">
        <v>3</v>
      </c>
      <c r="H555">
        <v>28293</v>
      </c>
      <c r="I555">
        <v>4832</v>
      </c>
      <c r="J555" t="s">
        <v>31</v>
      </c>
      <c r="K555" t="str">
        <f>_xlfn.XLOOKUP(datos_ventas[[#This Row],[Ciudad]],Tabla2[Ciudades],Tabla2[Provincias],"no se encuentra")</f>
        <v>Vizcaya</v>
      </c>
      <c r="L555" t="str">
        <f>_xlfn.XLOOKUP(datos_ventas[[#This Row],[Provincia]],Tabla2[Provincias],Tabla2[Comunidades],"no se encuentra")</f>
        <v>País Vasco</v>
      </c>
      <c r="M555" t="s">
        <v>19</v>
      </c>
      <c r="N555">
        <v>2</v>
      </c>
    </row>
    <row r="556" spans="1:14" x14ac:dyDescent="0.25">
      <c r="A556">
        <v>1555</v>
      </c>
      <c r="B556" s="1">
        <v>45932</v>
      </c>
      <c r="C556" s="4">
        <f>MONTH(datos_ventas[[#This Row],[Fecha]])</f>
        <v>10</v>
      </c>
      <c r="D556" s="4">
        <f>WEEKNUM(datos_ventas[[#This Row],[Fecha]],2)</f>
        <v>40</v>
      </c>
      <c r="E556" t="s">
        <v>23</v>
      </c>
      <c r="F556" t="s">
        <v>18</v>
      </c>
      <c r="G556">
        <v>2</v>
      </c>
      <c r="H556">
        <v>5211</v>
      </c>
      <c r="I556">
        <v>648</v>
      </c>
      <c r="J556" t="s">
        <v>27</v>
      </c>
      <c r="K556" t="str">
        <f>_xlfn.XLOOKUP(datos_ventas[[#This Row],[Ciudad]],Tabla2[Ciudades],Tabla2[Provincias],"no se encuentra")</f>
        <v>Sevilla</v>
      </c>
      <c r="L556" t="str">
        <f>_xlfn.XLOOKUP(datos_ventas[[#This Row],[Provincia]],Tabla2[Provincias],Tabla2[Comunidades],"no se encuentra")</f>
        <v>Andalucía</v>
      </c>
      <c r="M556" t="s">
        <v>13</v>
      </c>
      <c r="N556">
        <v>2</v>
      </c>
    </row>
    <row r="557" spans="1:14" x14ac:dyDescent="0.25">
      <c r="A557">
        <v>1556</v>
      </c>
      <c r="B557" s="1">
        <v>46005</v>
      </c>
      <c r="C557" s="4">
        <f>MONTH(datos_ventas[[#This Row],[Fecha]])</f>
        <v>12</v>
      </c>
      <c r="D557" s="4">
        <f>WEEKNUM(datos_ventas[[#This Row],[Fecha]],2)</f>
        <v>50</v>
      </c>
      <c r="E557" t="s">
        <v>29</v>
      </c>
      <c r="F557" t="s">
        <v>30</v>
      </c>
      <c r="G557">
        <v>2</v>
      </c>
      <c r="H557">
        <v>82002</v>
      </c>
      <c r="I557">
        <v>992</v>
      </c>
      <c r="J557" t="s">
        <v>32</v>
      </c>
      <c r="K557" t="str">
        <f>_xlfn.XLOOKUP(datos_ventas[[#This Row],[Ciudad]],Tabla2[Ciudades],Tabla2[Provincias],"no se encuentra")</f>
        <v>Barcelona</v>
      </c>
      <c r="L557" t="str">
        <f>_xlfn.XLOOKUP(datos_ventas[[#This Row],[Provincia]],Tabla2[Provincias],Tabla2[Comunidades],"no se encuentra")</f>
        <v>Cataluña</v>
      </c>
      <c r="M557" t="s">
        <v>19</v>
      </c>
      <c r="N557">
        <v>1</v>
      </c>
    </row>
    <row r="558" spans="1:14" x14ac:dyDescent="0.25">
      <c r="A558">
        <v>1557</v>
      </c>
      <c r="B558" s="1">
        <v>45684</v>
      </c>
      <c r="C558" s="4">
        <f>MONTH(datos_ventas[[#This Row],[Fecha]])</f>
        <v>1</v>
      </c>
      <c r="D558" s="4">
        <f>WEEKNUM(datos_ventas[[#This Row],[Fecha]],2)</f>
        <v>5</v>
      </c>
      <c r="E558" t="s">
        <v>24</v>
      </c>
      <c r="F558" t="s">
        <v>25</v>
      </c>
      <c r="G558">
        <v>4</v>
      </c>
      <c r="H558">
        <v>110017</v>
      </c>
      <c r="I558">
        <v>2996</v>
      </c>
      <c r="J558" t="s">
        <v>12</v>
      </c>
      <c r="K558" t="str">
        <f>_xlfn.XLOOKUP(datos_ventas[[#This Row],[Ciudad]],Tabla2[Ciudades],Tabla2[Provincias],"no se encuentra")</f>
        <v>Málaga</v>
      </c>
      <c r="L558" t="str">
        <f>_xlfn.XLOOKUP(datos_ventas[[#This Row],[Provincia]],Tabla2[Provincias],Tabla2[Comunidades],"no se encuentra")</f>
        <v>Andalucía</v>
      </c>
      <c r="M558" t="s">
        <v>13</v>
      </c>
      <c r="N558">
        <v>5</v>
      </c>
    </row>
    <row r="559" spans="1:14" x14ac:dyDescent="0.25">
      <c r="A559">
        <v>1558</v>
      </c>
      <c r="B559" s="1">
        <v>45822</v>
      </c>
      <c r="C559" s="4">
        <f>MONTH(datos_ventas[[#This Row],[Fecha]])</f>
        <v>6</v>
      </c>
      <c r="D559" s="4">
        <f>WEEKNUM(datos_ventas[[#This Row],[Fecha]],2)</f>
        <v>24</v>
      </c>
      <c r="E559" t="s">
        <v>10</v>
      </c>
      <c r="F559" t="s">
        <v>11</v>
      </c>
      <c r="G559">
        <v>3</v>
      </c>
      <c r="H559">
        <v>29165</v>
      </c>
      <c r="I559">
        <v>641</v>
      </c>
      <c r="J559" t="s">
        <v>12</v>
      </c>
      <c r="K559" t="str">
        <f>_xlfn.XLOOKUP(datos_ventas[[#This Row],[Ciudad]],Tabla2[Ciudades],Tabla2[Provincias],"no se encuentra")</f>
        <v>Málaga</v>
      </c>
      <c r="L559" t="str">
        <f>_xlfn.XLOOKUP(datos_ventas[[#This Row],[Provincia]],Tabla2[Provincias],Tabla2[Comunidades],"no se encuentra")</f>
        <v>Andalucía</v>
      </c>
      <c r="M559" t="s">
        <v>28</v>
      </c>
      <c r="N559">
        <v>3</v>
      </c>
    </row>
    <row r="560" spans="1:14" x14ac:dyDescent="0.25">
      <c r="A560">
        <v>1559</v>
      </c>
      <c r="B560" s="1">
        <v>45738</v>
      </c>
      <c r="C560" s="4">
        <f>MONTH(datos_ventas[[#This Row],[Fecha]])</f>
        <v>3</v>
      </c>
      <c r="D560" s="4">
        <f>WEEKNUM(datos_ventas[[#This Row],[Fecha]],2)</f>
        <v>12</v>
      </c>
      <c r="E560" t="s">
        <v>16</v>
      </c>
      <c r="F560" t="s">
        <v>11</v>
      </c>
      <c r="G560">
        <v>5</v>
      </c>
      <c r="H560">
        <v>9107</v>
      </c>
      <c r="I560">
        <v>1079</v>
      </c>
      <c r="J560" t="s">
        <v>27</v>
      </c>
      <c r="K560" t="str">
        <f>_xlfn.XLOOKUP(datos_ventas[[#This Row],[Ciudad]],Tabla2[Ciudades],Tabla2[Provincias],"no se encuentra")</f>
        <v>Sevilla</v>
      </c>
      <c r="L560" t="str">
        <f>_xlfn.XLOOKUP(datos_ventas[[#This Row],[Provincia]],Tabla2[Provincias],Tabla2[Comunidades],"no se encuentra")</f>
        <v>Andalucía</v>
      </c>
      <c r="M560" t="s">
        <v>28</v>
      </c>
      <c r="N560">
        <v>5</v>
      </c>
    </row>
    <row r="561" spans="1:14" x14ac:dyDescent="0.25">
      <c r="A561">
        <v>1560</v>
      </c>
      <c r="B561" s="1">
        <v>45962</v>
      </c>
      <c r="C561" s="4">
        <f>MONTH(datos_ventas[[#This Row],[Fecha]])</f>
        <v>11</v>
      </c>
      <c r="D561" s="4">
        <f>WEEKNUM(datos_ventas[[#This Row],[Fecha]],2)</f>
        <v>44</v>
      </c>
      <c r="E561" t="s">
        <v>23</v>
      </c>
      <c r="F561" t="s">
        <v>18</v>
      </c>
      <c r="G561">
        <v>2</v>
      </c>
      <c r="H561">
        <v>88997</v>
      </c>
      <c r="I561">
        <v>3863</v>
      </c>
      <c r="J561" t="s">
        <v>32</v>
      </c>
      <c r="K561" t="str">
        <f>_xlfn.XLOOKUP(datos_ventas[[#This Row],[Ciudad]],Tabla2[Ciudades],Tabla2[Provincias],"no se encuentra")</f>
        <v>Barcelona</v>
      </c>
      <c r="L561" t="str">
        <f>_xlfn.XLOOKUP(datos_ventas[[#This Row],[Provincia]],Tabla2[Provincias],Tabla2[Comunidades],"no se encuentra")</f>
        <v>Cataluña</v>
      </c>
      <c r="M561" t="s">
        <v>13</v>
      </c>
      <c r="N561">
        <v>4</v>
      </c>
    </row>
    <row r="562" spans="1:14" x14ac:dyDescent="0.25">
      <c r="A562">
        <v>1561</v>
      </c>
      <c r="B562" s="1">
        <v>45983</v>
      </c>
      <c r="C562" s="4">
        <f>MONTH(datos_ventas[[#This Row],[Fecha]])</f>
        <v>11</v>
      </c>
      <c r="D562" s="4">
        <f>WEEKNUM(datos_ventas[[#This Row],[Fecha]],2)</f>
        <v>47</v>
      </c>
      <c r="E562" t="s">
        <v>20</v>
      </c>
      <c r="F562" t="s">
        <v>21</v>
      </c>
      <c r="G562">
        <v>5</v>
      </c>
      <c r="H562">
        <v>76272</v>
      </c>
      <c r="I562">
        <v>4107</v>
      </c>
      <c r="J562" t="s">
        <v>14</v>
      </c>
      <c r="K562" t="str">
        <f>_xlfn.XLOOKUP(datos_ventas[[#This Row],[Ciudad]],Tabla2[Ciudades],Tabla2[Provincias],"no se encuentra")</f>
        <v>Madrid</v>
      </c>
      <c r="L562" t="str">
        <f>_xlfn.XLOOKUP(datos_ventas[[#This Row],[Provincia]],Tabla2[Provincias],Tabla2[Comunidades],"no se encuentra")</f>
        <v>Comunidad de Madrid</v>
      </c>
      <c r="M562" t="s">
        <v>15</v>
      </c>
      <c r="N562">
        <v>2</v>
      </c>
    </row>
    <row r="563" spans="1:14" x14ac:dyDescent="0.25">
      <c r="A563">
        <v>1562</v>
      </c>
      <c r="B563" s="1">
        <v>45740</v>
      </c>
      <c r="C563" s="4">
        <f>MONTH(datos_ventas[[#This Row],[Fecha]])</f>
        <v>3</v>
      </c>
      <c r="D563" s="4">
        <f>WEEKNUM(datos_ventas[[#This Row],[Fecha]],2)</f>
        <v>13</v>
      </c>
      <c r="E563" t="s">
        <v>23</v>
      </c>
      <c r="F563" t="s">
        <v>18</v>
      </c>
      <c r="G563">
        <v>1</v>
      </c>
      <c r="H563">
        <v>70596</v>
      </c>
      <c r="I563">
        <v>1189</v>
      </c>
      <c r="J563" t="s">
        <v>14</v>
      </c>
      <c r="K563" t="str">
        <f>_xlfn.XLOOKUP(datos_ventas[[#This Row],[Ciudad]],Tabla2[Ciudades],Tabla2[Provincias],"no se encuentra")</f>
        <v>Madrid</v>
      </c>
      <c r="L563" t="str">
        <f>_xlfn.XLOOKUP(datos_ventas[[#This Row],[Provincia]],Tabla2[Provincias],Tabla2[Comunidades],"no se encuentra")</f>
        <v>Comunidad de Madrid</v>
      </c>
      <c r="M563" t="s">
        <v>28</v>
      </c>
      <c r="N563">
        <v>3</v>
      </c>
    </row>
    <row r="564" spans="1:14" x14ac:dyDescent="0.25">
      <c r="A564">
        <v>1563</v>
      </c>
      <c r="B564" s="1">
        <v>45817</v>
      </c>
      <c r="C564" s="4">
        <f>MONTH(datos_ventas[[#This Row],[Fecha]])</f>
        <v>6</v>
      </c>
      <c r="D564" s="4">
        <f>WEEKNUM(datos_ventas[[#This Row],[Fecha]],2)</f>
        <v>24</v>
      </c>
      <c r="E564" t="s">
        <v>24</v>
      </c>
      <c r="F564" t="s">
        <v>25</v>
      </c>
      <c r="G564">
        <v>4</v>
      </c>
      <c r="H564">
        <v>86661</v>
      </c>
      <c r="I564">
        <v>4627</v>
      </c>
      <c r="J564" t="s">
        <v>31</v>
      </c>
      <c r="K564" t="str">
        <f>_xlfn.XLOOKUP(datos_ventas[[#This Row],[Ciudad]],Tabla2[Ciudades],Tabla2[Provincias],"no se encuentra")</f>
        <v>Vizcaya</v>
      </c>
      <c r="L564" t="str">
        <f>_xlfn.XLOOKUP(datos_ventas[[#This Row],[Provincia]],Tabla2[Provincias],Tabla2[Comunidades],"no se encuentra")</f>
        <v>País Vasco</v>
      </c>
      <c r="M564" t="s">
        <v>28</v>
      </c>
      <c r="N564">
        <v>5</v>
      </c>
    </row>
    <row r="565" spans="1:14" x14ac:dyDescent="0.25">
      <c r="A565">
        <v>1564</v>
      </c>
      <c r="B565" s="1">
        <v>45880</v>
      </c>
      <c r="C565" s="4">
        <f>MONTH(datos_ventas[[#This Row],[Fecha]])</f>
        <v>8</v>
      </c>
      <c r="D565" s="4">
        <f>WEEKNUM(datos_ventas[[#This Row],[Fecha]],2)</f>
        <v>33</v>
      </c>
      <c r="E565" t="s">
        <v>10</v>
      </c>
      <c r="F565" t="s">
        <v>11</v>
      </c>
      <c r="G565">
        <v>3</v>
      </c>
      <c r="H565">
        <v>108609</v>
      </c>
      <c r="I565">
        <v>3239</v>
      </c>
      <c r="J565" t="s">
        <v>12</v>
      </c>
      <c r="K565" t="str">
        <f>_xlfn.XLOOKUP(datos_ventas[[#This Row],[Ciudad]],Tabla2[Ciudades],Tabla2[Provincias],"no se encuentra")</f>
        <v>Málaga</v>
      </c>
      <c r="L565" t="str">
        <f>_xlfn.XLOOKUP(datos_ventas[[#This Row],[Provincia]],Tabla2[Provincias],Tabla2[Comunidades],"no se encuentra")</f>
        <v>Andalucía</v>
      </c>
      <c r="M565" t="s">
        <v>19</v>
      </c>
      <c r="N565">
        <v>5</v>
      </c>
    </row>
    <row r="566" spans="1:14" x14ac:dyDescent="0.25">
      <c r="A566">
        <v>1565</v>
      </c>
      <c r="B566" s="1">
        <v>45834</v>
      </c>
      <c r="C566" s="4">
        <f>MONTH(datos_ventas[[#This Row],[Fecha]])</f>
        <v>6</v>
      </c>
      <c r="D566" s="4">
        <f>WEEKNUM(datos_ventas[[#This Row],[Fecha]],2)</f>
        <v>26</v>
      </c>
      <c r="E566" t="s">
        <v>29</v>
      </c>
      <c r="F566" t="s">
        <v>30</v>
      </c>
      <c r="G566">
        <v>3</v>
      </c>
      <c r="H566">
        <v>40182</v>
      </c>
      <c r="I566">
        <v>4028</v>
      </c>
      <c r="J566" t="s">
        <v>32</v>
      </c>
      <c r="K566" t="str">
        <f>_xlfn.XLOOKUP(datos_ventas[[#This Row],[Ciudad]],Tabla2[Ciudades],Tabla2[Provincias],"no se encuentra")</f>
        <v>Barcelona</v>
      </c>
      <c r="L566" t="str">
        <f>_xlfn.XLOOKUP(datos_ventas[[#This Row],[Provincia]],Tabla2[Provincias],Tabla2[Comunidades],"no se encuentra")</f>
        <v>Cataluña</v>
      </c>
      <c r="M566" t="s">
        <v>13</v>
      </c>
      <c r="N566">
        <v>5</v>
      </c>
    </row>
    <row r="567" spans="1:14" x14ac:dyDescent="0.25">
      <c r="A567">
        <v>1566</v>
      </c>
      <c r="B567" s="1">
        <v>45934</v>
      </c>
      <c r="C567" s="4">
        <f>MONTH(datos_ventas[[#This Row],[Fecha]])</f>
        <v>10</v>
      </c>
      <c r="D567" s="4">
        <f>WEEKNUM(datos_ventas[[#This Row],[Fecha]],2)</f>
        <v>40</v>
      </c>
      <c r="E567" t="s">
        <v>17</v>
      </c>
      <c r="F567" t="s">
        <v>18</v>
      </c>
      <c r="G567">
        <v>2</v>
      </c>
      <c r="H567">
        <v>7492</v>
      </c>
      <c r="I567">
        <v>4612</v>
      </c>
      <c r="J567" t="s">
        <v>14</v>
      </c>
      <c r="K567" t="str">
        <f>_xlfn.XLOOKUP(datos_ventas[[#This Row],[Ciudad]],Tabla2[Ciudades],Tabla2[Provincias],"no se encuentra")</f>
        <v>Madrid</v>
      </c>
      <c r="L567" t="str">
        <f>_xlfn.XLOOKUP(datos_ventas[[#This Row],[Provincia]],Tabla2[Provincias],Tabla2[Comunidades],"no se encuentra")</f>
        <v>Comunidad de Madrid</v>
      </c>
      <c r="M567" t="s">
        <v>13</v>
      </c>
      <c r="N567">
        <v>5</v>
      </c>
    </row>
    <row r="568" spans="1:14" x14ac:dyDescent="0.25">
      <c r="A568">
        <v>1567</v>
      </c>
      <c r="B568" s="1">
        <v>45706</v>
      </c>
      <c r="C568" s="4">
        <f>MONTH(datos_ventas[[#This Row],[Fecha]])</f>
        <v>2</v>
      </c>
      <c r="D568" s="4">
        <f>WEEKNUM(datos_ventas[[#This Row],[Fecha]],2)</f>
        <v>8</v>
      </c>
      <c r="E568" t="s">
        <v>26</v>
      </c>
      <c r="F568" t="s">
        <v>18</v>
      </c>
      <c r="G568">
        <v>4</v>
      </c>
      <c r="H568">
        <v>90728</v>
      </c>
      <c r="I568">
        <v>4192</v>
      </c>
      <c r="J568" t="s">
        <v>32</v>
      </c>
      <c r="K568" t="str">
        <f>_xlfn.XLOOKUP(datos_ventas[[#This Row],[Ciudad]],Tabla2[Ciudades],Tabla2[Provincias],"no se encuentra")</f>
        <v>Barcelona</v>
      </c>
      <c r="L568" t="str">
        <f>_xlfn.XLOOKUP(datos_ventas[[#This Row],[Provincia]],Tabla2[Provincias],Tabla2[Comunidades],"no se encuentra")</f>
        <v>Cataluña</v>
      </c>
      <c r="M568" t="s">
        <v>28</v>
      </c>
      <c r="N568">
        <v>1</v>
      </c>
    </row>
    <row r="569" spans="1:14" x14ac:dyDescent="0.25">
      <c r="A569">
        <v>1568</v>
      </c>
      <c r="B569" s="1">
        <v>45682</v>
      </c>
      <c r="C569" s="4">
        <f>MONTH(datos_ventas[[#This Row],[Fecha]])</f>
        <v>1</v>
      </c>
      <c r="D569" s="4">
        <f>WEEKNUM(datos_ventas[[#This Row],[Fecha]],2)</f>
        <v>4</v>
      </c>
      <c r="E569" t="s">
        <v>17</v>
      </c>
      <c r="F569" t="s">
        <v>18</v>
      </c>
      <c r="G569">
        <v>3</v>
      </c>
      <c r="H569">
        <v>102143</v>
      </c>
      <c r="I569">
        <v>1986</v>
      </c>
      <c r="J569" t="s">
        <v>27</v>
      </c>
      <c r="K569" t="str">
        <f>_xlfn.XLOOKUP(datos_ventas[[#This Row],[Ciudad]],Tabla2[Ciudades],Tabla2[Provincias],"no se encuentra")</f>
        <v>Sevilla</v>
      </c>
      <c r="L569" t="str">
        <f>_xlfn.XLOOKUP(datos_ventas[[#This Row],[Provincia]],Tabla2[Provincias],Tabla2[Comunidades],"no se encuentra")</f>
        <v>Andalucía</v>
      </c>
      <c r="M569" t="s">
        <v>19</v>
      </c>
      <c r="N569">
        <v>2</v>
      </c>
    </row>
    <row r="570" spans="1:14" x14ac:dyDescent="0.25">
      <c r="A570">
        <v>1569</v>
      </c>
      <c r="B570" s="1">
        <v>46014</v>
      </c>
      <c r="C570" s="4">
        <f>MONTH(datos_ventas[[#This Row],[Fecha]])</f>
        <v>12</v>
      </c>
      <c r="D570" s="4">
        <f>WEEKNUM(datos_ventas[[#This Row],[Fecha]],2)</f>
        <v>52</v>
      </c>
      <c r="E570" t="s">
        <v>20</v>
      </c>
      <c r="F570" t="s">
        <v>21</v>
      </c>
      <c r="G570">
        <v>3</v>
      </c>
      <c r="H570">
        <v>91342</v>
      </c>
      <c r="I570">
        <v>4949</v>
      </c>
      <c r="J570" t="s">
        <v>22</v>
      </c>
      <c r="K570" t="str">
        <f>_xlfn.XLOOKUP(datos_ventas[[#This Row],[Ciudad]],Tabla2[Ciudades],Tabla2[Provincias],"no se encuentra")</f>
        <v>Valencia</v>
      </c>
      <c r="L570" t="str">
        <f>_xlfn.XLOOKUP(datos_ventas[[#This Row],[Provincia]],Tabla2[Provincias],Tabla2[Comunidades],"no se encuentra")</f>
        <v>Comunidad Valenciana</v>
      </c>
      <c r="M570" t="s">
        <v>28</v>
      </c>
      <c r="N570">
        <v>1</v>
      </c>
    </row>
    <row r="571" spans="1:14" x14ac:dyDescent="0.25">
      <c r="A571">
        <v>1570</v>
      </c>
      <c r="B571" s="1">
        <v>45705</v>
      </c>
      <c r="C571" s="4">
        <f>MONTH(datos_ventas[[#This Row],[Fecha]])</f>
        <v>2</v>
      </c>
      <c r="D571" s="4">
        <f>WEEKNUM(datos_ventas[[#This Row],[Fecha]],2)</f>
        <v>8</v>
      </c>
      <c r="E571" t="s">
        <v>20</v>
      </c>
      <c r="F571" t="s">
        <v>21</v>
      </c>
      <c r="G571">
        <v>1</v>
      </c>
      <c r="H571">
        <v>70788</v>
      </c>
      <c r="I571">
        <v>349</v>
      </c>
      <c r="J571" t="s">
        <v>27</v>
      </c>
      <c r="K571" t="str">
        <f>_xlfn.XLOOKUP(datos_ventas[[#This Row],[Ciudad]],Tabla2[Ciudades],Tabla2[Provincias],"no se encuentra")</f>
        <v>Sevilla</v>
      </c>
      <c r="L571" t="str">
        <f>_xlfn.XLOOKUP(datos_ventas[[#This Row],[Provincia]],Tabla2[Provincias],Tabla2[Comunidades],"no se encuentra")</f>
        <v>Andalucía</v>
      </c>
      <c r="M571" t="s">
        <v>19</v>
      </c>
      <c r="N571">
        <v>1</v>
      </c>
    </row>
    <row r="572" spans="1:14" x14ac:dyDescent="0.25">
      <c r="A572">
        <v>1571</v>
      </c>
      <c r="B572" s="1">
        <v>45951</v>
      </c>
      <c r="C572" s="4">
        <f>MONTH(datos_ventas[[#This Row],[Fecha]])</f>
        <v>10</v>
      </c>
      <c r="D572" s="4">
        <f>WEEKNUM(datos_ventas[[#This Row],[Fecha]],2)</f>
        <v>43</v>
      </c>
      <c r="E572" t="s">
        <v>29</v>
      </c>
      <c r="F572" t="s">
        <v>30</v>
      </c>
      <c r="G572">
        <v>4</v>
      </c>
      <c r="H572">
        <v>71796</v>
      </c>
      <c r="I572">
        <v>103</v>
      </c>
      <c r="J572" t="s">
        <v>31</v>
      </c>
      <c r="K572" t="str">
        <f>_xlfn.XLOOKUP(datos_ventas[[#This Row],[Ciudad]],Tabla2[Ciudades],Tabla2[Provincias],"no se encuentra")</f>
        <v>Vizcaya</v>
      </c>
      <c r="L572" t="str">
        <f>_xlfn.XLOOKUP(datos_ventas[[#This Row],[Provincia]],Tabla2[Provincias],Tabla2[Comunidades],"no se encuentra")</f>
        <v>País Vasco</v>
      </c>
      <c r="M572" t="s">
        <v>19</v>
      </c>
      <c r="N572">
        <v>2</v>
      </c>
    </row>
    <row r="573" spans="1:14" x14ac:dyDescent="0.25">
      <c r="A573">
        <v>1572</v>
      </c>
      <c r="B573" s="1">
        <v>45948</v>
      </c>
      <c r="C573" s="4">
        <f>MONTH(datos_ventas[[#This Row],[Fecha]])</f>
        <v>10</v>
      </c>
      <c r="D573" s="4">
        <f>WEEKNUM(datos_ventas[[#This Row],[Fecha]],2)</f>
        <v>42</v>
      </c>
      <c r="E573" t="s">
        <v>20</v>
      </c>
      <c r="F573" t="s">
        <v>21</v>
      </c>
      <c r="G573">
        <v>3</v>
      </c>
      <c r="H573">
        <v>111961</v>
      </c>
      <c r="I573">
        <v>1625</v>
      </c>
      <c r="J573" t="s">
        <v>27</v>
      </c>
      <c r="K573" t="str">
        <f>_xlfn.XLOOKUP(datos_ventas[[#This Row],[Ciudad]],Tabla2[Ciudades],Tabla2[Provincias],"no se encuentra")</f>
        <v>Sevilla</v>
      </c>
      <c r="L573" t="str">
        <f>_xlfn.XLOOKUP(datos_ventas[[#This Row],[Provincia]],Tabla2[Provincias],Tabla2[Comunidades],"no se encuentra")</f>
        <v>Andalucía</v>
      </c>
      <c r="M573" t="s">
        <v>19</v>
      </c>
      <c r="N573">
        <v>3</v>
      </c>
    </row>
    <row r="574" spans="1:14" x14ac:dyDescent="0.25">
      <c r="A574">
        <v>1573</v>
      </c>
      <c r="B574" s="1">
        <v>45862</v>
      </c>
      <c r="C574" s="4">
        <f>MONTH(datos_ventas[[#This Row],[Fecha]])</f>
        <v>7</v>
      </c>
      <c r="D574" s="4">
        <f>WEEKNUM(datos_ventas[[#This Row],[Fecha]],2)</f>
        <v>30</v>
      </c>
      <c r="E574" t="s">
        <v>16</v>
      </c>
      <c r="F574" t="s">
        <v>11</v>
      </c>
      <c r="G574">
        <v>2</v>
      </c>
      <c r="H574">
        <v>58072</v>
      </c>
      <c r="I574">
        <v>3153</v>
      </c>
      <c r="J574" t="s">
        <v>31</v>
      </c>
      <c r="K574" t="str">
        <f>_xlfn.XLOOKUP(datos_ventas[[#This Row],[Ciudad]],Tabla2[Ciudades],Tabla2[Provincias],"no se encuentra")</f>
        <v>Vizcaya</v>
      </c>
      <c r="L574" t="str">
        <f>_xlfn.XLOOKUP(datos_ventas[[#This Row],[Provincia]],Tabla2[Provincias],Tabla2[Comunidades],"no se encuentra")</f>
        <v>País Vasco</v>
      </c>
      <c r="M574" t="s">
        <v>15</v>
      </c>
      <c r="N574">
        <v>5</v>
      </c>
    </row>
    <row r="575" spans="1:14" x14ac:dyDescent="0.25">
      <c r="A575">
        <v>1574</v>
      </c>
      <c r="B575" s="1">
        <v>46012</v>
      </c>
      <c r="C575" s="4">
        <f>MONTH(datos_ventas[[#This Row],[Fecha]])</f>
        <v>12</v>
      </c>
      <c r="D575" s="4">
        <f>WEEKNUM(datos_ventas[[#This Row],[Fecha]],2)</f>
        <v>51</v>
      </c>
      <c r="E575" t="s">
        <v>20</v>
      </c>
      <c r="F575" t="s">
        <v>21</v>
      </c>
      <c r="G575">
        <v>3</v>
      </c>
      <c r="H575">
        <v>60694</v>
      </c>
      <c r="I575">
        <v>1652</v>
      </c>
      <c r="J575" t="s">
        <v>31</v>
      </c>
      <c r="K575" t="str">
        <f>_xlfn.XLOOKUP(datos_ventas[[#This Row],[Ciudad]],Tabla2[Ciudades],Tabla2[Provincias],"no se encuentra")</f>
        <v>Vizcaya</v>
      </c>
      <c r="L575" t="str">
        <f>_xlfn.XLOOKUP(datos_ventas[[#This Row],[Provincia]],Tabla2[Provincias],Tabla2[Comunidades],"no se encuentra")</f>
        <v>País Vasco</v>
      </c>
      <c r="M575" t="s">
        <v>19</v>
      </c>
      <c r="N575">
        <v>2</v>
      </c>
    </row>
    <row r="576" spans="1:14" x14ac:dyDescent="0.25">
      <c r="A576">
        <v>1575</v>
      </c>
      <c r="B576" s="1">
        <v>45701</v>
      </c>
      <c r="C576" s="4">
        <f>MONTH(datos_ventas[[#This Row],[Fecha]])</f>
        <v>2</v>
      </c>
      <c r="D576" s="4">
        <f>WEEKNUM(datos_ventas[[#This Row],[Fecha]],2)</f>
        <v>7</v>
      </c>
      <c r="E576" t="s">
        <v>23</v>
      </c>
      <c r="F576" t="s">
        <v>18</v>
      </c>
      <c r="G576">
        <v>4</v>
      </c>
      <c r="H576">
        <v>98857</v>
      </c>
      <c r="I576">
        <v>2696</v>
      </c>
      <c r="J576" t="s">
        <v>12</v>
      </c>
      <c r="K576" t="str">
        <f>_xlfn.XLOOKUP(datos_ventas[[#This Row],[Ciudad]],Tabla2[Ciudades],Tabla2[Provincias],"no se encuentra")</f>
        <v>Málaga</v>
      </c>
      <c r="L576" t="str">
        <f>_xlfn.XLOOKUP(datos_ventas[[#This Row],[Provincia]],Tabla2[Provincias],Tabla2[Comunidades],"no se encuentra")</f>
        <v>Andalucía</v>
      </c>
      <c r="M576" t="s">
        <v>15</v>
      </c>
      <c r="N576">
        <v>2</v>
      </c>
    </row>
    <row r="577" spans="1:14" x14ac:dyDescent="0.25">
      <c r="A577">
        <v>1576</v>
      </c>
      <c r="B577" s="1">
        <v>45763</v>
      </c>
      <c r="C577" s="4">
        <f>MONTH(datos_ventas[[#This Row],[Fecha]])</f>
        <v>4</v>
      </c>
      <c r="D577" s="4">
        <f>WEEKNUM(datos_ventas[[#This Row],[Fecha]],2)</f>
        <v>16</v>
      </c>
      <c r="E577" t="s">
        <v>17</v>
      </c>
      <c r="F577" t="s">
        <v>18</v>
      </c>
      <c r="G577">
        <v>1</v>
      </c>
      <c r="H577">
        <v>19581</v>
      </c>
      <c r="I577">
        <v>4682</v>
      </c>
      <c r="J577" t="s">
        <v>14</v>
      </c>
      <c r="K577" t="str">
        <f>_xlfn.XLOOKUP(datos_ventas[[#This Row],[Ciudad]],Tabla2[Ciudades],Tabla2[Provincias],"no se encuentra")</f>
        <v>Madrid</v>
      </c>
      <c r="L577" t="str">
        <f>_xlfn.XLOOKUP(datos_ventas[[#This Row],[Provincia]],Tabla2[Provincias],Tabla2[Comunidades],"no se encuentra")</f>
        <v>Comunidad de Madrid</v>
      </c>
      <c r="M577" t="s">
        <v>15</v>
      </c>
      <c r="N577">
        <v>4</v>
      </c>
    </row>
    <row r="578" spans="1:14" x14ac:dyDescent="0.25">
      <c r="A578">
        <v>1577</v>
      </c>
      <c r="B578" s="1">
        <v>45784</v>
      </c>
      <c r="C578" s="4">
        <f>MONTH(datos_ventas[[#This Row],[Fecha]])</f>
        <v>5</v>
      </c>
      <c r="D578" s="4">
        <f>WEEKNUM(datos_ventas[[#This Row],[Fecha]],2)</f>
        <v>19</v>
      </c>
      <c r="E578" t="s">
        <v>23</v>
      </c>
      <c r="F578" t="s">
        <v>18</v>
      </c>
      <c r="G578">
        <v>5</v>
      </c>
      <c r="H578">
        <v>36929</v>
      </c>
      <c r="I578">
        <v>4852</v>
      </c>
      <c r="J578" t="s">
        <v>14</v>
      </c>
      <c r="K578" t="str">
        <f>_xlfn.XLOOKUP(datos_ventas[[#This Row],[Ciudad]],Tabla2[Ciudades],Tabla2[Provincias],"no se encuentra")</f>
        <v>Madrid</v>
      </c>
      <c r="L578" t="str">
        <f>_xlfn.XLOOKUP(datos_ventas[[#This Row],[Provincia]],Tabla2[Provincias],Tabla2[Comunidades],"no se encuentra")</f>
        <v>Comunidad de Madrid</v>
      </c>
      <c r="M578" t="s">
        <v>13</v>
      </c>
      <c r="N578">
        <v>4</v>
      </c>
    </row>
    <row r="579" spans="1:14" x14ac:dyDescent="0.25">
      <c r="A579">
        <v>1578</v>
      </c>
      <c r="B579" s="1">
        <v>45717</v>
      </c>
      <c r="C579" s="4">
        <f>MONTH(datos_ventas[[#This Row],[Fecha]])</f>
        <v>3</v>
      </c>
      <c r="D579" s="4">
        <f>WEEKNUM(datos_ventas[[#This Row],[Fecha]],2)</f>
        <v>9</v>
      </c>
      <c r="E579" t="s">
        <v>20</v>
      </c>
      <c r="F579" t="s">
        <v>21</v>
      </c>
      <c r="G579">
        <v>3</v>
      </c>
      <c r="H579">
        <v>27711</v>
      </c>
      <c r="I579">
        <v>1493</v>
      </c>
      <c r="J579" t="s">
        <v>32</v>
      </c>
      <c r="K579" t="str">
        <f>_xlfn.XLOOKUP(datos_ventas[[#This Row],[Ciudad]],Tabla2[Ciudades],Tabla2[Provincias],"no se encuentra")</f>
        <v>Barcelona</v>
      </c>
      <c r="L579" t="str">
        <f>_xlfn.XLOOKUP(datos_ventas[[#This Row],[Provincia]],Tabla2[Provincias],Tabla2[Comunidades],"no se encuentra")</f>
        <v>Cataluña</v>
      </c>
      <c r="M579" t="s">
        <v>13</v>
      </c>
      <c r="N579">
        <v>1</v>
      </c>
    </row>
    <row r="580" spans="1:14" x14ac:dyDescent="0.25">
      <c r="A580">
        <v>1579</v>
      </c>
      <c r="B580" s="1">
        <v>45851</v>
      </c>
      <c r="C580" s="4">
        <f>MONTH(datos_ventas[[#This Row],[Fecha]])</f>
        <v>7</v>
      </c>
      <c r="D580" s="4">
        <f>WEEKNUM(datos_ventas[[#This Row],[Fecha]],2)</f>
        <v>28</v>
      </c>
      <c r="E580" t="s">
        <v>23</v>
      </c>
      <c r="F580" t="s">
        <v>18</v>
      </c>
      <c r="G580">
        <v>2</v>
      </c>
      <c r="H580">
        <v>78399</v>
      </c>
      <c r="I580">
        <v>4216</v>
      </c>
      <c r="J580" t="s">
        <v>32</v>
      </c>
      <c r="K580" t="str">
        <f>_xlfn.XLOOKUP(datos_ventas[[#This Row],[Ciudad]],Tabla2[Ciudades],Tabla2[Provincias],"no se encuentra")</f>
        <v>Barcelona</v>
      </c>
      <c r="L580" t="str">
        <f>_xlfn.XLOOKUP(datos_ventas[[#This Row],[Provincia]],Tabla2[Provincias],Tabla2[Comunidades],"no se encuentra")</f>
        <v>Cataluña</v>
      </c>
      <c r="M580" t="s">
        <v>19</v>
      </c>
      <c r="N580">
        <v>3</v>
      </c>
    </row>
    <row r="581" spans="1:14" x14ac:dyDescent="0.25">
      <c r="A581">
        <v>1580</v>
      </c>
      <c r="B581" s="1">
        <v>46022</v>
      </c>
      <c r="C581" s="4">
        <f>MONTH(datos_ventas[[#This Row],[Fecha]])</f>
        <v>12</v>
      </c>
      <c r="D581" s="4">
        <f>WEEKNUM(datos_ventas[[#This Row],[Fecha]],2)</f>
        <v>53</v>
      </c>
      <c r="E581" t="s">
        <v>29</v>
      </c>
      <c r="F581" t="s">
        <v>30</v>
      </c>
      <c r="G581">
        <v>4</v>
      </c>
      <c r="H581">
        <v>49065</v>
      </c>
      <c r="I581">
        <v>3055</v>
      </c>
      <c r="J581" t="s">
        <v>22</v>
      </c>
      <c r="K581" t="str">
        <f>_xlfn.XLOOKUP(datos_ventas[[#This Row],[Ciudad]],Tabla2[Ciudades],Tabla2[Provincias],"no se encuentra")</f>
        <v>Valencia</v>
      </c>
      <c r="L581" t="str">
        <f>_xlfn.XLOOKUP(datos_ventas[[#This Row],[Provincia]],Tabla2[Provincias],Tabla2[Comunidades],"no se encuentra")</f>
        <v>Comunidad Valenciana</v>
      </c>
      <c r="M581" t="s">
        <v>15</v>
      </c>
      <c r="N581">
        <v>1</v>
      </c>
    </row>
    <row r="582" spans="1:14" x14ac:dyDescent="0.25">
      <c r="A582">
        <v>1581</v>
      </c>
      <c r="B582" s="1">
        <v>45696</v>
      </c>
      <c r="C582" s="4">
        <f>MONTH(datos_ventas[[#This Row],[Fecha]])</f>
        <v>2</v>
      </c>
      <c r="D582" s="4">
        <f>WEEKNUM(datos_ventas[[#This Row],[Fecha]],2)</f>
        <v>6</v>
      </c>
      <c r="E582" t="s">
        <v>10</v>
      </c>
      <c r="F582" t="s">
        <v>11</v>
      </c>
      <c r="G582">
        <v>3</v>
      </c>
      <c r="H582">
        <v>91686</v>
      </c>
      <c r="I582">
        <v>652</v>
      </c>
      <c r="J582" t="s">
        <v>32</v>
      </c>
      <c r="K582" t="str">
        <f>_xlfn.XLOOKUP(datos_ventas[[#This Row],[Ciudad]],Tabla2[Ciudades],Tabla2[Provincias],"no se encuentra")</f>
        <v>Barcelona</v>
      </c>
      <c r="L582" t="str">
        <f>_xlfn.XLOOKUP(datos_ventas[[#This Row],[Provincia]],Tabla2[Provincias],Tabla2[Comunidades],"no se encuentra")</f>
        <v>Cataluña</v>
      </c>
      <c r="M582" t="s">
        <v>19</v>
      </c>
      <c r="N582">
        <v>2</v>
      </c>
    </row>
    <row r="583" spans="1:14" x14ac:dyDescent="0.25">
      <c r="A583">
        <v>1582</v>
      </c>
      <c r="B583" s="1">
        <v>45926</v>
      </c>
      <c r="C583" s="4">
        <f>MONTH(datos_ventas[[#This Row],[Fecha]])</f>
        <v>9</v>
      </c>
      <c r="D583" s="4">
        <f>WEEKNUM(datos_ventas[[#This Row],[Fecha]],2)</f>
        <v>39</v>
      </c>
      <c r="E583" t="s">
        <v>20</v>
      </c>
      <c r="F583" t="s">
        <v>21</v>
      </c>
      <c r="G583">
        <v>5</v>
      </c>
      <c r="H583">
        <v>3419</v>
      </c>
      <c r="I583">
        <v>3667</v>
      </c>
      <c r="J583" t="s">
        <v>27</v>
      </c>
      <c r="K583" t="str">
        <f>_xlfn.XLOOKUP(datos_ventas[[#This Row],[Ciudad]],Tabla2[Ciudades],Tabla2[Provincias],"no se encuentra")</f>
        <v>Sevilla</v>
      </c>
      <c r="L583" t="str">
        <f>_xlfn.XLOOKUP(datos_ventas[[#This Row],[Provincia]],Tabla2[Provincias],Tabla2[Comunidades],"no se encuentra")</f>
        <v>Andalucía</v>
      </c>
      <c r="M583" t="s">
        <v>15</v>
      </c>
      <c r="N583">
        <v>1</v>
      </c>
    </row>
    <row r="584" spans="1:14" x14ac:dyDescent="0.25">
      <c r="A584">
        <v>1583</v>
      </c>
      <c r="B584" s="1">
        <v>45933</v>
      </c>
      <c r="C584" s="4">
        <f>MONTH(datos_ventas[[#This Row],[Fecha]])</f>
        <v>10</v>
      </c>
      <c r="D584" s="4">
        <f>WEEKNUM(datos_ventas[[#This Row],[Fecha]],2)</f>
        <v>40</v>
      </c>
      <c r="E584" t="s">
        <v>17</v>
      </c>
      <c r="F584" t="s">
        <v>18</v>
      </c>
      <c r="G584">
        <v>4</v>
      </c>
      <c r="H584">
        <v>76191</v>
      </c>
      <c r="I584">
        <v>2592</v>
      </c>
      <c r="J584" t="s">
        <v>22</v>
      </c>
      <c r="K584" t="str">
        <f>_xlfn.XLOOKUP(datos_ventas[[#This Row],[Ciudad]],Tabla2[Ciudades],Tabla2[Provincias],"no se encuentra")</f>
        <v>Valencia</v>
      </c>
      <c r="L584" t="str">
        <f>_xlfn.XLOOKUP(datos_ventas[[#This Row],[Provincia]],Tabla2[Provincias],Tabla2[Comunidades],"no se encuentra")</f>
        <v>Comunidad Valenciana</v>
      </c>
      <c r="M584" t="s">
        <v>19</v>
      </c>
      <c r="N584">
        <v>3</v>
      </c>
    </row>
    <row r="585" spans="1:14" x14ac:dyDescent="0.25">
      <c r="A585">
        <v>1584</v>
      </c>
      <c r="B585" s="1">
        <v>45659</v>
      </c>
      <c r="C585" s="4">
        <f>MONTH(datos_ventas[[#This Row],[Fecha]])</f>
        <v>1</v>
      </c>
      <c r="D585" s="4">
        <f>WEEKNUM(datos_ventas[[#This Row],[Fecha]],2)</f>
        <v>1</v>
      </c>
      <c r="E585" t="s">
        <v>26</v>
      </c>
      <c r="F585" t="s">
        <v>18</v>
      </c>
      <c r="G585">
        <v>4</v>
      </c>
      <c r="H585">
        <v>7118</v>
      </c>
      <c r="I585">
        <v>1299</v>
      </c>
      <c r="J585" t="s">
        <v>32</v>
      </c>
      <c r="K585" t="str">
        <f>_xlfn.XLOOKUP(datos_ventas[[#This Row],[Ciudad]],Tabla2[Ciudades],Tabla2[Provincias],"no se encuentra")</f>
        <v>Barcelona</v>
      </c>
      <c r="L585" t="str">
        <f>_xlfn.XLOOKUP(datos_ventas[[#This Row],[Provincia]],Tabla2[Provincias],Tabla2[Comunidades],"no se encuentra")</f>
        <v>Cataluña</v>
      </c>
      <c r="M585" t="s">
        <v>19</v>
      </c>
      <c r="N585">
        <v>5</v>
      </c>
    </row>
    <row r="586" spans="1:14" x14ac:dyDescent="0.25">
      <c r="A586">
        <v>1585</v>
      </c>
      <c r="B586" s="1">
        <v>45946</v>
      </c>
      <c r="C586" s="4">
        <f>MONTH(datos_ventas[[#This Row],[Fecha]])</f>
        <v>10</v>
      </c>
      <c r="D586" s="4">
        <f>WEEKNUM(datos_ventas[[#This Row],[Fecha]],2)</f>
        <v>42</v>
      </c>
      <c r="E586" t="s">
        <v>20</v>
      </c>
      <c r="F586" t="s">
        <v>21</v>
      </c>
      <c r="G586">
        <v>2</v>
      </c>
      <c r="H586">
        <v>119441</v>
      </c>
      <c r="I586">
        <v>3058</v>
      </c>
      <c r="J586" t="s">
        <v>14</v>
      </c>
      <c r="K586" t="str">
        <f>_xlfn.XLOOKUP(datos_ventas[[#This Row],[Ciudad]],Tabla2[Ciudades],Tabla2[Provincias],"no se encuentra")</f>
        <v>Madrid</v>
      </c>
      <c r="L586" t="str">
        <f>_xlfn.XLOOKUP(datos_ventas[[#This Row],[Provincia]],Tabla2[Provincias],Tabla2[Comunidades],"no se encuentra")</f>
        <v>Comunidad de Madrid</v>
      </c>
      <c r="M586" t="s">
        <v>19</v>
      </c>
      <c r="N586">
        <v>4</v>
      </c>
    </row>
    <row r="587" spans="1:14" x14ac:dyDescent="0.25">
      <c r="A587">
        <v>1586</v>
      </c>
      <c r="B587" s="1">
        <v>45880</v>
      </c>
      <c r="C587" s="4">
        <f>MONTH(datos_ventas[[#This Row],[Fecha]])</f>
        <v>8</v>
      </c>
      <c r="D587" s="4">
        <f>WEEKNUM(datos_ventas[[#This Row],[Fecha]],2)</f>
        <v>33</v>
      </c>
      <c r="E587" t="s">
        <v>10</v>
      </c>
      <c r="F587" t="s">
        <v>11</v>
      </c>
      <c r="G587">
        <v>5</v>
      </c>
      <c r="H587">
        <v>6240</v>
      </c>
      <c r="I587">
        <v>1523</v>
      </c>
      <c r="J587" t="s">
        <v>14</v>
      </c>
      <c r="K587" t="str">
        <f>_xlfn.XLOOKUP(datos_ventas[[#This Row],[Ciudad]],Tabla2[Ciudades],Tabla2[Provincias],"no se encuentra")</f>
        <v>Madrid</v>
      </c>
      <c r="L587" t="str">
        <f>_xlfn.XLOOKUP(datos_ventas[[#This Row],[Provincia]],Tabla2[Provincias],Tabla2[Comunidades],"no se encuentra")</f>
        <v>Comunidad de Madrid</v>
      </c>
      <c r="M587" t="s">
        <v>13</v>
      </c>
      <c r="N587">
        <v>2</v>
      </c>
    </row>
    <row r="588" spans="1:14" x14ac:dyDescent="0.25">
      <c r="A588">
        <v>1587</v>
      </c>
      <c r="B588" s="1">
        <v>45961</v>
      </c>
      <c r="C588" s="4">
        <f>MONTH(datos_ventas[[#This Row],[Fecha]])</f>
        <v>10</v>
      </c>
      <c r="D588" s="4">
        <f>WEEKNUM(datos_ventas[[#This Row],[Fecha]],2)</f>
        <v>44</v>
      </c>
      <c r="E588" t="s">
        <v>20</v>
      </c>
      <c r="F588" t="s">
        <v>21</v>
      </c>
      <c r="G588">
        <v>5</v>
      </c>
      <c r="H588">
        <v>39162</v>
      </c>
      <c r="I588">
        <v>4131</v>
      </c>
      <c r="J588" t="s">
        <v>14</v>
      </c>
      <c r="K588" t="str">
        <f>_xlfn.XLOOKUP(datos_ventas[[#This Row],[Ciudad]],Tabla2[Ciudades],Tabla2[Provincias],"no se encuentra")</f>
        <v>Madrid</v>
      </c>
      <c r="L588" t="str">
        <f>_xlfn.XLOOKUP(datos_ventas[[#This Row],[Provincia]],Tabla2[Provincias],Tabla2[Comunidades],"no se encuentra")</f>
        <v>Comunidad de Madrid</v>
      </c>
      <c r="M588" t="s">
        <v>13</v>
      </c>
      <c r="N588">
        <v>5</v>
      </c>
    </row>
    <row r="589" spans="1:14" x14ac:dyDescent="0.25">
      <c r="A589">
        <v>1588</v>
      </c>
      <c r="B589" s="1">
        <v>46005</v>
      </c>
      <c r="C589" s="4">
        <f>MONTH(datos_ventas[[#This Row],[Fecha]])</f>
        <v>12</v>
      </c>
      <c r="D589" s="4">
        <f>WEEKNUM(datos_ventas[[#This Row],[Fecha]],2)</f>
        <v>50</v>
      </c>
      <c r="E589" t="s">
        <v>24</v>
      </c>
      <c r="F589" t="s">
        <v>25</v>
      </c>
      <c r="G589">
        <v>1</v>
      </c>
      <c r="H589">
        <v>10623</v>
      </c>
      <c r="I589">
        <v>2263</v>
      </c>
      <c r="J589" t="s">
        <v>31</v>
      </c>
      <c r="K589" t="str">
        <f>_xlfn.XLOOKUP(datos_ventas[[#This Row],[Ciudad]],Tabla2[Ciudades],Tabla2[Provincias],"no se encuentra")</f>
        <v>Vizcaya</v>
      </c>
      <c r="L589" t="str">
        <f>_xlfn.XLOOKUP(datos_ventas[[#This Row],[Provincia]],Tabla2[Provincias],Tabla2[Comunidades],"no se encuentra")</f>
        <v>País Vasco</v>
      </c>
      <c r="M589" t="s">
        <v>28</v>
      </c>
      <c r="N589">
        <v>5</v>
      </c>
    </row>
    <row r="590" spans="1:14" x14ac:dyDescent="0.25">
      <c r="A590">
        <v>1589</v>
      </c>
      <c r="B590" s="1">
        <v>45693</v>
      </c>
      <c r="C590" s="4">
        <f>MONTH(datos_ventas[[#This Row],[Fecha]])</f>
        <v>2</v>
      </c>
      <c r="D590" s="4">
        <f>WEEKNUM(datos_ventas[[#This Row],[Fecha]],2)</f>
        <v>6</v>
      </c>
      <c r="E590" t="s">
        <v>29</v>
      </c>
      <c r="F590" t="s">
        <v>30</v>
      </c>
      <c r="G590">
        <v>1</v>
      </c>
      <c r="H590">
        <v>9699</v>
      </c>
      <c r="I590">
        <v>495</v>
      </c>
      <c r="J590" t="s">
        <v>32</v>
      </c>
      <c r="K590" t="str">
        <f>_xlfn.XLOOKUP(datos_ventas[[#This Row],[Ciudad]],Tabla2[Ciudades],Tabla2[Provincias],"no se encuentra")</f>
        <v>Barcelona</v>
      </c>
      <c r="L590" t="str">
        <f>_xlfn.XLOOKUP(datos_ventas[[#This Row],[Provincia]],Tabla2[Provincias],Tabla2[Comunidades],"no se encuentra")</f>
        <v>Cataluña</v>
      </c>
      <c r="M590" t="s">
        <v>19</v>
      </c>
      <c r="N590">
        <v>2</v>
      </c>
    </row>
    <row r="591" spans="1:14" x14ac:dyDescent="0.25">
      <c r="A591">
        <v>1590</v>
      </c>
      <c r="B591" s="1">
        <v>46021</v>
      </c>
      <c r="C591" s="4">
        <f>MONTH(datos_ventas[[#This Row],[Fecha]])</f>
        <v>12</v>
      </c>
      <c r="D591" s="4">
        <f>WEEKNUM(datos_ventas[[#This Row],[Fecha]],2)</f>
        <v>53</v>
      </c>
      <c r="E591" t="s">
        <v>16</v>
      </c>
      <c r="F591" t="s">
        <v>11</v>
      </c>
      <c r="G591">
        <v>2</v>
      </c>
      <c r="H591">
        <v>31605</v>
      </c>
      <c r="I591">
        <v>1414</v>
      </c>
      <c r="J591" t="s">
        <v>32</v>
      </c>
      <c r="K591" t="str">
        <f>_xlfn.XLOOKUP(datos_ventas[[#This Row],[Ciudad]],Tabla2[Ciudades],Tabla2[Provincias],"no se encuentra")</f>
        <v>Barcelona</v>
      </c>
      <c r="L591" t="str">
        <f>_xlfn.XLOOKUP(datos_ventas[[#This Row],[Provincia]],Tabla2[Provincias],Tabla2[Comunidades],"no se encuentra")</f>
        <v>Cataluña</v>
      </c>
      <c r="M591" t="s">
        <v>28</v>
      </c>
      <c r="N591">
        <v>5</v>
      </c>
    </row>
    <row r="592" spans="1:14" x14ac:dyDescent="0.25">
      <c r="A592">
        <v>1591</v>
      </c>
      <c r="B592" s="1">
        <v>46002</v>
      </c>
      <c r="C592" s="4">
        <f>MONTH(datos_ventas[[#This Row],[Fecha]])</f>
        <v>12</v>
      </c>
      <c r="D592" s="4">
        <f>WEEKNUM(datos_ventas[[#This Row],[Fecha]],2)</f>
        <v>50</v>
      </c>
      <c r="E592" t="s">
        <v>23</v>
      </c>
      <c r="F592" t="s">
        <v>18</v>
      </c>
      <c r="G592">
        <v>1</v>
      </c>
      <c r="H592">
        <v>68028</v>
      </c>
      <c r="I592">
        <v>3899</v>
      </c>
      <c r="J592" t="s">
        <v>12</v>
      </c>
      <c r="K592" t="str">
        <f>_xlfn.XLOOKUP(datos_ventas[[#This Row],[Ciudad]],Tabla2[Ciudades],Tabla2[Provincias],"no se encuentra")</f>
        <v>Málaga</v>
      </c>
      <c r="L592" t="str">
        <f>_xlfn.XLOOKUP(datos_ventas[[#This Row],[Provincia]],Tabla2[Provincias],Tabla2[Comunidades],"no se encuentra")</f>
        <v>Andalucía</v>
      </c>
      <c r="M592" t="s">
        <v>19</v>
      </c>
      <c r="N592">
        <v>1</v>
      </c>
    </row>
    <row r="593" spans="1:14" x14ac:dyDescent="0.25">
      <c r="A593">
        <v>1592</v>
      </c>
      <c r="B593" s="1">
        <v>46021</v>
      </c>
      <c r="C593" s="4">
        <f>MONTH(datos_ventas[[#This Row],[Fecha]])</f>
        <v>12</v>
      </c>
      <c r="D593" s="4">
        <f>WEEKNUM(datos_ventas[[#This Row],[Fecha]],2)</f>
        <v>53</v>
      </c>
      <c r="E593" t="s">
        <v>23</v>
      </c>
      <c r="F593" t="s">
        <v>18</v>
      </c>
      <c r="G593">
        <v>5</v>
      </c>
      <c r="H593">
        <v>67599</v>
      </c>
      <c r="I593">
        <v>4707</v>
      </c>
      <c r="J593" t="s">
        <v>12</v>
      </c>
      <c r="K593" t="str">
        <f>_xlfn.XLOOKUP(datos_ventas[[#This Row],[Ciudad]],Tabla2[Ciudades],Tabla2[Provincias],"no se encuentra")</f>
        <v>Málaga</v>
      </c>
      <c r="L593" t="str">
        <f>_xlfn.XLOOKUP(datos_ventas[[#This Row],[Provincia]],Tabla2[Provincias],Tabla2[Comunidades],"no se encuentra")</f>
        <v>Andalucía</v>
      </c>
      <c r="M593" t="s">
        <v>19</v>
      </c>
      <c r="N593">
        <v>1</v>
      </c>
    </row>
    <row r="594" spans="1:14" x14ac:dyDescent="0.25">
      <c r="A594">
        <v>1593</v>
      </c>
      <c r="B594" s="1">
        <v>45712</v>
      </c>
      <c r="C594" s="4">
        <f>MONTH(datos_ventas[[#This Row],[Fecha]])</f>
        <v>2</v>
      </c>
      <c r="D594" s="4">
        <f>WEEKNUM(datos_ventas[[#This Row],[Fecha]],2)</f>
        <v>9</v>
      </c>
      <c r="E594" t="s">
        <v>17</v>
      </c>
      <c r="F594" t="s">
        <v>18</v>
      </c>
      <c r="G594">
        <v>4</v>
      </c>
      <c r="H594">
        <v>3928</v>
      </c>
      <c r="I594">
        <v>1705</v>
      </c>
      <c r="J594" t="s">
        <v>31</v>
      </c>
      <c r="K594" t="str">
        <f>_xlfn.XLOOKUP(datos_ventas[[#This Row],[Ciudad]],Tabla2[Ciudades],Tabla2[Provincias],"no se encuentra")</f>
        <v>Vizcaya</v>
      </c>
      <c r="L594" t="str">
        <f>_xlfn.XLOOKUP(datos_ventas[[#This Row],[Provincia]],Tabla2[Provincias],Tabla2[Comunidades],"no se encuentra")</f>
        <v>País Vasco</v>
      </c>
      <c r="M594" t="s">
        <v>19</v>
      </c>
      <c r="N594">
        <v>2</v>
      </c>
    </row>
    <row r="595" spans="1:14" x14ac:dyDescent="0.25">
      <c r="A595">
        <v>1594</v>
      </c>
      <c r="B595" s="1">
        <v>45757</v>
      </c>
      <c r="C595" s="4">
        <f>MONTH(datos_ventas[[#This Row],[Fecha]])</f>
        <v>4</v>
      </c>
      <c r="D595" s="4">
        <f>WEEKNUM(datos_ventas[[#This Row],[Fecha]],2)</f>
        <v>15</v>
      </c>
      <c r="E595" t="s">
        <v>24</v>
      </c>
      <c r="F595" t="s">
        <v>25</v>
      </c>
      <c r="G595">
        <v>3</v>
      </c>
      <c r="H595">
        <v>7911</v>
      </c>
      <c r="I595">
        <v>2974</v>
      </c>
      <c r="J595" t="s">
        <v>14</v>
      </c>
      <c r="K595" t="str">
        <f>_xlfn.XLOOKUP(datos_ventas[[#This Row],[Ciudad]],Tabla2[Ciudades],Tabla2[Provincias],"no se encuentra")</f>
        <v>Madrid</v>
      </c>
      <c r="L595" t="str">
        <f>_xlfn.XLOOKUP(datos_ventas[[#This Row],[Provincia]],Tabla2[Provincias],Tabla2[Comunidades],"no se encuentra")</f>
        <v>Comunidad de Madrid</v>
      </c>
      <c r="M595" t="s">
        <v>19</v>
      </c>
      <c r="N595">
        <v>3</v>
      </c>
    </row>
    <row r="596" spans="1:14" x14ac:dyDescent="0.25">
      <c r="A596">
        <v>1595</v>
      </c>
      <c r="B596" s="1">
        <v>45874</v>
      </c>
      <c r="C596" s="4">
        <f>MONTH(datos_ventas[[#This Row],[Fecha]])</f>
        <v>8</v>
      </c>
      <c r="D596" s="4">
        <f>WEEKNUM(datos_ventas[[#This Row],[Fecha]],2)</f>
        <v>32</v>
      </c>
      <c r="E596" t="s">
        <v>23</v>
      </c>
      <c r="F596" t="s">
        <v>18</v>
      </c>
      <c r="G596">
        <v>3</v>
      </c>
      <c r="H596">
        <v>4325</v>
      </c>
      <c r="I596">
        <v>4309</v>
      </c>
      <c r="J596" t="s">
        <v>27</v>
      </c>
      <c r="K596" t="str">
        <f>_xlfn.XLOOKUP(datos_ventas[[#This Row],[Ciudad]],Tabla2[Ciudades],Tabla2[Provincias],"no se encuentra")</f>
        <v>Sevilla</v>
      </c>
      <c r="L596" t="str">
        <f>_xlfn.XLOOKUP(datos_ventas[[#This Row],[Provincia]],Tabla2[Provincias],Tabla2[Comunidades],"no se encuentra")</f>
        <v>Andalucía</v>
      </c>
      <c r="M596" t="s">
        <v>15</v>
      </c>
      <c r="N596">
        <v>3</v>
      </c>
    </row>
    <row r="597" spans="1:14" x14ac:dyDescent="0.25">
      <c r="A597">
        <v>1596</v>
      </c>
      <c r="B597" s="1">
        <v>46008</v>
      </c>
      <c r="C597" s="4">
        <f>MONTH(datos_ventas[[#This Row],[Fecha]])</f>
        <v>12</v>
      </c>
      <c r="D597" s="4">
        <f>WEEKNUM(datos_ventas[[#This Row],[Fecha]],2)</f>
        <v>51</v>
      </c>
      <c r="E597" t="s">
        <v>20</v>
      </c>
      <c r="F597" t="s">
        <v>21</v>
      </c>
      <c r="G597">
        <v>4</v>
      </c>
      <c r="H597">
        <v>99144</v>
      </c>
      <c r="I597">
        <v>2286</v>
      </c>
      <c r="J597" t="s">
        <v>27</v>
      </c>
      <c r="K597" t="str">
        <f>_xlfn.XLOOKUP(datos_ventas[[#This Row],[Ciudad]],Tabla2[Ciudades],Tabla2[Provincias],"no se encuentra")</f>
        <v>Sevilla</v>
      </c>
      <c r="L597" t="str">
        <f>_xlfn.XLOOKUP(datos_ventas[[#This Row],[Provincia]],Tabla2[Provincias],Tabla2[Comunidades],"no se encuentra")</f>
        <v>Andalucía</v>
      </c>
      <c r="M597" t="s">
        <v>15</v>
      </c>
      <c r="N597">
        <v>3</v>
      </c>
    </row>
    <row r="598" spans="1:14" x14ac:dyDescent="0.25">
      <c r="A598">
        <v>1597</v>
      </c>
      <c r="B598" s="1">
        <v>45739</v>
      </c>
      <c r="C598" s="4">
        <f>MONTH(datos_ventas[[#This Row],[Fecha]])</f>
        <v>3</v>
      </c>
      <c r="D598" s="4">
        <f>WEEKNUM(datos_ventas[[#This Row],[Fecha]],2)</f>
        <v>12</v>
      </c>
      <c r="E598" t="s">
        <v>20</v>
      </c>
      <c r="F598" t="s">
        <v>21</v>
      </c>
      <c r="G598">
        <v>2</v>
      </c>
      <c r="H598">
        <v>6953</v>
      </c>
      <c r="I598">
        <v>4644</v>
      </c>
      <c r="J598" t="s">
        <v>27</v>
      </c>
      <c r="K598" t="str">
        <f>_xlfn.XLOOKUP(datos_ventas[[#This Row],[Ciudad]],Tabla2[Ciudades],Tabla2[Provincias],"no se encuentra")</f>
        <v>Sevilla</v>
      </c>
      <c r="L598" t="str">
        <f>_xlfn.XLOOKUP(datos_ventas[[#This Row],[Provincia]],Tabla2[Provincias],Tabla2[Comunidades],"no se encuentra")</f>
        <v>Andalucía</v>
      </c>
      <c r="M598" t="s">
        <v>15</v>
      </c>
      <c r="N598">
        <v>4</v>
      </c>
    </row>
    <row r="599" spans="1:14" x14ac:dyDescent="0.25">
      <c r="A599">
        <v>1598</v>
      </c>
      <c r="B599" s="1">
        <v>45800</v>
      </c>
      <c r="C599" s="4">
        <f>MONTH(datos_ventas[[#This Row],[Fecha]])</f>
        <v>5</v>
      </c>
      <c r="D599" s="4">
        <f>WEEKNUM(datos_ventas[[#This Row],[Fecha]],2)</f>
        <v>21</v>
      </c>
      <c r="E599" t="s">
        <v>23</v>
      </c>
      <c r="F599" t="s">
        <v>18</v>
      </c>
      <c r="G599">
        <v>5</v>
      </c>
      <c r="H599">
        <v>70205</v>
      </c>
      <c r="I599">
        <v>3062</v>
      </c>
      <c r="J599" t="s">
        <v>12</v>
      </c>
      <c r="K599" t="str">
        <f>_xlfn.XLOOKUP(datos_ventas[[#This Row],[Ciudad]],Tabla2[Ciudades],Tabla2[Provincias],"no se encuentra")</f>
        <v>Málaga</v>
      </c>
      <c r="L599" t="str">
        <f>_xlfn.XLOOKUP(datos_ventas[[#This Row],[Provincia]],Tabla2[Provincias],Tabla2[Comunidades],"no se encuentra")</f>
        <v>Andalucía</v>
      </c>
      <c r="M599" t="s">
        <v>15</v>
      </c>
      <c r="N599">
        <v>1</v>
      </c>
    </row>
    <row r="600" spans="1:14" x14ac:dyDescent="0.25">
      <c r="A600">
        <v>1599</v>
      </c>
      <c r="B600" s="1">
        <v>45908</v>
      </c>
      <c r="C600" s="4">
        <f>MONTH(datos_ventas[[#This Row],[Fecha]])</f>
        <v>9</v>
      </c>
      <c r="D600" s="4">
        <f>WEEKNUM(datos_ventas[[#This Row],[Fecha]],2)</f>
        <v>37</v>
      </c>
      <c r="E600" t="s">
        <v>26</v>
      </c>
      <c r="F600" t="s">
        <v>18</v>
      </c>
      <c r="G600">
        <v>4</v>
      </c>
      <c r="H600">
        <v>5181</v>
      </c>
      <c r="I600">
        <v>3842</v>
      </c>
      <c r="J600" t="s">
        <v>32</v>
      </c>
      <c r="K600" t="str">
        <f>_xlfn.XLOOKUP(datos_ventas[[#This Row],[Ciudad]],Tabla2[Ciudades],Tabla2[Provincias],"no se encuentra")</f>
        <v>Barcelona</v>
      </c>
      <c r="L600" t="str">
        <f>_xlfn.XLOOKUP(datos_ventas[[#This Row],[Provincia]],Tabla2[Provincias],Tabla2[Comunidades],"no se encuentra")</f>
        <v>Cataluña</v>
      </c>
      <c r="M600" t="s">
        <v>13</v>
      </c>
      <c r="N600">
        <v>4</v>
      </c>
    </row>
    <row r="601" spans="1:14" x14ac:dyDescent="0.25">
      <c r="A601">
        <v>1600</v>
      </c>
      <c r="B601" s="1">
        <v>45663</v>
      </c>
      <c r="C601" s="4">
        <f>MONTH(datos_ventas[[#This Row],[Fecha]])</f>
        <v>1</v>
      </c>
      <c r="D601" s="4">
        <f>WEEKNUM(datos_ventas[[#This Row],[Fecha]],2)</f>
        <v>2</v>
      </c>
      <c r="E601" t="s">
        <v>10</v>
      </c>
      <c r="F601" t="s">
        <v>11</v>
      </c>
      <c r="G601">
        <v>5</v>
      </c>
      <c r="H601">
        <v>64507</v>
      </c>
      <c r="I601">
        <v>849</v>
      </c>
      <c r="J601" t="s">
        <v>32</v>
      </c>
      <c r="K601" t="str">
        <f>_xlfn.XLOOKUP(datos_ventas[[#This Row],[Ciudad]],Tabla2[Ciudades],Tabla2[Provincias],"no se encuentra")</f>
        <v>Barcelona</v>
      </c>
      <c r="L601" t="str">
        <f>_xlfn.XLOOKUP(datos_ventas[[#This Row],[Provincia]],Tabla2[Provincias],Tabla2[Comunidades],"no se encuentra")</f>
        <v>Cataluña</v>
      </c>
      <c r="M601" t="s">
        <v>28</v>
      </c>
      <c r="N601">
        <v>2</v>
      </c>
    </row>
    <row r="602" spans="1:14" x14ac:dyDescent="0.25">
      <c r="A602">
        <v>1601</v>
      </c>
      <c r="B602" s="1">
        <v>45830</v>
      </c>
      <c r="C602" s="4">
        <f>MONTH(datos_ventas[[#This Row],[Fecha]])</f>
        <v>6</v>
      </c>
      <c r="D602" s="4">
        <f>WEEKNUM(datos_ventas[[#This Row],[Fecha]],2)</f>
        <v>25</v>
      </c>
      <c r="E602" t="s">
        <v>24</v>
      </c>
      <c r="F602" t="s">
        <v>25</v>
      </c>
      <c r="G602">
        <v>1</v>
      </c>
      <c r="H602">
        <v>90149</v>
      </c>
      <c r="I602">
        <v>2949</v>
      </c>
      <c r="J602" t="s">
        <v>22</v>
      </c>
      <c r="K602" t="str">
        <f>_xlfn.XLOOKUP(datos_ventas[[#This Row],[Ciudad]],Tabla2[Ciudades],Tabla2[Provincias],"no se encuentra")</f>
        <v>Valencia</v>
      </c>
      <c r="L602" t="str">
        <f>_xlfn.XLOOKUP(datos_ventas[[#This Row],[Provincia]],Tabla2[Provincias],Tabla2[Comunidades],"no se encuentra")</f>
        <v>Comunidad Valenciana</v>
      </c>
      <c r="M602" t="s">
        <v>28</v>
      </c>
      <c r="N602">
        <v>1</v>
      </c>
    </row>
    <row r="603" spans="1:14" x14ac:dyDescent="0.25">
      <c r="A603">
        <v>1602</v>
      </c>
      <c r="B603" s="1">
        <v>45905</v>
      </c>
      <c r="C603" s="4">
        <f>MONTH(datos_ventas[[#This Row],[Fecha]])</f>
        <v>9</v>
      </c>
      <c r="D603" s="4">
        <f>WEEKNUM(datos_ventas[[#This Row],[Fecha]],2)</f>
        <v>36</v>
      </c>
      <c r="E603" t="s">
        <v>24</v>
      </c>
      <c r="F603" t="s">
        <v>25</v>
      </c>
      <c r="G603">
        <v>5</v>
      </c>
      <c r="H603">
        <v>119005</v>
      </c>
      <c r="I603">
        <v>3158</v>
      </c>
      <c r="J603" t="s">
        <v>22</v>
      </c>
      <c r="K603" t="str">
        <f>_xlfn.XLOOKUP(datos_ventas[[#This Row],[Ciudad]],Tabla2[Ciudades],Tabla2[Provincias],"no se encuentra")</f>
        <v>Valencia</v>
      </c>
      <c r="L603" t="str">
        <f>_xlfn.XLOOKUP(datos_ventas[[#This Row],[Provincia]],Tabla2[Provincias],Tabla2[Comunidades],"no se encuentra")</f>
        <v>Comunidad Valenciana</v>
      </c>
      <c r="M603" t="s">
        <v>19</v>
      </c>
      <c r="N603">
        <v>4</v>
      </c>
    </row>
    <row r="604" spans="1:14" x14ac:dyDescent="0.25">
      <c r="A604">
        <v>1603</v>
      </c>
      <c r="B604" s="1">
        <v>45726</v>
      </c>
      <c r="C604" s="4">
        <f>MONTH(datos_ventas[[#This Row],[Fecha]])</f>
        <v>3</v>
      </c>
      <c r="D604" s="4">
        <f>WEEKNUM(datos_ventas[[#This Row],[Fecha]],2)</f>
        <v>11</v>
      </c>
      <c r="E604" t="s">
        <v>17</v>
      </c>
      <c r="F604" t="s">
        <v>18</v>
      </c>
      <c r="G604">
        <v>2</v>
      </c>
      <c r="H604">
        <v>90691</v>
      </c>
      <c r="I604">
        <v>3274</v>
      </c>
      <c r="J604" t="s">
        <v>27</v>
      </c>
      <c r="K604" t="str">
        <f>_xlfn.XLOOKUP(datos_ventas[[#This Row],[Ciudad]],Tabla2[Ciudades],Tabla2[Provincias],"no se encuentra")</f>
        <v>Sevilla</v>
      </c>
      <c r="L604" t="str">
        <f>_xlfn.XLOOKUP(datos_ventas[[#This Row],[Provincia]],Tabla2[Provincias],Tabla2[Comunidades],"no se encuentra")</f>
        <v>Andalucía</v>
      </c>
      <c r="M604" t="s">
        <v>15</v>
      </c>
      <c r="N604">
        <v>5</v>
      </c>
    </row>
    <row r="605" spans="1:14" x14ac:dyDescent="0.25">
      <c r="A605">
        <v>1604</v>
      </c>
      <c r="B605" s="1">
        <v>45840</v>
      </c>
      <c r="C605" s="4">
        <f>MONTH(datos_ventas[[#This Row],[Fecha]])</f>
        <v>7</v>
      </c>
      <c r="D605" s="4">
        <f>WEEKNUM(datos_ventas[[#This Row],[Fecha]],2)</f>
        <v>27</v>
      </c>
      <c r="E605" t="s">
        <v>16</v>
      </c>
      <c r="F605" t="s">
        <v>11</v>
      </c>
      <c r="G605">
        <v>4</v>
      </c>
      <c r="H605">
        <v>82232</v>
      </c>
      <c r="I605">
        <v>1365</v>
      </c>
      <c r="J605" t="s">
        <v>12</v>
      </c>
      <c r="K605" t="str">
        <f>_xlfn.XLOOKUP(datos_ventas[[#This Row],[Ciudad]],Tabla2[Ciudades],Tabla2[Provincias],"no se encuentra")</f>
        <v>Málaga</v>
      </c>
      <c r="L605" t="str">
        <f>_xlfn.XLOOKUP(datos_ventas[[#This Row],[Provincia]],Tabla2[Provincias],Tabla2[Comunidades],"no se encuentra")</f>
        <v>Andalucía</v>
      </c>
      <c r="M605" t="s">
        <v>13</v>
      </c>
      <c r="N605">
        <v>3</v>
      </c>
    </row>
    <row r="606" spans="1:14" x14ac:dyDescent="0.25">
      <c r="A606">
        <v>1605</v>
      </c>
      <c r="B606" s="1">
        <v>45753</v>
      </c>
      <c r="C606" s="4">
        <f>MONTH(datos_ventas[[#This Row],[Fecha]])</f>
        <v>4</v>
      </c>
      <c r="D606" s="4">
        <f>WEEKNUM(datos_ventas[[#This Row],[Fecha]],2)</f>
        <v>14</v>
      </c>
      <c r="E606" t="s">
        <v>23</v>
      </c>
      <c r="F606" t="s">
        <v>18</v>
      </c>
      <c r="G606">
        <v>5</v>
      </c>
      <c r="H606">
        <v>83081</v>
      </c>
      <c r="I606">
        <v>1408</v>
      </c>
      <c r="J606" t="s">
        <v>22</v>
      </c>
      <c r="K606" t="str">
        <f>_xlfn.XLOOKUP(datos_ventas[[#This Row],[Ciudad]],Tabla2[Ciudades],Tabla2[Provincias],"no se encuentra")</f>
        <v>Valencia</v>
      </c>
      <c r="L606" t="str">
        <f>_xlfn.XLOOKUP(datos_ventas[[#This Row],[Provincia]],Tabla2[Provincias],Tabla2[Comunidades],"no se encuentra")</f>
        <v>Comunidad Valenciana</v>
      </c>
      <c r="M606" t="s">
        <v>19</v>
      </c>
      <c r="N606">
        <v>1</v>
      </c>
    </row>
    <row r="607" spans="1:14" x14ac:dyDescent="0.25">
      <c r="A607">
        <v>1606</v>
      </c>
      <c r="B607" s="1">
        <v>45904</v>
      </c>
      <c r="C607" s="4">
        <f>MONTH(datos_ventas[[#This Row],[Fecha]])</f>
        <v>9</v>
      </c>
      <c r="D607" s="4">
        <f>WEEKNUM(datos_ventas[[#This Row],[Fecha]],2)</f>
        <v>36</v>
      </c>
      <c r="E607" t="s">
        <v>16</v>
      </c>
      <c r="F607" t="s">
        <v>11</v>
      </c>
      <c r="G607">
        <v>3</v>
      </c>
      <c r="H607">
        <v>28305</v>
      </c>
      <c r="I607">
        <v>131</v>
      </c>
      <c r="J607" t="s">
        <v>22</v>
      </c>
      <c r="K607" t="str">
        <f>_xlfn.XLOOKUP(datos_ventas[[#This Row],[Ciudad]],Tabla2[Ciudades],Tabla2[Provincias],"no se encuentra")</f>
        <v>Valencia</v>
      </c>
      <c r="L607" t="str">
        <f>_xlfn.XLOOKUP(datos_ventas[[#This Row],[Provincia]],Tabla2[Provincias],Tabla2[Comunidades],"no se encuentra")</f>
        <v>Comunidad Valenciana</v>
      </c>
      <c r="M607" t="s">
        <v>28</v>
      </c>
      <c r="N607">
        <v>4</v>
      </c>
    </row>
    <row r="608" spans="1:14" x14ac:dyDescent="0.25">
      <c r="A608">
        <v>1607</v>
      </c>
      <c r="B608" s="1">
        <v>45798</v>
      </c>
      <c r="C608" s="4">
        <f>MONTH(datos_ventas[[#This Row],[Fecha]])</f>
        <v>5</v>
      </c>
      <c r="D608" s="4">
        <f>WEEKNUM(datos_ventas[[#This Row],[Fecha]],2)</f>
        <v>21</v>
      </c>
      <c r="E608" t="s">
        <v>23</v>
      </c>
      <c r="F608" t="s">
        <v>18</v>
      </c>
      <c r="G608">
        <v>2</v>
      </c>
      <c r="H608">
        <v>82123</v>
      </c>
      <c r="I608">
        <v>331</v>
      </c>
      <c r="J608" t="s">
        <v>32</v>
      </c>
      <c r="K608" t="str">
        <f>_xlfn.XLOOKUP(datos_ventas[[#This Row],[Ciudad]],Tabla2[Ciudades],Tabla2[Provincias],"no se encuentra")</f>
        <v>Barcelona</v>
      </c>
      <c r="L608" t="str">
        <f>_xlfn.XLOOKUP(datos_ventas[[#This Row],[Provincia]],Tabla2[Provincias],Tabla2[Comunidades],"no se encuentra")</f>
        <v>Cataluña</v>
      </c>
      <c r="M608" t="s">
        <v>15</v>
      </c>
      <c r="N608">
        <v>2</v>
      </c>
    </row>
    <row r="609" spans="1:14" x14ac:dyDescent="0.25">
      <c r="A609">
        <v>1608</v>
      </c>
      <c r="B609" s="1">
        <v>46017</v>
      </c>
      <c r="C609" s="4">
        <f>MONTH(datos_ventas[[#This Row],[Fecha]])</f>
        <v>12</v>
      </c>
      <c r="D609" s="4">
        <f>WEEKNUM(datos_ventas[[#This Row],[Fecha]],2)</f>
        <v>52</v>
      </c>
      <c r="E609" t="s">
        <v>24</v>
      </c>
      <c r="F609" t="s">
        <v>25</v>
      </c>
      <c r="G609">
        <v>2</v>
      </c>
      <c r="H609">
        <v>47529</v>
      </c>
      <c r="I609">
        <v>3395</v>
      </c>
      <c r="J609" t="s">
        <v>12</v>
      </c>
      <c r="K609" t="str">
        <f>_xlfn.XLOOKUP(datos_ventas[[#This Row],[Ciudad]],Tabla2[Ciudades],Tabla2[Provincias],"no se encuentra")</f>
        <v>Málaga</v>
      </c>
      <c r="L609" t="str">
        <f>_xlfn.XLOOKUP(datos_ventas[[#This Row],[Provincia]],Tabla2[Provincias],Tabla2[Comunidades],"no se encuentra")</f>
        <v>Andalucía</v>
      </c>
      <c r="M609" t="s">
        <v>19</v>
      </c>
      <c r="N609">
        <v>4</v>
      </c>
    </row>
    <row r="610" spans="1:14" x14ac:dyDescent="0.25">
      <c r="A610">
        <v>1609</v>
      </c>
      <c r="B610" s="1">
        <v>45828</v>
      </c>
      <c r="C610" s="4">
        <f>MONTH(datos_ventas[[#This Row],[Fecha]])</f>
        <v>6</v>
      </c>
      <c r="D610" s="4">
        <f>WEEKNUM(datos_ventas[[#This Row],[Fecha]],2)</f>
        <v>25</v>
      </c>
      <c r="E610" t="s">
        <v>10</v>
      </c>
      <c r="F610" t="s">
        <v>11</v>
      </c>
      <c r="G610">
        <v>1</v>
      </c>
      <c r="H610">
        <v>65419</v>
      </c>
      <c r="I610">
        <v>3566</v>
      </c>
      <c r="J610" t="s">
        <v>31</v>
      </c>
      <c r="K610" t="str">
        <f>_xlfn.XLOOKUP(datos_ventas[[#This Row],[Ciudad]],Tabla2[Ciudades],Tabla2[Provincias],"no se encuentra")</f>
        <v>Vizcaya</v>
      </c>
      <c r="L610" t="str">
        <f>_xlfn.XLOOKUP(datos_ventas[[#This Row],[Provincia]],Tabla2[Provincias],Tabla2[Comunidades],"no se encuentra")</f>
        <v>País Vasco</v>
      </c>
      <c r="M610" t="s">
        <v>19</v>
      </c>
      <c r="N610">
        <v>3</v>
      </c>
    </row>
    <row r="611" spans="1:14" x14ac:dyDescent="0.25">
      <c r="A611">
        <v>1610</v>
      </c>
      <c r="B611" s="1">
        <v>45703</v>
      </c>
      <c r="C611" s="4">
        <f>MONTH(datos_ventas[[#This Row],[Fecha]])</f>
        <v>2</v>
      </c>
      <c r="D611" s="4">
        <f>WEEKNUM(datos_ventas[[#This Row],[Fecha]],2)</f>
        <v>7</v>
      </c>
      <c r="E611" t="s">
        <v>10</v>
      </c>
      <c r="F611" t="s">
        <v>11</v>
      </c>
      <c r="G611">
        <v>5</v>
      </c>
      <c r="H611">
        <v>114453</v>
      </c>
      <c r="I611">
        <v>3014</v>
      </c>
      <c r="J611" t="s">
        <v>22</v>
      </c>
      <c r="K611" t="str">
        <f>_xlfn.XLOOKUP(datos_ventas[[#This Row],[Ciudad]],Tabla2[Ciudades],Tabla2[Provincias],"no se encuentra")</f>
        <v>Valencia</v>
      </c>
      <c r="L611" t="str">
        <f>_xlfn.XLOOKUP(datos_ventas[[#This Row],[Provincia]],Tabla2[Provincias],Tabla2[Comunidades],"no se encuentra")</f>
        <v>Comunidad Valenciana</v>
      </c>
      <c r="M611" t="s">
        <v>15</v>
      </c>
      <c r="N611">
        <v>3</v>
      </c>
    </row>
    <row r="612" spans="1:14" x14ac:dyDescent="0.25">
      <c r="A612">
        <v>1611</v>
      </c>
      <c r="B612" s="1">
        <v>45960</v>
      </c>
      <c r="C612" s="4">
        <f>MONTH(datos_ventas[[#This Row],[Fecha]])</f>
        <v>10</v>
      </c>
      <c r="D612" s="4">
        <f>WEEKNUM(datos_ventas[[#This Row],[Fecha]],2)</f>
        <v>44</v>
      </c>
      <c r="E612" t="s">
        <v>26</v>
      </c>
      <c r="F612" t="s">
        <v>18</v>
      </c>
      <c r="G612">
        <v>5</v>
      </c>
      <c r="H612">
        <v>7399</v>
      </c>
      <c r="I612">
        <v>1021</v>
      </c>
      <c r="J612" t="s">
        <v>12</v>
      </c>
      <c r="K612" t="str">
        <f>_xlfn.XLOOKUP(datos_ventas[[#This Row],[Ciudad]],Tabla2[Ciudades],Tabla2[Provincias],"no se encuentra")</f>
        <v>Málaga</v>
      </c>
      <c r="L612" t="str">
        <f>_xlfn.XLOOKUP(datos_ventas[[#This Row],[Provincia]],Tabla2[Provincias],Tabla2[Comunidades],"no se encuentra")</f>
        <v>Andalucía</v>
      </c>
      <c r="M612" t="s">
        <v>13</v>
      </c>
      <c r="N612">
        <v>3</v>
      </c>
    </row>
    <row r="613" spans="1:14" x14ac:dyDescent="0.25">
      <c r="A613">
        <v>1612</v>
      </c>
      <c r="B613" s="1">
        <v>45791</v>
      </c>
      <c r="C613" s="4">
        <f>MONTH(datos_ventas[[#This Row],[Fecha]])</f>
        <v>5</v>
      </c>
      <c r="D613" s="4">
        <f>WEEKNUM(datos_ventas[[#This Row],[Fecha]],2)</f>
        <v>20</v>
      </c>
      <c r="E613" t="s">
        <v>16</v>
      </c>
      <c r="F613" t="s">
        <v>11</v>
      </c>
      <c r="G613">
        <v>5</v>
      </c>
      <c r="H613">
        <v>7161</v>
      </c>
      <c r="I613">
        <v>4923</v>
      </c>
      <c r="J613" t="s">
        <v>14</v>
      </c>
      <c r="K613" t="str">
        <f>_xlfn.XLOOKUP(datos_ventas[[#This Row],[Ciudad]],Tabla2[Ciudades],Tabla2[Provincias],"no se encuentra")</f>
        <v>Madrid</v>
      </c>
      <c r="L613" t="str">
        <f>_xlfn.XLOOKUP(datos_ventas[[#This Row],[Provincia]],Tabla2[Provincias],Tabla2[Comunidades],"no se encuentra")</f>
        <v>Comunidad de Madrid</v>
      </c>
      <c r="M613" t="s">
        <v>28</v>
      </c>
      <c r="N613">
        <v>2</v>
      </c>
    </row>
    <row r="614" spans="1:14" x14ac:dyDescent="0.25">
      <c r="A614">
        <v>1613</v>
      </c>
      <c r="B614" s="1">
        <v>45704</v>
      </c>
      <c r="C614" s="4">
        <f>MONTH(datos_ventas[[#This Row],[Fecha]])</f>
        <v>2</v>
      </c>
      <c r="D614" s="4">
        <f>WEEKNUM(datos_ventas[[#This Row],[Fecha]],2)</f>
        <v>7</v>
      </c>
      <c r="E614" t="s">
        <v>16</v>
      </c>
      <c r="F614" t="s">
        <v>11</v>
      </c>
      <c r="G614">
        <v>3</v>
      </c>
      <c r="H614">
        <v>9582</v>
      </c>
      <c r="I614">
        <v>2064</v>
      </c>
      <c r="J614" t="s">
        <v>31</v>
      </c>
      <c r="K614" t="str">
        <f>_xlfn.XLOOKUP(datos_ventas[[#This Row],[Ciudad]],Tabla2[Ciudades],Tabla2[Provincias],"no se encuentra")</f>
        <v>Vizcaya</v>
      </c>
      <c r="L614" t="str">
        <f>_xlfn.XLOOKUP(datos_ventas[[#This Row],[Provincia]],Tabla2[Provincias],Tabla2[Comunidades],"no se encuentra")</f>
        <v>País Vasco</v>
      </c>
      <c r="M614" t="s">
        <v>28</v>
      </c>
      <c r="N614">
        <v>2</v>
      </c>
    </row>
    <row r="615" spans="1:14" x14ac:dyDescent="0.25">
      <c r="A615">
        <v>1614</v>
      </c>
      <c r="B615" s="1">
        <v>46009</v>
      </c>
      <c r="C615" s="4">
        <f>MONTH(datos_ventas[[#This Row],[Fecha]])</f>
        <v>12</v>
      </c>
      <c r="D615" s="4">
        <f>WEEKNUM(datos_ventas[[#This Row],[Fecha]],2)</f>
        <v>51</v>
      </c>
      <c r="E615" t="s">
        <v>10</v>
      </c>
      <c r="F615" t="s">
        <v>11</v>
      </c>
      <c r="G615">
        <v>1</v>
      </c>
      <c r="H615">
        <v>101011</v>
      </c>
      <c r="I615">
        <v>394</v>
      </c>
      <c r="J615" t="s">
        <v>31</v>
      </c>
      <c r="K615" t="str">
        <f>_xlfn.XLOOKUP(datos_ventas[[#This Row],[Ciudad]],Tabla2[Ciudades],Tabla2[Provincias],"no se encuentra")</f>
        <v>Vizcaya</v>
      </c>
      <c r="L615" t="str">
        <f>_xlfn.XLOOKUP(datos_ventas[[#This Row],[Provincia]],Tabla2[Provincias],Tabla2[Comunidades],"no se encuentra")</f>
        <v>País Vasco</v>
      </c>
      <c r="M615" t="s">
        <v>28</v>
      </c>
      <c r="N615">
        <v>2</v>
      </c>
    </row>
    <row r="616" spans="1:14" x14ac:dyDescent="0.25">
      <c r="A616">
        <v>1615</v>
      </c>
      <c r="B616" s="1">
        <v>45762</v>
      </c>
      <c r="C616" s="4">
        <f>MONTH(datos_ventas[[#This Row],[Fecha]])</f>
        <v>4</v>
      </c>
      <c r="D616" s="4">
        <f>WEEKNUM(datos_ventas[[#This Row],[Fecha]],2)</f>
        <v>16</v>
      </c>
      <c r="E616" t="s">
        <v>16</v>
      </c>
      <c r="F616" t="s">
        <v>11</v>
      </c>
      <c r="G616">
        <v>4</v>
      </c>
      <c r="H616">
        <v>53847</v>
      </c>
      <c r="I616">
        <v>4326</v>
      </c>
      <c r="J616" t="s">
        <v>12</v>
      </c>
      <c r="K616" t="str">
        <f>_xlfn.XLOOKUP(datos_ventas[[#This Row],[Ciudad]],Tabla2[Ciudades],Tabla2[Provincias],"no se encuentra")</f>
        <v>Málaga</v>
      </c>
      <c r="L616" t="str">
        <f>_xlfn.XLOOKUP(datos_ventas[[#This Row],[Provincia]],Tabla2[Provincias],Tabla2[Comunidades],"no se encuentra")</f>
        <v>Andalucía</v>
      </c>
      <c r="M616" t="s">
        <v>28</v>
      </c>
      <c r="N616">
        <v>3</v>
      </c>
    </row>
    <row r="617" spans="1:14" x14ac:dyDescent="0.25">
      <c r="A617">
        <v>1616</v>
      </c>
      <c r="B617" s="1">
        <v>45951</v>
      </c>
      <c r="C617" s="4">
        <f>MONTH(datos_ventas[[#This Row],[Fecha]])</f>
        <v>10</v>
      </c>
      <c r="D617" s="4">
        <f>WEEKNUM(datos_ventas[[#This Row],[Fecha]],2)</f>
        <v>43</v>
      </c>
      <c r="E617" t="s">
        <v>26</v>
      </c>
      <c r="F617" t="s">
        <v>18</v>
      </c>
      <c r="G617">
        <v>1</v>
      </c>
      <c r="H617">
        <v>14141</v>
      </c>
      <c r="I617">
        <v>1699</v>
      </c>
      <c r="J617" t="s">
        <v>12</v>
      </c>
      <c r="K617" t="str">
        <f>_xlfn.XLOOKUP(datos_ventas[[#This Row],[Ciudad]],Tabla2[Ciudades],Tabla2[Provincias],"no se encuentra")</f>
        <v>Málaga</v>
      </c>
      <c r="L617" t="str">
        <f>_xlfn.XLOOKUP(datos_ventas[[#This Row],[Provincia]],Tabla2[Provincias],Tabla2[Comunidades],"no se encuentra")</f>
        <v>Andalucía</v>
      </c>
      <c r="M617" t="s">
        <v>28</v>
      </c>
      <c r="N617">
        <v>1</v>
      </c>
    </row>
    <row r="618" spans="1:14" x14ac:dyDescent="0.25">
      <c r="A618">
        <v>1617</v>
      </c>
      <c r="B618" s="1">
        <v>45877</v>
      </c>
      <c r="C618" s="4">
        <f>MONTH(datos_ventas[[#This Row],[Fecha]])</f>
        <v>8</v>
      </c>
      <c r="D618" s="4">
        <f>WEEKNUM(datos_ventas[[#This Row],[Fecha]],2)</f>
        <v>32</v>
      </c>
      <c r="E618" t="s">
        <v>10</v>
      </c>
      <c r="F618" t="s">
        <v>11</v>
      </c>
      <c r="G618">
        <v>4</v>
      </c>
      <c r="H618">
        <v>87179</v>
      </c>
      <c r="I618">
        <v>3288</v>
      </c>
      <c r="J618" t="s">
        <v>27</v>
      </c>
      <c r="K618" t="str">
        <f>_xlfn.XLOOKUP(datos_ventas[[#This Row],[Ciudad]],Tabla2[Ciudades],Tabla2[Provincias],"no se encuentra")</f>
        <v>Sevilla</v>
      </c>
      <c r="L618" t="str">
        <f>_xlfn.XLOOKUP(datos_ventas[[#This Row],[Provincia]],Tabla2[Provincias],Tabla2[Comunidades],"no se encuentra")</f>
        <v>Andalucía</v>
      </c>
      <c r="M618" t="s">
        <v>13</v>
      </c>
      <c r="N618">
        <v>4</v>
      </c>
    </row>
    <row r="619" spans="1:14" x14ac:dyDescent="0.25">
      <c r="A619">
        <v>1618</v>
      </c>
      <c r="B619" s="1">
        <v>45837</v>
      </c>
      <c r="C619" s="4">
        <f>MONTH(datos_ventas[[#This Row],[Fecha]])</f>
        <v>6</v>
      </c>
      <c r="D619" s="4">
        <f>WEEKNUM(datos_ventas[[#This Row],[Fecha]],2)</f>
        <v>26</v>
      </c>
      <c r="E619" t="s">
        <v>23</v>
      </c>
      <c r="F619" t="s">
        <v>18</v>
      </c>
      <c r="G619">
        <v>5</v>
      </c>
      <c r="H619">
        <v>30348</v>
      </c>
      <c r="I619">
        <v>1154</v>
      </c>
      <c r="J619" t="s">
        <v>22</v>
      </c>
      <c r="K619" t="str">
        <f>_xlfn.XLOOKUP(datos_ventas[[#This Row],[Ciudad]],Tabla2[Ciudades],Tabla2[Provincias],"no se encuentra")</f>
        <v>Valencia</v>
      </c>
      <c r="L619" t="str">
        <f>_xlfn.XLOOKUP(datos_ventas[[#This Row],[Provincia]],Tabla2[Provincias],Tabla2[Comunidades],"no se encuentra")</f>
        <v>Comunidad Valenciana</v>
      </c>
      <c r="M619" t="s">
        <v>19</v>
      </c>
      <c r="N619">
        <v>5</v>
      </c>
    </row>
    <row r="620" spans="1:14" x14ac:dyDescent="0.25">
      <c r="A620">
        <v>1619</v>
      </c>
      <c r="B620" s="1">
        <v>45804</v>
      </c>
      <c r="C620" s="4">
        <f>MONTH(datos_ventas[[#This Row],[Fecha]])</f>
        <v>5</v>
      </c>
      <c r="D620" s="4">
        <f>WEEKNUM(datos_ventas[[#This Row],[Fecha]],2)</f>
        <v>22</v>
      </c>
      <c r="E620" t="s">
        <v>10</v>
      </c>
      <c r="F620" t="s">
        <v>11</v>
      </c>
      <c r="G620">
        <v>1</v>
      </c>
      <c r="H620">
        <v>58947</v>
      </c>
      <c r="I620">
        <v>2468</v>
      </c>
      <c r="J620" t="s">
        <v>32</v>
      </c>
      <c r="K620" t="str">
        <f>_xlfn.XLOOKUP(datos_ventas[[#This Row],[Ciudad]],Tabla2[Ciudades],Tabla2[Provincias],"no se encuentra")</f>
        <v>Barcelona</v>
      </c>
      <c r="L620" t="str">
        <f>_xlfn.XLOOKUP(datos_ventas[[#This Row],[Provincia]],Tabla2[Provincias],Tabla2[Comunidades],"no se encuentra")</f>
        <v>Cataluña</v>
      </c>
      <c r="M620" t="s">
        <v>28</v>
      </c>
      <c r="N620">
        <v>4</v>
      </c>
    </row>
    <row r="621" spans="1:14" x14ac:dyDescent="0.25">
      <c r="A621">
        <v>1620</v>
      </c>
      <c r="B621" s="1">
        <v>46011</v>
      </c>
      <c r="C621" s="4">
        <f>MONTH(datos_ventas[[#This Row],[Fecha]])</f>
        <v>12</v>
      </c>
      <c r="D621" s="4">
        <f>WEEKNUM(datos_ventas[[#This Row],[Fecha]],2)</f>
        <v>51</v>
      </c>
      <c r="E621" t="s">
        <v>24</v>
      </c>
      <c r="F621" t="s">
        <v>25</v>
      </c>
      <c r="G621">
        <v>1</v>
      </c>
      <c r="H621">
        <v>10905</v>
      </c>
      <c r="I621">
        <v>4864</v>
      </c>
      <c r="J621" t="s">
        <v>14</v>
      </c>
      <c r="K621" t="str">
        <f>_xlfn.XLOOKUP(datos_ventas[[#This Row],[Ciudad]],Tabla2[Ciudades],Tabla2[Provincias],"no se encuentra")</f>
        <v>Madrid</v>
      </c>
      <c r="L621" t="str">
        <f>_xlfn.XLOOKUP(datos_ventas[[#This Row],[Provincia]],Tabla2[Provincias],Tabla2[Comunidades],"no se encuentra")</f>
        <v>Comunidad de Madrid</v>
      </c>
      <c r="M621" t="s">
        <v>28</v>
      </c>
      <c r="N621">
        <v>4</v>
      </c>
    </row>
    <row r="622" spans="1:14" x14ac:dyDescent="0.25">
      <c r="A622">
        <v>1621</v>
      </c>
      <c r="B622" s="1">
        <v>45722</v>
      </c>
      <c r="C622" s="4">
        <f>MONTH(datos_ventas[[#This Row],[Fecha]])</f>
        <v>3</v>
      </c>
      <c r="D622" s="4">
        <f>WEEKNUM(datos_ventas[[#This Row],[Fecha]],2)</f>
        <v>10</v>
      </c>
      <c r="E622" t="s">
        <v>16</v>
      </c>
      <c r="F622" t="s">
        <v>11</v>
      </c>
      <c r="G622">
        <v>5</v>
      </c>
      <c r="H622">
        <v>82777</v>
      </c>
      <c r="I622">
        <v>518</v>
      </c>
      <c r="J622" t="s">
        <v>14</v>
      </c>
      <c r="K622" t="str">
        <f>_xlfn.XLOOKUP(datos_ventas[[#This Row],[Ciudad]],Tabla2[Ciudades],Tabla2[Provincias],"no se encuentra")</f>
        <v>Madrid</v>
      </c>
      <c r="L622" t="str">
        <f>_xlfn.XLOOKUP(datos_ventas[[#This Row],[Provincia]],Tabla2[Provincias],Tabla2[Comunidades],"no se encuentra")</f>
        <v>Comunidad de Madrid</v>
      </c>
      <c r="M622" t="s">
        <v>19</v>
      </c>
      <c r="N622">
        <v>3</v>
      </c>
    </row>
    <row r="623" spans="1:14" x14ac:dyDescent="0.25">
      <c r="A623">
        <v>1622</v>
      </c>
      <c r="B623" s="1">
        <v>45807</v>
      </c>
      <c r="C623" s="4">
        <f>MONTH(datos_ventas[[#This Row],[Fecha]])</f>
        <v>5</v>
      </c>
      <c r="D623" s="4">
        <f>WEEKNUM(datos_ventas[[#This Row],[Fecha]],2)</f>
        <v>22</v>
      </c>
      <c r="E623" t="s">
        <v>24</v>
      </c>
      <c r="F623" t="s">
        <v>25</v>
      </c>
      <c r="G623">
        <v>4</v>
      </c>
      <c r="H623">
        <v>24625</v>
      </c>
      <c r="I623">
        <v>808</v>
      </c>
      <c r="J623" t="s">
        <v>22</v>
      </c>
      <c r="K623" t="str">
        <f>_xlfn.XLOOKUP(datos_ventas[[#This Row],[Ciudad]],Tabla2[Ciudades],Tabla2[Provincias],"no se encuentra")</f>
        <v>Valencia</v>
      </c>
      <c r="L623" t="str">
        <f>_xlfn.XLOOKUP(datos_ventas[[#This Row],[Provincia]],Tabla2[Provincias],Tabla2[Comunidades],"no se encuentra")</f>
        <v>Comunidad Valenciana</v>
      </c>
      <c r="M623" t="s">
        <v>15</v>
      </c>
      <c r="N623">
        <v>5</v>
      </c>
    </row>
    <row r="624" spans="1:14" x14ac:dyDescent="0.25">
      <c r="A624">
        <v>1623</v>
      </c>
      <c r="B624" s="1">
        <v>45987</v>
      </c>
      <c r="C624" s="4">
        <f>MONTH(datos_ventas[[#This Row],[Fecha]])</f>
        <v>11</v>
      </c>
      <c r="D624" s="4">
        <f>WEEKNUM(datos_ventas[[#This Row],[Fecha]],2)</f>
        <v>48</v>
      </c>
      <c r="E624" t="s">
        <v>16</v>
      </c>
      <c r="F624" t="s">
        <v>11</v>
      </c>
      <c r="G624">
        <v>5</v>
      </c>
      <c r="H624">
        <v>99874</v>
      </c>
      <c r="I624">
        <v>4801</v>
      </c>
      <c r="J624" t="s">
        <v>27</v>
      </c>
      <c r="K624" t="str">
        <f>_xlfn.XLOOKUP(datos_ventas[[#This Row],[Ciudad]],Tabla2[Ciudades],Tabla2[Provincias],"no se encuentra")</f>
        <v>Sevilla</v>
      </c>
      <c r="L624" t="str">
        <f>_xlfn.XLOOKUP(datos_ventas[[#This Row],[Provincia]],Tabla2[Provincias],Tabla2[Comunidades],"no se encuentra")</f>
        <v>Andalucía</v>
      </c>
      <c r="M624" t="s">
        <v>28</v>
      </c>
      <c r="N624">
        <v>2</v>
      </c>
    </row>
    <row r="625" spans="1:14" x14ac:dyDescent="0.25">
      <c r="A625">
        <v>1624</v>
      </c>
      <c r="B625" s="1">
        <v>45765</v>
      </c>
      <c r="C625" s="4">
        <f>MONTH(datos_ventas[[#This Row],[Fecha]])</f>
        <v>4</v>
      </c>
      <c r="D625" s="4">
        <f>WEEKNUM(datos_ventas[[#This Row],[Fecha]],2)</f>
        <v>16</v>
      </c>
      <c r="E625" t="s">
        <v>29</v>
      </c>
      <c r="F625" t="s">
        <v>30</v>
      </c>
      <c r="G625">
        <v>3</v>
      </c>
      <c r="H625">
        <v>9469</v>
      </c>
      <c r="I625">
        <v>2217</v>
      </c>
      <c r="J625" t="s">
        <v>22</v>
      </c>
      <c r="K625" t="str">
        <f>_xlfn.XLOOKUP(datos_ventas[[#This Row],[Ciudad]],Tabla2[Ciudades],Tabla2[Provincias],"no se encuentra")</f>
        <v>Valencia</v>
      </c>
      <c r="L625" t="str">
        <f>_xlfn.XLOOKUP(datos_ventas[[#This Row],[Provincia]],Tabla2[Provincias],Tabla2[Comunidades],"no se encuentra")</f>
        <v>Comunidad Valenciana</v>
      </c>
      <c r="M625" t="s">
        <v>28</v>
      </c>
      <c r="N625">
        <v>4</v>
      </c>
    </row>
    <row r="626" spans="1:14" x14ac:dyDescent="0.25">
      <c r="A626">
        <v>1625</v>
      </c>
      <c r="B626" s="1">
        <v>45790</v>
      </c>
      <c r="C626" s="4">
        <f>MONTH(datos_ventas[[#This Row],[Fecha]])</f>
        <v>5</v>
      </c>
      <c r="D626" s="4">
        <f>WEEKNUM(datos_ventas[[#This Row],[Fecha]],2)</f>
        <v>20</v>
      </c>
      <c r="E626" t="s">
        <v>17</v>
      </c>
      <c r="F626" t="s">
        <v>18</v>
      </c>
      <c r="G626">
        <v>5</v>
      </c>
      <c r="H626">
        <v>16248</v>
      </c>
      <c r="I626">
        <v>3484</v>
      </c>
      <c r="J626" t="s">
        <v>12</v>
      </c>
      <c r="K626" t="str">
        <f>_xlfn.XLOOKUP(datos_ventas[[#This Row],[Ciudad]],Tabla2[Ciudades],Tabla2[Provincias],"no se encuentra")</f>
        <v>Málaga</v>
      </c>
      <c r="L626" t="str">
        <f>_xlfn.XLOOKUP(datos_ventas[[#This Row],[Provincia]],Tabla2[Provincias],Tabla2[Comunidades],"no se encuentra")</f>
        <v>Andalucía</v>
      </c>
      <c r="M626" t="s">
        <v>13</v>
      </c>
      <c r="N626">
        <v>4</v>
      </c>
    </row>
    <row r="627" spans="1:14" x14ac:dyDescent="0.25">
      <c r="A627">
        <v>1626</v>
      </c>
      <c r="B627" s="1">
        <v>45684</v>
      </c>
      <c r="C627" s="4">
        <f>MONTH(datos_ventas[[#This Row],[Fecha]])</f>
        <v>1</v>
      </c>
      <c r="D627" s="4">
        <f>WEEKNUM(datos_ventas[[#This Row],[Fecha]],2)</f>
        <v>5</v>
      </c>
      <c r="E627" t="s">
        <v>10</v>
      </c>
      <c r="F627" t="s">
        <v>11</v>
      </c>
      <c r="G627">
        <v>2</v>
      </c>
      <c r="H627">
        <v>105968</v>
      </c>
      <c r="I627">
        <v>1388</v>
      </c>
      <c r="J627" t="s">
        <v>22</v>
      </c>
      <c r="K627" t="str">
        <f>_xlfn.XLOOKUP(datos_ventas[[#This Row],[Ciudad]],Tabla2[Ciudades],Tabla2[Provincias],"no se encuentra")</f>
        <v>Valencia</v>
      </c>
      <c r="L627" t="str">
        <f>_xlfn.XLOOKUP(datos_ventas[[#This Row],[Provincia]],Tabla2[Provincias],Tabla2[Comunidades],"no se encuentra")</f>
        <v>Comunidad Valenciana</v>
      </c>
      <c r="M627" t="s">
        <v>28</v>
      </c>
      <c r="N627">
        <v>5</v>
      </c>
    </row>
    <row r="628" spans="1:14" x14ac:dyDescent="0.25">
      <c r="A628">
        <v>1627</v>
      </c>
      <c r="B628" s="1">
        <v>45956</v>
      </c>
      <c r="C628" s="4">
        <f>MONTH(datos_ventas[[#This Row],[Fecha]])</f>
        <v>10</v>
      </c>
      <c r="D628" s="4">
        <f>WEEKNUM(datos_ventas[[#This Row],[Fecha]],2)</f>
        <v>43</v>
      </c>
      <c r="E628" t="s">
        <v>16</v>
      </c>
      <c r="F628" t="s">
        <v>11</v>
      </c>
      <c r="G628">
        <v>5</v>
      </c>
      <c r="H628">
        <v>46254</v>
      </c>
      <c r="I628">
        <v>4857</v>
      </c>
      <c r="J628" t="s">
        <v>32</v>
      </c>
      <c r="K628" t="str">
        <f>_xlfn.XLOOKUP(datos_ventas[[#This Row],[Ciudad]],Tabla2[Ciudades],Tabla2[Provincias],"no se encuentra")</f>
        <v>Barcelona</v>
      </c>
      <c r="L628" t="str">
        <f>_xlfn.XLOOKUP(datos_ventas[[#This Row],[Provincia]],Tabla2[Provincias],Tabla2[Comunidades],"no se encuentra")</f>
        <v>Cataluña</v>
      </c>
      <c r="M628" t="s">
        <v>28</v>
      </c>
      <c r="N628">
        <v>3</v>
      </c>
    </row>
    <row r="629" spans="1:14" x14ac:dyDescent="0.25">
      <c r="A629">
        <v>1628</v>
      </c>
      <c r="B629" s="1">
        <v>45895</v>
      </c>
      <c r="C629" s="4">
        <f>MONTH(datos_ventas[[#This Row],[Fecha]])</f>
        <v>8</v>
      </c>
      <c r="D629" s="4">
        <f>WEEKNUM(datos_ventas[[#This Row],[Fecha]],2)</f>
        <v>35</v>
      </c>
      <c r="E629" t="s">
        <v>20</v>
      </c>
      <c r="F629" t="s">
        <v>21</v>
      </c>
      <c r="G629">
        <v>4</v>
      </c>
      <c r="H629">
        <v>49911</v>
      </c>
      <c r="I629">
        <v>3782</v>
      </c>
      <c r="J629" t="s">
        <v>32</v>
      </c>
      <c r="K629" t="str">
        <f>_xlfn.XLOOKUP(datos_ventas[[#This Row],[Ciudad]],Tabla2[Ciudades],Tabla2[Provincias],"no se encuentra")</f>
        <v>Barcelona</v>
      </c>
      <c r="L629" t="str">
        <f>_xlfn.XLOOKUP(datos_ventas[[#This Row],[Provincia]],Tabla2[Provincias],Tabla2[Comunidades],"no se encuentra")</f>
        <v>Cataluña</v>
      </c>
      <c r="M629" t="s">
        <v>15</v>
      </c>
      <c r="N629">
        <v>2</v>
      </c>
    </row>
    <row r="630" spans="1:14" x14ac:dyDescent="0.25">
      <c r="A630">
        <v>1629</v>
      </c>
      <c r="B630" s="1">
        <v>45730</v>
      </c>
      <c r="C630" s="4">
        <f>MONTH(datos_ventas[[#This Row],[Fecha]])</f>
        <v>3</v>
      </c>
      <c r="D630" s="4">
        <f>WEEKNUM(datos_ventas[[#This Row],[Fecha]],2)</f>
        <v>11</v>
      </c>
      <c r="E630" t="s">
        <v>10</v>
      </c>
      <c r="F630" t="s">
        <v>11</v>
      </c>
      <c r="G630">
        <v>4</v>
      </c>
      <c r="H630">
        <v>53512</v>
      </c>
      <c r="I630">
        <v>4148</v>
      </c>
      <c r="J630" t="s">
        <v>12</v>
      </c>
      <c r="K630" t="str">
        <f>_xlfn.XLOOKUP(datos_ventas[[#This Row],[Ciudad]],Tabla2[Ciudades],Tabla2[Provincias],"no se encuentra")</f>
        <v>Málaga</v>
      </c>
      <c r="L630" t="str">
        <f>_xlfn.XLOOKUP(datos_ventas[[#This Row],[Provincia]],Tabla2[Provincias],Tabla2[Comunidades],"no se encuentra")</f>
        <v>Andalucía</v>
      </c>
      <c r="M630" t="s">
        <v>19</v>
      </c>
      <c r="N630">
        <v>5</v>
      </c>
    </row>
    <row r="631" spans="1:14" x14ac:dyDescent="0.25">
      <c r="A631">
        <v>1630</v>
      </c>
      <c r="B631" s="1">
        <v>45685</v>
      </c>
      <c r="C631" s="4">
        <f>MONTH(datos_ventas[[#This Row],[Fecha]])</f>
        <v>1</v>
      </c>
      <c r="D631" s="4">
        <f>WEEKNUM(datos_ventas[[#This Row],[Fecha]],2)</f>
        <v>5</v>
      </c>
      <c r="E631" t="s">
        <v>10</v>
      </c>
      <c r="F631" t="s">
        <v>11</v>
      </c>
      <c r="G631">
        <v>1</v>
      </c>
      <c r="H631">
        <v>7926</v>
      </c>
      <c r="I631">
        <v>1128</v>
      </c>
      <c r="J631" t="s">
        <v>12</v>
      </c>
      <c r="K631" t="str">
        <f>_xlfn.XLOOKUP(datos_ventas[[#This Row],[Ciudad]],Tabla2[Ciudades],Tabla2[Provincias],"no se encuentra")</f>
        <v>Málaga</v>
      </c>
      <c r="L631" t="str">
        <f>_xlfn.XLOOKUP(datos_ventas[[#This Row],[Provincia]],Tabla2[Provincias],Tabla2[Comunidades],"no se encuentra")</f>
        <v>Andalucía</v>
      </c>
      <c r="M631" t="s">
        <v>28</v>
      </c>
      <c r="N631">
        <v>2</v>
      </c>
    </row>
    <row r="632" spans="1:14" x14ac:dyDescent="0.25">
      <c r="A632">
        <v>1631</v>
      </c>
      <c r="B632" s="1">
        <v>45915</v>
      </c>
      <c r="C632" s="4">
        <f>MONTH(datos_ventas[[#This Row],[Fecha]])</f>
        <v>9</v>
      </c>
      <c r="D632" s="4">
        <f>WEEKNUM(datos_ventas[[#This Row],[Fecha]],2)</f>
        <v>38</v>
      </c>
      <c r="E632" t="s">
        <v>17</v>
      </c>
      <c r="F632" t="s">
        <v>18</v>
      </c>
      <c r="G632">
        <v>3</v>
      </c>
      <c r="H632">
        <v>45643</v>
      </c>
      <c r="I632">
        <v>1863</v>
      </c>
      <c r="J632" t="s">
        <v>12</v>
      </c>
      <c r="K632" t="str">
        <f>_xlfn.XLOOKUP(datos_ventas[[#This Row],[Ciudad]],Tabla2[Ciudades],Tabla2[Provincias],"no se encuentra")</f>
        <v>Málaga</v>
      </c>
      <c r="L632" t="str">
        <f>_xlfn.XLOOKUP(datos_ventas[[#This Row],[Provincia]],Tabla2[Provincias],Tabla2[Comunidades],"no se encuentra")</f>
        <v>Andalucía</v>
      </c>
      <c r="M632" t="s">
        <v>15</v>
      </c>
      <c r="N632">
        <v>4</v>
      </c>
    </row>
    <row r="633" spans="1:14" x14ac:dyDescent="0.25">
      <c r="A633">
        <v>1632</v>
      </c>
      <c r="B633" s="1">
        <v>46017</v>
      </c>
      <c r="C633" s="4">
        <f>MONTH(datos_ventas[[#This Row],[Fecha]])</f>
        <v>12</v>
      </c>
      <c r="D633" s="4">
        <f>WEEKNUM(datos_ventas[[#This Row],[Fecha]],2)</f>
        <v>52</v>
      </c>
      <c r="E633" t="s">
        <v>17</v>
      </c>
      <c r="F633" t="s">
        <v>18</v>
      </c>
      <c r="G633">
        <v>2</v>
      </c>
      <c r="H633">
        <v>3304</v>
      </c>
      <c r="I633">
        <v>1086</v>
      </c>
      <c r="J633" t="s">
        <v>14</v>
      </c>
      <c r="K633" t="str">
        <f>_xlfn.XLOOKUP(datos_ventas[[#This Row],[Ciudad]],Tabla2[Ciudades],Tabla2[Provincias],"no se encuentra")</f>
        <v>Madrid</v>
      </c>
      <c r="L633" t="str">
        <f>_xlfn.XLOOKUP(datos_ventas[[#This Row],[Provincia]],Tabla2[Provincias],Tabla2[Comunidades],"no se encuentra")</f>
        <v>Comunidad de Madrid</v>
      </c>
      <c r="M633" t="s">
        <v>28</v>
      </c>
      <c r="N633">
        <v>2</v>
      </c>
    </row>
    <row r="634" spans="1:14" x14ac:dyDescent="0.25">
      <c r="A634">
        <v>1633</v>
      </c>
      <c r="B634" s="1">
        <v>45798</v>
      </c>
      <c r="C634" s="4">
        <f>MONTH(datos_ventas[[#This Row],[Fecha]])</f>
        <v>5</v>
      </c>
      <c r="D634" s="4">
        <f>WEEKNUM(datos_ventas[[#This Row],[Fecha]],2)</f>
        <v>21</v>
      </c>
      <c r="E634" t="s">
        <v>29</v>
      </c>
      <c r="F634" t="s">
        <v>30</v>
      </c>
      <c r="G634">
        <v>4</v>
      </c>
      <c r="H634">
        <v>102993</v>
      </c>
      <c r="I634">
        <v>2104</v>
      </c>
      <c r="J634" t="s">
        <v>27</v>
      </c>
      <c r="K634" t="str">
        <f>_xlfn.XLOOKUP(datos_ventas[[#This Row],[Ciudad]],Tabla2[Ciudades],Tabla2[Provincias],"no se encuentra")</f>
        <v>Sevilla</v>
      </c>
      <c r="L634" t="str">
        <f>_xlfn.XLOOKUP(datos_ventas[[#This Row],[Provincia]],Tabla2[Provincias],Tabla2[Comunidades],"no se encuentra")</f>
        <v>Andalucía</v>
      </c>
      <c r="M634" t="s">
        <v>28</v>
      </c>
      <c r="N634">
        <v>5</v>
      </c>
    </row>
    <row r="635" spans="1:14" x14ac:dyDescent="0.25">
      <c r="A635">
        <v>1634</v>
      </c>
      <c r="B635" s="1">
        <v>45962</v>
      </c>
      <c r="C635" s="4">
        <f>MONTH(datos_ventas[[#This Row],[Fecha]])</f>
        <v>11</v>
      </c>
      <c r="D635" s="4">
        <f>WEEKNUM(datos_ventas[[#This Row],[Fecha]],2)</f>
        <v>44</v>
      </c>
      <c r="E635" t="s">
        <v>26</v>
      </c>
      <c r="F635" t="s">
        <v>18</v>
      </c>
      <c r="G635">
        <v>4</v>
      </c>
      <c r="H635">
        <v>78782</v>
      </c>
      <c r="I635">
        <v>1258</v>
      </c>
      <c r="J635" t="s">
        <v>22</v>
      </c>
      <c r="K635" t="str">
        <f>_xlfn.XLOOKUP(datos_ventas[[#This Row],[Ciudad]],Tabla2[Ciudades],Tabla2[Provincias],"no se encuentra")</f>
        <v>Valencia</v>
      </c>
      <c r="L635" t="str">
        <f>_xlfn.XLOOKUP(datos_ventas[[#This Row],[Provincia]],Tabla2[Provincias],Tabla2[Comunidades],"no se encuentra")</f>
        <v>Comunidad Valenciana</v>
      </c>
      <c r="M635" t="s">
        <v>13</v>
      </c>
      <c r="N635">
        <v>4</v>
      </c>
    </row>
    <row r="636" spans="1:14" x14ac:dyDescent="0.25">
      <c r="A636">
        <v>1635</v>
      </c>
      <c r="B636" s="1">
        <v>45814</v>
      </c>
      <c r="C636" s="4">
        <f>MONTH(datos_ventas[[#This Row],[Fecha]])</f>
        <v>6</v>
      </c>
      <c r="D636" s="4">
        <f>WEEKNUM(datos_ventas[[#This Row],[Fecha]],2)</f>
        <v>23</v>
      </c>
      <c r="E636" t="s">
        <v>17</v>
      </c>
      <c r="F636" t="s">
        <v>18</v>
      </c>
      <c r="G636">
        <v>3</v>
      </c>
      <c r="H636">
        <v>19049</v>
      </c>
      <c r="I636">
        <v>4433</v>
      </c>
      <c r="J636" t="s">
        <v>27</v>
      </c>
      <c r="K636" t="str">
        <f>_xlfn.XLOOKUP(datos_ventas[[#This Row],[Ciudad]],Tabla2[Ciudades],Tabla2[Provincias],"no se encuentra")</f>
        <v>Sevilla</v>
      </c>
      <c r="L636" t="str">
        <f>_xlfn.XLOOKUP(datos_ventas[[#This Row],[Provincia]],Tabla2[Provincias],Tabla2[Comunidades],"no se encuentra")</f>
        <v>Andalucía</v>
      </c>
      <c r="M636" t="s">
        <v>15</v>
      </c>
      <c r="N636">
        <v>3</v>
      </c>
    </row>
    <row r="637" spans="1:14" x14ac:dyDescent="0.25">
      <c r="A637">
        <v>1636</v>
      </c>
      <c r="B637" s="1">
        <v>45947</v>
      </c>
      <c r="C637" s="4">
        <f>MONTH(datos_ventas[[#This Row],[Fecha]])</f>
        <v>10</v>
      </c>
      <c r="D637" s="4">
        <f>WEEKNUM(datos_ventas[[#This Row],[Fecha]],2)</f>
        <v>42</v>
      </c>
      <c r="E637" t="s">
        <v>17</v>
      </c>
      <c r="F637" t="s">
        <v>18</v>
      </c>
      <c r="G637">
        <v>4</v>
      </c>
      <c r="H637">
        <v>100456</v>
      </c>
      <c r="I637">
        <v>2851</v>
      </c>
      <c r="J637" t="s">
        <v>31</v>
      </c>
      <c r="K637" t="str">
        <f>_xlfn.XLOOKUP(datos_ventas[[#This Row],[Ciudad]],Tabla2[Ciudades],Tabla2[Provincias],"no se encuentra")</f>
        <v>Vizcaya</v>
      </c>
      <c r="L637" t="str">
        <f>_xlfn.XLOOKUP(datos_ventas[[#This Row],[Provincia]],Tabla2[Provincias],Tabla2[Comunidades],"no se encuentra")</f>
        <v>País Vasco</v>
      </c>
      <c r="M637" t="s">
        <v>19</v>
      </c>
      <c r="N637">
        <v>2</v>
      </c>
    </row>
    <row r="638" spans="1:14" x14ac:dyDescent="0.25">
      <c r="A638">
        <v>1637</v>
      </c>
      <c r="B638" s="1">
        <v>45761</v>
      </c>
      <c r="C638" s="4">
        <f>MONTH(datos_ventas[[#This Row],[Fecha]])</f>
        <v>4</v>
      </c>
      <c r="D638" s="4">
        <f>WEEKNUM(datos_ventas[[#This Row],[Fecha]],2)</f>
        <v>16</v>
      </c>
      <c r="E638" t="s">
        <v>29</v>
      </c>
      <c r="F638" t="s">
        <v>30</v>
      </c>
      <c r="G638">
        <v>3</v>
      </c>
      <c r="H638">
        <v>59621</v>
      </c>
      <c r="I638">
        <v>615</v>
      </c>
      <c r="J638" t="s">
        <v>22</v>
      </c>
      <c r="K638" t="str">
        <f>_xlfn.XLOOKUP(datos_ventas[[#This Row],[Ciudad]],Tabla2[Ciudades],Tabla2[Provincias],"no se encuentra")</f>
        <v>Valencia</v>
      </c>
      <c r="L638" t="str">
        <f>_xlfn.XLOOKUP(datos_ventas[[#This Row],[Provincia]],Tabla2[Provincias],Tabla2[Comunidades],"no se encuentra")</f>
        <v>Comunidad Valenciana</v>
      </c>
      <c r="M638" t="s">
        <v>13</v>
      </c>
      <c r="N638">
        <v>1</v>
      </c>
    </row>
    <row r="639" spans="1:14" x14ac:dyDescent="0.25">
      <c r="A639">
        <v>1638</v>
      </c>
      <c r="B639" s="1">
        <v>46022</v>
      </c>
      <c r="C639" s="4">
        <f>MONTH(datos_ventas[[#This Row],[Fecha]])</f>
        <v>12</v>
      </c>
      <c r="D639" s="4">
        <f>WEEKNUM(datos_ventas[[#This Row],[Fecha]],2)</f>
        <v>53</v>
      </c>
      <c r="E639" t="s">
        <v>17</v>
      </c>
      <c r="F639" t="s">
        <v>18</v>
      </c>
      <c r="G639">
        <v>1</v>
      </c>
      <c r="H639">
        <v>112154</v>
      </c>
      <c r="I639">
        <v>435</v>
      </c>
      <c r="J639" t="s">
        <v>22</v>
      </c>
      <c r="K639" t="str">
        <f>_xlfn.XLOOKUP(datos_ventas[[#This Row],[Ciudad]],Tabla2[Ciudades],Tabla2[Provincias],"no se encuentra")</f>
        <v>Valencia</v>
      </c>
      <c r="L639" t="str">
        <f>_xlfn.XLOOKUP(datos_ventas[[#This Row],[Provincia]],Tabla2[Provincias],Tabla2[Comunidades],"no se encuentra")</f>
        <v>Comunidad Valenciana</v>
      </c>
      <c r="M639" t="s">
        <v>15</v>
      </c>
      <c r="N639">
        <v>1</v>
      </c>
    </row>
    <row r="640" spans="1:14" x14ac:dyDescent="0.25">
      <c r="A640">
        <v>1639</v>
      </c>
      <c r="B640" s="1">
        <v>45888</v>
      </c>
      <c r="C640" s="4">
        <f>MONTH(datos_ventas[[#This Row],[Fecha]])</f>
        <v>8</v>
      </c>
      <c r="D640" s="4">
        <f>WEEKNUM(datos_ventas[[#This Row],[Fecha]],2)</f>
        <v>34</v>
      </c>
      <c r="E640" t="s">
        <v>26</v>
      </c>
      <c r="F640" t="s">
        <v>18</v>
      </c>
      <c r="G640">
        <v>3</v>
      </c>
      <c r="H640">
        <v>112535</v>
      </c>
      <c r="I640">
        <v>3611</v>
      </c>
      <c r="J640" t="s">
        <v>12</v>
      </c>
      <c r="K640" t="str">
        <f>_xlfn.XLOOKUP(datos_ventas[[#This Row],[Ciudad]],Tabla2[Ciudades],Tabla2[Provincias],"no se encuentra")</f>
        <v>Málaga</v>
      </c>
      <c r="L640" t="str">
        <f>_xlfn.XLOOKUP(datos_ventas[[#This Row],[Provincia]],Tabla2[Provincias],Tabla2[Comunidades],"no se encuentra")</f>
        <v>Andalucía</v>
      </c>
      <c r="M640" t="s">
        <v>13</v>
      </c>
      <c r="N640">
        <v>3</v>
      </c>
    </row>
    <row r="641" spans="1:14" x14ac:dyDescent="0.25">
      <c r="A641">
        <v>1640</v>
      </c>
      <c r="B641" s="1">
        <v>45867</v>
      </c>
      <c r="C641" s="4">
        <f>MONTH(datos_ventas[[#This Row],[Fecha]])</f>
        <v>7</v>
      </c>
      <c r="D641" s="4">
        <f>WEEKNUM(datos_ventas[[#This Row],[Fecha]],2)</f>
        <v>31</v>
      </c>
      <c r="E641" t="s">
        <v>29</v>
      </c>
      <c r="F641" t="s">
        <v>30</v>
      </c>
      <c r="G641">
        <v>2</v>
      </c>
      <c r="H641">
        <v>24397</v>
      </c>
      <c r="I641">
        <v>3562</v>
      </c>
      <c r="J641" t="s">
        <v>22</v>
      </c>
      <c r="K641" t="str">
        <f>_xlfn.XLOOKUP(datos_ventas[[#This Row],[Ciudad]],Tabla2[Ciudades],Tabla2[Provincias],"no se encuentra")</f>
        <v>Valencia</v>
      </c>
      <c r="L641" t="str">
        <f>_xlfn.XLOOKUP(datos_ventas[[#This Row],[Provincia]],Tabla2[Provincias],Tabla2[Comunidades],"no se encuentra")</f>
        <v>Comunidad Valenciana</v>
      </c>
      <c r="M641" t="s">
        <v>13</v>
      </c>
      <c r="N641">
        <v>5</v>
      </c>
    </row>
    <row r="642" spans="1:14" x14ac:dyDescent="0.25">
      <c r="A642">
        <v>1641</v>
      </c>
      <c r="B642" s="1">
        <v>45912</v>
      </c>
      <c r="C642" s="4">
        <f>MONTH(datos_ventas[[#This Row],[Fecha]])</f>
        <v>9</v>
      </c>
      <c r="D642" s="4">
        <f>WEEKNUM(datos_ventas[[#This Row],[Fecha]],2)</f>
        <v>37</v>
      </c>
      <c r="E642" t="s">
        <v>23</v>
      </c>
      <c r="F642" t="s">
        <v>18</v>
      </c>
      <c r="G642">
        <v>3</v>
      </c>
      <c r="H642">
        <v>13172</v>
      </c>
      <c r="I642">
        <v>506</v>
      </c>
      <c r="J642" t="s">
        <v>32</v>
      </c>
      <c r="K642" t="str">
        <f>_xlfn.XLOOKUP(datos_ventas[[#This Row],[Ciudad]],Tabla2[Ciudades],Tabla2[Provincias],"no se encuentra")</f>
        <v>Barcelona</v>
      </c>
      <c r="L642" t="str">
        <f>_xlfn.XLOOKUP(datos_ventas[[#This Row],[Provincia]],Tabla2[Provincias],Tabla2[Comunidades],"no se encuentra")</f>
        <v>Cataluña</v>
      </c>
      <c r="M642" t="s">
        <v>13</v>
      </c>
      <c r="N642">
        <v>1</v>
      </c>
    </row>
    <row r="643" spans="1:14" x14ac:dyDescent="0.25">
      <c r="A643">
        <v>1642</v>
      </c>
      <c r="B643" s="1">
        <v>45779</v>
      </c>
      <c r="C643" s="4">
        <f>MONTH(datos_ventas[[#This Row],[Fecha]])</f>
        <v>5</v>
      </c>
      <c r="D643" s="4">
        <f>WEEKNUM(datos_ventas[[#This Row],[Fecha]],2)</f>
        <v>18</v>
      </c>
      <c r="E643" t="s">
        <v>23</v>
      </c>
      <c r="F643" t="s">
        <v>18</v>
      </c>
      <c r="G643">
        <v>3</v>
      </c>
      <c r="H643">
        <v>33235</v>
      </c>
      <c r="I643">
        <v>156</v>
      </c>
      <c r="J643" t="s">
        <v>31</v>
      </c>
      <c r="K643" t="str">
        <f>_xlfn.XLOOKUP(datos_ventas[[#This Row],[Ciudad]],Tabla2[Ciudades],Tabla2[Provincias],"no se encuentra")</f>
        <v>Vizcaya</v>
      </c>
      <c r="L643" t="str">
        <f>_xlfn.XLOOKUP(datos_ventas[[#This Row],[Provincia]],Tabla2[Provincias],Tabla2[Comunidades],"no se encuentra")</f>
        <v>País Vasco</v>
      </c>
      <c r="M643" t="s">
        <v>28</v>
      </c>
      <c r="N643">
        <v>2</v>
      </c>
    </row>
    <row r="644" spans="1:14" x14ac:dyDescent="0.25">
      <c r="A644">
        <v>1643</v>
      </c>
      <c r="B644" s="1">
        <v>45768</v>
      </c>
      <c r="C644" s="4">
        <f>MONTH(datos_ventas[[#This Row],[Fecha]])</f>
        <v>4</v>
      </c>
      <c r="D644" s="4">
        <f>WEEKNUM(datos_ventas[[#This Row],[Fecha]],2)</f>
        <v>17</v>
      </c>
      <c r="E644" t="s">
        <v>16</v>
      </c>
      <c r="F644" t="s">
        <v>11</v>
      </c>
      <c r="G644">
        <v>4</v>
      </c>
      <c r="H644">
        <v>97997</v>
      </c>
      <c r="I644">
        <v>535</v>
      </c>
      <c r="J644" t="s">
        <v>14</v>
      </c>
      <c r="K644" t="str">
        <f>_xlfn.XLOOKUP(datos_ventas[[#This Row],[Ciudad]],Tabla2[Ciudades],Tabla2[Provincias],"no se encuentra")</f>
        <v>Madrid</v>
      </c>
      <c r="L644" t="str">
        <f>_xlfn.XLOOKUP(datos_ventas[[#This Row],[Provincia]],Tabla2[Provincias],Tabla2[Comunidades],"no se encuentra")</f>
        <v>Comunidad de Madrid</v>
      </c>
      <c r="M644" t="s">
        <v>19</v>
      </c>
      <c r="N644">
        <v>2</v>
      </c>
    </row>
    <row r="645" spans="1:14" x14ac:dyDescent="0.25">
      <c r="A645">
        <v>1644</v>
      </c>
      <c r="B645" s="1">
        <v>46005</v>
      </c>
      <c r="C645" s="4">
        <f>MONTH(datos_ventas[[#This Row],[Fecha]])</f>
        <v>12</v>
      </c>
      <c r="D645" s="4">
        <f>WEEKNUM(datos_ventas[[#This Row],[Fecha]],2)</f>
        <v>50</v>
      </c>
      <c r="E645" t="s">
        <v>16</v>
      </c>
      <c r="F645" t="s">
        <v>11</v>
      </c>
      <c r="G645">
        <v>1</v>
      </c>
      <c r="H645">
        <v>25259</v>
      </c>
      <c r="I645">
        <v>2346</v>
      </c>
      <c r="J645" t="s">
        <v>12</v>
      </c>
      <c r="K645" t="str">
        <f>_xlfn.XLOOKUP(datos_ventas[[#This Row],[Ciudad]],Tabla2[Ciudades],Tabla2[Provincias],"no se encuentra")</f>
        <v>Málaga</v>
      </c>
      <c r="L645" t="str">
        <f>_xlfn.XLOOKUP(datos_ventas[[#This Row],[Provincia]],Tabla2[Provincias],Tabla2[Comunidades],"no se encuentra")</f>
        <v>Andalucía</v>
      </c>
      <c r="M645" t="s">
        <v>13</v>
      </c>
      <c r="N645">
        <v>4</v>
      </c>
    </row>
    <row r="646" spans="1:14" x14ac:dyDescent="0.25">
      <c r="A646">
        <v>1645</v>
      </c>
      <c r="B646" s="1">
        <v>45750</v>
      </c>
      <c r="C646" s="4">
        <f>MONTH(datos_ventas[[#This Row],[Fecha]])</f>
        <v>4</v>
      </c>
      <c r="D646" s="4">
        <f>WEEKNUM(datos_ventas[[#This Row],[Fecha]],2)</f>
        <v>14</v>
      </c>
      <c r="E646" t="s">
        <v>20</v>
      </c>
      <c r="F646" t="s">
        <v>21</v>
      </c>
      <c r="G646">
        <v>3</v>
      </c>
      <c r="H646">
        <v>9593</v>
      </c>
      <c r="I646">
        <v>895</v>
      </c>
      <c r="J646" t="s">
        <v>32</v>
      </c>
      <c r="K646" t="str">
        <f>_xlfn.XLOOKUP(datos_ventas[[#This Row],[Ciudad]],Tabla2[Ciudades],Tabla2[Provincias],"no se encuentra")</f>
        <v>Barcelona</v>
      </c>
      <c r="L646" t="str">
        <f>_xlfn.XLOOKUP(datos_ventas[[#This Row],[Provincia]],Tabla2[Provincias],Tabla2[Comunidades],"no se encuentra")</f>
        <v>Cataluña</v>
      </c>
      <c r="M646" t="s">
        <v>19</v>
      </c>
      <c r="N646">
        <v>5</v>
      </c>
    </row>
    <row r="647" spans="1:14" x14ac:dyDescent="0.25">
      <c r="A647">
        <v>1646</v>
      </c>
      <c r="B647" s="1">
        <v>45878</v>
      </c>
      <c r="C647" s="4">
        <f>MONTH(datos_ventas[[#This Row],[Fecha]])</f>
        <v>8</v>
      </c>
      <c r="D647" s="4">
        <f>WEEKNUM(datos_ventas[[#This Row],[Fecha]],2)</f>
        <v>32</v>
      </c>
      <c r="E647" t="s">
        <v>24</v>
      </c>
      <c r="F647" t="s">
        <v>25</v>
      </c>
      <c r="G647">
        <v>1</v>
      </c>
      <c r="H647">
        <v>11982</v>
      </c>
      <c r="I647">
        <v>1503</v>
      </c>
      <c r="J647" t="s">
        <v>12</v>
      </c>
      <c r="K647" t="str">
        <f>_xlfn.XLOOKUP(datos_ventas[[#This Row],[Ciudad]],Tabla2[Ciudades],Tabla2[Provincias],"no se encuentra")</f>
        <v>Málaga</v>
      </c>
      <c r="L647" t="str">
        <f>_xlfn.XLOOKUP(datos_ventas[[#This Row],[Provincia]],Tabla2[Provincias],Tabla2[Comunidades],"no se encuentra")</f>
        <v>Andalucía</v>
      </c>
      <c r="M647" t="s">
        <v>13</v>
      </c>
      <c r="N647">
        <v>2</v>
      </c>
    </row>
    <row r="648" spans="1:14" x14ac:dyDescent="0.25">
      <c r="A648">
        <v>1647</v>
      </c>
      <c r="B648" s="1">
        <v>46012</v>
      </c>
      <c r="C648" s="4">
        <f>MONTH(datos_ventas[[#This Row],[Fecha]])</f>
        <v>12</v>
      </c>
      <c r="D648" s="4">
        <f>WEEKNUM(datos_ventas[[#This Row],[Fecha]],2)</f>
        <v>51</v>
      </c>
      <c r="E648" t="s">
        <v>29</v>
      </c>
      <c r="F648" t="s">
        <v>30</v>
      </c>
      <c r="G648">
        <v>5</v>
      </c>
      <c r="H648">
        <v>3411</v>
      </c>
      <c r="I648">
        <v>2173</v>
      </c>
      <c r="J648" t="s">
        <v>14</v>
      </c>
      <c r="K648" t="str">
        <f>_xlfn.XLOOKUP(datos_ventas[[#This Row],[Ciudad]],Tabla2[Ciudades],Tabla2[Provincias],"no se encuentra")</f>
        <v>Madrid</v>
      </c>
      <c r="L648" t="str">
        <f>_xlfn.XLOOKUP(datos_ventas[[#This Row],[Provincia]],Tabla2[Provincias],Tabla2[Comunidades],"no se encuentra")</f>
        <v>Comunidad de Madrid</v>
      </c>
      <c r="M648" t="s">
        <v>19</v>
      </c>
      <c r="N648">
        <v>2</v>
      </c>
    </row>
    <row r="649" spans="1:14" x14ac:dyDescent="0.25">
      <c r="A649">
        <v>1648</v>
      </c>
      <c r="B649" s="1">
        <v>45937</v>
      </c>
      <c r="C649" s="4">
        <f>MONTH(datos_ventas[[#This Row],[Fecha]])</f>
        <v>10</v>
      </c>
      <c r="D649" s="4">
        <f>WEEKNUM(datos_ventas[[#This Row],[Fecha]],2)</f>
        <v>41</v>
      </c>
      <c r="E649" t="s">
        <v>24</v>
      </c>
      <c r="F649" t="s">
        <v>25</v>
      </c>
      <c r="G649">
        <v>4</v>
      </c>
      <c r="H649">
        <v>17285</v>
      </c>
      <c r="I649">
        <v>4111</v>
      </c>
      <c r="J649" t="s">
        <v>27</v>
      </c>
      <c r="K649" t="str">
        <f>_xlfn.XLOOKUP(datos_ventas[[#This Row],[Ciudad]],Tabla2[Ciudades],Tabla2[Provincias],"no se encuentra")</f>
        <v>Sevilla</v>
      </c>
      <c r="L649" t="str">
        <f>_xlfn.XLOOKUP(datos_ventas[[#This Row],[Provincia]],Tabla2[Provincias],Tabla2[Comunidades],"no se encuentra")</f>
        <v>Andalucía</v>
      </c>
      <c r="M649" t="s">
        <v>28</v>
      </c>
      <c r="N649">
        <v>2</v>
      </c>
    </row>
    <row r="650" spans="1:14" x14ac:dyDescent="0.25">
      <c r="A650">
        <v>1649</v>
      </c>
      <c r="B650" s="1">
        <v>45996</v>
      </c>
      <c r="C650" s="4">
        <f>MONTH(datos_ventas[[#This Row],[Fecha]])</f>
        <v>12</v>
      </c>
      <c r="D650" s="4">
        <f>WEEKNUM(datos_ventas[[#This Row],[Fecha]],2)</f>
        <v>49</v>
      </c>
      <c r="E650" t="s">
        <v>29</v>
      </c>
      <c r="F650" t="s">
        <v>30</v>
      </c>
      <c r="G650">
        <v>3</v>
      </c>
      <c r="H650">
        <v>82344</v>
      </c>
      <c r="I650">
        <v>2766</v>
      </c>
      <c r="J650" t="s">
        <v>32</v>
      </c>
      <c r="K650" t="str">
        <f>_xlfn.XLOOKUP(datos_ventas[[#This Row],[Ciudad]],Tabla2[Ciudades],Tabla2[Provincias],"no se encuentra")</f>
        <v>Barcelona</v>
      </c>
      <c r="L650" t="str">
        <f>_xlfn.XLOOKUP(datos_ventas[[#This Row],[Provincia]],Tabla2[Provincias],Tabla2[Comunidades],"no se encuentra")</f>
        <v>Cataluña</v>
      </c>
      <c r="M650" t="s">
        <v>13</v>
      </c>
      <c r="N650">
        <v>3</v>
      </c>
    </row>
    <row r="651" spans="1:14" x14ac:dyDescent="0.25">
      <c r="A651">
        <v>1650</v>
      </c>
      <c r="B651" s="1">
        <v>45960</v>
      </c>
      <c r="C651" s="4">
        <f>MONTH(datos_ventas[[#This Row],[Fecha]])</f>
        <v>10</v>
      </c>
      <c r="D651" s="4">
        <f>WEEKNUM(datos_ventas[[#This Row],[Fecha]],2)</f>
        <v>44</v>
      </c>
      <c r="E651" t="s">
        <v>29</v>
      </c>
      <c r="F651" t="s">
        <v>30</v>
      </c>
      <c r="G651">
        <v>1</v>
      </c>
      <c r="H651">
        <v>72442</v>
      </c>
      <c r="I651">
        <v>921</v>
      </c>
      <c r="J651" t="s">
        <v>27</v>
      </c>
      <c r="K651" t="str">
        <f>_xlfn.XLOOKUP(datos_ventas[[#This Row],[Ciudad]],Tabla2[Ciudades],Tabla2[Provincias],"no se encuentra")</f>
        <v>Sevilla</v>
      </c>
      <c r="L651" t="str">
        <f>_xlfn.XLOOKUP(datos_ventas[[#This Row],[Provincia]],Tabla2[Provincias],Tabla2[Comunidades],"no se encuentra")</f>
        <v>Andalucía</v>
      </c>
      <c r="M651" t="s">
        <v>15</v>
      </c>
      <c r="N651">
        <v>4</v>
      </c>
    </row>
    <row r="652" spans="1:14" x14ac:dyDescent="0.25">
      <c r="A652">
        <v>1651</v>
      </c>
      <c r="B652" s="1">
        <v>45785</v>
      </c>
      <c r="C652" s="4">
        <f>MONTH(datos_ventas[[#This Row],[Fecha]])</f>
        <v>5</v>
      </c>
      <c r="D652" s="4">
        <f>WEEKNUM(datos_ventas[[#This Row],[Fecha]],2)</f>
        <v>19</v>
      </c>
      <c r="E652" t="s">
        <v>20</v>
      </c>
      <c r="F652" t="s">
        <v>21</v>
      </c>
      <c r="G652">
        <v>5</v>
      </c>
      <c r="H652">
        <v>60535</v>
      </c>
      <c r="I652">
        <v>3659</v>
      </c>
      <c r="J652" t="s">
        <v>32</v>
      </c>
      <c r="K652" t="str">
        <f>_xlfn.XLOOKUP(datos_ventas[[#This Row],[Ciudad]],Tabla2[Ciudades],Tabla2[Provincias],"no se encuentra")</f>
        <v>Barcelona</v>
      </c>
      <c r="L652" t="str">
        <f>_xlfn.XLOOKUP(datos_ventas[[#This Row],[Provincia]],Tabla2[Provincias],Tabla2[Comunidades],"no se encuentra")</f>
        <v>Cataluña</v>
      </c>
      <c r="M652" t="s">
        <v>15</v>
      </c>
      <c r="N652">
        <v>2</v>
      </c>
    </row>
    <row r="653" spans="1:14" x14ac:dyDescent="0.25">
      <c r="A653">
        <v>1652</v>
      </c>
      <c r="B653" s="1">
        <v>45753</v>
      </c>
      <c r="C653" s="4">
        <f>MONTH(datos_ventas[[#This Row],[Fecha]])</f>
        <v>4</v>
      </c>
      <c r="D653" s="4">
        <f>WEEKNUM(datos_ventas[[#This Row],[Fecha]],2)</f>
        <v>14</v>
      </c>
      <c r="E653" t="s">
        <v>26</v>
      </c>
      <c r="F653" t="s">
        <v>18</v>
      </c>
      <c r="G653">
        <v>5</v>
      </c>
      <c r="H653">
        <v>30213</v>
      </c>
      <c r="I653">
        <v>159</v>
      </c>
      <c r="J653" t="s">
        <v>14</v>
      </c>
      <c r="K653" t="str">
        <f>_xlfn.XLOOKUP(datos_ventas[[#This Row],[Ciudad]],Tabla2[Ciudades],Tabla2[Provincias],"no se encuentra")</f>
        <v>Madrid</v>
      </c>
      <c r="L653" t="str">
        <f>_xlfn.XLOOKUP(datos_ventas[[#This Row],[Provincia]],Tabla2[Provincias],Tabla2[Comunidades],"no se encuentra")</f>
        <v>Comunidad de Madrid</v>
      </c>
      <c r="M653" t="s">
        <v>15</v>
      </c>
      <c r="N653">
        <v>4</v>
      </c>
    </row>
    <row r="654" spans="1:14" x14ac:dyDescent="0.25">
      <c r="A654">
        <v>1653</v>
      </c>
      <c r="B654" s="1">
        <v>45899</v>
      </c>
      <c r="C654" s="4">
        <f>MONTH(datos_ventas[[#This Row],[Fecha]])</f>
        <v>8</v>
      </c>
      <c r="D654" s="4">
        <f>WEEKNUM(datos_ventas[[#This Row],[Fecha]],2)</f>
        <v>35</v>
      </c>
      <c r="E654" t="s">
        <v>29</v>
      </c>
      <c r="F654" t="s">
        <v>30</v>
      </c>
      <c r="G654">
        <v>1</v>
      </c>
      <c r="H654">
        <v>116307</v>
      </c>
      <c r="I654">
        <v>3122</v>
      </c>
      <c r="J654" t="s">
        <v>22</v>
      </c>
      <c r="K654" t="str">
        <f>_xlfn.XLOOKUP(datos_ventas[[#This Row],[Ciudad]],Tabla2[Ciudades],Tabla2[Provincias],"no se encuentra")</f>
        <v>Valencia</v>
      </c>
      <c r="L654" t="str">
        <f>_xlfn.XLOOKUP(datos_ventas[[#This Row],[Provincia]],Tabla2[Provincias],Tabla2[Comunidades],"no se encuentra")</f>
        <v>Comunidad Valenciana</v>
      </c>
      <c r="M654" t="s">
        <v>19</v>
      </c>
      <c r="N654">
        <v>2</v>
      </c>
    </row>
    <row r="655" spans="1:14" x14ac:dyDescent="0.25">
      <c r="A655">
        <v>1654</v>
      </c>
      <c r="B655" s="1">
        <v>45995</v>
      </c>
      <c r="C655" s="4">
        <f>MONTH(datos_ventas[[#This Row],[Fecha]])</f>
        <v>12</v>
      </c>
      <c r="D655" s="4">
        <f>WEEKNUM(datos_ventas[[#This Row],[Fecha]],2)</f>
        <v>49</v>
      </c>
      <c r="E655" t="s">
        <v>29</v>
      </c>
      <c r="F655" t="s">
        <v>30</v>
      </c>
      <c r="G655">
        <v>3</v>
      </c>
      <c r="H655">
        <v>11426</v>
      </c>
      <c r="I655">
        <v>1821</v>
      </c>
      <c r="J655" t="s">
        <v>22</v>
      </c>
      <c r="K655" t="str">
        <f>_xlfn.XLOOKUP(datos_ventas[[#This Row],[Ciudad]],Tabla2[Ciudades],Tabla2[Provincias],"no se encuentra")</f>
        <v>Valencia</v>
      </c>
      <c r="L655" t="str">
        <f>_xlfn.XLOOKUP(datos_ventas[[#This Row],[Provincia]],Tabla2[Provincias],Tabla2[Comunidades],"no se encuentra")</f>
        <v>Comunidad Valenciana</v>
      </c>
      <c r="M655" t="s">
        <v>15</v>
      </c>
      <c r="N655">
        <v>2</v>
      </c>
    </row>
    <row r="656" spans="1:14" x14ac:dyDescent="0.25">
      <c r="A656">
        <v>1655</v>
      </c>
      <c r="B656" s="1">
        <v>45873</v>
      </c>
      <c r="C656" s="4">
        <f>MONTH(datos_ventas[[#This Row],[Fecha]])</f>
        <v>8</v>
      </c>
      <c r="D656" s="4">
        <f>WEEKNUM(datos_ventas[[#This Row],[Fecha]],2)</f>
        <v>32</v>
      </c>
      <c r="E656" t="s">
        <v>10</v>
      </c>
      <c r="F656" t="s">
        <v>11</v>
      </c>
      <c r="G656">
        <v>5</v>
      </c>
      <c r="H656">
        <v>3926</v>
      </c>
      <c r="I656">
        <v>1298</v>
      </c>
      <c r="J656" t="s">
        <v>32</v>
      </c>
      <c r="K656" t="str">
        <f>_xlfn.XLOOKUP(datos_ventas[[#This Row],[Ciudad]],Tabla2[Ciudades],Tabla2[Provincias],"no se encuentra")</f>
        <v>Barcelona</v>
      </c>
      <c r="L656" t="str">
        <f>_xlfn.XLOOKUP(datos_ventas[[#This Row],[Provincia]],Tabla2[Provincias],Tabla2[Comunidades],"no se encuentra")</f>
        <v>Cataluña</v>
      </c>
      <c r="M656" t="s">
        <v>13</v>
      </c>
      <c r="N656">
        <v>4</v>
      </c>
    </row>
    <row r="657" spans="1:14" x14ac:dyDescent="0.25">
      <c r="A657">
        <v>1656</v>
      </c>
      <c r="B657" s="1">
        <v>45739</v>
      </c>
      <c r="C657" s="4">
        <f>MONTH(datos_ventas[[#This Row],[Fecha]])</f>
        <v>3</v>
      </c>
      <c r="D657" s="4">
        <f>WEEKNUM(datos_ventas[[#This Row],[Fecha]],2)</f>
        <v>12</v>
      </c>
      <c r="E657" t="s">
        <v>10</v>
      </c>
      <c r="F657" t="s">
        <v>11</v>
      </c>
      <c r="G657">
        <v>5</v>
      </c>
      <c r="H657">
        <v>906</v>
      </c>
      <c r="I657">
        <v>1456</v>
      </c>
      <c r="J657" t="s">
        <v>22</v>
      </c>
      <c r="K657" t="str">
        <f>_xlfn.XLOOKUP(datos_ventas[[#This Row],[Ciudad]],Tabla2[Ciudades],Tabla2[Provincias],"no se encuentra")</f>
        <v>Valencia</v>
      </c>
      <c r="L657" t="str">
        <f>_xlfn.XLOOKUP(datos_ventas[[#This Row],[Provincia]],Tabla2[Provincias],Tabla2[Comunidades],"no se encuentra")</f>
        <v>Comunidad Valenciana</v>
      </c>
      <c r="M657" t="s">
        <v>15</v>
      </c>
      <c r="N657">
        <v>2</v>
      </c>
    </row>
    <row r="658" spans="1:14" x14ac:dyDescent="0.25">
      <c r="A658">
        <v>1657</v>
      </c>
      <c r="B658" s="1">
        <v>45736</v>
      </c>
      <c r="C658" s="4">
        <f>MONTH(datos_ventas[[#This Row],[Fecha]])</f>
        <v>3</v>
      </c>
      <c r="D658" s="4">
        <f>WEEKNUM(datos_ventas[[#This Row],[Fecha]],2)</f>
        <v>12</v>
      </c>
      <c r="E658" t="s">
        <v>20</v>
      </c>
      <c r="F658" t="s">
        <v>21</v>
      </c>
      <c r="G658">
        <v>1</v>
      </c>
      <c r="H658">
        <v>6072</v>
      </c>
      <c r="I658">
        <v>703</v>
      </c>
      <c r="J658" t="s">
        <v>32</v>
      </c>
      <c r="K658" t="str">
        <f>_xlfn.XLOOKUP(datos_ventas[[#This Row],[Ciudad]],Tabla2[Ciudades],Tabla2[Provincias],"no se encuentra")</f>
        <v>Barcelona</v>
      </c>
      <c r="L658" t="str">
        <f>_xlfn.XLOOKUP(datos_ventas[[#This Row],[Provincia]],Tabla2[Provincias],Tabla2[Comunidades],"no se encuentra")</f>
        <v>Cataluña</v>
      </c>
      <c r="M658" t="s">
        <v>19</v>
      </c>
      <c r="N658">
        <v>4</v>
      </c>
    </row>
    <row r="659" spans="1:14" x14ac:dyDescent="0.25">
      <c r="A659">
        <v>1658</v>
      </c>
      <c r="B659" s="1">
        <v>45976</v>
      </c>
      <c r="C659" s="4">
        <f>MONTH(datos_ventas[[#This Row],[Fecha]])</f>
        <v>11</v>
      </c>
      <c r="D659" s="4">
        <f>WEEKNUM(datos_ventas[[#This Row],[Fecha]],2)</f>
        <v>46</v>
      </c>
      <c r="E659" t="s">
        <v>10</v>
      </c>
      <c r="F659" t="s">
        <v>11</v>
      </c>
      <c r="G659">
        <v>1</v>
      </c>
      <c r="H659">
        <v>48914</v>
      </c>
      <c r="I659">
        <v>2085</v>
      </c>
      <c r="J659" t="s">
        <v>32</v>
      </c>
      <c r="K659" t="str">
        <f>_xlfn.XLOOKUP(datos_ventas[[#This Row],[Ciudad]],Tabla2[Ciudades],Tabla2[Provincias],"no se encuentra")</f>
        <v>Barcelona</v>
      </c>
      <c r="L659" t="str">
        <f>_xlfn.XLOOKUP(datos_ventas[[#This Row],[Provincia]],Tabla2[Provincias],Tabla2[Comunidades],"no se encuentra")</f>
        <v>Cataluña</v>
      </c>
      <c r="M659" t="s">
        <v>19</v>
      </c>
      <c r="N659">
        <v>3</v>
      </c>
    </row>
    <row r="660" spans="1:14" x14ac:dyDescent="0.25">
      <c r="A660">
        <v>1659</v>
      </c>
      <c r="B660" s="1">
        <v>45927</v>
      </c>
      <c r="C660" s="4">
        <f>MONTH(datos_ventas[[#This Row],[Fecha]])</f>
        <v>9</v>
      </c>
      <c r="D660" s="4">
        <f>WEEKNUM(datos_ventas[[#This Row],[Fecha]],2)</f>
        <v>39</v>
      </c>
      <c r="E660" t="s">
        <v>26</v>
      </c>
      <c r="F660" t="s">
        <v>18</v>
      </c>
      <c r="G660">
        <v>5</v>
      </c>
      <c r="H660">
        <v>87324</v>
      </c>
      <c r="I660">
        <v>1088</v>
      </c>
      <c r="J660" t="s">
        <v>14</v>
      </c>
      <c r="K660" t="str">
        <f>_xlfn.XLOOKUP(datos_ventas[[#This Row],[Ciudad]],Tabla2[Ciudades],Tabla2[Provincias],"no se encuentra")</f>
        <v>Madrid</v>
      </c>
      <c r="L660" t="str">
        <f>_xlfn.XLOOKUP(datos_ventas[[#This Row],[Provincia]],Tabla2[Provincias],Tabla2[Comunidades],"no se encuentra")</f>
        <v>Comunidad de Madrid</v>
      </c>
      <c r="M660" t="s">
        <v>13</v>
      </c>
      <c r="N660">
        <v>5</v>
      </c>
    </row>
    <row r="661" spans="1:14" x14ac:dyDescent="0.25">
      <c r="A661">
        <v>1660</v>
      </c>
      <c r="B661" s="1">
        <v>45844</v>
      </c>
      <c r="C661" s="4">
        <f>MONTH(datos_ventas[[#This Row],[Fecha]])</f>
        <v>7</v>
      </c>
      <c r="D661" s="4">
        <f>WEEKNUM(datos_ventas[[#This Row],[Fecha]],2)</f>
        <v>27</v>
      </c>
      <c r="E661" t="s">
        <v>16</v>
      </c>
      <c r="F661" t="s">
        <v>11</v>
      </c>
      <c r="G661">
        <v>4</v>
      </c>
      <c r="H661">
        <v>59701</v>
      </c>
      <c r="I661">
        <v>297</v>
      </c>
      <c r="J661" t="s">
        <v>27</v>
      </c>
      <c r="K661" t="str">
        <f>_xlfn.XLOOKUP(datos_ventas[[#This Row],[Ciudad]],Tabla2[Ciudades],Tabla2[Provincias],"no se encuentra")</f>
        <v>Sevilla</v>
      </c>
      <c r="L661" t="str">
        <f>_xlfn.XLOOKUP(datos_ventas[[#This Row],[Provincia]],Tabla2[Provincias],Tabla2[Comunidades],"no se encuentra")</f>
        <v>Andalucía</v>
      </c>
      <c r="M661" t="s">
        <v>28</v>
      </c>
      <c r="N661">
        <v>2</v>
      </c>
    </row>
    <row r="662" spans="1:14" x14ac:dyDescent="0.25">
      <c r="A662">
        <v>1661</v>
      </c>
      <c r="B662" s="1">
        <v>45947</v>
      </c>
      <c r="C662" s="4">
        <f>MONTH(datos_ventas[[#This Row],[Fecha]])</f>
        <v>10</v>
      </c>
      <c r="D662" s="4">
        <f>WEEKNUM(datos_ventas[[#This Row],[Fecha]],2)</f>
        <v>42</v>
      </c>
      <c r="E662" t="s">
        <v>20</v>
      </c>
      <c r="F662" t="s">
        <v>21</v>
      </c>
      <c r="G662">
        <v>2</v>
      </c>
      <c r="H662">
        <v>28869</v>
      </c>
      <c r="I662">
        <v>1952</v>
      </c>
      <c r="J662" t="s">
        <v>27</v>
      </c>
      <c r="K662" t="str">
        <f>_xlfn.XLOOKUP(datos_ventas[[#This Row],[Ciudad]],Tabla2[Ciudades],Tabla2[Provincias],"no se encuentra")</f>
        <v>Sevilla</v>
      </c>
      <c r="L662" t="str">
        <f>_xlfn.XLOOKUP(datos_ventas[[#This Row],[Provincia]],Tabla2[Provincias],Tabla2[Comunidades],"no se encuentra")</f>
        <v>Andalucía</v>
      </c>
      <c r="M662" t="s">
        <v>13</v>
      </c>
      <c r="N662">
        <v>2</v>
      </c>
    </row>
    <row r="663" spans="1:14" x14ac:dyDescent="0.25">
      <c r="A663">
        <v>1662</v>
      </c>
      <c r="B663" s="1">
        <v>45777</v>
      </c>
      <c r="C663" s="4">
        <f>MONTH(datos_ventas[[#This Row],[Fecha]])</f>
        <v>4</v>
      </c>
      <c r="D663" s="4">
        <f>WEEKNUM(datos_ventas[[#This Row],[Fecha]],2)</f>
        <v>18</v>
      </c>
      <c r="E663" t="s">
        <v>10</v>
      </c>
      <c r="F663" t="s">
        <v>11</v>
      </c>
      <c r="G663">
        <v>5</v>
      </c>
      <c r="H663">
        <v>63513</v>
      </c>
      <c r="I663">
        <v>2748</v>
      </c>
      <c r="J663" t="s">
        <v>27</v>
      </c>
      <c r="K663" t="str">
        <f>_xlfn.XLOOKUP(datos_ventas[[#This Row],[Ciudad]],Tabla2[Ciudades],Tabla2[Provincias],"no se encuentra")</f>
        <v>Sevilla</v>
      </c>
      <c r="L663" t="str">
        <f>_xlfn.XLOOKUP(datos_ventas[[#This Row],[Provincia]],Tabla2[Provincias],Tabla2[Comunidades],"no se encuentra")</f>
        <v>Andalucía</v>
      </c>
      <c r="M663" t="s">
        <v>15</v>
      </c>
      <c r="N663">
        <v>3</v>
      </c>
    </row>
    <row r="664" spans="1:14" x14ac:dyDescent="0.25">
      <c r="A664">
        <v>1663</v>
      </c>
      <c r="B664" s="1">
        <v>45702</v>
      </c>
      <c r="C664" s="4">
        <f>MONTH(datos_ventas[[#This Row],[Fecha]])</f>
        <v>2</v>
      </c>
      <c r="D664" s="4">
        <f>WEEKNUM(datos_ventas[[#This Row],[Fecha]],2)</f>
        <v>7</v>
      </c>
      <c r="E664" t="s">
        <v>10</v>
      </c>
      <c r="F664" t="s">
        <v>11</v>
      </c>
      <c r="G664">
        <v>3</v>
      </c>
      <c r="H664">
        <v>42458</v>
      </c>
      <c r="I664">
        <v>125</v>
      </c>
      <c r="J664" t="s">
        <v>12</v>
      </c>
      <c r="K664" t="str">
        <f>_xlfn.XLOOKUP(datos_ventas[[#This Row],[Ciudad]],Tabla2[Ciudades],Tabla2[Provincias],"no se encuentra")</f>
        <v>Málaga</v>
      </c>
      <c r="L664" t="str">
        <f>_xlfn.XLOOKUP(datos_ventas[[#This Row],[Provincia]],Tabla2[Provincias],Tabla2[Comunidades],"no se encuentra")</f>
        <v>Andalucía</v>
      </c>
      <c r="M664" t="s">
        <v>15</v>
      </c>
      <c r="N664">
        <v>3</v>
      </c>
    </row>
    <row r="665" spans="1:14" x14ac:dyDescent="0.25">
      <c r="A665">
        <v>1664</v>
      </c>
      <c r="B665" s="1">
        <v>45805</v>
      </c>
      <c r="C665" s="4">
        <f>MONTH(datos_ventas[[#This Row],[Fecha]])</f>
        <v>5</v>
      </c>
      <c r="D665" s="4">
        <f>WEEKNUM(datos_ventas[[#This Row],[Fecha]],2)</f>
        <v>22</v>
      </c>
      <c r="E665" t="s">
        <v>26</v>
      </c>
      <c r="F665" t="s">
        <v>18</v>
      </c>
      <c r="G665">
        <v>5</v>
      </c>
      <c r="H665">
        <v>26329</v>
      </c>
      <c r="I665">
        <v>1981</v>
      </c>
      <c r="J665" t="s">
        <v>27</v>
      </c>
      <c r="K665" t="str">
        <f>_xlfn.XLOOKUP(datos_ventas[[#This Row],[Ciudad]],Tabla2[Ciudades],Tabla2[Provincias],"no se encuentra")</f>
        <v>Sevilla</v>
      </c>
      <c r="L665" t="str">
        <f>_xlfn.XLOOKUP(datos_ventas[[#This Row],[Provincia]],Tabla2[Provincias],Tabla2[Comunidades],"no se encuentra")</f>
        <v>Andalucía</v>
      </c>
      <c r="M665" t="s">
        <v>28</v>
      </c>
      <c r="N665">
        <v>3</v>
      </c>
    </row>
    <row r="666" spans="1:14" x14ac:dyDescent="0.25">
      <c r="A666">
        <v>1665</v>
      </c>
      <c r="B666" s="1">
        <v>46002</v>
      </c>
      <c r="C666" s="4">
        <f>MONTH(datos_ventas[[#This Row],[Fecha]])</f>
        <v>12</v>
      </c>
      <c r="D666" s="4">
        <f>WEEKNUM(datos_ventas[[#This Row],[Fecha]],2)</f>
        <v>50</v>
      </c>
      <c r="E666" t="s">
        <v>26</v>
      </c>
      <c r="F666" t="s">
        <v>18</v>
      </c>
      <c r="G666">
        <v>4</v>
      </c>
      <c r="H666">
        <v>96212</v>
      </c>
      <c r="I666">
        <v>4976</v>
      </c>
      <c r="J666" t="s">
        <v>12</v>
      </c>
      <c r="K666" t="str">
        <f>_xlfn.XLOOKUP(datos_ventas[[#This Row],[Ciudad]],Tabla2[Ciudades],Tabla2[Provincias],"no se encuentra")</f>
        <v>Málaga</v>
      </c>
      <c r="L666" t="str">
        <f>_xlfn.XLOOKUP(datos_ventas[[#This Row],[Provincia]],Tabla2[Provincias],Tabla2[Comunidades],"no se encuentra")</f>
        <v>Andalucía</v>
      </c>
      <c r="M666" t="s">
        <v>19</v>
      </c>
      <c r="N666">
        <v>3</v>
      </c>
    </row>
    <row r="667" spans="1:14" x14ac:dyDescent="0.25">
      <c r="A667">
        <v>1666</v>
      </c>
      <c r="B667" s="1">
        <v>45923</v>
      </c>
      <c r="C667" s="4">
        <f>MONTH(datos_ventas[[#This Row],[Fecha]])</f>
        <v>9</v>
      </c>
      <c r="D667" s="4">
        <f>WEEKNUM(datos_ventas[[#This Row],[Fecha]],2)</f>
        <v>39</v>
      </c>
      <c r="E667" t="s">
        <v>17</v>
      </c>
      <c r="F667" t="s">
        <v>18</v>
      </c>
      <c r="G667">
        <v>2</v>
      </c>
      <c r="H667">
        <v>96322</v>
      </c>
      <c r="I667">
        <v>4759</v>
      </c>
      <c r="J667" t="s">
        <v>32</v>
      </c>
      <c r="K667" t="str">
        <f>_xlfn.XLOOKUP(datos_ventas[[#This Row],[Ciudad]],Tabla2[Ciudades],Tabla2[Provincias],"no se encuentra")</f>
        <v>Barcelona</v>
      </c>
      <c r="L667" t="str">
        <f>_xlfn.XLOOKUP(datos_ventas[[#This Row],[Provincia]],Tabla2[Provincias],Tabla2[Comunidades],"no se encuentra")</f>
        <v>Cataluña</v>
      </c>
      <c r="M667" t="s">
        <v>28</v>
      </c>
      <c r="N667">
        <v>2</v>
      </c>
    </row>
    <row r="668" spans="1:14" x14ac:dyDescent="0.25">
      <c r="A668">
        <v>1667</v>
      </c>
      <c r="B668" s="1">
        <v>45937</v>
      </c>
      <c r="C668" s="4">
        <f>MONTH(datos_ventas[[#This Row],[Fecha]])</f>
        <v>10</v>
      </c>
      <c r="D668" s="4">
        <f>WEEKNUM(datos_ventas[[#This Row],[Fecha]],2)</f>
        <v>41</v>
      </c>
      <c r="E668" t="s">
        <v>16</v>
      </c>
      <c r="F668" t="s">
        <v>11</v>
      </c>
      <c r="G668">
        <v>5</v>
      </c>
      <c r="H668">
        <v>4826</v>
      </c>
      <c r="I668">
        <v>2985</v>
      </c>
      <c r="J668" t="s">
        <v>14</v>
      </c>
      <c r="K668" t="str">
        <f>_xlfn.XLOOKUP(datos_ventas[[#This Row],[Ciudad]],Tabla2[Ciudades],Tabla2[Provincias],"no se encuentra")</f>
        <v>Madrid</v>
      </c>
      <c r="L668" t="str">
        <f>_xlfn.XLOOKUP(datos_ventas[[#This Row],[Provincia]],Tabla2[Provincias],Tabla2[Comunidades],"no se encuentra")</f>
        <v>Comunidad de Madrid</v>
      </c>
      <c r="M668" t="s">
        <v>28</v>
      </c>
      <c r="N668">
        <v>4</v>
      </c>
    </row>
    <row r="669" spans="1:14" x14ac:dyDescent="0.25">
      <c r="A669">
        <v>1668</v>
      </c>
      <c r="B669" s="1">
        <v>45796</v>
      </c>
      <c r="C669" s="4">
        <f>MONTH(datos_ventas[[#This Row],[Fecha]])</f>
        <v>5</v>
      </c>
      <c r="D669" s="4">
        <f>WEEKNUM(datos_ventas[[#This Row],[Fecha]],2)</f>
        <v>21</v>
      </c>
      <c r="E669" t="s">
        <v>20</v>
      </c>
      <c r="F669" t="s">
        <v>21</v>
      </c>
      <c r="G669">
        <v>5</v>
      </c>
      <c r="H669">
        <v>25992</v>
      </c>
      <c r="I669">
        <v>4808</v>
      </c>
      <c r="J669" t="s">
        <v>31</v>
      </c>
      <c r="K669" t="str">
        <f>_xlfn.XLOOKUP(datos_ventas[[#This Row],[Ciudad]],Tabla2[Ciudades],Tabla2[Provincias],"no se encuentra")</f>
        <v>Vizcaya</v>
      </c>
      <c r="L669" t="str">
        <f>_xlfn.XLOOKUP(datos_ventas[[#This Row],[Provincia]],Tabla2[Provincias],Tabla2[Comunidades],"no se encuentra")</f>
        <v>País Vasco</v>
      </c>
      <c r="M669" t="s">
        <v>28</v>
      </c>
      <c r="N669">
        <v>5</v>
      </c>
    </row>
    <row r="670" spans="1:14" x14ac:dyDescent="0.25">
      <c r="A670">
        <v>1669</v>
      </c>
      <c r="B670" s="1">
        <v>45995</v>
      </c>
      <c r="C670" s="4">
        <f>MONTH(datos_ventas[[#This Row],[Fecha]])</f>
        <v>12</v>
      </c>
      <c r="D670" s="4">
        <f>WEEKNUM(datos_ventas[[#This Row],[Fecha]],2)</f>
        <v>49</v>
      </c>
      <c r="E670" t="s">
        <v>24</v>
      </c>
      <c r="F670" t="s">
        <v>25</v>
      </c>
      <c r="G670">
        <v>5</v>
      </c>
      <c r="H670">
        <v>886</v>
      </c>
      <c r="I670">
        <v>1718</v>
      </c>
      <c r="J670" t="s">
        <v>14</v>
      </c>
      <c r="K670" t="str">
        <f>_xlfn.XLOOKUP(datos_ventas[[#This Row],[Ciudad]],Tabla2[Ciudades],Tabla2[Provincias],"no se encuentra")</f>
        <v>Madrid</v>
      </c>
      <c r="L670" t="str">
        <f>_xlfn.XLOOKUP(datos_ventas[[#This Row],[Provincia]],Tabla2[Provincias],Tabla2[Comunidades],"no se encuentra")</f>
        <v>Comunidad de Madrid</v>
      </c>
      <c r="M670" t="s">
        <v>28</v>
      </c>
      <c r="N670">
        <v>5</v>
      </c>
    </row>
    <row r="671" spans="1:14" x14ac:dyDescent="0.25">
      <c r="A671">
        <v>1670</v>
      </c>
      <c r="B671" s="1">
        <v>45679</v>
      </c>
      <c r="C671" s="4">
        <f>MONTH(datos_ventas[[#This Row],[Fecha]])</f>
        <v>1</v>
      </c>
      <c r="D671" s="4">
        <f>WEEKNUM(datos_ventas[[#This Row],[Fecha]],2)</f>
        <v>4</v>
      </c>
      <c r="E671" t="s">
        <v>26</v>
      </c>
      <c r="F671" t="s">
        <v>18</v>
      </c>
      <c r="G671">
        <v>3</v>
      </c>
      <c r="H671">
        <v>1320</v>
      </c>
      <c r="I671">
        <v>922</v>
      </c>
      <c r="J671" t="s">
        <v>32</v>
      </c>
      <c r="K671" t="str">
        <f>_xlfn.XLOOKUP(datos_ventas[[#This Row],[Ciudad]],Tabla2[Ciudades],Tabla2[Provincias],"no se encuentra")</f>
        <v>Barcelona</v>
      </c>
      <c r="L671" t="str">
        <f>_xlfn.XLOOKUP(datos_ventas[[#This Row],[Provincia]],Tabla2[Provincias],Tabla2[Comunidades],"no se encuentra")</f>
        <v>Cataluña</v>
      </c>
      <c r="M671" t="s">
        <v>15</v>
      </c>
      <c r="N671">
        <v>5</v>
      </c>
    </row>
    <row r="672" spans="1:14" x14ac:dyDescent="0.25">
      <c r="A672">
        <v>1671</v>
      </c>
      <c r="B672" s="1">
        <v>45869</v>
      </c>
      <c r="C672" s="4">
        <f>MONTH(datos_ventas[[#This Row],[Fecha]])</f>
        <v>7</v>
      </c>
      <c r="D672" s="4">
        <f>WEEKNUM(datos_ventas[[#This Row],[Fecha]],2)</f>
        <v>31</v>
      </c>
      <c r="E672" t="s">
        <v>16</v>
      </c>
      <c r="F672" t="s">
        <v>11</v>
      </c>
      <c r="G672">
        <v>3</v>
      </c>
      <c r="H672">
        <v>114653</v>
      </c>
      <c r="I672">
        <v>2362</v>
      </c>
      <c r="J672" t="s">
        <v>32</v>
      </c>
      <c r="K672" t="str">
        <f>_xlfn.XLOOKUP(datos_ventas[[#This Row],[Ciudad]],Tabla2[Ciudades],Tabla2[Provincias],"no se encuentra")</f>
        <v>Barcelona</v>
      </c>
      <c r="L672" t="str">
        <f>_xlfn.XLOOKUP(datos_ventas[[#This Row],[Provincia]],Tabla2[Provincias],Tabla2[Comunidades],"no se encuentra")</f>
        <v>Cataluña</v>
      </c>
      <c r="M672" t="s">
        <v>28</v>
      </c>
      <c r="N672">
        <v>3</v>
      </c>
    </row>
    <row r="673" spans="1:14" x14ac:dyDescent="0.25">
      <c r="A673">
        <v>1672</v>
      </c>
      <c r="B673" s="1">
        <v>45687</v>
      </c>
      <c r="C673" s="4">
        <f>MONTH(datos_ventas[[#This Row],[Fecha]])</f>
        <v>1</v>
      </c>
      <c r="D673" s="4">
        <f>WEEKNUM(datos_ventas[[#This Row],[Fecha]],2)</f>
        <v>5</v>
      </c>
      <c r="E673" t="s">
        <v>16</v>
      </c>
      <c r="F673" t="s">
        <v>11</v>
      </c>
      <c r="G673">
        <v>2</v>
      </c>
      <c r="H673">
        <v>60223</v>
      </c>
      <c r="I673">
        <v>1086</v>
      </c>
      <c r="J673" t="s">
        <v>32</v>
      </c>
      <c r="K673" t="str">
        <f>_xlfn.XLOOKUP(datos_ventas[[#This Row],[Ciudad]],Tabla2[Ciudades],Tabla2[Provincias],"no se encuentra")</f>
        <v>Barcelona</v>
      </c>
      <c r="L673" t="str">
        <f>_xlfn.XLOOKUP(datos_ventas[[#This Row],[Provincia]],Tabla2[Provincias],Tabla2[Comunidades],"no se encuentra")</f>
        <v>Cataluña</v>
      </c>
      <c r="M673" t="s">
        <v>19</v>
      </c>
      <c r="N673">
        <v>1</v>
      </c>
    </row>
    <row r="674" spans="1:14" x14ac:dyDescent="0.25">
      <c r="A674">
        <v>1673</v>
      </c>
      <c r="B674" s="1">
        <v>45842</v>
      </c>
      <c r="C674" s="4">
        <f>MONTH(datos_ventas[[#This Row],[Fecha]])</f>
        <v>7</v>
      </c>
      <c r="D674" s="4">
        <f>WEEKNUM(datos_ventas[[#This Row],[Fecha]],2)</f>
        <v>27</v>
      </c>
      <c r="E674" t="s">
        <v>16</v>
      </c>
      <c r="F674" t="s">
        <v>11</v>
      </c>
      <c r="G674">
        <v>3</v>
      </c>
      <c r="H674">
        <v>111576</v>
      </c>
      <c r="I674">
        <v>331</v>
      </c>
      <c r="J674" t="s">
        <v>31</v>
      </c>
      <c r="K674" t="str">
        <f>_xlfn.XLOOKUP(datos_ventas[[#This Row],[Ciudad]],Tabla2[Ciudades],Tabla2[Provincias],"no se encuentra")</f>
        <v>Vizcaya</v>
      </c>
      <c r="L674" t="str">
        <f>_xlfn.XLOOKUP(datos_ventas[[#This Row],[Provincia]],Tabla2[Provincias],Tabla2[Comunidades],"no se encuentra")</f>
        <v>País Vasco</v>
      </c>
      <c r="M674" t="s">
        <v>28</v>
      </c>
      <c r="N674">
        <v>2</v>
      </c>
    </row>
    <row r="675" spans="1:14" x14ac:dyDescent="0.25">
      <c r="A675">
        <v>1674</v>
      </c>
      <c r="B675" s="1">
        <v>45934</v>
      </c>
      <c r="C675" s="4">
        <f>MONTH(datos_ventas[[#This Row],[Fecha]])</f>
        <v>10</v>
      </c>
      <c r="D675" s="4">
        <f>WEEKNUM(datos_ventas[[#This Row],[Fecha]],2)</f>
        <v>40</v>
      </c>
      <c r="E675" t="s">
        <v>16</v>
      </c>
      <c r="F675" t="s">
        <v>11</v>
      </c>
      <c r="G675">
        <v>3</v>
      </c>
      <c r="H675">
        <v>11312</v>
      </c>
      <c r="I675">
        <v>3412</v>
      </c>
      <c r="J675" t="s">
        <v>32</v>
      </c>
      <c r="K675" t="str">
        <f>_xlfn.XLOOKUP(datos_ventas[[#This Row],[Ciudad]],Tabla2[Ciudades],Tabla2[Provincias],"no se encuentra")</f>
        <v>Barcelona</v>
      </c>
      <c r="L675" t="str">
        <f>_xlfn.XLOOKUP(datos_ventas[[#This Row],[Provincia]],Tabla2[Provincias],Tabla2[Comunidades],"no se encuentra")</f>
        <v>Cataluña</v>
      </c>
      <c r="M675" t="s">
        <v>13</v>
      </c>
      <c r="N675">
        <v>4</v>
      </c>
    </row>
    <row r="676" spans="1:14" x14ac:dyDescent="0.25">
      <c r="A676">
        <v>1675</v>
      </c>
      <c r="B676" s="1">
        <v>45879</v>
      </c>
      <c r="C676" s="4">
        <f>MONTH(datos_ventas[[#This Row],[Fecha]])</f>
        <v>8</v>
      </c>
      <c r="D676" s="4">
        <f>WEEKNUM(datos_ventas[[#This Row],[Fecha]],2)</f>
        <v>32</v>
      </c>
      <c r="E676" t="s">
        <v>29</v>
      </c>
      <c r="F676" t="s">
        <v>30</v>
      </c>
      <c r="G676">
        <v>5</v>
      </c>
      <c r="H676">
        <v>39709</v>
      </c>
      <c r="I676">
        <v>4997</v>
      </c>
      <c r="J676" t="s">
        <v>31</v>
      </c>
      <c r="K676" t="str">
        <f>_xlfn.XLOOKUP(datos_ventas[[#This Row],[Ciudad]],Tabla2[Ciudades],Tabla2[Provincias],"no se encuentra")</f>
        <v>Vizcaya</v>
      </c>
      <c r="L676" t="str">
        <f>_xlfn.XLOOKUP(datos_ventas[[#This Row],[Provincia]],Tabla2[Provincias],Tabla2[Comunidades],"no se encuentra")</f>
        <v>País Vasco</v>
      </c>
      <c r="M676" t="s">
        <v>28</v>
      </c>
      <c r="N676">
        <v>4</v>
      </c>
    </row>
    <row r="677" spans="1:14" x14ac:dyDescent="0.25">
      <c r="A677">
        <v>1676</v>
      </c>
      <c r="B677" s="1">
        <v>45803</v>
      </c>
      <c r="C677" s="4">
        <f>MONTH(datos_ventas[[#This Row],[Fecha]])</f>
        <v>5</v>
      </c>
      <c r="D677" s="4">
        <f>WEEKNUM(datos_ventas[[#This Row],[Fecha]],2)</f>
        <v>22</v>
      </c>
      <c r="E677" t="s">
        <v>17</v>
      </c>
      <c r="F677" t="s">
        <v>18</v>
      </c>
      <c r="G677">
        <v>1</v>
      </c>
      <c r="H677">
        <v>8013</v>
      </c>
      <c r="I677">
        <v>4772</v>
      </c>
      <c r="J677" t="s">
        <v>27</v>
      </c>
      <c r="K677" t="str">
        <f>_xlfn.XLOOKUP(datos_ventas[[#This Row],[Ciudad]],Tabla2[Ciudades],Tabla2[Provincias],"no se encuentra")</f>
        <v>Sevilla</v>
      </c>
      <c r="L677" t="str">
        <f>_xlfn.XLOOKUP(datos_ventas[[#This Row],[Provincia]],Tabla2[Provincias],Tabla2[Comunidades],"no se encuentra")</f>
        <v>Andalucía</v>
      </c>
      <c r="M677" t="s">
        <v>15</v>
      </c>
      <c r="N677">
        <v>4</v>
      </c>
    </row>
    <row r="678" spans="1:14" x14ac:dyDescent="0.25">
      <c r="A678">
        <v>1677</v>
      </c>
      <c r="B678" s="1">
        <v>45842</v>
      </c>
      <c r="C678" s="4">
        <f>MONTH(datos_ventas[[#This Row],[Fecha]])</f>
        <v>7</v>
      </c>
      <c r="D678" s="4">
        <f>WEEKNUM(datos_ventas[[#This Row],[Fecha]],2)</f>
        <v>27</v>
      </c>
      <c r="E678" t="s">
        <v>10</v>
      </c>
      <c r="F678" t="s">
        <v>11</v>
      </c>
      <c r="G678">
        <v>2</v>
      </c>
      <c r="H678">
        <v>10657</v>
      </c>
      <c r="I678">
        <v>541</v>
      </c>
      <c r="J678" t="s">
        <v>14</v>
      </c>
      <c r="K678" t="str">
        <f>_xlfn.XLOOKUP(datos_ventas[[#This Row],[Ciudad]],Tabla2[Ciudades],Tabla2[Provincias],"no se encuentra")</f>
        <v>Madrid</v>
      </c>
      <c r="L678" t="str">
        <f>_xlfn.XLOOKUP(datos_ventas[[#This Row],[Provincia]],Tabla2[Provincias],Tabla2[Comunidades],"no se encuentra")</f>
        <v>Comunidad de Madrid</v>
      </c>
      <c r="M678" t="s">
        <v>15</v>
      </c>
      <c r="N678">
        <v>4</v>
      </c>
    </row>
    <row r="679" spans="1:14" x14ac:dyDescent="0.25">
      <c r="A679">
        <v>1678</v>
      </c>
      <c r="B679" s="1">
        <v>45916</v>
      </c>
      <c r="C679" s="4">
        <f>MONTH(datos_ventas[[#This Row],[Fecha]])</f>
        <v>9</v>
      </c>
      <c r="D679" s="4">
        <f>WEEKNUM(datos_ventas[[#This Row],[Fecha]],2)</f>
        <v>38</v>
      </c>
      <c r="E679" t="s">
        <v>17</v>
      </c>
      <c r="F679" t="s">
        <v>18</v>
      </c>
      <c r="G679">
        <v>1</v>
      </c>
      <c r="H679">
        <v>45018</v>
      </c>
      <c r="I679">
        <v>2852</v>
      </c>
      <c r="J679" t="s">
        <v>27</v>
      </c>
      <c r="K679" t="str">
        <f>_xlfn.XLOOKUP(datos_ventas[[#This Row],[Ciudad]],Tabla2[Ciudades],Tabla2[Provincias],"no se encuentra")</f>
        <v>Sevilla</v>
      </c>
      <c r="L679" t="str">
        <f>_xlfn.XLOOKUP(datos_ventas[[#This Row],[Provincia]],Tabla2[Provincias],Tabla2[Comunidades],"no se encuentra")</f>
        <v>Andalucía</v>
      </c>
      <c r="M679" t="s">
        <v>13</v>
      </c>
      <c r="N679">
        <v>3</v>
      </c>
    </row>
    <row r="680" spans="1:14" x14ac:dyDescent="0.25">
      <c r="A680">
        <v>1679</v>
      </c>
      <c r="B680" s="1">
        <v>45953</v>
      </c>
      <c r="C680" s="4">
        <f>MONTH(datos_ventas[[#This Row],[Fecha]])</f>
        <v>10</v>
      </c>
      <c r="D680" s="4">
        <f>WEEKNUM(datos_ventas[[#This Row],[Fecha]],2)</f>
        <v>43</v>
      </c>
      <c r="E680" t="s">
        <v>29</v>
      </c>
      <c r="F680" t="s">
        <v>30</v>
      </c>
      <c r="G680">
        <v>3</v>
      </c>
      <c r="H680">
        <v>95839</v>
      </c>
      <c r="I680">
        <v>1141</v>
      </c>
      <c r="J680" t="s">
        <v>14</v>
      </c>
      <c r="K680" t="str">
        <f>_xlfn.XLOOKUP(datos_ventas[[#This Row],[Ciudad]],Tabla2[Ciudades],Tabla2[Provincias],"no se encuentra")</f>
        <v>Madrid</v>
      </c>
      <c r="L680" t="str">
        <f>_xlfn.XLOOKUP(datos_ventas[[#This Row],[Provincia]],Tabla2[Provincias],Tabla2[Comunidades],"no se encuentra")</f>
        <v>Comunidad de Madrid</v>
      </c>
      <c r="M680" t="s">
        <v>28</v>
      </c>
      <c r="N680">
        <v>4</v>
      </c>
    </row>
    <row r="681" spans="1:14" x14ac:dyDescent="0.25">
      <c r="A681">
        <v>1680</v>
      </c>
      <c r="B681" s="1">
        <v>45769</v>
      </c>
      <c r="C681" s="4">
        <f>MONTH(datos_ventas[[#This Row],[Fecha]])</f>
        <v>4</v>
      </c>
      <c r="D681" s="4">
        <f>WEEKNUM(datos_ventas[[#This Row],[Fecha]],2)</f>
        <v>17</v>
      </c>
      <c r="E681" t="s">
        <v>29</v>
      </c>
      <c r="F681" t="s">
        <v>30</v>
      </c>
      <c r="G681">
        <v>3</v>
      </c>
      <c r="H681">
        <v>92383</v>
      </c>
      <c r="I681">
        <v>4949</v>
      </c>
      <c r="J681" t="s">
        <v>32</v>
      </c>
      <c r="K681" t="str">
        <f>_xlfn.XLOOKUP(datos_ventas[[#This Row],[Ciudad]],Tabla2[Ciudades],Tabla2[Provincias],"no se encuentra")</f>
        <v>Barcelona</v>
      </c>
      <c r="L681" t="str">
        <f>_xlfn.XLOOKUP(datos_ventas[[#This Row],[Provincia]],Tabla2[Provincias],Tabla2[Comunidades],"no se encuentra")</f>
        <v>Cataluña</v>
      </c>
      <c r="M681" t="s">
        <v>15</v>
      </c>
      <c r="N681">
        <v>4</v>
      </c>
    </row>
    <row r="682" spans="1:14" x14ac:dyDescent="0.25">
      <c r="A682">
        <v>1681</v>
      </c>
      <c r="B682" s="1">
        <v>45756</v>
      </c>
      <c r="C682" s="4">
        <f>MONTH(datos_ventas[[#This Row],[Fecha]])</f>
        <v>4</v>
      </c>
      <c r="D682" s="4">
        <f>WEEKNUM(datos_ventas[[#This Row],[Fecha]],2)</f>
        <v>15</v>
      </c>
      <c r="E682" t="s">
        <v>26</v>
      </c>
      <c r="F682" t="s">
        <v>18</v>
      </c>
      <c r="G682">
        <v>1</v>
      </c>
      <c r="H682">
        <v>83538</v>
      </c>
      <c r="I682">
        <v>1148</v>
      </c>
      <c r="J682" t="s">
        <v>14</v>
      </c>
      <c r="K682" t="str">
        <f>_xlfn.XLOOKUP(datos_ventas[[#This Row],[Ciudad]],Tabla2[Ciudades],Tabla2[Provincias],"no se encuentra")</f>
        <v>Madrid</v>
      </c>
      <c r="L682" t="str">
        <f>_xlfn.XLOOKUP(datos_ventas[[#This Row],[Provincia]],Tabla2[Provincias],Tabla2[Comunidades],"no se encuentra")</f>
        <v>Comunidad de Madrid</v>
      </c>
      <c r="M682" t="s">
        <v>28</v>
      </c>
      <c r="N682">
        <v>2</v>
      </c>
    </row>
    <row r="683" spans="1:14" x14ac:dyDescent="0.25">
      <c r="A683">
        <v>1682</v>
      </c>
      <c r="B683" s="1">
        <v>45727</v>
      </c>
      <c r="C683" s="4">
        <f>MONTH(datos_ventas[[#This Row],[Fecha]])</f>
        <v>3</v>
      </c>
      <c r="D683" s="4">
        <f>WEEKNUM(datos_ventas[[#This Row],[Fecha]],2)</f>
        <v>11</v>
      </c>
      <c r="E683" t="s">
        <v>29</v>
      </c>
      <c r="F683" t="s">
        <v>30</v>
      </c>
      <c r="G683">
        <v>5</v>
      </c>
      <c r="H683">
        <v>3608</v>
      </c>
      <c r="I683">
        <v>2782</v>
      </c>
      <c r="J683" t="s">
        <v>31</v>
      </c>
      <c r="K683" t="str">
        <f>_xlfn.XLOOKUP(datos_ventas[[#This Row],[Ciudad]],Tabla2[Ciudades],Tabla2[Provincias],"no se encuentra")</f>
        <v>Vizcaya</v>
      </c>
      <c r="L683" t="str">
        <f>_xlfn.XLOOKUP(datos_ventas[[#This Row],[Provincia]],Tabla2[Provincias],Tabla2[Comunidades],"no se encuentra")</f>
        <v>País Vasco</v>
      </c>
      <c r="M683" t="s">
        <v>13</v>
      </c>
      <c r="N683">
        <v>3</v>
      </c>
    </row>
    <row r="684" spans="1:14" x14ac:dyDescent="0.25">
      <c r="A684">
        <v>1683</v>
      </c>
      <c r="B684" s="1">
        <v>46003</v>
      </c>
      <c r="C684" s="4">
        <f>MONTH(datos_ventas[[#This Row],[Fecha]])</f>
        <v>12</v>
      </c>
      <c r="D684" s="4">
        <f>WEEKNUM(datos_ventas[[#This Row],[Fecha]],2)</f>
        <v>50</v>
      </c>
      <c r="E684" t="s">
        <v>10</v>
      </c>
      <c r="F684" t="s">
        <v>11</v>
      </c>
      <c r="G684">
        <v>1</v>
      </c>
      <c r="H684">
        <v>14521</v>
      </c>
      <c r="I684">
        <v>2675</v>
      </c>
      <c r="J684" t="s">
        <v>31</v>
      </c>
      <c r="K684" t="str">
        <f>_xlfn.XLOOKUP(datos_ventas[[#This Row],[Ciudad]],Tabla2[Ciudades],Tabla2[Provincias],"no se encuentra")</f>
        <v>Vizcaya</v>
      </c>
      <c r="L684" t="str">
        <f>_xlfn.XLOOKUP(datos_ventas[[#This Row],[Provincia]],Tabla2[Provincias],Tabla2[Comunidades],"no se encuentra")</f>
        <v>País Vasco</v>
      </c>
      <c r="M684" t="s">
        <v>13</v>
      </c>
      <c r="N684">
        <v>3</v>
      </c>
    </row>
    <row r="685" spans="1:14" x14ac:dyDescent="0.25">
      <c r="A685">
        <v>1684</v>
      </c>
      <c r="B685" s="1">
        <v>45684</v>
      </c>
      <c r="C685" s="4">
        <f>MONTH(datos_ventas[[#This Row],[Fecha]])</f>
        <v>1</v>
      </c>
      <c r="D685" s="4">
        <f>WEEKNUM(datos_ventas[[#This Row],[Fecha]],2)</f>
        <v>5</v>
      </c>
      <c r="E685" t="s">
        <v>10</v>
      </c>
      <c r="F685" t="s">
        <v>11</v>
      </c>
      <c r="G685">
        <v>4</v>
      </c>
      <c r="H685">
        <v>10047</v>
      </c>
      <c r="I685">
        <v>1066</v>
      </c>
      <c r="J685" t="s">
        <v>22</v>
      </c>
      <c r="K685" t="str">
        <f>_xlfn.XLOOKUP(datos_ventas[[#This Row],[Ciudad]],Tabla2[Ciudades],Tabla2[Provincias],"no se encuentra")</f>
        <v>Valencia</v>
      </c>
      <c r="L685" t="str">
        <f>_xlfn.XLOOKUP(datos_ventas[[#This Row],[Provincia]],Tabla2[Provincias],Tabla2[Comunidades],"no se encuentra")</f>
        <v>Comunidad Valenciana</v>
      </c>
      <c r="M685" t="s">
        <v>19</v>
      </c>
      <c r="N685">
        <v>3</v>
      </c>
    </row>
    <row r="686" spans="1:14" x14ac:dyDescent="0.25">
      <c r="A686">
        <v>1685</v>
      </c>
      <c r="B686" s="1">
        <v>45974</v>
      </c>
      <c r="C686" s="4">
        <f>MONTH(datos_ventas[[#This Row],[Fecha]])</f>
        <v>11</v>
      </c>
      <c r="D686" s="4">
        <f>WEEKNUM(datos_ventas[[#This Row],[Fecha]],2)</f>
        <v>46</v>
      </c>
      <c r="E686" t="s">
        <v>20</v>
      </c>
      <c r="F686" t="s">
        <v>21</v>
      </c>
      <c r="G686">
        <v>1</v>
      </c>
      <c r="H686">
        <v>63724</v>
      </c>
      <c r="I686">
        <v>2505</v>
      </c>
      <c r="J686" t="s">
        <v>31</v>
      </c>
      <c r="K686" t="str">
        <f>_xlfn.XLOOKUP(datos_ventas[[#This Row],[Ciudad]],Tabla2[Ciudades],Tabla2[Provincias],"no se encuentra")</f>
        <v>Vizcaya</v>
      </c>
      <c r="L686" t="str">
        <f>_xlfn.XLOOKUP(datos_ventas[[#This Row],[Provincia]],Tabla2[Provincias],Tabla2[Comunidades],"no se encuentra")</f>
        <v>País Vasco</v>
      </c>
      <c r="M686" t="s">
        <v>15</v>
      </c>
      <c r="N686">
        <v>1</v>
      </c>
    </row>
    <row r="687" spans="1:14" x14ac:dyDescent="0.25">
      <c r="A687">
        <v>1686</v>
      </c>
      <c r="B687" s="1">
        <v>45726</v>
      </c>
      <c r="C687" s="4">
        <f>MONTH(datos_ventas[[#This Row],[Fecha]])</f>
        <v>3</v>
      </c>
      <c r="D687" s="4">
        <f>WEEKNUM(datos_ventas[[#This Row],[Fecha]],2)</f>
        <v>11</v>
      </c>
      <c r="E687" t="s">
        <v>16</v>
      </c>
      <c r="F687" t="s">
        <v>11</v>
      </c>
      <c r="G687">
        <v>5</v>
      </c>
      <c r="H687">
        <v>15712</v>
      </c>
      <c r="I687">
        <v>2131</v>
      </c>
      <c r="J687" t="s">
        <v>22</v>
      </c>
      <c r="K687" t="str">
        <f>_xlfn.XLOOKUP(datos_ventas[[#This Row],[Ciudad]],Tabla2[Ciudades],Tabla2[Provincias],"no se encuentra")</f>
        <v>Valencia</v>
      </c>
      <c r="L687" t="str">
        <f>_xlfn.XLOOKUP(datos_ventas[[#This Row],[Provincia]],Tabla2[Provincias],Tabla2[Comunidades],"no se encuentra")</f>
        <v>Comunidad Valenciana</v>
      </c>
      <c r="M687" t="s">
        <v>15</v>
      </c>
      <c r="N687">
        <v>3</v>
      </c>
    </row>
    <row r="688" spans="1:14" x14ac:dyDescent="0.25">
      <c r="A688">
        <v>1687</v>
      </c>
      <c r="B688" s="1">
        <v>45845</v>
      </c>
      <c r="C688" s="4">
        <f>MONTH(datos_ventas[[#This Row],[Fecha]])</f>
        <v>7</v>
      </c>
      <c r="D688" s="4">
        <f>WEEKNUM(datos_ventas[[#This Row],[Fecha]],2)</f>
        <v>28</v>
      </c>
      <c r="E688" t="s">
        <v>24</v>
      </c>
      <c r="F688" t="s">
        <v>25</v>
      </c>
      <c r="G688">
        <v>5</v>
      </c>
      <c r="H688">
        <v>35565</v>
      </c>
      <c r="I688">
        <v>4924</v>
      </c>
      <c r="J688" t="s">
        <v>32</v>
      </c>
      <c r="K688" t="str">
        <f>_xlfn.XLOOKUP(datos_ventas[[#This Row],[Ciudad]],Tabla2[Ciudades],Tabla2[Provincias],"no se encuentra")</f>
        <v>Barcelona</v>
      </c>
      <c r="L688" t="str">
        <f>_xlfn.XLOOKUP(datos_ventas[[#This Row],[Provincia]],Tabla2[Provincias],Tabla2[Comunidades],"no se encuentra")</f>
        <v>Cataluña</v>
      </c>
      <c r="M688" t="s">
        <v>13</v>
      </c>
      <c r="N688">
        <v>1</v>
      </c>
    </row>
    <row r="689" spans="1:14" x14ac:dyDescent="0.25">
      <c r="A689">
        <v>1688</v>
      </c>
      <c r="B689" s="1">
        <v>45852</v>
      </c>
      <c r="C689" s="4">
        <f>MONTH(datos_ventas[[#This Row],[Fecha]])</f>
        <v>7</v>
      </c>
      <c r="D689" s="4">
        <f>WEEKNUM(datos_ventas[[#This Row],[Fecha]],2)</f>
        <v>29</v>
      </c>
      <c r="E689" t="s">
        <v>26</v>
      </c>
      <c r="F689" t="s">
        <v>18</v>
      </c>
      <c r="G689">
        <v>4</v>
      </c>
      <c r="H689">
        <v>108798</v>
      </c>
      <c r="I689">
        <v>3789</v>
      </c>
      <c r="J689" t="s">
        <v>31</v>
      </c>
      <c r="K689" t="str">
        <f>_xlfn.XLOOKUP(datos_ventas[[#This Row],[Ciudad]],Tabla2[Ciudades],Tabla2[Provincias],"no se encuentra")</f>
        <v>Vizcaya</v>
      </c>
      <c r="L689" t="str">
        <f>_xlfn.XLOOKUP(datos_ventas[[#This Row],[Provincia]],Tabla2[Provincias],Tabla2[Comunidades],"no se encuentra")</f>
        <v>País Vasco</v>
      </c>
      <c r="M689" t="s">
        <v>13</v>
      </c>
      <c r="N689">
        <v>3</v>
      </c>
    </row>
    <row r="690" spans="1:14" x14ac:dyDescent="0.25">
      <c r="A690">
        <v>1689</v>
      </c>
      <c r="B690" s="1">
        <v>45928</v>
      </c>
      <c r="C690" s="4">
        <f>MONTH(datos_ventas[[#This Row],[Fecha]])</f>
        <v>9</v>
      </c>
      <c r="D690" s="4">
        <f>WEEKNUM(datos_ventas[[#This Row],[Fecha]],2)</f>
        <v>39</v>
      </c>
      <c r="E690" t="s">
        <v>16</v>
      </c>
      <c r="F690" t="s">
        <v>11</v>
      </c>
      <c r="G690">
        <v>4</v>
      </c>
      <c r="H690">
        <v>15866</v>
      </c>
      <c r="I690">
        <v>2857</v>
      </c>
      <c r="J690" t="s">
        <v>12</v>
      </c>
      <c r="K690" t="str">
        <f>_xlfn.XLOOKUP(datos_ventas[[#This Row],[Ciudad]],Tabla2[Ciudades],Tabla2[Provincias],"no se encuentra")</f>
        <v>Málaga</v>
      </c>
      <c r="L690" t="str">
        <f>_xlfn.XLOOKUP(datos_ventas[[#This Row],[Provincia]],Tabla2[Provincias],Tabla2[Comunidades],"no se encuentra")</f>
        <v>Andalucía</v>
      </c>
      <c r="M690" t="s">
        <v>15</v>
      </c>
      <c r="N690">
        <v>5</v>
      </c>
    </row>
    <row r="691" spans="1:14" x14ac:dyDescent="0.25">
      <c r="A691">
        <v>1690</v>
      </c>
      <c r="B691" s="1">
        <v>45740</v>
      </c>
      <c r="C691" s="4">
        <f>MONTH(datos_ventas[[#This Row],[Fecha]])</f>
        <v>3</v>
      </c>
      <c r="D691" s="4">
        <f>WEEKNUM(datos_ventas[[#This Row],[Fecha]],2)</f>
        <v>13</v>
      </c>
      <c r="E691" t="s">
        <v>20</v>
      </c>
      <c r="F691" t="s">
        <v>21</v>
      </c>
      <c r="G691">
        <v>5</v>
      </c>
      <c r="H691">
        <v>5531</v>
      </c>
      <c r="I691">
        <v>4653</v>
      </c>
      <c r="J691" t="s">
        <v>32</v>
      </c>
      <c r="K691" t="str">
        <f>_xlfn.XLOOKUP(datos_ventas[[#This Row],[Ciudad]],Tabla2[Ciudades],Tabla2[Provincias],"no se encuentra")</f>
        <v>Barcelona</v>
      </c>
      <c r="L691" t="str">
        <f>_xlfn.XLOOKUP(datos_ventas[[#This Row],[Provincia]],Tabla2[Provincias],Tabla2[Comunidades],"no se encuentra")</f>
        <v>Cataluña</v>
      </c>
      <c r="M691" t="s">
        <v>13</v>
      </c>
      <c r="N691">
        <v>1</v>
      </c>
    </row>
    <row r="692" spans="1:14" x14ac:dyDescent="0.25">
      <c r="A692">
        <v>1691</v>
      </c>
      <c r="B692" s="1">
        <v>45968</v>
      </c>
      <c r="C692" s="4">
        <f>MONTH(datos_ventas[[#This Row],[Fecha]])</f>
        <v>11</v>
      </c>
      <c r="D692" s="4">
        <f>WEEKNUM(datos_ventas[[#This Row],[Fecha]],2)</f>
        <v>45</v>
      </c>
      <c r="E692" t="s">
        <v>26</v>
      </c>
      <c r="F692" t="s">
        <v>18</v>
      </c>
      <c r="G692">
        <v>4</v>
      </c>
      <c r="H692">
        <v>25934</v>
      </c>
      <c r="I692">
        <v>1673</v>
      </c>
      <c r="J692" t="s">
        <v>22</v>
      </c>
      <c r="K692" t="str">
        <f>_xlfn.XLOOKUP(datos_ventas[[#This Row],[Ciudad]],Tabla2[Ciudades],Tabla2[Provincias],"no se encuentra")</f>
        <v>Valencia</v>
      </c>
      <c r="L692" t="str">
        <f>_xlfn.XLOOKUP(datos_ventas[[#This Row],[Provincia]],Tabla2[Provincias],Tabla2[Comunidades],"no se encuentra")</f>
        <v>Comunidad Valenciana</v>
      </c>
      <c r="M692" t="s">
        <v>13</v>
      </c>
      <c r="N692">
        <v>4</v>
      </c>
    </row>
    <row r="693" spans="1:14" x14ac:dyDescent="0.25">
      <c r="A693">
        <v>1692</v>
      </c>
      <c r="B693" s="1">
        <v>45842</v>
      </c>
      <c r="C693" s="4">
        <f>MONTH(datos_ventas[[#This Row],[Fecha]])</f>
        <v>7</v>
      </c>
      <c r="D693" s="4">
        <f>WEEKNUM(datos_ventas[[#This Row],[Fecha]],2)</f>
        <v>27</v>
      </c>
      <c r="E693" t="s">
        <v>29</v>
      </c>
      <c r="F693" t="s">
        <v>30</v>
      </c>
      <c r="G693">
        <v>4</v>
      </c>
      <c r="H693">
        <v>12347</v>
      </c>
      <c r="I693">
        <v>2461</v>
      </c>
      <c r="J693" t="s">
        <v>12</v>
      </c>
      <c r="K693" t="str">
        <f>_xlfn.XLOOKUP(datos_ventas[[#This Row],[Ciudad]],Tabla2[Ciudades],Tabla2[Provincias],"no se encuentra")</f>
        <v>Málaga</v>
      </c>
      <c r="L693" t="str">
        <f>_xlfn.XLOOKUP(datos_ventas[[#This Row],[Provincia]],Tabla2[Provincias],Tabla2[Comunidades],"no se encuentra")</f>
        <v>Andalucía</v>
      </c>
      <c r="M693" t="s">
        <v>15</v>
      </c>
      <c r="N693">
        <v>2</v>
      </c>
    </row>
    <row r="694" spans="1:14" x14ac:dyDescent="0.25">
      <c r="A694">
        <v>1693</v>
      </c>
      <c r="B694" s="1">
        <v>45676</v>
      </c>
      <c r="C694" s="4">
        <f>MONTH(datos_ventas[[#This Row],[Fecha]])</f>
        <v>1</v>
      </c>
      <c r="D694" s="4">
        <f>WEEKNUM(datos_ventas[[#This Row],[Fecha]],2)</f>
        <v>3</v>
      </c>
      <c r="E694" t="s">
        <v>17</v>
      </c>
      <c r="F694" t="s">
        <v>18</v>
      </c>
      <c r="G694">
        <v>4</v>
      </c>
      <c r="H694">
        <v>47909</v>
      </c>
      <c r="I694">
        <v>794</v>
      </c>
      <c r="J694" t="s">
        <v>22</v>
      </c>
      <c r="K694" t="str">
        <f>_xlfn.XLOOKUP(datos_ventas[[#This Row],[Ciudad]],Tabla2[Ciudades],Tabla2[Provincias],"no se encuentra")</f>
        <v>Valencia</v>
      </c>
      <c r="L694" t="str">
        <f>_xlfn.XLOOKUP(datos_ventas[[#This Row],[Provincia]],Tabla2[Provincias],Tabla2[Comunidades],"no se encuentra")</f>
        <v>Comunidad Valenciana</v>
      </c>
      <c r="M694" t="s">
        <v>28</v>
      </c>
      <c r="N694">
        <v>2</v>
      </c>
    </row>
    <row r="695" spans="1:14" x14ac:dyDescent="0.25">
      <c r="A695">
        <v>1694</v>
      </c>
      <c r="B695" s="1">
        <v>45748</v>
      </c>
      <c r="C695" s="4">
        <f>MONTH(datos_ventas[[#This Row],[Fecha]])</f>
        <v>4</v>
      </c>
      <c r="D695" s="4">
        <f>WEEKNUM(datos_ventas[[#This Row],[Fecha]],2)</f>
        <v>14</v>
      </c>
      <c r="E695" t="s">
        <v>26</v>
      </c>
      <c r="F695" t="s">
        <v>18</v>
      </c>
      <c r="G695">
        <v>1</v>
      </c>
      <c r="H695">
        <v>53138</v>
      </c>
      <c r="I695">
        <v>1178</v>
      </c>
      <c r="J695" t="s">
        <v>22</v>
      </c>
      <c r="K695" t="str">
        <f>_xlfn.XLOOKUP(datos_ventas[[#This Row],[Ciudad]],Tabla2[Ciudades],Tabla2[Provincias],"no se encuentra")</f>
        <v>Valencia</v>
      </c>
      <c r="L695" t="str">
        <f>_xlfn.XLOOKUP(datos_ventas[[#This Row],[Provincia]],Tabla2[Provincias],Tabla2[Comunidades],"no se encuentra")</f>
        <v>Comunidad Valenciana</v>
      </c>
      <c r="M695" t="s">
        <v>19</v>
      </c>
      <c r="N695">
        <v>4</v>
      </c>
    </row>
    <row r="696" spans="1:14" x14ac:dyDescent="0.25">
      <c r="A696">
        <v>1695</v>
      </c>
      <c r="B696" s="1">
        <v>45738</v>
      </c>
      <c r="C696" s="4">
        <f>MONTH(datos_ventas[[#This Row],[Fecha]])</f>
        <v>3</v>
      </c>
      <c r="D696" s="4">
        <f>WEEKNUM(datos_ventas[[#This Row],[Fecha]],2)</f>
        <v>12</v>
      </c>
      <c r="E696" t="s">
        <v>16</v>
      </c>
      <c r="F696" t="s">
        <v>11</v>
      </c>
      <c r="G696">
        <v>1</v>
      </c>
      <c r="H696">
        <v>3856</v>
      </c>
      <c r="I696">
        <v>762</v>
      </c>
      <c r="J696" t="s">
        <v>14</v>
      </c>
      <c r="K696" t="str">
        <f>_xlfn.XLOOKUP(datos_ventas[[#This Row],[Ciudad]],Tabla2[Ciudades],Tabla2[Provincias],"no se encuentra")</f>
        <v>Madrid</v>
      </c>
      <c r="L696" t="str">
        <f>_xlfn.XLOOKUP(datos_ventas[[#This Row],[Provincia]],Tabla2[Provincias],Tabla2[Comunidades],"no se encuentra")</f>
        <v>Comunidad de Madrid</v>
      </c>
      <c r="M696" t="s">
        <v>13</v>
      </c>
      <c r="N696">
        <v>3</v>
      </c>
    </row>
    <row r="697" spans="1:14" x14ac:dyDescent="0.25">
      <c r="A697">
        <v>1696</v>
      </c>
      <c r="B697" s="1">
        <v>45746</v>
      </c>
      <c r="C697" s="4">
        <f>MONTH(datos_ventas[[#This Row],[Fecha]])</f>
        <v>3</v>
      </c>
      <c r="D697" s="4">
        <f>WEEKNUM(datos_ventas[[#This Row],[Fecha]],2)</f>
        <v>13</v>
      </c>
      <c r="E697" t="s">
        <v>10</v>
      </c>
      <c r="F697" t="s">
        <v>11</v>
      </c>
      <c r="G697">
        <v>4</v>
      </c>
      <c r="H697">
        <v>21017</v>
      </c>
      <c r="I697">
        <v>321</v>
      </c>
      <c r="J697" t="s">
        <v>14</v>
      </c>
      <c r="K697" t="str">
        <f>_xlfn.XLOOKUP(datos_ventas[[#This Row],[Ciudad]],Tabla2[Ciudades],Tabla2[Provincias],"no se encuentra")</f>
        <v>Madrid</v>
      </c>
      <c r="L697" t="str">
        <f>_xlfn.XLOOKUP(datos_ventas[[#This Row],[Provincia]],Tabla2[Provincias],Tabla2[Comunidades],"no se encuentra")</f>
        <v>Comunidad de Madrid</v>
      </c>
      <c r="M697" t="s">
        <v>28</v>
      </c>
      <c r="N697">
        <v>2</v>
      </c>
    </row>
    <row r="698" spans="1:14" x14ac:dyDescent="0.25">
      <c r="A698">
        <v>1697</v>
      </c>
      <c r="B698" s="1">
        <v>45679</v>
      </c>
      <c r="C698" s="4">
        <f>MONTH(datos_ventas[[#This Row],[Fecha]])</f>
        <v>1</v>
      </c>
      <c r="D698" s="4">
        <f>WEEKNUM(datos_ventas[[#This Row],[Fecha]],2)</f>
        <v>4</v>
      </c>
      <c r="E698" t="s">
        <v>23</v>
      </c>
      <c r="F698" t="s">
        <v>18</v>
      </c>
      <c r="G698">
        <v>3</v>
      </c>
      <c r="H698">
        <v>73526</v>
      </c>
      <c r="I698">
        <v>174</v>
      </c>
      <c r="J698" t="s">
        <v>31</v>
      </c>
      <c r="K698" t="str">
        <f>_xlfn.XLOOKUP(datos_ventas[[#This Row],[Ciudad]],Tabla2[Ciudades],Tabla2[Provincias],"no se encuentra")</f>
        <v>Vizcaya</v>
      </c>
      <c r="L698" t="str">
        <f>_xlfn.XLOOKUP(datos_ventas[[#This Row],[Provincia]],Tabla2[Provincias],Tabla2[Comunidades],"no se encuentra")</f>
        <v>País Vasco</v>
      </c>
      <c r="M698" t="s">
        <v>13</v>
      </c>
      <c r="N698">
        <v>4</v>
      </c>
    </row>
    <row r="699" spans="1:14" x14ac:dyDescent="0.25">
      <c r="A699">
        <v>1698</v>
      </c>
      <c r="B699" s="1">
        <v>46016</v>
      </c>
      <c r="C699" s="4">
        <f>MONTH(datos_ventas[[#This Row],[Fecha]])</f>
        <v>12</v>
      </c>
      <c r="D699" s="4">
        <f>WEEKNUM(datos_ventas[[#This Row],[Fecha]],2)</f>
        <v>52</v>
      </c>
      <c r="E699" t="s">
        <v>20</v>
      </c>
      <c r="F699" t="s">
        <v>21</v>
      </c>
      <c r="G699">
        <v>3</v>
      </c>
      <c r="H699">
        <v>78289</v>
      </c>
      <c r="I699">
        <v>1204</v>
      </c>
      <c r="J699" t="s">
        <v>27</v>
      </c>
      <c r="K699" t="str">
        <f>_xlfn.XLOOKUP(datos_ventas[[#This Row],[Ciudad]],Tabla2[Ciudades],Tabla2[Provincias],"no se encuentra")</f>
        <v>Sevilla</v>
      </c>
      <c r="L699" t="str">
        <f>_xlfn.XLOOKUP(datos_ventas[[#This Row],[Provincia]],Tabla2[Provincias],Tabla2[Comunidades],"no se encuentra")</f>
        <v>Andalucía</v>
      </c>
      <c r="M699" t="s">
        <v>28</v>
      </c>
      <c r="N699">
        <v>2</v>
      </c>
    </row>
    <row r="700" spans="1:14" x14ac:dyDescent="0.25">
      <c r="A700">
        <v>1699</v>
      </c>
      <c r="B700" s="1">
        <v>45696</v>
      </c>
      <c r="C700" s="4">
        <f>MONTH(datos_ventas[[#This Row],[Fecha]])</f>
        <v>2</v>
      </c>
      <c r="D700" s="4">
        <f>WEEKNUM(datos_ventas[[#This Row],[Fecha]],2)</f>
        <v>6</v>
      </c>
      <c r="E700" t="s">
        <v>23</v>
      </c>
      <c r="F700" t="s">
        <v>18</v>
      </c>
      <c r="G700">
        <v>3</v>
      </c>
      <c r="H700">
        <v>53627</v>
      </c>
      <c r="I700">
        <v>1727</v>
      </c>
      <c r="J700" t="s">
        <v>22</v>
      </c>
      <c r="K700" t="str">
        <f>_xlfn.XLOOKUP(datos_ventas[[#This Row],[Ciudad]],Tabla2[Ciudades],Tabla2[Provincias],"no se encuentra")</f>
        <v>Valencia</v>
      </c>
      <c r="L700" t="str">
        <f>_xlfn.XLOOKUP(datos_ventas[[#This Row],[Provincia]],Tabla2[Provincias],Tabla2[Comunidades],"no se encuentra")</f>
        <v>Comunidad Valenciana</v>
      </c>
      <c r="M700" t="s">
        <v>13</v>
      </c>
      <c r="N700">
        <v>3</v>
      </c>
    </row>
    <row r="701" spans="1:14" x14ac:dyDescent="0.25">
      <c r="A701">
        <v>1700</v>
      </c>
      <c r="B701" s="1">
        <v>45696</v>
      </c>
      <c r="C701" s="4">
        <f>MONTH(datos_ventas[[#This Row],[Fecha]])</f>
        <v>2</v>
      </c>
      <c r="D701" s="4">
        <f>WEEKNUM(datos_ventas[[#This Row],[Fecha]],2)</f>
        <v>6</v>
      </c>
      <c r="E701" t="s">
        <v>20</v>
      </c>
      <c r="F701" t="s">
        <v>21</v>
      </c>
      <c r="G701">
        <v>3</v>
      </c>
      <c r="H701">
        <v>98586</v>
      </c>
      <c r="I701">
        <v>2737</v>
      </c>
      <c r="J701" t="s">
        <v>22</v>
      </c>
      <c r="K701" t="str">
        <f>_xlfn.XLOOKUP(datos_ventas[[#This Row],[Ciudad]],Tabla2[Ciudades],Tabla2[Provincias],"no se encuentra")</f>
        <v>Valencia</v>
      </c>
      <c r="L701" t="str">
        <f>_xlfn.XLOOKUP(datos_ventas[[#This Row],[Provincia]],Tabla2[Provincias],Tabla2[Comunidades],"no se encuentra")</f>
        <v>Comunidad Valenciana</v>
      </c>
      <c r="M701" t="s">
        <v>28</v>
      </c>
      <c r="N701">
        <v>5</v>
      </c>
    </row>
    <row r="702" spans="1:14" x14ac:dyDescent="0.25">
      <c r="A702">
        <v>1701</v>
      </c>
      <c r="B702" s="1">
        <v>45744</v>
      </c>
      <c r="C702" s="4">
        <f>MONTH(datos_ventas[[#This Row],[Fecha]])</f>
        <v>3</v>
      </c>
      <c r="D702" s="4">
        <f>WEEKNUM(datos_ventas[[#This Row],[Fecha]],2)</f>
        <v>13</v>
      </c>
      <c r="E702" t="s">
        <v>23</v>
      </c>
      <c r="F702" t="s">
        <v>18</v>
      </c>
      <c r="G702">
        <v>4</v>
      </c>
      <c r="H702">
        <v>100534</v>
      </c>
      <c r="I702">
        <v>2668</v>
      </c>
      <c r="J702" t="s">
        <v>31</v>
      </c>
      <c r="K702" t="str">
        <f>_xlfn.XLOOKUP(datos_ventas[[#This Row],[Ciudad]],Tabla2[Ciudades],Tabla2[Provincias],"no se encuentra")</f>
        <v>Vizcaya</v>
      </c>
      <c r="L702" t="str">
        <f>_xlfn.XLOOKUP(datos_ventas[[#This Row],[Provincia]],Tabla2[Provincias],Tabla2[Comunidades],"no se encuentra")</f>
        <v>País Vasco</v>
      </c>
      <c r="M702" t="s">
        <v>19</v>
      </c>
      <c r="N702">
        <v>1</v>
      </c>
    </row>
    <row r="703" spans="1:14" x14ac:dyDescent="0.25">
      <c r="A703">
        <v>1702</v>
      </c>
      <c r="B703" s="1">
        <v>45864</v>
      </c>
      <c r="C703" s="4">
        <f>MONTH(datos_ventas[[#This Row],[Fecha]])</f>
        <v>7</v>
      </c>
      <c r="D703" s="4">
        <f>WEEKNUM(datos_ventas[[#This Row],[Fecha]],2)</f>
        <v>30</v>
      </c>
      <c r="E703" t="s">
        <v>10</v>
      </c>
      <c r="F703" t="s">
        <v>11</v>
      </c>
      <c r="G703">
        <v>4</v>
      </c>
      <c r="H703">
        <v>38493</v>
      </c>
      <c r="I703">
        <v>2027</v>
      </c>
      <c r="J703" t="s">
        <v>27</v>
      </c>
      <c r="K703" t="str">
        <f>_xlfn.XLOOKUP(datos_ventas[[#This Row],[Ciudad]],Tabla2[Ciudades],Tabla2[Provincias],"no se encuentra")</f>
        <v>Sevilla</v>
      </c>
      <c r="L703" t="str">
        <f>_xlfn.XLOOKUP(datos_ventas[[#This Row],[Provincia]],Tabla2[Provincias],Tabla2[Comunidades],"no se encuentra")</f>
        <v>Andalucía</v>
      </c>
      <c r="M703" t="s">
        <v>13</v>
      </c>
      <c r="N703">
        <v>5</v>
      </c>
    </row>
    <row r="704" spans="1:14" x14ac:dyDescent="0.25">
      <c r="A704">
        <v>1703</v>
      </c>
      <c r="B704" s="1">
        <v>45716</v>
      </c>
      <c r="C704" s="4">
        <f>MONTH(datos_ventas[[#This Row],[Fecha]])</f>
        <v>2</v>
      </c>
      <c r="D704" s="4">
        <f>WEEKNUM(datos_ventas[[#This Row],[Fecha]],2)</f>
        <v>9</v>
      </c>
      <c r="E704" t="s">
        <v>20</v>
      </c>
      <c r="F704" t="s">
        <v>21</v>
      </c>
      <c r="G704">
        <v>5</v>
      </c>
      <c r="H704">
        <v>54115</v>
      </c>
      <c r="I704">
        <v>3709</v>
      </c>
      <c r="J704" t="s">
        <v>14</v>
      </c>
      <c r="K704" t="str">
        <f>_xlfn.XLOOKUP(datos_ventas[[#This Row],[Ciudad]],Tabla2[Ciudades],Tabla2[Provincias],"no se encuentra")</f>
        <v>Madrid</v>
      </c>
      <c r="L704" t="str">
        <f>_xlfn.XLOOKUP(datos_ventas[[#This Row],[Provincia]],Tabla2[Provincias],Tabla2[Comunidades],"no se encuentra")</f>
        <v>Comunidad de Madrid</v>
      </c>
      <c r="M704" t="s">
        <v>28</v>
      </c>
      <c r="N704">
        <v>1</v>
      </c>
    </row>
    <row r="705" spans="1:14" x14ac:dyDescent="0.25">
      <c r="A705">
        <v>1704</v>
      </c>
      <c r="B705" s="1">
        <v>45699</v>
      </c>
      <c r="C705" s="4">
        <f>MONTH(datos_ventas[[#This Row],[Fecha]])</f>
        <v>2</v>
      </c>
      <c r="D705" s="4">
        <f>WEEKNUM(datos_ventas[[#This Row],[Fecha]],2)</f>
        <v>7</v>
      </c>
      <c r="E705" t="s">
        <v>16</v>
      </c>
      <c r="F705" t="s">
        <v>11</v>
      </c>
      <c r="G705">
        <v>1</v>
      </c>
      <c r="H705">
        <v>8118</v>
      </c>
      <c r="I705">
        <v>3403</v>
      </c>
      <c r="J705" t="s">
        <v>12</v>
      </c>
      <c r="K705" t="str">
        <f>_xlfn.XLOOKUP(datos_ventas[[#This Row],[Ciudad]],Tabla2[Ciudades],Tabla2[Provincias],"no se encuentra")</f>
        <v>Málaga</v>
      </c>
      <c r="L705" t="str">
        <f>_xlfn.XLOOKUP(datos_ventas[[#This Row],[Provincia]],Tabla2[Provincias],Tabla2[Comunidades],"no se encuentra")</f>
        <v>Andalucía</v>
      </c>
      <c r="M705" t="s">
        <v>19</v>
      </c>
      <c r="N705">
        <v>2</v>
      </c>
    </row>
    <row r="706" spans="1:14" x14ac:dyDescent="0.25">
      <c r="A706">
        <v>1705</v>
      </c>
      <c r="B706" s="1">
        <v>45826</v>
      </c>
      <c r="C706" s="4">
        <f>MONTH(datos_ventas[[#This Row],[Fecha]])</f>
        <v>6</v>
      </c>
      <c r="D706" s="4">
        <f>WEEKNUM(datos_ventas[[#This Row],[Fecha]],2)</f>
        <v>25</v>
      </c>
      <c r="E706" t="s">
        <v>17</v>
      </c>
      <c r="F706" t="s">
        <v>18</v>
      </c>
      <c r="G706">
        <v>4</v>
      </c>
      <c r="H706">
        <v>28378</v>
      </c>
      <c r="I706">
        <v>887</v>
      </c>
      <c r="J706" t="s">
        <v>31</v>
      </c>
      <c r="K706" t="str">
        <f>_xlfn.XLOOKUP(datos_ventas[[#This Row],[Ciudad]],Tabla2[Ciudades],Tabla2[Provincias],"no se encuentra")</f>
        <v>Vizcaya</v>
      </c>
      <c r="L706" t="str">
        <f>_xlfn.XLOOKUP(datos_ventas[[#This Row],[Provincia]],Tabla2[Provincias],Tabla2[Comunidades],"no se encuentra")</f>
        <v>País Vasco</v>
      </c>
      <c r="M706" t="s">
        <v>13</v>
      </c>
      <c r="N706">
        <v>1</v>
      </c>
    </row>
    <row r="707" spans="1:14" x14ac:dyDescent="0.25">
      <c r="A707">
        <v>1706</v>
      </c>
      <c r="B707" s="1">
        <v>45892</v>
      </c>
      <c r="C707" s="4">
        <f>MONTH(datos_ventas[[#This Row],[Fecha]])</f>
        <v>8</v>
      </c>
      <c r="D707" s="4">
        <f>WEEKNUM(datos_ventas[[#This Row],[Fecha]],2)</f>
        <v>34</v>
      </c>
      <c r="E707" t="s">
        <v>23</v>
      </c>
      <c r="F707" t="s">
        <v>18</v>
      </c>
      <c r="G707">
        <v>4</v>
      </c>
      <c r="H707">
        <v>112632</v>
      </c>
      <c r="I707">
        <v>2718</v>
      </c>
      <c r="J707" t="s">
        <v>14</v>
      </c>
      <c r="K707" t="str">
        <f>_xlfn.XLOOKUP(datos_ventas[[#This Row],[Ciudad]],Tabla2[Ciudades],Tabla2[Provincias],"no se encuentra")</f>
        <v>Madrid</v>
      </c>
      <c r="L707" t="str">
        <f>_xlfn.XLOOKUP(datos_ventas[[#This Row],[Provincia]],Tabla2[Provincias],Tabla2[Comunidades],"no se encuentra")</f>
        <v>Comunidad de Madrid</v>
      </c>
      <c r="M707" t="s">
        <v>13</v>
      </c>
      <c r="N707">
        <v>2</v>
      </c>
    </row>
    <row r="708" spans="1:14" x14ac:dyDescent="0.25">
      <c r="A708">
        <v>1707</v>
      </c>
      <c r="B708" s="1">
        <v>45837</v>
      </c>
      <c r="C708" s="4">
        <f>MONTH(datos_ventas[[#This Row],[Fecha]])</f>
        <v>6</v>
      </c>
      <c r="D708" s="4">
        <f>WEEKNUM(datos_ventas[[#This Row],[Fecha]],2)</f>
        <v>26</v>
      </c>
      <c r="E708" t="s">
        <v>17</v>
      </c>
      <c r="F708" t="s">
        <v>18</v>
      </c>
      <c r="G708">
        <v>4</v>
      </c>
      <c r="H708">
        <v>11347</v>
      </c>
      <c r="I708">
        <v>3847</v>
      </c>
      <c r="J708" t="s">
        <v>31</v>
      </c>
      <c r="K708" t="str">
        <f>_xlfn.XLOOKUP(datos_ventas[[#This Row],[Ciudad]],Tabla2[Ciudades],Tabla2[Provincias],"no se encuentra")</f>
        <v>Vizcaya</v>
      </c>
      <c r="L708" t="str">
        <f>_xlfn.XLOOKUP(datos_ventas[[#This Row],[Provincia]],Tabla2[Provincias],Tabla2[Comunidades],"no se encuentra")</f>
        <v>País Vasco</v>
      </c>
      <c r="M708" t="s">
        <v>13</v>
      </c>
      <c r="N708">
        <v>5</v>
      </c>
    </row>
    <row r="709" spans="1:14" x14ac:dyDescent="0.25">
      <c r="A709">
        <v>1708</v>
      </c>
      <c r="B709" s="1">
        <v>45963</v>
      </c>
      <c r="C709" s="4">
        <f>MONTH(datos_ventas[[#This Row],[Fecha]])</f>
        <v>11</v>
      </c>
      <c r="D709" s="4">
        <f>WEEKNUM(datos_ventas[[#This Row],[Fecha]],2)</f>
        <v>44</v>
      </c>
      <c r="E709" t="s">
        <v>17</v>
      </c>
      <c r="F709" t="s">
        <v>18</v>
      </c>
      <c r="G709">
        <v>5</v>
      </c>
      <c r="H709">
        <v>78156</v>
      </c>
      <c r="I709">
        <v>3875</v>
      </c>
      <c r="J709" t="s">
        <v>12</v>
      </c>
      <c r="K709" t="str">
        <f>_xlfn.XLOOKUP(datos_ventas[[#This Row],[Ciudad]],Tabla2[Ciudades],Tabla2[Provincias],"no se encuentra")</f>
        <v>Málaga</v>
      </c>
      <c r="L709" t="str">
        <f>_xlfn.XLOOKUP(datos_ventas[[#This Row],[Provincia]],Tabla2[Provincias],Tabla2[Comunidades],"no se encuentra")</f>
        <v>Andalucía</v>
      </c>
      <c r="M709" t="s">
        <v>28</v>
      </c>
      <c r="N709">
        <v>1</v>
      </c>
    </row>
    <row r="710" spans="1:14" x14ac:dyDescent="0.25">
      <c r="A710">
        <v>1709</v>
      </c>
      <c r="B710" s="1">
        <v>45982</v>
      </c>
      <c r="C710" s="4">
        <f>MONTH(datos_ventas[[#This Row],[Fecha]])</f>
        <v>11</v>
      </c>
      <c r="D710" s="4">
        <f>WEEKNUM(datos_ventas[[#This Row],[Fecha]],2)</f>
        <v>47</v>
      </c>
      <c r="E710" t="s">
        <v>26</v>
      </c>
      <c r="F710" t="s">
        <v>18</v>
      </c>
      <c r="G710">
        <v>3</v>
      </c>
      <c r="H710">
        <v>32413</v>
      </c>
      <c r="I710">
        <v>1951</v>
      </c>
      <c r="J710" t="s">
        <v>32</v>
      </c>
      <c r="K710" t="str">
        <f>_xlfn.XLOOKUP(datos_ventas[[#This Row],[Ciudad]],Tabla2[Ciudades],Tabla2[Provincias],"no se encuentra")</f>
        <v>Barcelona</v>
      </c>
      <c r="L710" t="str">
        <f>_xlfn.XLOOKUP(datos_ventas[[#This Row],[Provincia]],Tabla2[Provincias],Tabla2[Comunidades],"no se encuentra")</f>
        <v>Cataluña</v>
      </c>
      <c r="M710" t="s">
        <v>15</v>
      </c>
      <c r="N710">
        <v>4</v>
      </c>
    </row>
    <row r="711" spans="1:14" x14ac:dyDescent="0.25">
      <c r="A711">
        <v>1710</v>
      </c>
      <c r="B711" s="1">
        <v>45959</v>
      </c>
      <c r="C711" s="4">
        <f>MONTH(datos_ventas[[#This Row],[Fecha]])</f>
        <v>10</v>
      </c>
      <c r="D711" s="4">
        <f>WEEKNUM(datos_ventas[[#This Row],[Fecha]],2)</f>
        <v>44</v>
      </c>
      <c r="E711" t="s">
        <v>23</v>
      </c>
      <c r="F711" t="s">
        <v>18</v>
      </c>
      <c r="G711">
        <v>4</v>
      </c>
      <c r="H711">
        <v>22437</v>
      </c>
      <c r="I711">
        <v>1622</v>
      </c>
      <c r="J711" t="s">
        <v>22</v>
      </c>
      <c r="K711" t="str">
        <f>_xlfn.XLOOKUP(datos_ventas[[#This Row],[Ciudad]],Tabla2[Ciudades],Tabla2[Provincias],"no se encuentra")</f>
        <v>Valencia</v>
      </c>
      <c r="L711" t="str">
        <f>_xlfn.XLOOKUP(datos_ventas[[#This Row],[Provincia]],Tabla2[Provincias],Tabla2[Comunidades],"no se encuentra")</f>
        <v>Comunidad Valenciana</v>
      </c>
      <c r="M711" t="s">
        <v>19</v>
      </c>
      <c r="N711">
        <v>1</v>
      </c>
    </row>
    <row r="712" spans="1:14" x14ac:dyDescent="0.25">
      <c r="A712">
        <v>1711</v>
      </c>
      <c r="B712" s="1">
        <v>45884</v>
      </c>
      <c r="C712" s="4">
        <f>MONTH(datos_ventas[[#This Row],[Fecha]])</f>
        <v>8</v>
      </c>
      <c r="D712" s="4">
        <f>WEEKNUM(datos_ventas[[#This Row],[Fecha]],2)</f>
        <v>33</v>
      </c>
      <c r="E712" t="s">
        <v>16</v>
      </c>
      <c r="F712" t="s">
        <v>11</v>
      </c>
      <c r="G712">
        <v>3</v>
      </c>
      <c r="H712">
        <v>15422</v>
      </c>
      <c r="I712">
        <v>1434</v>
      </c>
      <c r="J712" t="s">
        <v>32</v>
      </c>
      <c r="K712" t="str">
        <f>_xlfn.XLOOKUP(datos_ventas[[#This Row],[Ciudad]],Tabla2[Ciudades],Tabla2[Provincias],"no se encuentra")</f>
        <v>Barcelona</v>
      </c>
      <c r="L712" t="str">
        <f>_xlfn.XLOOKUP(datos_ventas[[#This Row],[Provincia]],Tabla2[Provincias],Tabla2[Comunidades],"no se encuentra")</f>
        <v>Cataluña</v>
      </c>
      <c r="M712" t="s">
        <v>28</v>
      </c>
      <c r="N712">
        <v>2</v>
      </c>
    </row>
    <row r="713" spans="1:14" x14ac:dyDescent="0.25">
      <c r="A713">
        <v>1712</v>
      </c>
      <c r="B713" s="1">
        <v>45826</v>
      </c>
      <c r="C713" s="4">
        <f>MONTH(datos_ventas[[#This Row],[Fecha]])</f>
        <v>6</v>
      </c>
      <c r="D713" s="4">
        <f>WEEKNUM(datos_ventas[[#This Row],[Fecha]],2)</f>
        <v>25</v>
      </c>
      <c r="E713" t="s">
        <v>23</v>
      </c>
      <c r="F713" t="s">
        <v>18</v>
      </c>
      <c r="G713">
        <v>5</v>
      </c>
      <c r="H713">
        <v>65557</v>
      </c>
      <c r="I713">
        <v>2854</v>
      </c>
      <c r="J713" t="s">
        <v>27</v>
      </c>
      <c r="K713" t="str">
        <f>_xlfn.XLOOKUP(datos_ventas[[#This Row],[Ciudad]],Tabla2[Ciudades],Tabla2[Provincias],"no se encuentra")</f>
        <v>Sevilla</v>
      </c>
      <c r="L713" t="str">
        <f>_xlfn.XLOOKUP(datos_ventas[[#This Row],[Provincia]],Tabla2[Provincias],Tabla2[Comunidades],"no se encuentra")</f>
        <v>Andalucía</v>
      </c>
      <c r="M713" t="s">
        <v>13</v>
      </c>
      <c r="N713">
        <v>3</v>
      </c>
    </row>
    <row r="714" spans="1:14" x14ac:dyDescent="0.25">
      <c r="A714">
        <v>1713</v>
      </c>
      <c r="B714" s="1">
        <v>45964</v>
      </c>
      <c r="C714" s="4">
        <f>MONTH(datos_ventas[[#This Row],[Fecha]])</f>
        <v>11</v>
      </c>
      <c r="D714" s="4">
        <f>WEEKNUM(datos_ventas[[#This Row],[Fecha]],2)</f>
        <v>45</v>
      </c>
      <c r="E714" t="s">
        <v>20</v>
      </c>
      <c r="F714" t="s">
        <v>21</v>
      </c>
      <c r="G714">
        <v>5</v>
      </c>
      <c r="H714">
        <v>68658</v>
      </c>
      <c r="I714">
        <v>4666</v>
      </c>
      <c r="J714" t="s">
        <v>32</v>
      </c>
      <c r="K714" t="str">
        <f>_xlfn.XLOOKUP(datos_ventas[[#This Row],[Ciudad]],Tabla2[Ciudades],Tabla2[Provincias],"no se encuentra")</f>
        <v>Barcelona</v>
      </c>
      <c r="L714" t="str">
        <f>_xlfn.XLOOKUP(datos_ventas[[#This Row],[Provincia]],Tabla2[Provincias],Tabla2[Comunidades],"no se encuentra")</f>
        <v>Cataluña</v>
      </c>
      <c r="M714" t="s">
        <v>19</v>
      </c>
      <c r="N714">
        <v>1</v>
      </c>
    </row>
    <row r="715" spans="1:14" x14ac:dyDescent="0.25">
      <c r="A715">
        <v>1714</v>
      </c>
      <c r="B715" s="1">
        <v>45828</v>
      </c>
      <c r="C715" s="4">
        <f>MONTH(datos_ventas[[#This Row],[Fecha]])</f>
        <v>6</v>
      </c>
      <c r="D715" s="4">
        <f>WEEKNUM(datos_ventas[[#This Row],[Fecha]],2)</f>
        <v>25</v>
      </c>
      <c r="E715" t="s">
        <v>10</v>
      </c>
      <c r="F715" t="s">
        <v>11</v>
      </c>
      <c r="G715">
        <v>4</v>
      </c>
      <c r="H715">
        <v>82634</v>
      </c>
      <c r="I715">
        <v>3285</v>
      </c>
      <c r="J715" t="s">
        <v>32</v>
      </c>
      <c r="K715" t="str">
        <f>_xlfn.XLOOKUP(datos_ventas[[#This Row],[Ciudad]],Tabla2[Ciudades],Tabla2[Provincias],"no se encuentra")</f>
        <v>Barcelona</v>
      </c>
      <c r="L715" t="str">
        <f>_xlfn.XLOOKUP(datos_ventas[[#This Row],[Provincia]],Tabla2[Provincias],Tabla2[Comunidades],"no se encuentra")</f>
        <v>Cataluña</v>
      </c>
      <c r="M715" t="s">
        <v>28</v>
      </c>
      <c r="N715">
        <v>1</v>
      </c>
    </row>
    <row r="716" spans="1:14" x14ac:dyDescent="0.25">
      <c r="A716">
        <v>1715</v>
      </c>
      <c r="B716" s="1">
        <v>45748</v>
      </c>
      <c r="C716" s="4">
        <f>MONTH(datos_ventas[[#This Row],[Fecha]])</f>
        <v>4</v>
      </c>
      <c r="D716" s="4">
        <f>WEEKNUM(datos_ventas[[#This Row],[Fecha]],2)</f>
        <v>14</v>
      </c>
      <c r="E716" t="s">
        <v>16</v>
      </c>
      <c r="F716" t="s">
        <v>11</v>
      </c>
      <c r="G716">
        <v>4</v>
      </c>
      <c r="H716">
        <v>50804</v>
      </c>
      <c r="I716">
        <v>704</v>
      </c>
      <c r="J716" t="s">
        <v>27</v>
      </c>
      <c r="K716" t="str">
        <f>_xlfn.XLOOKUP(datos_ventas[[#This Row],[Ciudad]],Tabla2[Ciudades],Tabla2[Provincias],"no se encuentra")</f>
        <v>Sevilla</v>
      </c>
      <c r="L716" t="str">
        <f>_xlfn.XLOOKUP(datos_ventas[[#This Row],[Provincia]],Tabla2[Provincias],Tabla2[Comunidades],"no se encuentra")</f>
        <v>Andalucía</v>
      </c>
      <c r="M716" t="s">
        <v>28</v>
      </c>
      <c r="N716">
        <v>2</v>
      </c>
    </row>
    <row r="717" spans="1:14" x14ac:dyDescent="0.25">
      <c r="A717">
        <v>1716</v>
      </c>
      <c r="B717" s="1">
        <v>45981</v>
      </c>
      <c r="C717" s="4">
        <f>MONTH(datos_ventas[[#This Row],[Fecha]])</f>
        <v>11</v>
      </c>
      <c r="D717" s="4">
        <f>WEEKNUM(datos_ventas[[#This Row],[Fecha]],2)</f>
        <v>47</v>
      </c>
      <c r="E717" t="s">
        <v>23</v>
      </c>
      <c r="F717" t="s">
        <v>18</v>
      </c>
      <c r="G717">
        <v>4</v>
      </c>
      <c r="H717">
        <v>66673</v>
      </c>
      <c r="I717">
        <v>2223</v>
      </c>
      <c r="J717" t="s">
        <v>32</v>
      </c>
      <c r="K717" t="str">
        <f>_xlfn.XLOOKUP(datos_ventas[[#This Row],[Ciudad]],Tabla2[Ciudades],Tabla2[Provincias],"no se encuentra")</f>
        <v>Barcelona</v>
      </c>
      <c r="L717" t="str">
        <f>_xlfn.XLOOKUP(datos_ventas[[#This Row],[Provincia]],Tabla2[Provincias],Tabla2[Comunidades],"no se encuentra")</f>
        <v>Cataluña</v>
      </c>
      <c r="M717" t="s">
        <v>28</v>
      </c>
      <c r="N717">
        <v>5</v>
      </c>
    </row>
    <row r="718" spans="1:14" x14ac:dyDescent="0.25">
      <c r="A718">
        <v>1717</v>
      </c>
      <c r="B718" s="1">
        <v>45750</v>
      </c>
      <c r="C718" s="4">
        <f>MONTH(datos_ventas[[#This Row],[Fecha]])</f>
        <v>4</v>
      </c>
      <c r="D718" s="4">
        <f>WEEKNUM(datos_ventas[[#This Row],[Fecha]],2)</f>
        <v>14</v>
      </c>
      <c r="E718" t="s">
        <v>20</v>
      </c>
      <c r="F718" t="s">
        <v>21</v>
      </c>
      <c r="G718">
        <v>1</v>
      </c>
      <c r="H718">
        <v>81867</v>
      </c>
      <c r="I718">
        <v>3359</v>
      </c>
      <c r="J718" t="s">
        <v>31</v>
      </c>
      <c r="K718" t="str">
        <f>_xlfn.XLOOKUP(datos_ventas[[#This Row],[Ciudad]],Tabla2[Ciudades],Tabla2[Provincias],"no se encuentra")</f>
        <v>Vizcaya</v>
      </c>
      <c r="L718" t="str">
        <f>_xlfn.XLOOKUP(datos_ventas[[#This Row],[Provincia]],Tabla2[Provincias],Tabla2[Comunidades],"no se encuentra")</f>
        <v>País Vasco</v>
      </c>
      <c r="M718" t="s">
        <v>19</v>
      </c>
      <c r="N718">
        <v>4</v>
      </c>
    </row>
    <row r="719" spans="1:14" x14ac:dyDescent="0.25">
      <c r="A719">
        <v>1718</v>
      </c>
      <c r="B719" s="1">
        <v>45907</v>
      </c>
      <c r="C719" s="4">
        <f>MONTH(datos_ventas[[#This Row],[Fecha]])</f>
        <v>9</v>
      </c>
      <c r="D719" s="4">
        <f>WEEKNUM(datos_ventas[[#This Row],[Fecha]],2)</f>
        <v>36</v>
      </c>
      <c r="E719" t="s">
        <v>10</v>
      </c>
      <c r="F719" t="s">
        <v>11</v>
      </c>
      <c r="G719">
        <v>2</v>
      </c>
      <c r="H719">
        <v>43406</v>
      </c>
      <c r="I719">
        <v>1574</v>
      </c>
      <c r="J719" t="s">
        <v>12</v>
      </c>
      <c r="K719" t="str">
        <f>_xlfn.XLOOKUP(datos_ventas[[#This Row],[Ciudad]],Tabla2[Ciudades],Tabla2[Provincias],"no se encuentra")</f>
        <v>Málaga</v>
      </c>
      <c r="L719" t="str">
        <f>_xlfn.XLOOKUP(datos_ventas[[#This Row],[Provincia]],Tabla2[Provincias],Tabla2[Comunidades],"no se encuentra")</f>
        <v>Andalucía</v>
      </c>
      <c r="M719" t="s">
        <v>15</v>
      </c>
      <c r="N719">
        <v>1</v>
      </c>
    </row>
    <row r="720" spans="1:14" x14ac:dyDescent="0.25">
      <c r="A720">
        <v>1719</v>
      </c>
      <c r="B720" s="1">
        <v>45961</v>
      </c>
      <c r="C720" s="4">
        <f>MONTH(datos_ventas[[#This Row],[Fecha]])</f>
        <v>10</v>
      </c>
      <c r="D720" s="4">
        <f>WEEKNUM(datos_ventas[[#This Row],[Fecha]],2)</f>
        <v>44</v>
      </c>
      <c r="E720" t="s">
        <v>24</v>
      </c>
      <c r="F720" t="s">
        <v>25</v>
      </c>
      <c r="G720">
        <v>1</v>
      </c>
      <c r="H720">
        <v>52932</v>
      </c>
      <c r="I720">
        <v>2646</v>
      </c>
      <c r="J720" t="s">
        <v>32</v>
      </c>
      <c r="K720" t="str">
        <f>_xlfn.XLOOKUP(datos_ventas[[#This Row],[Ciudad]],Tabla2[Ciudades],Tabla2[Provincias],"no se encuentra")</f>
        <v>Barcelona</v>
      </c>
      <c r="L720" t="str">
        <f>_xlfn.XLOOKUP(datos_ventas[[#This Row],[Provincia]],Tabla2[Provincias],Tabla2[Comunidades],"no se encuentra")</f>
        <v>Cataluña</v>
      </c>
      <c r="M720" t="s">
        <v>15</v>
      </c>
      <c r="N720">
        <v>1</v>
      </c>
    </row>
    <row r="721" spans="1:14" x14ac:dyDescent="0.25">
      <c r="A721">
        <v>1720</v>
      </c>
      <c r="B721" s="1">
        <v>45687</v>
      </c>
      <c r="C721" s="4">
        <f>MONTH(datos_ventas[[#This Row],[Fecha]])</f>
        <v>1</v>
      </c>
      <c r="D721" s="4">
        <f>WEEKNUM(datos_ventas[[#This Row],[Fecha]],2)</f>
        <v>5</v>
      </c>
      <c r="E721" t="s">
        <v>20</v>
      </c>
      <c r="F721" t="s">
        <v>21</v>
      </c>
      <c r="G721">
        <v>4</v>
      </c>
      <c r="H721">
        <v>61009</v>
      </c>
      <c r="I721">
        <v>1293</v>
      </c>
      <c r="J721" t="s">
        <v>32</v>
      </c>
      <c r="K721" t="str">
        <f>_xlfn.XLOOKUP(datos_ventas[[#This Row],[Ciudad]],Tabla2[Ciudades],Tabla2[Provincias],"no se encuentra")</f>
        <v>Barcelona</v>
      </c>
      <c r="L721" t="str">
        <f>_xlfn.XLOOKUP(datos_ventas[[#This Row],[Provincia]],Tabla2[Provincias],Tabla2[Comunidades],"no se encuentra")</f>
        <v>Cataluña</v>
      </c>
      <c r="M721" t="s">
        <v>13</v>
      </c>
      <c r="N721">
        <v>2</v>
      </c>
    </row>
    <row r="722" spans="1:14" x14ac:dyDescent="0.25">
      <c r="A722">
        <v>1721</v>
      </c>
      <c r="B722" s="1">
        <v>45979</v>
      </c>
      <c r="C722" s="4">
        <f>MONTH(datos_ventas[[#This Row],[Fecha]])</f>
        <v>11</v>
      </c>
      <c r="D722" s="4">
        <f>WEEKNUM(datos_ventas[[#This Row],[Fecha]],2)</f>
        <v>47</v>
      </c>
      <c r="E722" t="s">
        <v>20</v>
      </c>
      <c r="F722" t="s">
        <v>21</v>
      </c>
      <c r="G722">
        <v>4</v>
      </c>
      <c r="H722">
        <v>58309</v>
      </c>
      <c r="I722">
        <v>3845</v>
      </c>
      <c r="J722" t="s">
        <v>14</v>
      </c>
      <c r="K722" t="str">
        <f>_xlfn.XLOOKUP(datos_ventas[[#This Row],[Ciudad]],Tabla2[Ciudades],Tabla2[Provincias],"no se encuentra")</f>
        <v>Madrid</v>
      </c>
      <c r="L722" t="str">
        <f>_xlfn.XLOOKUP(datos_ventas[[#This Row],[Provincia]],Tabla2[Provincias],Tabla2[Comunidades],"no se encuentra")</f>
        <v>Comunidad de Madrid</v>
      </c>
      <c r="M722" t="s">
        <v>28</v>
      </c>
      <c r="N722">
        <v>4</v>
      </c>
    </row>
    <row r="723" spans="1:14" x14ac:dyDescent="0.25">
      <c r="A723">
        <v>1722</v>
      </c>
      <c r="B723" s="1">
        <v>45917</v>
      </c>
      <c r="C723" s="4">
        <f>MONTH(datos_ventas[[#This Row],[Fecha]])</f>
        <v>9</v>
      </c>
      <c r="D723" s="4">
        <f>WEEKNUM(datos_ventas[[#This Row],[Fecha]],2)</f>
        <v>38</v>
      </c>
      <c r="E723" t="s">
        <v>23</v>
      </c>
      <c r="F723" t="s">
        <v>18</v>
      </c>
      <c r="G723">
        <v>5</v>
      </c>
      <c r="H723">
        <v>41011</v>
      </c>
      <c r="I723">
        <v>2794</v>
      </c>
      <c r="J723" t="s">
        <v>27</v>
      </c>
      <c r="K723" t="str">
        <f>_xlfn.XLOOKUP(datos_ventas[[#This Row],[Ciudad]],Tabla2[Ciudades],Tabla2[Provincias],"no se encuentra")</f>
        <v>Sevilla</v>
      </c>
      <c r="L723" t="str">
        <f>_xlfn.XLOOKUP(datos_ventas[[#This Row],[Provincia]],Tabla2[Provincias],Tabla2[Comunidades],"no se encuentra")</f>
        <v>Andalucía</v>
      </c>
      <c r="M723" t="s">
        <v>19</v>
      </c>
      <c r="N723">
        <v>1</v>
      </c>
    </row>
    <row r="724" spans="1:14" x14ac:dyDescent="0.25">
      <c r="A724">
        <v>1723</v>
      </c>
      <c r="B724" s="1">
        <v>45668</v>
      </c>
      <c r="C724" s="4">
        <f>MONTH(datos_ventas[[#This Row],[Fecha]])</f>
        <v>1</v>
      </c>
      <c r="D724" s="4">
        <f>WEEKNUM(datos_ventas[[#This Row],[Fecha]],2)</f>
        <v>2</v>
      </c>
      <c r="E724" t="s">
        <v>17</v>
      </c>
      <c r="F724" t="s">
        <v>18</v>
      </c>
      <c r="G724">
        <v>3</v>
      </c>
      <c r="H724">
        <v>30928</v>
      </c>
      <c r="I724">
        <v>4359</v>
      </c>
      <c r="J724" t="s">
        <v>12</v>
      </c>
      <c r="K724" t="str">
        <f>_xlfn.XLOOKUP(datos_ventas[[#This Row],[Ciudad]],Tabla2[Ciudades],Tabla2[Provincias],"no se encuentra")</f>
        <v>Málaga</v>
      </c>
      <c r="L724" t="str">
        <f>_xlfn.XLOOKUP(datos_ventas[[#This Row],[Provincia]],Tabla2[Provincias],Tabla2[Comunidades],"no se encuentra")</f>
        <v>Andalucía</v>
      </c>
      <c r="M724" t="s">
        <v>15</v>
      </c>
      <c r="N724">
        <v>5</v>
      </c>
    </row>
    <row r="725" spans="1:14" x14ac:dyDescent="0.25">
      <c r="A725">
        <v>1724</v>
      </c>
      <c r="B725" s="1">
        <v>45889</v>
      </c>
      <c r="C725" s="4">
        <f>MONTH(datos_ventas[[#This Row],[Fecha]])</f>
        <v>8</v>
      </c>
      <c r="D725" s="4">
        <f>WEEKNUM(datos_ventas[[#This Row],[Fecha]],2)</f>
        <v>34</v>
      </c>
      <c r="E725" t="s">
        <v>10</v>
      </c>
      <c r="F725" t="s">
        <v>11</v>
      </c>
      <c r="G725">
        <v>4</v>
      </c>
      <c r="H725">
        <v>97332</v>
      </c>
      <c r="I725">
        <v>2506</v>
      </c>
      <c r="J725" t="s">
        <v>32</v>
      </c>
      <c r="K725" t="str">
        <f>_xlfn.XLOOKUP(datos_ventas[[#This Row],[Ciudad]],Tabla2[Ciudades],Tabla2[Provincias],"no se encuentra")</f>
        <v>Barcelona</v>
      </c>
      <c r="L725" t="str">
        <f>_xlfn.XLOOKUP(datos_ventas[[#This Row],[Provincia]],Tabla2[Provincias],Tabla2[Comunidades],"no se encuentra")</f>
        <v>Cataluña</v>
      </c>
      <c r="M725" t="s">
        <v>15</v>
      </c>
      <c r="N725">
        <v>4</v>
      </c>
    </row>
    <row r="726" spans="1:14" x14ac:dyDescent="0.25">
      <c r="A726">
        <v>1725</v>
      </c>
      <c r="B726" s="1">
        <v>45710</v>
      </c>
      <c r="C726" s="4">
        <f>MONTH(datos_ventas[[#This Row],[Fecha]])</f>
        <v>2</v>
      </c>
      <c r="D726" s="4">
        <f>WEEKNUM(datos_ventas[[#This Row],[Fecha]],2)</f>
        <v>8</v>
      </c>
      <c r="E726" t="s">
        <v>23</v>
      </c>
      <c r="F726" t="s">
        <v>18</v>
      </c>
      <c r="G726">
        <v>1</v>
      </c>
      <c r="H726">
        <v>101299</v>
      </c>
      <c r="I726">
        <v>1441</v>
      </c>
      <c r="J726" t="s">
        <v>12</v>
      </c>
      <c r="K726" t="str">
        <f>_xlfn.XLOOKUP(datos_ventas[[#This Row],[Ciudad]],Tabla2[Ciudades],Tabla2[Provincias],"no se encuentra")</f>
        <v>Málaga</v>
      </c>
      <c r="L726" t="str">
        <f>_xlfn.XLOOKUP(datos_ventas[[#This Row],[Provincia]],Tabla2[Provincias],Tabla2[Comunidades],"no se encuentra")</f>
        <v>Andalucía</v>
      </c>
      <c r="M726" t="s">
        <v>15</v>
      </c>
      <c r="N726">
        <v>4</v>
      </c>
    </row>
    <row r="727" spans="1:14" x14ac:dyDescent="0.25">
      <c r="A727">
        <v>1726</v>
      </c>
      <c r="B727" s="1">
        <v>45896</v>
      </c>
      <c r="C727" s="4">
        <f>MONTH(datos_ventas[[#This Row],[Fecha]])</f>
        <v>8</v>
      </c>
      <c r="D727" s="4">
        <f>WEEKNUM(datos_ventas[[#This Row],[Fecha]],2)</f>
        <v>35</v>
      </c>
      <c r="E727" t="s">
        <v>20</v>
      </c>
      <c r="F727" t="s">
        <v>21</v>
      </c>
      <c r="G727">
        <v>3</v>
      </c>
      <c r="H727">
        <v>9234</v>
      </c>
      <c r="I727">
        <v>3933</v>
      </c>
      <c r="J727" t="s">
        <v>27</v>
      </c>
      <c r="K727" t="str">
        <f>_xlfn.XLOOKUP(datos_ventas[[#This Row],[Ciudad]],Tabla2[Ciudades],Tabla2[Provincias],"no se encuentra")</f>
        <v>Sevilla</v>
      </c>
      <c r="L727" t="str">
        <f>_xlfn.XLOOKUP(datos_ventas[[#This Row],[Provincia]],Tabla2[Provincias],Tabla2[Comunidades],"no se encuentra")</f>
        <v>Andalucía</v>
      </c>
      <c r="M727" t="s">
        <v>28</v>
      </c>
      <c r="N727">
        <v>1</v>
      </c>
    </row>
    <row r="728" spans="1:14" x14ac:dyDescent="0.25">
      <c r="A728">
        <v>1727</v>
      </c>
      <c r="B728" s="1">
        <v>45892</v>
      </c>
      <c r="C728" s="4">
        <f>MONTH(datos_ventas[[#This Row],[Fecha]])</f>
        <v>8</v>
      </c>
      <c r="D728" s="4">
        <f>WEEKNUM(datos_ventas[[#This Row],[Fecha]],2)</f>
        <v>34</v>
      </c>
      <c r="E728" t="s">
        <v>24</v>
      </c>
      <c r="F728" t="s">
        <v>25</v>
      </c>
      <c r="G728">
        <v>1</v>
      </c>
      <c r="H728">
        <v>23042</v>
      </c>
      <c r="I728">
        <v>3121</v>
      </c>
      <c r="J728" t="s">
        <v>31</v>
      </c>
      <c r="K728" t="str">
        <f>_xlfn.XLOOKUP(datos_ventas[[#This Row],[Ciudad]],Tabla2[Ciudades],Tabla2[Provincias],"no se encuentra")</f>
        <v>Vizcaya</v>
      </c>
      <c r="L728" t="str">
        <f>_xlfn.XLOOKUP(datos_ventas[[#This Row],[Provincia]],Tabla2[Provincias],Tabla2[Comunidades],"no se encuentra")</f>
        <v>País Vasco</v>
      </c>
      <c r="M728" t="s">
        <v>28</v>
      </c>
      <c r="N728">
        <v>2</v>
      </c>
    </row>
    <row r="729" spans="1:14" x14ac:dyDescent="0.25">
      <c r="A729">
        <v>1728</v>
      </c>
      <c r="B729" s="1">
        <v>45746</v>
      </c>
      <c r="C729" s="4">
        <f>MONTH(datos_ventas[[#This Row],[Fecha]])</f>
        <v>3</v>
      </c>
      <c r="D729" s="4">
        <f>WEEKNUM(datos_ventas[[#This Row],[Fecha]],2)</f>
        <v>13</v>
      </c>
      <c r="E729" t="s">
        <v>20</v>
      </c>
      <c r="F729" t="s">
        <v>21</v>
      </c>
      <c r="G729">
        <v>4</v>
      </c>
      <c r="H729">
        <v>5028</v>
      </c>
      <c r="I729">
        <v>1709</v>
      </c>
      <c r="J729" t="s">
        <v>12</v>
      </c>
      <c r="K729" t="str">
        <f>_xlfn.XLOOKUP(datos_ventas[[#This Row],[Ciudad]],Tabla2[Ciudades],Tabla2[Provincias],"no se encuentra")</f>
        <v>Málaga</v>
      </c>
      <c r="L729" t="str">
        <f>_xlfn.XLOOKUP(datos_ventas[[#This Row],[Provincia]],Tabla2[Provincias],Tabla2[Comunidades],"no se encuentra")</f>
        <v>Andalucía</v>
      </c>
      <c r="M729" t="s">
        <v>13</v>
      </c>
      <c r="N729">
        <v>2</v>
      </c>
    </row>
    <row r="730" spans="1:14" x14ac:dyDescent="0.25">
      <c r="A730">
        <v>1729</v>
      </c>
      <c r="B730" s="1">
        <v>46013</v>
      </c>
      <c r="C730" s="4">
        <f>MONTH(datos_ventas[[#This Row],[Fecha]])</f>
        <v>12</v>
      </c>
      <c r="D730" s="4">
        <f>WEEKNUM(datos_ventas[[#This Row],[Fecha]],2)</f>
        <v>52</v>
      </c>
      <c r="E730" t="s">
        <v>16</v>
      </c>
      <c r="F730" t="s">
        <v>11</v>
      </c>
      <c r="G730">
        <v>2</v>
      </c>
      <c r="H730">
        <v>82009</v>
      </c>
      <c r="I730">
        <v>3051</v>
      </c>
      <c r="J730" t="s">
        <v>22</v>
      </c>
      <c r="K730" t="str">
        <f>_xlfn.XLOOKUP(datos_ventas[[#This Row],[Ciudad]],Tabla2[Ciudades],Tabla2[Provincias],"no se encuentra")</f>
        <v>Valencia</v>
      </c>
      <c r="L730" t="str">
        <f>_xlfn.XLOOKUP(datos_ventas[[#This Row],[Provincia]],Tabla2[Provincias],Tabla2[Comunidades],"no se encuentra")</f>
        <v>Comunidad Valenciana</v>
      </c>
      <c r="M730" t="s">
        <v>15</v>
      </c>
      <c r="N730">
        <v>3</v>
      </c>
    </row>
    <row r="731" spans="1:14" x14ac:dyDescent="0.25">
      <c r="A731">
        <v>1730</v>
      </c>
      <c r="B731" s="1">
        <v>45984</v>
      </c>
      <c r="C731" s="4">
        <f>MONTH(datos_ventas[[#This Row],[Fecha]])</f>
        <v>11</v>
      </c>
      <c r="D731" s="4">
        <f>WEEKNUM(datos_ventas[[#This Row],[Fecha]],2)</f>
        <v>47</v>
      </c>
      <c r="E731" t="s">
        <v>23</v>
      </c>
      <c r="F731" t="s">
        <v>18</v>
      </c>
      <c r="G731">
        <v>5</v>
      </c>
      <c r="H731">
        <v>3335</v>
      </c>
      <c r="I731">
        <v>2296</v>
      </c>
      <c r="J731" t="s">
        <v>27</v>
      </c>
      <c r="K731" t="str">
        <f>_xlfn.XLOOKUP(datos_ventas[[#This Row],[Ciudad]],Tabla2[Ciudades],Tabla2[Provincias],"no se encuentra")</f>
        <v>Sevilla</v>
      </c>
      <c r="L731" t="str">
        <f>_xlfn.XLOOKUP(datos_ventas[[#This Row],[Provincia]],Tabla2[Provincias],Tabla2[Comunidades],"no se encuentra")</f>
        <v>Andalucía</v>
      </c>
      <c r="M731" t="s">
        <v>19</v>
      </c>
      <c r="N731">
        <v>4</v>
      </c>
    </row>
    <row r="732" spans="1:14" x14ac:dyDescent="0.25">
      <c r="A732">
        <v>1731</v>
      </c>
      <c r="B732" s="1">
        <v>45960</v>
      </c>
      <c r="C732" s="4">
        <f>MONTH(datos_ventas[[#This Row],[Fecha]])</f>
        <v>10</v>
      </c>
      <c r="D732" s="4">
        <f>WEEKNUM(datos_ventas[[#This Row],[Fecha]],2)</f>
        <v>44</v>
      </c>
      <c r="E732" t="s">
        <v>17</v>
      </c>
      <c r="F732" t="s">
        <v>18</v>
      </c>
      <c r="G732">
        <v>4</v>
      </c>
      <c r="H732">
        <v>117159</v>
      </c>
      <c r="I732">
        <v>1665</v>
      </c>
      <c r="J732" t="s">
        <v>32</v>
      </c>
      <c r="K732" t="str">
        <f>_xlfn.XLOOKUP(datos_ventas[[#This Row],[Ciudad]],Tabla2[Ciudades],Tabla2[Provincias],"no se encuentra")</f>
        <v>Barcelona</v>
      </c>
      <c r="L732" t="str">
        <f>_xlfn.XLOOKUP(datos_ventas[[#This Row],[Provincia]],Tabla2[Provincias],Tabla2[Comunidades],"no se encuentra")</f>
        <v>Cataluña</v>
      </c>
      <c r="M732" t="s">
        <v>15</v>
      </c>
      <c r="N732">
        <v>5</v>
      </c>
    </row>
    <row r="733" spans="1:14" x14ac:dyDescent="0.25">
      <c r="A733">
        <v>1732</v>
      </c>
      <c r="B733" s="1">
        <v>46006</v>
      </c>
      <c r="C733" s="4">
        <f>MONTH(datos_ventas[[#This Row],[Fecha]])</f>
        <v>12</v>
      </c>
      <c r="D733" s="4">
        <f>WEEKNUM(datos_ventas[[#This Row],[Fecha]],2)</f>
        <v>51</v>
      </c>
      <c r="E733" t="s">
        <v>16</v>
      </c>
      <c r="F733" t="s">
        <v>11</v>
      </c>
      <c r="G733">
        <v>1</v>
      </c>
      <c r="H733">
        <v>19006</v>
      </c>
      <c r="I733">
        <v>963</v>
      </c>
      <c r="J733" t="s">
        <v>22</v>
      </c>
      <c r="K733" t="str">
        <f>_xlfn.XLOOKUP(datos_ventas[[#This Row],[Ciudad]],Tabla2[Ciudades],Tabla2[Provincias],"no se encuentra")</f>
        <v>Valencia</v>
      </c>
      <c r="L733" t="str">
        <f>_xlfn.XLOOKUP(datos_ventas[[#This Row],[Provincia]],Tabla2[Provincias],Tabla2[Comunidades],"no se encuentra")</f>
        <v>Comunidad Valenciana</v>
      </c>
      <c r="M733" t="s">
        <v>19</v>
      </c>
      <c r="N733">
        <v>5</v>
      </c>
    </row>
    <row r="734" spans="1:14" x14ac:dyDescent="0.25">
      <c r="A734">
        <v>1733</v>
      </c>
      <c r="B734" s="1">
        <v>45977</v>
      </c>
      <c r="C734" s="4">
        <f>MONTH(datos_ventas[[#This Row],[Fecha]])</f>
        <v>11</v>
      </c>
      <c r="D734" s="4">
        <f>WEEKNUM(datos_ventas[[#This Row],[Fecha]],2)</f>
        <v>46</v>
      </c>
      <c r="E734" t="s">
        <v>26</v>
      </c>
      <c r="F734" t="s">
        <v>18</v>
      </c>
      <c r="G734">
        <v>3</v>
      </c>
      <c r="H734">
        <v>80501</v>
      </c>
      <c r="I734">
        <v>4699</v>
      </c>
      <c r="J734" t="s">
        <v>32</v>
      </c>
      <c r="K734" t="str">
        <f>_xlfn.XLOOKUP(datos_ventas[[#This Row],[Ciudad]],Tabla2[Ciudades],Tabla2[Provincias],"no se encuentra")</f>
        <v>Barcelona</v>
      </c>
      <c r="L734" t="str">
        <f>_xlfn.XLOOKUP(datos_ventas[[#This Row],[Provincia]],Tabla2[Provincias],Tabla2[Comunidades],"no se encuentra")</f>
        <v>Cataluña</v>
      </c>
      <c r="M734" t="s">
        <v>19</v>
      </c>
      <c r="N734">
        <v>4</v>
      </c>
    </row>
    <row r="735" spans="1:14" x14ac:dyDescent="0.25">
      <c r="A735">
        <v>1734</v>
      </c>
      <c r="B735" s="1">
        <v>45878</v>
      </c>
      <c r="C735" s="4">
        <f>MONTH(datos_ventas[[#This Row],[Fecha]])</f>
        <v>8</v>
      </c>
      <c r="D735" s="4">
        <f>WEEKNUM(datos_ventas[[#This Row],[Fecha]],2)</f>
        <v>32</v>
      </c>
      <c r="E735" t="s">
        <v>29</v>
      </c>
      <c r="F735" t="s">
        <v>30</v>
      </c>
      <c r="G735">
        <v>2</v>
      </c>
      <c r="H735">
        <v>104146</v>
      </c>
      <c r="I735">
        <v>236</v>
      </c>
      <c r="J735" t="s">
        <v>31</v>
      </c>
      <c r="K735" t="str">
        <f>_xlfn.XLOOKUP(datos_ventas[[#This Row],[Ciudad]],Tabla2[Ciudades],Tabla2[Provincias],"no se encuentra")</f>
        <v>Vizcaya</v>
      </c>
      <c r="L735" t="str">
        <f>_xlfn.XLOOKUP(datos_ventas[[#This Row],[Provincia]],Tabla2[Provincias],Tabla2[Comunidades],"no se encuentra")</f>
        <v>País Vasco</v>
      </c>
      <c r="M735" t="s">
        <v>13</v>
      </c>
      <c r="N735">
        <v>1</v>
      </c>
    </row>
    <row r="736" spans="1:14" x14ac:dyDescent="0.25">
      <c r="A736">
        <v>1735</v>
      </c>
      <c r="B736" s="1">
        <v>45871</v>
      </c>
      <c r="C736" s="4">
        <f>MONTH(datos_ventas[[#This Row],[Fecha]])</f>
        <v>8</v>
      </c>
      <c r="D736" s="4">
        <f>WEEKNUM(datos_ventas[[#This Row],[Fecha]],2)</f>
        <v>31</v>
      </c>
      <c r="E736" t="s">
        <v>24</v>
      </c>
      <c r="F736" t="s">
        <v>25</v>
      </c>
      <c r="G736">
        <v>3</v>
      </c>
      <c r="H736">
        <v>95508</v>
      </c>
      <c r="I736">
        <v>2335</v>
      </c>
      <c r="J736" t="s">
        <v>12</v>
      </c>
      <c r="K736" t="str">
        <f>_xlfn.XLOOKUP(datos_ventas[[#This Row],[Ciudad]],Tabla2[Ciudades],Tabla2[Provincias],"no se encuentra")</f>
        <v>Málaga</v>
      </c>
      <c r="L736" t="str">
        <f>_xlfn.XLOOKUP(datos_ventas[[#This Row],[Provincia]],Tabla2[Provincias],Tabla2[Comunidades],"no se encuentra")</f>
        <v>Andalucía</v>
      </c>
      <c r="M736" t="s">
        <v>13</v>
      </c>
      <c r="N736">
        <v>1</v>
      </c>
    </row>
    <row r="737" spans="1:14" x14ac:dyDescent="0.25">
      <c r="A737">
        <v>1736</v>
      </c>
      <c r="B737" s="1">
        <v>45983</v>
      </c>
      <c r="C737" s="4">
        <f>MONTH(datos_ventas[[#This Row],[Fecha]])</f>
        <v>11</v>
      </c>
      <c r="D737" s="4">
        <f>WEEKNUM(datos_ventas[[#This Row],[Fecha]],2)</f>
        <v>47</v>
      </c>
      <c r="E737" t="s">
        <v>23</v>
      </c>
      <c r="F737" t="s">
        <v>18</v>
      </c>
      <c r="G737">
        <v>2</v>
      </c>
      <c r="H737">
        <v>6653</v>
      </c>
      <c r="I737">
        <v>491</v>
      </c>
      <c r="J737" t="s">
        <v>27</v>
      </c>
      <c r="K737" t="str">
        <f>_xlfn.XLOOKUP(datos_ventas[[#This Row],[Ciudad]],Tabla2[Ciudades],Tabla2[Provincias],"no se encuentra")</f>
        <v>Sevilla</v>
      </c>
      <c r="L737" t="str">
        <f>_xlfn.XLOOKUP(datos_ventas[[#This Row],[Provincia]],Tabla2[Provincias],Tabla2[Comunidades],"no se encuentra")</f>
        <v>Andalucía</v>
      </c>
      <c r="M737" t="s">
        <v>13</v>
      </c>
      <c r="N737">
        <v>4</v>
      </c>
    </row>
    <row r="738" spans="1:14" x14ac:dyDescent="0.25">
      <c r="A738">
        <v>1737</v>
      </c>
      <c r="B738" s="1">
        <v>45803</v>
      </c>
      <c r="C738" s="4">
        <f>MONTH(datos_ventas[[#This Row],[Fecha]])</f>
        <v>5</v>
      </c>
      <c r="D738" s="4">
        <f>WEEKNUM(datos_ventas[[#This Row],[Fecha]],2)</f>
        <v>22</v>
      </c>
      <c r="E738" t="s">
        <v>24</v>
      </c>
      <c r="F738" t="s">
        <v>25</v>
      </c>
      <c r="G738">
        <v>3</v>
      </c>
      <c r="H738">
        <v>111246</v>
      </c>
      <c r="I738">
        <v>921</v>
      </c>
      <c r="J738" t="s">
        <v>14</v>
      </c>
      <c r="K738" t="str">
        <f>_xlfn.XLOOKUP(datos_ventas[[#This Row],[Ciudad]],Tabla2[Ciudades],Tabla2[Provincias],"no se encuentra")</f>
        <v>Madrid</v>
      </c>
      <c r="L738" t="str">
        <f>_xlfn.XLOOKUP(datos_ventas[[#This Row],[Provincia]],Tabla2[Provincias],Tabla2[Comunidades],"no se encuentra")</f>
        <v>Comunidad de Madrid</v>
      </c>
      <c r="M738" t="s">
        <v>15</v>
      </c>
      <c r="N738">
        <v>4</v>
      </c>
    </row>
    <row r="739" spans="1:14" x14ac:dyDescent="0.25">
      <c r="A739">
        <v>1738</v>
      </c>
      <c r="B739" s="1">
        <v>45843</v>
      </c>
      <c r="C739" s="4">
        <f>MONTH(datos_ventas[[#This Row],[Fecha]])</f>
        <v>7</v>
      </c>
      <c r="D739" s="4">
        <f>WEEKNUM(datos_ventas[[#This Row],[Fecha]],2)</f>
        <v>27</v>
      </c>
      <c r="E739" t="s">
        <v>23</v>
      </c>
      <c r="F739" t="s">
        <v>18</v>
      </c>
      <c r="G739">
        <v>4</v>
      </c>
      <c r="H739">
        <v>8135</v>
      </c>
      <c r="I739">
        <v>3321</v>
      </c>
      <c r="J739" t="s">
        <v>31</v>
      </c>
      <c r="K739" t="str">
        <f>_xlfn.XLOOKUP(datos_ventas[[#This Row],[Ciudad]],Tabla2[Ciudades],Tabla2[Provincias],"no se encuentra")</f>
        <v>Vizcaya</v>
      </c>
      <c r="L739" t="str">
        <f>_xlfn.XLOOKUP(datos_ventas[[#This Row],[Provincia]],Tabla2[Provincias],Tabla2[Comunidades],"no se encuentra")</f>
        <v>País Vasco</v>
      </c>
      <c r="M739" t="s">
        <v>15</v>
      </c>
      <c r="N739">
        <v>4</v>
      </c>
    </row>
    <row r="740" spans="1:14" x14ac:dyDescent="0.25">
      <c r="A740">
        <v>1739</v>
      </c>
      <c r="B740" s="1">
        <v>45880</v>
      </c>
      <c r="C740" s="4">
        <f>MONTH(datos_ventas[[#This Row],[Fecha]])</f>
        <v>8</v>
      </c>
      <c r="D740" s="4">
        <f>WEEKNUM(datos_ventas[[#This Row],[Fecha]],2)</f>
        <v>33</v>
      </c>
      <c r="E740" t="s">
        <v>24</v>
      </c>
      <c r="F740" t="s">
        <v>25</v>
      </c>
      <c r="G740">
        <v>5</v>
      </c>
      <c r="H740">
        <v>16051</v>
      </c>
      <c r="I740">
        <v>2951</v>
      </c>
      <c r="J740" t="s">
        <v>32</v>
      </c>
      <c r="K740" t="str">
        <f>_xlfn.XLOOKUP(datos_ventas[[#This Row],[Ciudad]],Tabla2[Ciudades],Tabla2[Provincias],"no se encuentra")</f>
        <v>Barcelona</v>
      </c>
      <c r="L740" t="str">
        <f>_xlfn.XLOOKUP(datos_ventas[[#This Row],[Provincia]],Tabla2[Provincias],Tabla2[Comunidades],"no se encuentra")</f>
        <v>Cataluña</v>
      </c>
      <c r="M740" t="s">
        <v>28</v>
      </c>
      <c r="N740">
        <v>1</v>
      </c>
    </row>
    <row r="741" spans="1:14" x14ac:dyDescent="0.25">
      <c r="A741">
        <v>1740</v>
      </c>
      <c r="B741" s="1">
        <v>45837</v>
      </c>
      <c r="C741" s="4">
        <f>MONTH(datos_ventas[[#This Row],[Fecha]])</f>
        <v>6</v>
      </c>
      <c r="D741" s="4">
        <f>WEEKNUM(datos_ventas[[#This Row],[Fecha]],2)</f>
        <v>26</v>
      </c>
      <c r="E741" t="s">
        <v>20</v>
      </c>
      <c r="F741" t="s">
        <v>21</v>
      </c>
      <c r="G741">
        <v>1</v>
      </c>
      <c r="H741">
        <v>19361</v>
      </c>
      <c r="I741">
        <v>3217</v>
      </c>
      <c r="J741" t="s">
        <v>22</v>
      </c>
      <c r="K741" t="str">
        <f>_xlfn.XLOOKUP(datos_ventas[[#This Row],[Ciudad]],Tabla2[Ciudades],Tabla2[Provincias],"no se encuentra")</f>
        <v>Valencia</v>
      </c>
      <c r="L741" t="str">
        <f>_xlfn.XLOOKUP(datos_ventas[[#This Row],[Provincia]],Tabla2[Provincias],Tabla2[Comunidades],"no se encuentra")</f>
        <v>Comunidad Valenciana</v>
      </c>
      <c r="M741" t="s">
        <v>19</v>
      </c>
      <c r="N741">
        <v>4</v>
      </c>
    </row>
    <row r="742" spans="1:14" x14ac:dyDescent="0.25">
      <c r="A742">
        <v>1741</v>
      </c>
      <c r="B742" s="1">
        <v>45933</v>
      </c>
      <c r="C742" s="4">
        <f>MONTH(datos_ventas[[#This Row],[Fecha]])</f>
        <v>10</v>
      </c>
      <c r="D742" s="4">
        <f>WEEKNUM(datos_ventas[[#This Row],[Fecha]],2)</f>
        <v>40</v>
      </c>
      <c r="E742" t="s">
        <v>20</v>
      </c>
      <c r="F742" t="s">
        <v>21</v>
      </c>
      <c r="G742">
        <v>4</v>
      </c>
      <c r="H742">
        <v>36207</v>
      </c>
      <c r="I742">
        <v>4863</v>
      </c>
      <c r="J742" t="s">
        <v>32</v>
      </c>
      <c r="K742" t="str">
        <f>_xlfn.XLOOKUP(datos_ventas[[#This Row],[Ciudad]],Tabla2[Ciudades],Tabla2[Provincias],"no se encuentra")</f>
        <v>Barcelona</v>
      </c>
      <c r="L742" t="str">
        <f>_xlfn.XLOOKUP(datos_ventas[[#This Row],[Provincia]],Tabla2[Provincias],Tabla2[Comunidades],"no se encuentra")</f>
        <v>Cataluña</v>
      </c>
      <c r="M742" t="s">
        <v>28</v>
      </c>
      <c r="N742">
        <v>3</v>
      </c>
    </row>
    <row r="743" spans="1:14" x14ac:dyDescent="0.25">
      <c r="A743">
        <v>1742</v>
      </c>
      <c r="B743" s="1">
        <v>46016</v>
      </c>
      <c r="C743" s="4">
        <f>MONTH(datos_ventas[[#This Row],[Fecha]])</f>
        <v>12</v>
      </c>
      <c r="D743" s="4">
        <f>WEEKNUM(datos_ventas[[#This Row],[Fecha]],2)</f>
        <v>52</v>
      </c>
      <c r="E743" t="s">
        <v>26</v>
      </c>
      <c r="F743" t="s">
        <v>18</v>
      </c>
      <c r="G743">
        <v>4</v>
      </c>
      <c r="H743">
        <v>116211</v>
      </c>
      <c r="I743">
        <v>1126</v>
      </c>
      <c r="J743" t="s">
        <v>32</v>
      </c>
      <c r="K743" t="str">
        <f>_xlfn.XLOOKUP(datos_ventas[[#This Row],[Ciudad]],Tabla2[Ciudades],Tabla2[Provincias],"no se encuentra")</f>
        <v>Barcelona</v>
      </c>
      <c r="L743" t="str">
        <f>_xlfn.XLOOKUP(datos_ventas[[#This Row],[Provincia]],Tabla2[Provincias],Tabla2[Comunidades],"no se encuentra")</f>
        <v>Cataluña</v>
      </c>
      <c r="M743" t="s">
        <v>19</v>
      </c>
      <c r="N743">
        <v>1</v>
      </c>
    </row>
    <row r="744" spans="1:14" x14ac:dyDescent="0.25">
      <c r="A744">
        <v>1743</v>
      </c>
      <c r="B744" s="1">
        <v>45827</v>
      </c>
      <c r="C744" s="4">
        <f>MONTH(datos_ventas[[#This Row],[Fecha]])</f>
        <v>6</v>
      </c>
      <c r="D744" s="4">
        <f>WEEKNUM(datos_ventas[[#This Row],[Fecha]],2)</f>
        <v>25</v>
      </c>
      <c r="E744" t="s">
        <v>23</v>
      </c>
      <c r="F744" t="s">
        <v>18</v>
      </c>
      <c r="G744">
        <v>4</v>
      </c>
      <c r="H744">
        <v>27634</v>
      </c>
      <c r="I744">
        <v>2201</v>
      </c>
      <c r="J744" t="s">
        <v>31</v>
      </c>
      <c r="K744" t="str">
        <f>_xlfn.XLOOKUP(datos_ventas[[#This Row],[Ciudad]],Tabla2[Ciudades],Tabla2[Provincias],"no se encuentra")</f>
        <v>Vizcaya</v>
      </c>
      <c r="L744" t="str">
        <f>_xlfn.XLOOKUP(datos_ventas[[#This Row],[Provincia]],Tabla2[Provincias],Tabla2[Comunidades],"no se encuentra")</f>
        <v>País Vasco</v>
      </c>
      <c r="M744" t="s">
        <v>13</v>
      </c>
      <c r="N744">
        <v>2</v>
      </c>
    </row>
    <row r="745" spans="1:14" x14ac:dyDescent="0.25">
      <c r="A745">
        <v>1744</v>
      </c>
      <c r="B745" s="1">
        <v>45984</v>
      </c>
      <c r="C745" s="4">
        <f>MONTH(datos_ventas[[#This Row],[Fecha]])</f>
        <v>11</v>
      </c>
      <c r="D745" s="4">
        <f>WEEKNUM(datos_ventas[[#This Row],[Fecha]],2)</f>
        <v>47</v>
      </c>
      <c r="E745" t="s">
        <v>24</v>
      </c>
      <c r="F745" t="s">
        <v>25</v>
      </c>
      <c r="G745">
        <v>2</v>
      </c>
      <c r="H745">
        <v>24239</v>
      </c>
      <c r="I745">
        <v>669</v>
      </c>
      <c r="J745" t="s">
        <v>22</v>
      </c>
      <c r="K745" t="str">
        <f>_xlfn.XLOOKUP(datos_ventas[[#This Row],[Ciudad]],Tabla2[Ciudades],Tabla2[Provincias],"no se encuentra")</f>
        <v>Valencia</v>
      </c>
      <c r="L745" t="str">
        <f>_xlfn.XLOOKUP(datos_ventas[[#This Row],[Provincia]],Tabla2[Provincias],Tabla2[Comunidades],"no se encuentra")</f>
        <v>Comunidad Valenciana</v>
      </c>
      <c r="M745" t="s">
        <v>15</v>
      </c>
      <c r="N745">
        <v>1</v>
      </c>
    </row>
    <row r="746" spans="1:14" x14ac:dyDescent="0.25">
      <c r="A746">
        <v>1745</v>
      </c>
      <c r="B746" s="1">
        <v>45932</v>
      </c>
      <c r="C746" s="4">
        <f>MONTH(datos_ventas[[#This Row],[Fecha]])</f>
        <v>10</v>
      </c>
      <c r="D746" s="4">
        <f>WEEKNUM(datos_ventas[[#This Row],[Fecha]],2)</f>
        <v>40</v>
      </c>
      <c r="E746" t="s">
        <v>20</v>
      </c>
      <c r="F746" t="s">
        <v>21</v>
      </c>
      <c r="G746">
        <v>4</v>
      </c>
      <c r="H746">
        <v>1639</v>
      </c>
      <c r="I746">
        <v>4482</v>
      </c>
      <c r="J746" t="s">
        <v>14</v>
      </c>
      <c r="K746" t="str">
        <f>_xlfn.XLOOKUP(datos_ventas[[#This Row],[Ciudad]],Tabla2[Ciudades],Tabla2[Provincias],"no se encuentra")</f>
        <v>Madrid</v>
      </c>
      <c r="L746" t="str">
        <f>_xlfn.XLOOKUP(datos_ventas[[#This Row],[Provincia]],Tabla2[Provincias],Tabla2[Comunidades],"no se encuentra")</f>
        <v>Comunidad de Madrid</v>
      </c>
      <c r="M746" t="s">
        <v>28</v>
      </c>
      <c r="N746">
        <v>1</v>
      </c>
    </row>
    <row r="747" spans="1:14" x14ac:dyDescent="0.25">
      <c r="A747">
        <v>1746</v>
      </c>
      <c r="B747" s="1">
        <v>45945</v>
      </c>
      <c r="C747" s="4">
        <f>MONTH(datos_ventas[[#This Row],[Fecha]])</f>
        <v>10</v>
      </c>
      <c r="D747" s="4">
        <f>WEEKNUM(datos_ventas[[#This Row],[Fecha]],2)</f>
        <v>42</v>
      </c>
      <c r="E747" t="s">
        <v>20</v>
      </c>
      <c r="F747" t="s">
        <v>21</v>
      </c>
      <c r="G747">
        <v>4</v>
      </c>
      <c r="H747">
        <v>20401</v>
      </c>
      <c r="I747">
        <v>1913</v>
      </c>
      <c r="J747" t="s">
        <v>22</v>
      </c>
      <c r="K747" t="str">
        <f>_xlfn.XLOOKUP(datos_ventas[[#This Row],[Ciudad]],Tabla2[Ciudades],Tabla2[Provincias],"no se encuentra")</f>
        <v>Valencia</v>
      </c>
      <c r="L747" t="str">
        <f>_xlfn.XLOOKUP(datos_ventas[[#This Row],[Provincia]],Tabla2[Provincias],Tabla2[Comunidades],"no se encuentra")</f>
        <v>Comunidad Valenciana</v>
      </c>
      <c r="M747" t="s">
        <v>13</v>
      </c>
      <c r="N747">
        <v>2</v>
      </c>
    </row>
    <row r="748" spans="1:14" x14ac:dyDescent="0.25">
      <c r="A748">
        <v>1747</v>
      </c>
      <c r="B748" s="1">
        <v>45910</v>
      </c>
      <c r="C748" s="4">
        <f>MONTH(datos_ventas[[#This Row],[Fecha]])</f>
        <v>9</v>
      </c>
      <c r="D748" s="4">
        <f>WEEKNUM(datos_ventas[[#This Row],[Fecha]],2)</f>
        <v>37</v>
      </c>
      <c r="E748" t="s">
        <v>29</v>
      </c>
      <c r="F748" t="s">
        <v>30</v>
      </c>
      <c r="G748">
        <v>1</v>
      </c>
      <c r="H748">
        <v>15105</v>
      </c>
      <c r="I748">
        <v>2115</v>
      </c>
      <c r="J748" t="s">
        <v>22</v>
      </c>
      <c r="K748" t="str">
        <f>_xlfn.XLOOKUP(datos_ventas[[#This Row],[Ciudad]],Tabla2[Ciudades],Tabla2[Provincias],"no se encuentra")</f>
        <v>Valencia</v>
      </c>
      <c r="L748" t="str">
        <f>_xlfn.XLOOKUP(datos_ventas[[#This Row],[Provincia]],Tabla2[Provincias],Tabla2[Comunidades],"no se encuentra")</f>
        <v>Comunidad Valenciana</v>
      </c>
      <c r="M748" t="s">
        <v>15</v>
      </c>
      <c r="N748">
        <v>4</v>
      </c>
    </row>
    <row r="749" spans="1:14" x14ac:dyDescent="0.25">
      <c r="A749">
        <v>1748</v>
      </c>
      <c r="B749" s="1">
        <v>45720</v>
      </c>
      <c r="C749" s="4">
        <f>MONTH(datos_ventas[[#This Row],[Fecha]])</f>
        <v>3</v>
      </c>
      <c r="D749" s="4">
        <f>WEEKNUM(datos_ventas[[#This Row],[Fecha]],2)</f>
        <v>10</v>
      </c>
      <c r="E749" t="s">
        <v>16</v>
      </c>
      <c r="F749" t="s">
        <v>11</v>
      </c>
      <c r="G749">
        <v>4</v>
      </c>
      <c r="H749">
        <v>78345</v>
      </c>
      <c r="I749">
        <v>4938</v>
      </c>
      <c r="J749" t="s">
        <v>12</v>
      </c>
      <c r="K749" t="str">
        <f>_xlfn.XLOOKUP(datos_ventas[[#This Row],[Ciudad]],Tabla2[Ciudades],Tabla2[Provincias],"no se encuentra")</f>
        <v>Málaga</v>
      </c>
      <c r="L749" t="str">
        <f>_xlfn.XLOOKUP(datos_ventas[[#This Row],[Provincia]],Tabla2[Provincias],Tabla2[Comunidades],"no se encuentra")</f>
        <v>Andalucía</v>
      </c>
      <c r="M749" t="s">
        <v>13</v>
      </c>
      <c r="N749">
        <v>5</v>
      </c>
    </row>
    <row r="750" spans="1:14" x14ac:dyDescent="0.25">
      <c r="A750">
        <v>1749</v>
      </c>
      <c r="B750" s="1">
        <v>45690</v>
      </c>
      <c r="C750" s="4">
        <f>MONTH(datos_ventas[[#This Row],[Fecha]])</f>
        <v>2</v>
      </c>
      <c r="D750" s="4">
        <f>WEEKNUM(datos_ventas[[#This Row],[Fecha]],2)</f>
        <v>5</v>
      </c>
      <c r="E750" t="s">
        <v>24</v>
      </c>
      <c r="F750" t="s">
        <v>25</v>
      </c>
      <c r="G750">
        <v>1</v>
      </c>
      <c r="H750">
        <v>115447</v>
      </c>
      <c r="I750">
        <v>823</v>
      </c>
      <c r="J750" t="s">
        <v>22</v>
      </c>
      <c r="K750" t="str">
        <f>_xlfn.XLOOKUP(datos_ventas[[#This Row],[Ciudad]],Tabla2[Ciudades],Tabla2[Provincias],"no se encuentra")</f>
        <v>Valencia</v>
      </c>
      <c r="L750" t="str">
        <f>_xlfn.XLOOKUP(datos_ventas[[#This Row],[Provincia]],Tabla2[Provincias],Tabla2[Comunidades],"no se encuentra")</f>
        <v>Comunidad Valenciana</v>
      </c>
      <c r="M750" t="s">
        <v>13</v>
      </c>
      <c r="N750">
        <v>4</v>
      </c>
    </row>
    <row r="751" spans="1:14" x14ac:dyDescent="0.25">
      <c r="A751">
        <v>1750</v>
      </c>
      <c r="B751" s="1">
        <v>45969</v>
      </c>
      <c r="C751" s="4">
        <f>MONTH(datos_ventas[[#This Row],[Fecha]])</f>
        <v>11</v>
      </c>
      <c r="D751" s="4">
        <f>WEEKNUM(datos_ventas[[#This Row],[Fecha]],2)</f>
        <v>45</v>
      </c>
      <c r="E751" t="s">
        <v>10</v>
      </c>
      <c r="F751" t="s">
        <v>11</v>
      </c>
      <c r="G751">
        <v>5</v>
      </c>
      <c r="H751">
        <v>65805</v>
      </c>
      <c r="I751">
        <v>4579</v>
      </c>
      <c r="J751" t="s">
        <v>27</v>
      </c>
      <c r="K751" t="str">
        <f>_xlfn.XLOOKUP(datos_ventas[[#This Row],[Ciudad]],Tabla2[Ciudades],Tabla2[Provincias],"no se encuentra")</f>
        <v>Sevilla</v>
      </c>
      <c r="L751" t="str">
        <f>_xlfn.XLOOKUP(datos_ventas[[#This Row],[Provincia]],Tabla2[Provincias],Tabla2[Comunidades],"no se encuentra")</f>
        <v>Andalucía</v>
      </c>
      <c r="M751" t="s">
        <v>15</v>
      </c>
      <c r="N751">
        <v>5</v>
      </c>
    </row>
    <row r="752" spans="1:14" x14ac:dyDescent="0.25">
      <c r="A752">
        <v>1751</v>
      </c>
      <c r="B752" s="1">
        <v>45848</v>
      </c>
      <c r="C752" s="4">
        <f>MONTH(datos_ventas[[#This Row],[Fecha]])</f>
        <v>7</v>
      </c>
      <c r="D752" s="4">
        <f>WEEKNUM(datos_ventas[[#This Row],[Fecha]],2)</f>
        <v>28</v>
      </c>
      <c r="E752" t="s">
        <v>17</v>
      </c>
      <c r="F752" t="s">
        <v>18</v>
      </c>
      <c r="G752">
        <v>2</v>
      </c>
      <c r="H752">
        <v>67915</v>
      </c>
      <c r="I752">
        <v>1554</v>
      </c>
      <c r="J752" t="s">
        <v>32</v>
      </c>
      <c r="K752" t="str">
        <f>_xlfn.XLOOKUP(datos_ventas[[#This Row],[Ciudad]],Tabla2[Ciudades],Tabla2[Provincias],"no se encuentra")</f>
        <v>Barcelona</v>
      </c>
      <c r="L752" t="str">
        <f>_xlfn.XLOOKUP(datos_ventas[[#This Row],[Provincia]],Tabla2[Provincias],Tabla2[Comunidades],"no se encuentra")</f>
        <v>Cataluña</v>
      </c>
      <c r="M752" t="s">
        <v>15</v>
      </c>
      <c r="N752">
        <v>4</v>
      </c>
    </row>
    <row r="753" spans="1:14" x14ac:dyDescent="0.25">
      <c r="A753">
        <v>1752</v>
      </c>
      <c r="B753" s="1">
        <v>45981</v>
      </c>
      <c r="C753" s="4">
        <f>MONTH(datos_ventas[[#This Row],[Fecha]])</f>
        <v>11</v>
      </c>
      <c r="D753" s="4">
        <f>WEEKNUM(datos_ventas[[#This Row],[Fecha]],2)</f>
        <v>47</v>
      </c>
      <c r="E753" t="s">
        <v>23</v>
      </c>
      <c r="F753" t="s">
        <v>18</v>
      </c>
      <c r="G753">
        <v>1</v>
      </c>
      <c r="H753">
        <v>37099</v>
      </c>
      <c r="I753">
        <v>767</v>
      </c>
      <c r="J753" t="s">
        <v>12</v>
      </c>
      <c r="K753" t="str">
        <f>_xlfn.XLOOKUP(datos_ventas[[#This Row],[Ciudad]],Tabla2[Ciudades],Tabla2[Provincias],"no se encuentra")</f>
        <v>Málaga</v>
      </c>
      <c r="L753" t="str">
        <f>_xlfn.XLOOKUP(datos_ventas[[#This Row],[Provincia]],Tabla2[Provincias],Tabla2[Comunidades],"no se encuentra")</f>
        <v>Andalucía</v>
      </c>
      <c r="M753" t="s">
        <v>13</v>
      </c>
      <c r="N753">
        <v>2</v>
      </c>
    </row>
    <row r="754" spans="1:14" x14ac:dyDescent="0.25">
      <c r="A754">
        <v>1753</v>
      </c>
      <c r="B754" s="1">
        <v>46008</v>
      </c>
      <c r="C754" s="4">
        <f>MONTH(datos_ventas[[#This Row],[Fecha]])</f>
        <v>12</v>
      </c>
      <c r="D754" s="4">
        <f>WEEKNUM(datos_ventas[[#This Row],[Fecha]],2)</f>
        <v>51</v>
      </c>
      <c r="E754" t="s">
        <v>17</v>
      </c>
      <c r="F754" t="s">
        <v>18</v>
      </c>
      <c r="G754">
        <v>1</v>
      </c>
      <c r="H754">
        <v>8782</v>
      </c>
      <c r="I754">
        <v>3553</v>
      </c>
      <c r="J754" t="s">
        <v>27</v>
      </c>
      <c r="K754" t="str">
        <f>_xlfn.XLOOKUP(datos_ventas[[#This Row],[Ciudad]],Tabla2[Ciudades],Tabla2[Provincias],"no se encuentra")</f>
        <v>Sevilla</v>
      </c>
      <c r="L754" t="str">
        <f>_xlfn.XLOOKUP(datos_ventas[[#This Row],[Provincia]],Tabla2[Provincias],Tabla2[Comunidades],"no se encuentra")</f>
        <v>Andalucía</v>
      </c>
      <c r="M754" t="s">
        <v>28</v>
      </c>
      <c r="N754">
        <v>3</v>
      </c>
    </row>
    <row r="755" spans="1:14" x14ac:dyDescent="0.25">
      <c r="A755">
        <v>1754</v>
      </c>
      <c r="B755" s="1">
        <v>45757</v>
      </c>
      <c r="C755" s="4">
        <f>MONTH(datos_ventas[[#This Row],[Fecha]])</f>
        <v>4</v>
      </c>
      <c r="D755" s="4">
        <f>WEEKNUM(datos_ventas[[#This Row],[Fecha]],2)</f>
        <v>15</v>
      </c>
      <c r="E755" t="s">
        <v>24</v>
      </c>
      <c r="F755" t="s">
        <v>25</v>
      </c>
      <c r="G755">
        <v>4</v>
      </c>
      <c r="H755">
        <v>2318</v>
      </c>
      <c r="I755">
        <v>1926</v>
      </c>
      <c r="J755" t="s">
        <v>27</v>
      </c>
      <c r="K755" t="str">
        <f>_xlfn.XLOOKUP(datos_ventas[[#This Row],[Ciudad]],Tabla2[Ciudades],Tabla2[Provincias],"no se encuentra")</f>
        <v>Sevilla</v>
      </c>
      <c r="L755" t="str">
        <f>_xlfn.XLOOKUP(datos_ventas[[#This Row],[Provincia]],Tabla2[Provincias],Tabla2[Comunidades],"no se encuentra")</f>
        <v>Andalucía</v>
      </c>
      <c r="M755" t="s">
        <v>13</v>
      </c>
      <c r="N755">
        <v>3</v>
      </c>
    </row>
    <row r="756" spans="1:14" x14ac:dyDescent="0.25">
      <c r="A756">
        <v>1755</v>
      </c>
      <c r="B756" s="1">
        <v>46000</v>
      </c>
      <c r="C756" s="4">
        <f>MONTH(datos_ventas[[#This Row],[Fecha]])</f>
        <v>12</v>
      </c>
      <c r="D756" s="4">
        <f>WEEKNUM(datos_ventas[[#This Row],[Fecha]],2)</f>
        <v>50</v>
      </c>
      <c r="E756" t="s">
        <v>29</v>
      </c>
      <c r="F756" t="s">
        <v>30</v>
      </c>
      <c r="G756">
        <v>2</v>
      </c>
      <c r="H756">
        <v>447</v>
      </c>
      <c r="I756">
        <v>2802</v>
      </c>
      <c r="J756" t="s">
        <v>22</v>
      </c>
      <c r="K756" t="str">
        <f>_xlfn.XLOOKUP(datos_ventas[[#This Row],[Ciudad]],Tabla2[Ciudades],Tabla2[Provincias],"no se encuentra")</f>
        <v>Valencia</v>
      </c>
      <c r="L756" t="str">
        <f>_xlfn.XLOOKUP(datos_ventas[[#This Row],[Provincia]],Tabla2[Provincias],Tabla2[Comunidades],"no se encuentra")</f>
        <v>Comunidad Valenciana</v>
      </c>
      <c r="M756" t="s">
        <v>15</v>
      </c>
      <c r="N756">
        <v>3</v>
      </c>
    </row>
    <row r="757" spans="1:14" x14ac:dyDescent="0.25">
      <c r="A757">
        <v>1756</v>
      </c>
      <c r="B757" s="1">
        <v>45894</v>
      </c>
      <c r="C757" s="4">
        <f>MONTH(datos_ventas[[#This Row],[Fecha]])</f>
        <v>8</v>
      </c>
      <c r="D757" s="4">
        <f>WEEKNUM(datos_ventas[[#This Row],[Fecha]],2)</f>
        <v>35</v>
      </c>
      <c r="E757" t="s">
        <v>10</v>
      </c>
      <c r="F757" t="s">
        <v>11</v>
      </c>
      <c r="G757">
        <v>3</v>
      </c>
      <c r="H757">
        <v>83377</v>
      </c>
      <c r="I757">
        <v>3616</v>
      </c>
      <c r="J757" t="s">
        <v>32</v>
      </c>
      <c r="K757" t="str">
        <f>_xlfn.XLOOKUP(datos_ventas[[#This Row],[Ciudad]],Tabla2[Ciudades],Tabla2[Provincias],"no se encuentra")</f>
        <v>Barcelona</v>
      </c>
      <c r="L757" t="str">
        <f>_xlfn.XLOOKUP(datos_ventas[[#This Row],[Provincia]],Tabla2[Provincias],Tabla2[Comunidades],"no se encuentra")</f>
        <v>Cataluña</v>
      </c>
      <c r="M757" t="s">
        <v>19</v>
      </c>
      <c r="N757">
        <v>4</v>
      </c>
    </row>
    <row r="758" spans="1:14" x14ac:dyDescent="0.25">
      <c r="A758">
        <v>1757</v>
      </c>
      <c r="B758" s="1">
        <v>45844</v>
      </c>
      <c r="C758" s="4">
        <f>MONTH(datos_ventas[[#This Row],[Fecha]])</f>
        <v>7</v>
      </c>
      <c r="D758" s="4">
        <f>WEEKNUM(datos_ventas[[#This Row],[Fecha]],2)</f>
        <v>27</v>
      </c>
      <c r="E758" t="s">
        <v>17</v>
      </c>
      <c r="F758" t="s">
        <v>18</v>
      </c>
      <c r="G758">
        <v>2</v>
      </c>
      <c r="H758">
        <v>38718</v>
      </c>
      <c r="I758">
        <v>1523</v>
      </c>
      <c r="J758" t="s">
        <v>22</v>
      </c>
      <c r="K758" t="str">
        <f>_xlfn.XLOOKUP(datos_ventas[[#This Row],[Ciudad]],Tabla2[Ciudades],Tabla2[Provincias],"no se encuentra")</f>
        <v>Valencia</v>
      </c>
      <c r="L758" t="str">
        <f>_xlfn.XLOOKUP(datos_ventas[[#This Row],[Provincia]],Tabla2[Provincias],Tabla2[Comunidades],"no se encuentra")</f>
        <v>Comunidad Valenciana</v>
      </c>
      <c r="M758" t="s">
        <v>15</v>
      </c>
      <c r="N758">
        <v>4</v>
      </c>
    </row>
    <row r="759" spans="1:14" x14ac:dyDescent="0.25">
      <c r="A759">
        <v>1758</v>
      </c>
      <c r="B759" s="1">
        <v>45857</v>
      </c>
      <c r="C759" s="4">
        <f>MONTH(datos_ventas[[#This Row],[Fecha]])</f>
        <v>7</v>
      </c>
      <c r="D759" s="4">
        <f>WEEKNUM(datos_ventas[[#This Row],[Fecha]],2)</f>
        <v>29</v>
      </c>
      <c r="E759" t="s">
        <v>23</v>
      </c>
      <c r="F759" t="s">
        <v>18</v>
      </c>
      <c r="G759">
        <v>1</v>
      </c>
      <c r="H759">
        <v>46076</v>
      </c>
      <c r="I759">
        <v>639</v>
      </c>
      <c r="J759" t="s">
        <v>32</v>
      </c>
      <c r="K759" t="str">
        <f>_xlfn.XLOOKUP(datos_ventas[[#This Row],[Ciudad]],Tabla2[Ciudades],Tabla2[Provincias],"no se encuentra")</f>
        <v>Barcelona</v>
      </c>
      <c r="L759" t="str">
        <f>_xlfn.XLOOKUP(datos_ventas[[#This Row],[Provincia]],Tabla2[Provincias],Tabla2[Comunidades],"no se encuentra")</f>
        <v>Cataluña</v>
      </c>
      <c r="M759" t="s">
        <v>28</v>
      </c>
      <c r="N759">
        <v>4</v>
      </c>
    </row>
    <row r="760" spans="1:14" x14ac:dyDescent="0.25">
      <c r="A760">
        <v>1759</v>
      </c>
      <c r="B760" s="1">
        <v>45864</v>
      </c>
      <c r="C760" s="4">
        <f>MONTH(datos_ventas[[#This Row],[Fecha]])</f>
        <v>7</v>
      </c>
      <c r="D760" s="4">
        <f>WEEKNUM(datos_ventas[[#This Row],[Fecha]],2)</f>
        <v>30</v>
      </c>
      <c r="E760" t="s">
        <v>17</v>
      </c>
      <c r="F760" t="s">
        <v>18</v>
      </c>
      <c r="G760">
        <v>5</v>
      </c>
      <c r="H760">
        <v>35842</v>
      </c>
      <c r="I760">
        <v>2629</v>
      </c>
      <c r="J760" t="s">
        <v>12</v>
      </c>
      <c r="K760" t="str">
        <f>_xlfn.XLOOKUP(datos_ventas[[#This Row],[Ciudad]],Tabla2[Ciudades],Tabla2[Provincias],"no se encuentra")</f>
        <v>Málaga</v>
      </c>
      <c r="L760" t="str">
        <f>_xlfn.XLOOKUP(datos_ventas[[#This Row],[Provincia]],Tabla2[Provincias],Tabla2[Comunidades],"no se encuentra")</f>
        <v>Andalucía</v>
      </c>
      <c r="M760" t="s">
        <v>19</v>
      </c>
      <c r="N760">
        <v>2</v>
      </c>
    </row>
    <row r="761" spans="1:14" x14ac:dyDescent="0.25">
      <c r="A761">
        <v>1760</v>
      </c>
      <c r="B761" s="1">
        <v>45902</v>
      </c>
      <c r="C761" s="4">
        <f>MONTH(datos_ventas[[#This Row],[Fecha]])</f>
        <v>9</v>
      </c>
      <c r="D761" s="4">
        <f>WEEKNUM(datos_ventas[[#This Row],[Fecha]],2)</f>
        <v>36</v>
      </c>
      <c r="E761" t="s">
        <v>16</v>
      </c>
      <c r="F761" t="s">
        <v>11</v>
      </c>
      <c r="G761">
        <v>3</v>
      </c>
      <c r="H761">
        <v>4711</v>
      </c>
      <c r="I761">
        <v>1796</v>
      </c>
      <c r="J761" t="s">
        <v>22</v>
      </c>
      <c r="K761" t="str">
        <f>_xlfn.XLOOKUP(datos_ventas[[#This Row],[Ciudad]],Tabla2[Ciudades],Tabla2[Provincias],"no se encuentra")</f>
        <v>Valencia</v>
      </c>
      <c r="L761" t="str">
        <f>_xlfn.XLOOKUP(datos_ventas[[#This Row],[Provincia]],Tabla2[Provincias],Tabla2[Comunidades],"no se encuentra")</f>
        <v>Comunidad Valenciana</v>
      </c>
      <c r="M761" t="s">
        <v>13</v>
      </c>
      <c r="N761">
        <v>2</v>
      </c>
    </row>
    <row r="762" spans="1:14" x14ac:dyDescent="0.25">
      <c r="A762">
        <v>1761</v>
      </c>
      <c r="B762" s="1">
        <v>45837</v>
      </c>
      <c r="C762" s="4">
        <f>MONTH(datos_ventas[[#This Row],[Fecha]])</f>
        <v>6</v>
      </c>
      <c r="D762" s="4">
        <f>WEEKNUM(datos_ventas[[#This Row],[Fecha]],2)</f>
        <v>26</v>
      </c>
      <c r="E762" t="s">
        <v>16</v>
      </c>
      <c r="F762" t="s">
        <v>11</v>
      </c>
      <c r="G762">
        <v>5</v>
      </c>
      <c r="H762">
        <v>76584</v>
      </c>
      <c r="I762">
        <v>767</v>
      </c>
      <c r="J762" t="s">
        <v>32</v>
      </c>
      <c r="K762" t="str">
        <f>_xlfn.XLOOKUP(datos_ventas[[#This Row],[Ciudad]],Tabla2[Ciudades],Tabla2[Provincias],"no se encuentra")</f>
        <v>Barcelona</v>
      </c>
      <c r="L762" t="str">
        <f>_xlfn.XLOOKUP(datos_ventas[[#This Row],[Provincia]],Tabla2[Provincias],Tabla2[Comunidades],"no se encuentra")</f>
        <v>Cataluña</v>
      </c>
      <c r="M762" t="s">
        <v>28</v>
      </c>
      <c r="N762">
        <v>1</v>
      </c>
    </row>
    <row r="763" spans="1:14" x14ac:dyDescent="0.25">
      <c r="A763">
        <v>1762</v>
      </c>
      <c r="B763" s="1">
        <v>45802</v>
      </c>
      <c r="C763" s="4">
        <f>MONTH(datos_ventas[[#This Row],[Fecha]])</f>
        <v>5</v>
      </c>
      <c r="D763" s="4">
        <f>WEEKNUM(datos_ventas[[#This Row],[Fecha]],2)</f>
        <v>21</v>
      </c>
      <c r="E763" t="s">
        <v>16</v>
      </c>
      <c r="F763" t="s">
        <v>11</v>
      </c>
      <c r="G763">
        <v>5</v>
      </c>
      <c r="H763">
        <v>82645</v>
      </c>
      <c r="I763">
        <v>3686</v>
      </c>
      <c r="J763" t="s">
        <v>31</v>
      </c>
      <c r="K763" t="str">
        <f>_xlfn.XLOOKUP(datos_ventas[[#This Row],[Ciudad]],Tabla2[Ciudades],Tabla2[Provincias],"no se encuentra")</f>
        <v>Vizcaya</v>
      </c>
      <c r="L763" t="str">
        <f>_xlfn.XLOOKUP(datos_ventas[[#This Row],[Provincia]],Tabla2[Provincias],Tabla2[Comunidades],"no se encuentra")</f>
        <v>País Vasco</v>
      </c>
      <c r="M763" t="s">
        <v>28</v>
      </c>
      <c r="N763">
        <v>5</v>
      </c>
    </row>
    <row r="764" spans="1:14" x14ac:dyDescent="0.25">
      <c r="A764">
        <v>1763</v>
      </c>
      <c r="B764" s="1">
        <v>45724</v>
      </c>
      <c r="C764" s="4">
        <f>MONTH(datos_ventas[[#This Row],[Fecha]])</f>
        <v>3</v>
      </c>
      <c r="D764" s="4">
        <f>WEEKNUM(datos_ventas[[#This Row],[Fecha]],2)</f>
        <v>10</v>
      </c>
      <c r="E764" t="s">
        <v>20</v>
      </c>
      <c r="F764" t="s">
        <v>21</v>
      </c>
      <c r="G764">
        <v>5</v>
      </c>
      <c r="H764">
        <v>66596</v>
      </c>
      <c r="I764">
        <v>3177</v>
      </c>
      <c r="J764" t="s">
        <v>14</v>
      </c>
      <c r="K764" t="str">
        <f>_xlfn.XLOOKUP(datos_ventas[[#This Row],[Ciudad]],Tabla2[Ciudades],Tabla2[Provincias],"no se encuentra")</f>
        <v>Madrid</v>
      </c>
      <c r="L764" t="str">
        <f>_xlfn.XLOOKUP(datos_ventas[[#This Row],[Provincia]],Tabla2[Provincias],Tabla2[Comunidades],"no se encuentra")</f>
        <v>Comunidad de Madrid</v>
      </c>
      <c r="M764" t="s">
        <v>15</v>
      </c>
      <c r="N764">
        <v>2</v>
      </c>
    </row>
    <row r="765" spans="1:14" x14ac:dyDescent="0.25">
      <c r="A765">
        <v>1764</v>
      </c>
      <c r="B765" s="1">
        <v>45822</v>
      </c>
      <c r="C765" s="4">
        <f>MONTH(datos_ventas[[#This Row],[Fecha]])</f>
        <v>6</v>
      </c>
      <c r="D765" s="4">
        <f>WEEKNUM(datos_ventas[[#This Row],[Fecha]],2)</f>
        <v>24</v>
      </c>
      <c r="E765" t="s">
        <v>10</v>
      </c>
      <c r="F765" t="s">
        <v>11</v>
      </c>
      <c r="G765">
        <v>2</v>
      </c>
      <c r="H765">
        <v>38792</v>
      </c>
      <c r="I765">
        <v>4285</v>
      </c>
      <c r="J765" t="s">
        <v>31</v>
      </c>
      <c r="K765" t="str">
        <f>_xlfn.XLOOKUP(datos_ventas[[#This Row],[Ciudad]],Tabla2[Ciudades],Tabla2[Provincias],"no se encuentra")</f>
        <v>Vizcaya</v>
      </c>
      <c r="L765" t="str">
        <f>_xlfn.XLOOKUP(datos_ventas[[#This Row],[Provincia]],Tabla2[Provincias],Tabla2[Comunidades],"no se encuentra")</f>
        <v>País Vasco</v>
      </c>
      <c r="M765" t="s">
        <v>15</v>
      </c>
      <c r="N765">
        <v>3</v>
      </c>
    </row>
    <row r="766" spans="1:14" x14ac:dyDescent="0.25">
      <c r="A766">
        <v>1765</v>
      </c>
      <c r="B766" s="1">
        <v>45908</v>
      </c>
      <c r="C766" s="4">
        <f>MONTH(datos_ventas[[#This Row],[Fecha]])</f>
        <v>9</v>
      </c>
      <c r="D766" s="4">
        <f>WEEKNUM(datos_ventas[[#This Row],[Fecha]],2)</f>
        <v>37</v>
      </c>
      <c r="E766" t="s">
        <v>16</v>
      </c>
      <c r="F766" t="s">
        <v>11</v>
      </c>
      <c r="G766">
        <v>1</v>
      </c>
      <c r="H766">
        <v>101129</v>
      </c>
      <c r="I766">
        <v>1868</v>
      </c>
      <c r="J766" t="s">
        <v>27</v>
      </c>
      <c r="K766" t="str">
        <f>_xlfn.XLOOKUP(datos_ventas[[#This Row],[Ciudad]],Tabla2[Ciudades],Tabla2[Provincias],"no se encuentra")</f>
        <v>Sevilla</v>
      </c>
      <c r="L766" t="str">
        <f>_xlfn.XLOOKUP(datos_ventas[[#This Row],[Provincia]],Tabla2[Provincias],Tabla2[Comunidades],"no se encuentra")</f>
        <v>Andalucía</v>
      </c>
      <c r="M766" t="s">
        <v>13</v>
      </c>
      <c r="N766">
        <v>1</v>
      </c>
    </row>
    <row r="767" spans="1:14" x14ac:dyDescent="0.25">
      <c r="A767">
        <v>1766</v>
      </c>
      <c r="B767" s="1">
        <v>45687</v>
      </c>
      <c r="C767" s="4">
        <f>MONTH(datos_ventas[[#This Row],[Fecha]])</f>
        <v>1</v>
      </c>
      <c r="D767" s="4">
        <f>WEEKNUM(datos_ventas[[#This Row],[Fecha]],2)</f>
        <v>5</v>
      </c>
      <c r="E767" t="s">
        <v>20</v>
      </c>
      <c r="F767" t="s">
        <v>21</v>
      </c>
      <c r="G767">
        <v>4</v>
      </c>
      <c r="H767">
        <v>18531</v>
      </c>
      <c r="I767">
        <v>586</v>
      </c>
      <c r="J767" t="s">
        <v>22</v>
      </c>
      <c r="K767" t="str">
        <f>_xlfn.XLOOKUP(datos_ventas[[#This Row],[Ciudad]],Tabla2[Ciudades],Tabla2[Provincias],"no se encuentra")</f>
        <v>Valencia</v>
      </c>
      <c r="L767" t="str">
        <f>_xlfn.XLOOKUP(datos_ventas[[#This Row],[Provincia]],Tabla2[Provincias],Tabla2[Comunidades],"no se encuentra")</f>
        <v>Comunidad Valenciana</v>
      </c>
      <c r="M767" t="s">
        <v>19</v>
      </c>
      <c r="N767">
        <v>4</v>
      </c>
    </row>
    <row r="768" spans="1:14" x14ac:dyDescent="0.25">
      <c r="A768">
        <v>1767</v>
      </c>
      <c r="B768" s="1">
        <v>45659</v>
      </c>
      <c r="C768" s="4">
        <f>MONTH(datos_ventas[[#This Row],[Fecha]])</f>
        <v>1</v>
      </c>
      <c r="D768" s="4">
        <f>WEEKNUM(datos_ventas[[#This Row],[Fecha]],2)</f>
        <v>1</v>
      </c>
      <c r="E768" t="s">
        <v>26</v>
      </c>
      <c r="F768" t="s">
        <v>18</v>
      </c>
      <c r="G768">
        <v>1</v>
      </c>
      <c r="H768">
        <v>104773</v>
      </c>
      <c r="I768">
        <v>4577</v>
      </c>
      <c r="J768" t="s">
        <v>31</v>
      </c>
      <c r="K768" t="str">
        <f>_xlfn.XLOOKUP(datos_ventas[[#This Row],[Ciudad]],Tabla2[Ciudades],Tabla2[Provincias],"no se encuentra")</f>
        <v>Vizcaya</v>
      </c>
      <c r="L768" t="str">
        <f>_xlfn.XLOOKUP(datos_ventas[[#This Row],[Provincia]],Tabla2[Provincias],Tabla2[Comunidades],"no se encuentra")</f>
        <v>País Vasco</v>
      </c>
      <c r="M768" t="s">
        <v>13</v>
      </c>
      <c r="N768">
        <v>2</v>
      </c>
    </row>
    <row r="769" spans="1:14" x14ac:dyDescent="0.25">
      <c r="A769">
        <v>1768</v>
      </c>
      <c r="B769" s="1">
        <v>45904</v>
      </c>
      <c r="C769" s="4">
        <f>MONTH(datos_ventas[[#This Row],[Fecha]])</f>
        <v>9</v>
      </c>
      <c r="D769" s="4">
        <f>WEEKNUM(datos_ventas[[#This Row],[Fecha]],2)</f>
        <v>36</v>
      </c>
      <c r="E769" t="s">
        <v>26</v>
      </c>
      <c r="F769" t="s">
        <v>18</v>
      </c>
      <c r="G769">
        <v>1</v>
      </c>
      <c r="H769">
        <v>99096</v>
      </c>
      <c r="I769">
        <v>2529</v>
      </c>
      <c r="J769" t="s">
        <v>22</v>
      </c>
      <c r="K769" t="str">
        <f>_xlfn.XLOOKUP(datos_ventas[[#This Row],[Ciudad]],Tabla2[Ciudades],Tabla2[Provincias],"no se encuentra")</f>
        <v>Valencia</v>
      </c>
      <c r="L769" t="str">
        <f>_xlfn.XLOOKUP(datos_ventas[[#This Row],[Provincia]],Tabla2[Provincias],Tabla2[Comunidades],"no se encuentra")</f>
        <v>Comunidad Valenciana</v>
      </c>
      <c r="M769" t="s">
        <v>28</v>
      </c>
      <c r="N769">
        <v>5</v>
      </c>
    </row>
    <row r="770" spans="1:14" x14ac:dyDescent="0.25">
      <c r="A770">
        <v>1769</v>
      </c>
      <c r="B770" s="1">
        <v>45840</v>
      </c>
      <c r="C770" s="4">
        <f>MONTH(datos_ventas[[#This Row],[Fecha]])</f>
        <v>7</v>
      </c>
      <c r="D770" s="4">
        <f>WEEKNUM(datos_ventas[[#This Row],[Fecha]],2)</f>
        <v>27</v>
      </c>
      <c r="E770" t="s">
        <v>26</v>
      </c>
      <c r="F770" t="s">
        <v>18</v>
      </c>
      <c r="G770">
        <v>3</v>
      </c>
      <c r="H770">
        <v>113892</v>
      </c>
      <c r="I770">
        <v>3068</v>
      </c>
      <c r="J770" t="s">
        <v>22</v>
      </c>
      <c r="K770" t="str">
        <f>_xlfn.XLOOKUP(datos_ventas[[#This Row],[Ciudad]],Tabla2[Ciudades],Tabla2[Provincias],"no se encuentra")</f>
        <v>Valencia</v>
      </c>
      <c r="L770" t="str">
        <f>_xlfn.XLOOKUP(datos_ventas[[#This Row],[Provincia]],Tabla2[Provincias],Tabla2[Comunidades],"no se encuentra")</f>
        <v>Comunidad Valenciana</v>
      </c>
      <c r="M770" t="s">
        <v>13</v>
      </c>
      <c r="N770">
        <v>2</v>
      </c>
    </row>
    <row r="771" spans="1:14" x14ac:dyDescent="0.25">
      <c r="A771">
        <v>1770</v>
      </c>
      <c r="B771" s="1">
        <v>45788</v>
      </c>
      <c r="C771" s="4">
        <f>MONTH(datos_ventas[[#This Row],[Fecha]])</f>
        <v>5</v>
      </c>
      <c r="D771" s="4">
        <f>WEEKNUM(datos_ventas[[#This Row],[Fecha]],2)</f>
        <v>19</v>
      </c>
      <c r="E771" t="s">
        <v>20</v>
      </c>
      <c r="F771" t="s">
        <v>21</v>
      </c>
      <c r="G771">
        <v>3</v>
      </c>
      <c r="H771">
        <v>7766</v>
      </c>
      <c r="I771">
        <v>4073</v>
      </c>
      <c r="J771" t="s">
        <v>12</v>
      </c>
      <c r="K771" t="str">
        <f>_xlfn.XLOOKUP(datos_ventas[[#This Row],[Ciudad]],Tabla2[Ciudades],Tabla2[Provincias],"no se encuentra")</f>
        <v>Málaga</v>
      </c>
      <c r="L771" t="str">
        <f>_xlfn.XLOOKUP(datos_ventas[[#This Row],[Provincia]],Tabla2[Provincias],Tabla2[Comunidades],"no se encuentra")</f>
        <v>Andalucía</v>
      </c>
      <c r="M771" t="s">
        <v>13</v>
      </c>
      <c r="N771">
        <v>5</v>
      </c>
    </row>
    <row r="772" spans="1:14" x14ac:dyDescent="0.25">
      <c r="A772">
        <v>1771</v>
      </c>
      <c r="B772" s="1">
        <v>45837</v>
      </c>
      <c r="C772" s="4">
        <f>MONTH(datos_ventas[[#This Row],[Fecha]])</f>
        <v>6</v>
      </c>
      <c r="D772" s="4">
        <f>WEEKNUM(datos_ventas[[#This Row],[Fecha]],2)</f>
        <v>26</v>
      </c>
      <c r="E772" t="s">
        <v>20</v>
      </c>
      <c r="F772" t="s">
        <v>21</v>
      </c>
      <c r="G772">
        <v>5</v>
      </c>
      <c r="H772">
        <v>7009</v>
      </c>
      <c r="I772">
        <v>2694</v>
      </c>
      <c r="J772" t="s">
        <v>14</v>
      </c>
      <c r="K772" t="str">
        <f>_xlfn.XLOOKUP(datos_ventas[[#This Row],[Ciudad]],Tabla2[Ciudades],Tabla2[Provincias],"no se encuentra")</f>
        <v>Madrid</v>
      </c>
      <c r="L772" t="str">
        <f>_xlfn.XLOOKUP(datos_ventas[[#This Row],[Provincia]],Tabla2[Provincias],Tabla2[Comunidades],"no se encuentra")</f>
        <v>Comunidad de Madrid</v>
      </c>
      <c r="M772" t="s">
        <v>13</v>
      </c>
      <c r="N772">
        <v>4</v>
      </c>
    </row>
    <row r="773" spans="1:14" x14ac:dyDescent="0.25">
      <c r="A773">
        <v>1772</v>
      </c>
      <c r="B773" s="1">
        <v>45842</v>
      </c>
      <c r="C773" s="4">
        <f>MONTH(datos_ventas[[#This Row],[Fecha]])</f>
        <v>7</v>
      </c>
      <c r="D773" s="4">
        <f>WEEKNUM(datos_ventas[[#This Row],[Fecha]],2)</f>
        <v>27</v>
      </c>
      <c r="E773" t="s">
        <v>26</v>
      </c>
      <c r="F773" t="s">
        <v>18</v>
      </c>
      <c r="G773">
        <v>5</v>
      </c>
      <c r="H773">
        <v>39183</v>
      </c>
      <c r="I773">
        <v>2291</v>
      </c>
      <c r="J773" t="s">
        <v>32</v>
      </c>
      <c r="K773" t="str">
        <f>_xlfn.XLOOKUP(datos_ventas[[#This Row],[Ciudad]],Tabla2[Ciudades],Tabla2[Provincias],"no se encuentra")</f>
        <v>Barcelona</v>
      </c>
      <c r="L773" t="str">
        <f>_xlfn.XLOOKUP(datos_ventas[[#This Row],[Provincia]],Tabla2[Provincias],Tabla2[Comunidades],"no se encuentra")</f>
        <v>Cataluña</v>
      </c>
      <c r="M773" t="s">
        <v>28</v>
      </c>
      <c r="N773">
        <v>1</v>
      </c>
    </row>
    <row r="774" spans="1:14" x14ac:dyDescent="0.25">
      <c r="A774">
        <v>1773</v>
      </c>
      <c r="B774" s="1">
        <v>45856</v>
      </c>
      <c r="C774" s="4">
        <f>MONTH(datos_ventas[[#This Row],[Fecha]])</f>
        <v>7</v>
      </c>
      <c r="D774" s="4">
        <f>WEEKNUM(datos_ventas[[#This Row],[Fecha]],2)</f>
        <v>29</v>
      </c>
      <c r="E774" t="s">
        <v>29</v>
      </c>
      <c r="F774" t="s">
        <v>30</v>
      </c>
      <c r="G774">
        <v>4</v>
      </c>
      <c r="H774">
        <v>13099</v>
      </c>
      <c r="I774">
        <v>4923</v>
      </c>
      <c r="J774" t="s">
        <v>12</v>
      </c>
      <c r="K774" t="str">
        <f>_xlfn.XLOOKUP(datos_ventas[[#This Row],[Ciudad]],Tabla2[Ciudades],Tabla2[Provincias],"no se encuentra")</f>
        <v>Málaga</v>
      </c>
      <c r="L774" t="str">
        <f>_xlfn.XLOOKUP(datos_ventas[[#This Row],[Provincia]],Tabla2[Provincias],Tabla2[Comunidades],"no se encuentra")</f>
        <v>Andalucía</v>
      </c>
      <c r="M774" t="s">
        <v>28</v>
      </c>
      <c r="N774">
        <v>3</v>
      </c>
    </row>
    <row r="775" spans="1:14" x14ac:dyDescent="0.25">
      <c r="A775">
        <v>1774</v>
      </c>
      <c r="B775" s="1">
        <v>45819</v>
      </c>
      <c r="C775" s="4">
        <f>MONTH(datos_ventas[[#This Row],[Fecha]])</f>
        <v>6</v>
      </c>
      <c r="D775" s="4">
        <f>WEEKNUM(datos_ventas[[#This Row],[Fecha]],2)</f>
        <v>24</v>
      </c>
      <c r="E775" t="s">
        <v>26</v>
      </c>
      <c r="F775" t="s">
        <v>18</v>
      </c>
      <c r="G775">
        <v>5</v>
      </c>
      <c r="H775">
        <v>116166</v>
      </c>
      <c r="I775">
        <v>3008</v>
      </c>
      <c r="J775" t="s">
        <v>27</v>
      </c>
      <c r="K775" t="str">
        <f>_xlfn.XLOOKUP(datos_ventas[[#This Row],[Ciudad]],Tabla2[Ciudades],Tabla2[Provincias],"no se encuentra")</f>
        <v>Sevilla</v>
      </c>
      <c r="L775" t="str">
        <f>_xlfn.XLOOKUP(datos_ventas[[#This Row],[Provincia]],Tabla2[Provincias],Tabla2[Comunidades],"no se encuentra")</f>
        <v>Andalucía</v>
      </c>
      <c r="M775" t="s">
        <v>13</v>
      </c>
      <c r="N775">
        <v>5</v>
      </c>
    </row>
    <row r="776" spans="1:14" x14ac:dyDescent="0.25">
      <c r="A776">
        <v>1775</v>
      </c>
      <c r="B776" s="1">
        <v>45981</v>
      </c>
      <c r="C776" s="4">
        <f>MONTH(datos_ventas[[#This Row],[Fecha]])</f>
        <v>11</v>
      </c>
      <c r="D776" s="4">
        <f>WEEKNUM(datos_ventas[[#This Row],[Fecha]],2)</f>
        <v>47</v>
      </c>
      <c r="E776" t="s">
        <v>24</v>
      </c>
      <c r="F776" t="s">
        <v>25</v>
      </c>
      <c r="G776">
        <v>4</v>
      </c>
      <c r="H776">
        <v>114192</v>
      </c>
      <c r="I776">
        <v>585</v>
      </c>
      <c r="J776" t="s">
        <v>27</v>
      </c>
      <c r="K776" t="str">
        <f>_xlfn.XLOOKUP(datos_ventas[[#This Row],[Ciudad]],Tabla2[Ciudades],Tabla2[Provincias],"no se encuentra")</f>
        <v>Sevilla</v>
      </c>
      <c r="L776" t="str">
        <f>_xlfn.XLOOKUP(datos_ventas[[#This Row],[Provincia]],Tabla2[Provincias],Tabla2[Comunidades],"no se encuentra")</f>
        <v>Andalucía</v>
      </c>
      <c r="M776" t="s">
        <v>15</v>
      </c>
      <c r="N776">
        <v>1</v>
      </c>
    </row>
    <row r="777" spans="1:14" x14ac:dyDescent="0.25">
      <c r="A777">
        <v>1776</v>
      </c>
      <c r="B777" s="1">
        <v>45720</v>
      </c>
      <c r="C777" s="4">
        <f>MONTH(datos_ventas[[#This Row],[Fecha]])</f>
        <v>3</v>
      </c>
      <c r="D777" s="4">
        <f>WEEKNUM(datos_ventas[[#This Row],[Fecha]],2)</f>
        <v>10</v>
      </c>
      <c r="E777" t="s">
        <v>10</v>
      </c>
      <c r="F777" t="s">
        <v>11</v>
      </c>
      <c r="G777">
        <v>4</v>
      </c>
      <c r="H777">
        <v>22388</v>
      </c>
      <c r="I777">
        <v>1625</v>
      </c>
      <c r="J777" t="s">
        <v>12</v>
      </c>
      <c r="K777" t="str">
        <f>_xlfn.XLOOKUP(datos_ventas[[#This Row],[Ciudad]],Tabla2[Ciudades],Tabla2[Provincias],"no se encuentra")</f>
        <v>Málaga</v>
      </c>
      <c r="L777" t="str">
        <f>_xlfn.XLOOKUP(datos_ventas[[#This Row],[Provincia]],Tabla2[Provincias],Tabla2[Comunidades],"no se encuentra")</f>
        <v>Andalucía</v>
      </c>
      <c r="M777" t="s">
        <v>19</v>
      </c>
      <c r="N777">
        <v>5</v>
      </c>
    </row>
    <row r="778" spans="1:14" x14ac:dyDescent="0.25">
      <c r="A778">
        <v>1777</v>
      </c>
      <c r="B778" s="1">
        <v>45752</v>
      </c>
      <c r="C778" s="4">
        <f>MONTH(datos_ventas[[#This Row],[Fecha]])</f>
        <v>4</v>
      </c>
      <c r="D778" s="4">
        <f>WEEKNUM(datos_ventas[[#This Row],[Fecha]],2)</f>
        <v>14</v>
      </c>
      <c r="E778" t="s">
        <v>10</v>
      </c>
      <c r="F778" t="s">
        <v>11</v>
      </c>
      <c r="G778">
        <v>4</v>
      </c>
      <c r="H778">
        <v>40187</v>
      </c>
      <c r="I778">
        <v>2737</v>
      </c>
      <c r="J778" t="s">
        <v>12</v>
      </c>
      <c r="K778" t="str">
        <f>_xlfn.XLOOKUP(datos_ventas[[#This Row],[Ciudad]],Tabla2[Ciudades],Tabla2[Provincias],"no se encuentra")</f>
        <v>Málaga</v>
      </c>
      <c r="L778" t="str">
        <f>_xlfn.XLOOKUP(datos_ventas[[#This Row],[Provincia]],Tabla2[Provincias],Tabla2[Comunidades],"no se encuentra")</f>
        <v>Andalucía</v>
      </c>
      <c r="M778" t="s">
        <v>19</v>
      </c>
      <c r="N778">
        <v>2</v>
      </c>
    </row>
    <row r="779" spans="1:14" x14ac:dyDescent="0.25">
      <c r="A779">
        <v>1778</v>
      </c>
      <c r="B779" s="1">
        <v>45694</v>
      </c>
      <c r="C779" s="4">
        <f>MONTH(datos_ventas[[#This Row],[Fecha]])</f>
        <v>2</v>
      </c>
      <c r="D779" s="4">
        <f>WEEKNUM(datos_ventas[[#This Row],[Fecha]],2)</f>
        <v>6</v>
      </c>
      <c r="E779" t="s">
        <v>29</v>
      </c>
      <c r="F779" t="s">
        <v>30</v>
      </c>
      <c r="G779">
        <v>2</v>
      </c>
      <c r="H779">
        <v>34978</v>
      </c>
      <c r="I779">
        <v>4954</v>
      </c>
      <c r="J779" t="s">
        <v>14</v>
      </c>
      <c r="K779" t="str">
        <f>_xlfn.XLOOKUP(datos_ventas[[#This Row],[Ciudad]],Tabla2[Ciudades],Tabla2[Provincias],"no se encuentra")</f>
        <v>Madrid</v>
      </c>
      <c r="L779" t="str">
        <f>_xlfn.XLOOKUP(datos_ventas[[#This Row],[Provincia]],Tabla2[Provincias],Tabla2[Comunidades],"no se encuentra")</f>
        <v>Comunidad de Madrid</v>
      </c>
      <c r="M779" t="s">
        <v>15</v>
      </c>
      <c r="N779">
        <v>2</v>
      </c>
    </row>
    <row r="780" spans="1:14" x14ac:dyDescent="0.25">
      <c r="A780">
        <v>1779</v>
      </c>
      <c r="B780" s="1">
        <v>45874</v>
      </c>
      <c r="C780" s="4">
        <f>MONTH(datos_ventas[[#This Row],[Fecha]])</f>
        <v>8</v>
      </c>
      <c r="D780" s="4">
        <f>WEEKNUM(datos_ventas[[#This Row],[Fecha]],2)</f>
        <v>32</v>
      </c>
      <c r="E780" t="s">
        <v>17</v>
      </c>
      <c r="F780" t="s">
        <v>18</v>
      </c>
      <c r="G780">
        <v>2</v>
      </c>
      <c r="H780">
        <v>76393</v>
      </c>
      <c r="I780">
        <v>4842</v>
      </c>
      <c r="J780" t="s">
        <v>12</v>
      </c>
      <c r="K780" t="str">
        <f>_xlfn.XLOOKUP(datos_ventas[[#This Row],[Ciudad]],Tabla2[Ciudades],Tabla2[Provincias],"no se encuentra")</f>
        <v>Málaga</v>
      </c>
      <c r="L780" t="str">
        <f>_xlfn.XLOOKUP(datos_ventas[[#This Row],[Provincia]],Tabla2[Provincias],Tabla2[Comunidades],"no se encuentra")</f>
        <v>Andalucía</v>
      </c>
      <c r="M780" t="s">
        <v>15</v>
      </c>
      <c r="N780">
        <v>1</v>
      </c>
    </row>
    <row r="781" spans="1:14" x14ac:dyDescent="0.25">
      <c r="A781">
        <v>1780</v>
      </c>
      <c r="B781" s="1">
        <v>46022</v>
      </c>
      <c r="C781" s="4">
        <f>MONTH(datos_ventas[[#This Row],[Fecha]])</f>
        <v>12</v>
      </c>
      <c r="D781" s="4">
        <f>WEEKNUM(datos_ventas[[#This Row],[Fecha]],2)</f>
        <v>53</v>
      </c>
      <c r="E781" t="s">
        <v>17</v>
      </c>
      <c r="F781" t="s">
        <v>18</v>
      </c>
      <c r="G781">
        <v>4</v>
      </c>
      <c r="H781">
        <v>41155</v>
      </c>
      <c r="I781">
        <v>1711</v>
      </c>
      <c r="J781" t="s">
        <v>14</v>
      </c>
      <c r="K781" t="str">
        <f>_xlfn.XLOOKUP(datos_ventas[[#This Row],[Ciudad]],Tabla2[Ciudades],Tabla2[Provincias],"no se encuentra")</f>
        <v>Madrid</v>
      </c>
      <c r="L781" t="str">
        <f>_xlfn.XLOOKUP(datos_ventas[[#This Row],[Provincia]],Tabla2[Provincias],Tabla2[Comunidades],"no se encuentra")</f>
        <v>Comunidad de Madrid</v>
      </c>
      <c r="M781" t="s">
        <v>15</v>
      </c>
      <c r="N781">
        <v>1</v>
      </c>
    </row>
    <row r="782" spans="1:14" x14ac:dyDescent="0.25">
      <c r="A782">
        <v>1781</v>
      </c>
      <c r="B782" s="1">
        <v>45946</v>
      </c>
      <c r="C782" s="4">
        <f>MONTH(datos_ventas[[#This Row],[Fecha]])</f>
        <v>10</v>
      </c>
      <c r="D782" s="4">
        <f>WEEKNUM(datos_ventas[[#This Row],[Fecha]],2)</f>
        <v>42</v>
      </c>
      <c r="E782" t="s">
        <v>10</v>
      </c>
      <c r="F782" t="s">
        <v>11</v>
      </c>
      <c r="G782">
        <v>2</v>
      </c>
      <c r="H782">
        <v>82472</v>
      </c>
      <c r="I782">
        <v>2671</v>
      </c>
      <c r="J782" t="s">
        <v>27</v>
      </c>
      <c r="K782" t="str">
        <f>_xlfn.XLOOKUP(datos_ventas[[#This Row],[Ciudad]],Tabla2[Ciudades],Tabla2[Provincias],"no se encuentra")</f>
        <v>Sevilla</v>
      </c>
      <c r="L782" t="str">
        <f>_xlfn.XLOOKUP(datos_ventas[[#This Row],[Provincia]],Tabla2[Provincias],Tabla2[Comunidades],"no se encuentra")</f>
        <v>Andalucía</v>
      </c>
      <c r="M782" t="s">
        <v>15</v>
      </c>
      <c r="N782">
        <v>4</v>
      </c>
    </row>
    <row r="783" spans="1:14" x14ac:dyDescent="0.25">
      <c r="A783">
        <v>1782</v>
      </c>
      <c r="B783" s="1">
        <v>45979</v>
      </c>
      <c r="C783" s="4">
        <f>MONTH(datos_ventas[[#This Row],[Fecha]])</f>
        <v>11</v>
      </c>
      <c r="D783" s="4">
        <f>WEEKNUM(datos_ventas[[#This Row],[Fecha]],2)</f>
        <v>47</v>
      </c>
      <c r="E783" t="s">
        <v>23</v>
      </c>
      <c r="F783" t="s">
        <v>18</v>
      </c>
      <c r="G783">
        <v>5</v>
      </c>
      <c r="H783">
        <v>38699</v>
      </c>
      <c r="I783">
        <v>3564</v>
      </c>
      <c r="J783" t="s">
        <v>12</v>
      </c>
      <c r="K783" t="str">
        <f>_xlfn.XLOOKUP(datos_ventas[[#This Row],[Ciudad]],Tabla2[Ciudades],Tabla2[Provincias],"no se encuentra")</f>
        <v>Málaga</v>
      </c>
      <c r="L783" t="str">
        <f>_xlfn.XLOOKUP(datos_ventas[[#This Row],[Provincia]],Tabla2[Provincias],Tabla2[Comunidades],"no se encuentra")</f>
        <v>Andalucía</v>
      </c>
      <c r="M783" t="s">
        <v>28</v>
      </c>
      <c r="N783">
        <v>4</v>
      </c>
    </row>
    <row r="784" spans="1:14" x14ac:dyDescent="0.25">
      <c r="A784">
        <v>1783</v>
      </c>
      <c r="B784" s="1">
        <v>46015</v>
      </c>
      <c r="C784" s="4">
        <f>MONTH(datos_ventas[[#This Row],[Fecha]])</f>
        <v>12</v>
      </c>
      <c r="D784" s="4">
        <f>WEEKNUM(datos_ventas[[#This Row],[Fecha]],2)</f>
        <v>52</v>
      </c>
      <c r="E784" t="s">
        <v>10</v>
      </c>
      <c r="F784" t="s">
        <v>11</v>
      </c>
      <c r="G784">
        <v>1</v>
      </c>
      <c r="H784">
        <v>85442</v>
      </c>
      <c r="I784">
        <v>3992</v>
      </c>
      <c r="J784" t="s">
        <v>31</v>
      </c>
      <c r="K784" t="str">
        <f>_xlfn.XLOOKUP(datos_ventas[[#This Row],[Ciudad]],Tabla2[Ciudades],Tabla2[Provincias],"no se encuentra")</f>
        <v>Vizcaya</v>
      </c>
      <c r="L784" t="str">
        <f>_xlfn.XLOOKUP(datos_ventas[[#This Row],[Provincia]],Tabla2[Provincias],Tabla2[Comunidades],"no se encuentra")</f>
        <v>País Vasco</v>
      </c>
      <c r="M784" t="s">
        <v>19</v>
      </c>
      <c r="N784">
        <v>1</v>
      </c>
    </row>
    <row r="785" spans="1:14" x14ac:dyDescent="0.25">
      <c r="A785">
        <v>1784</v>
      </c>
      <c r="B785" s="1">
        <v>45903</v>
      </c>
      <c r="C785" s="4">
        <f>MONTH(datos_ventas[[#This Row],[Fecha]])</f>
        <v>9</v>
      </c>
      <c r="D785" s="4">
        <f>WEEKNUM(datos_ventas[[#This Row],[Fecha]],2)</f>
        <v>36</v>
      </c>
      <c r="E785" t="s">
        <v>23</v>
      </c>
      <c r="F785" t="s">
        <v>18</v>
      </c>
      <c r="G785">
        <v>2</v>
      </c>
      <c r="H785">
        <v>3901</v>
      </c>
      <c r="I785">
        <v>1219</v>
      </c>
      <c r="J785" t="s">
        <v>22</v>
      </c>
      <c r="K785" t="str">
        <f>_xlfn.XLOOKUP(datos_ventas[[#This Row],[Ciudad]],Tabla2[Ciudades],Tabla2[Provincias],"no se encuentra")</f>
        <v>Valencia</v>
      </c>
      <c r="L785" t="str">
        <f>_xlfn.XLOOKUP(datos_ventas[[#This Row],[Provincia]],Tabla2[Provincias],Tabla2[Comunidades],"no se encuentra")</f>
        <v>Comunidad Valenciana</v>
      </c>
      <c r="M785" t="s">
        <v>15</v>
      </c>
      <c r="N785">
        <v>5</v>
      </c>
    </row>
    <row r="786" spans="1:14" x14ac:dyDescent="0.25">
      <c r="A786">
        <v>1785</v>
      </c>
      <c r="B786" s="1">
        <v>45698</v>
      </c>
      <c r="C786" s="4">
        <f>MONTH(datos_ventas[[#This Row],[Fecha]])</f>
        <v>2</v>
      </c>
      <c r="D786" s="4">
        <f>WEEKNUM(datos_ventas[[#This Row],[Fecha]],2)</f>
        <v>7</v>
      </c>
      <c r="E786" t="s">
        <v>17</v>
      </c>
      <c r="F786" t="s">
        <v>18</v>
      </c>
      <c r="G786">
        <v>4</v>
      </c>
      <c r="H786">
        <v>10004</v>
      </c>
      <c r="I786">
        <v>552</v>
      </c>
      <c r="J786" t="s">
        <v>27</v>
      </c>
      <c r="K786" t="str">
        <f>_xlfn.XLOOKUP(datos_ventas[[#This Row],[Ciudad]],Tabla2[Ciudades],Tabla2[Provincias],"no se encuentra")</f>
        <v>Sevilla</v>
      </c>
      <c r="L786" t="str">
        <f>_xlfn.XLOOKUP(datos_ventas[[#This Row],[Provincia]],Tabla2[Provincias],Tabla2[Comunidades],"no se encuentra")</f>
        <v>Andalucía</v>
      </c>
      <c r="M786" t="s">
        <v>19</v>
      </c>
      <c r="N786">
        <v>4</v>
      </c>
    </row>
    <row r="787" spans="1:14" x14ac:dyDescent="0.25">
      <c r="A787">
        <v>1786</v>
      </c>
      <c r="B787" s="1">
        <v>45851</v>
      </c>
      <c r="C787" s="4">
        <f>MONTH(datos_ventas[[#This Row],[Fecha]])</f>
        <v>7</v>
      </c>
      <c r="D787" s="4">
        <f>WEEKNUM(datos_ventas[[#This Row],[Fecha]],2)</f>
        <v>28</v>
      </c>
      <c r="E787" t="s">
        <v>24</v>
      </c>
      <c r="F787" t="s">
        <v>25</v>
      </c>
      <c r="G787">
        <v>3</v>
      </c>
      <c r="H787">
        <v>73172</v>
      </c>
      <c r="I787">
        <v>1901</v>
      </c>
      <c r="J787" t="s">
        <v>12</v>
      </c>
      <c r="K787" t="str">
        <f>_xlfn.XLOOKUP(datos_ventas[[#This Row],[Ciudad]],Tabla2[Ciudades],Tabla2[Provincias],"no se encuentra")</f>
        <v>Málaga</v>
      </c>
      <c r="L787" t="str">
        <f>_xlfn.XLOOKUP(datos_ventas[[#This Row],[Provincia]],Tabla2[Provincias],Tabla2[Comunidades],"no se encuentra")</f>
        <v>Andalucía</v>
      </c>
      <c r="M787" t="s">
        <v>28</v>
      </c>
      <c r="N787">
        <v>2</v>
      </c>
    </row>
    <row r="788" spans="1:14" x14ac:dyDescent="0.25">
      <c r="A788">
        <v>1787</v>
      </c>
      <c r="B788" s="1">
        <v>45710</v>
      </c>
      <c r="C788" s="4">
        <f>MONTH(datos_ventas[[#This Row],[Fecha]])</f>
        <v>2</v>
      </c>
      <c r="D788" s="4">
        <f>WEEKNUM(datos_ventas[[#This Row],[Fecha]],2)</f>
        <v>8</v>
      </c>
      <c r="E788" t="s">
        <v>20</v>
      </c>
      <c r="F788" t="s">
        <v>21</v>
      </c>
      <c r="G788">
        <v>4</v>
      </c>
      <c r="H788">
        <v>109391</v>
      </c>
      <c r="I788">
        <v>2355</v>
      </c>
      <c r="J788" t="s">
        <v>31</v>
      </c>
      <c r="K788" t="str">
        <f>_xlfn.XLOOKUP(datos_ventas[[#This Row],[Ciudad]],Tabla2[Ciudades],Tabla2[Provincias],"no se encuentra")</f>
        <v>Vizcaya</v>
      </c>
      <c r="L788" t="str">
        <f>_xlfn.XLOOKUP(datos_ventas[[#This Row],[Provincia]],Tabla2[Provincias],Tabla2[Comunidades],"no se encuentra")</f>
        <v>País Vasco</v>
      </c>
      <c r="M788" t="s">
        <v>13</v>
      </c>
      <c r="N788">
        <v>5</v>
      </c>
    </row>
    <row r="789" spans="1:14" x14ac:dyDescent="0.25">
      <c r="A789">
        <v>1788</v>
      </c>
      <c r="B789" s="1">
        <v>45665</v>
      </c>
      <c r="C789" s="4">
        <f>MONTH(datos_ventas[[#This Row],[Fecha]])</f>
        <v>1</v>
      </c>
      <c r="D789" s="4">
        <f>WEEKNUM(datos_ventas[[#This Row],[Fecha]],2)</f>
        <v>2</v>
      </c>
      <c r="E789" t="s">
        <v>24</v>
      </c>
      <c r="F789" t="s">
        <v>25</v>
      </c>
      <c r="G789">
        <v>1</v>
      </c>
      <c r="H789">
        <v>82009</v>
      </c>
      <c r="I789">
        <v>3824</v>
      </c>
      <c r="J789" t="s">
        <v>32</v>
      </c>
      <c r="K789" t="str">
        <f>_xlfn.XLOOKUP(datos_ventas[[#This Row],[Ciudad]],Tabla2[Ciudades],Tabla2[Provincias],"no se encuentra")</f>
        <v>Barcelona</v>
      </c>
      <c r="L789" t="str">
        <f>_xlfn.XLOOKUP(datos_ventas[[#This Row],[Provincia]],Tabla2[Provincias],Tabla2[Comunidades],"no se encuentra")</f>
        <v>Cataluña</v>
      </c>
      <c r="M789" t="s">
        <v>13</v>
      </c>
      <c r="N789">
        <v>2</v>
      </c>
    </row>
    <row r="790" spans="1:14" x14ac:dyDescent="0.25">
      <c r="A790">
        <v>1789</v>
      </c>
      <c r="B790" s="1">
        <v>46003</v>
      </c>
      <c r="C790" s="4">
        <f>MONTH(datos_ventas[[#This Row],[Fecha]])</f>
        <v>12</v>
      </c>
      <c r="D790" s="4">
        <f>WEEKNUM(datos_ventas[[#This Row],[Fecha]],2)</f>
        <v>50</v>
      </c>
      <c r="E790" t="s">
        <v>16</v>
      </c>
      <c r="F790" t="s">
        <v>11</v>
      </c>
      <c r="G790">
        <v>3</v>
      </c>
      <c r="H790">
        <v>107754</v>
      </c>
      <c r="I790">
        <v>476</v>
      </c>
      <c r="J790" t="s">
        <v>27</v>
      </c>
      <c r="K790" t="str">
        <f>_xlfn.XLOOKUP(datos_ventas[[#This Row],[Ciudad]],Tabla2[Ciudades],Tabla2[Provincias],"no se encuentra")</f>
        <v>Sevilla</v>
      </c>
      <c r="L790" t="str">
        <f>_xlfn.XLOOKUP(datos_ventas[[#This Row],[Provincia]],Tabla2[Provincias],Tabla2[Comunidades],"no se encuentra")</f>
        <v>Andalucía</v>
      </c>
      <c r="M790" t="s">
        <v>13</v>
      </c>
      <c r="N790">
        <v>5</v>
      </c>
    </row>
    <row r="791" spans="1:14" x14ac:dyDescent="0.25">
      <c r="A791">
        <v>1790</v>
      </c>
      <c r="B791" s="1">
        <v>45724</v>
      </c>
      <c r="C791" s="4">
        <f>MONTH(datos_ventas[[#This Row],[Fecha]])</f>
        <v>3</v>
      </c>
      <c r="D791" s="4">
        <f>WEEKNUM(datos_ventas[[#This Row],[Fecha]],2)</f>
        <v>10</v>
      </c>
      <c r="E791" t="s">
        <v>20</v>
      </c>
      <c r="F791" t="s">
        <v>21</v>
      </c>
      <c r="G791">
        <v>3</v>
      </c>
      <c r="H791">
        <v>9754</v>
      </c>
      <c r="I791">
        <v>2111</v>
      </c>
      <c r="J791" t="s">
        <v>32</v>
      </c>
      <c r="K791" t="str">
        <f>_xlfn.XLOOKUP(datos_ventas[[#This Row],[Ciudad]],Tabla2[Ciudades],Tabla2[Provincias],"no se encuentra")</f>
        <v>Barcelona</v>
      </c>
      <c r="L791" t="str">
        <f>_xlfn.XLOOKUP(datos_ventas[[#This Row],[Provincia]],Tabla2[Provincias],Tabla2[Comunidades],"no se encuentra")</f>
        <v>Cataluña</v>
      </c>
      <c r="M791" t="s">
        <v>28</v>
      </c>
      <c r="N791">
        <v>5</v>
      </c>
    </row>
    <row r="792" spans="1:14" x14ac:dyDescent="0.25">
      <c r="A792">
        <v>1791</v>
      </c>
      <c r="B792" s="1">
        <v>45698</v>
      </c>
      <c r="C792" s="4">
        <f>MONTH(datos_ventas[[#This Row],[Fecha]])</f>
        <v>2</v>
      </c>
      <c r="D792" s="4">
        <f>WEEKNUM(datos_ventas[[#This Row],[Fecha]],2)</f>
        <v>7</v>
      </c>
      <c r="E792" t="s">
        <v>16</v>
      </c>
      <c r="F792" t="s">
        <v>11</v>
      </c>
      <c r="G792">
        <v>2</v>
      </c>
      <c r="H792">
        <v>5743</v>
      </c>
      <c r="I792">
        <v>4823</v>
      </c>
      <c r="J792" t="s">
        <v>32</v>
      </c>
      <c r="K792" t="str">
        <f>_xlfn.XLOOKUP(datos_ventas[[#This Row],[Ciudad]],Tabla2[Ciudades],Tabla2[Provincias],"no se encuentra")</f>
        <v>Barcelona</v>
      </c>
      <c r="L792" t="str">
        <f>_xlfn.XLOOKUP(datos_ventas[[#This Row],[Provincia]],Tabla2[Provincias],Tabla2[Comunidades],"no se encuentra")</f>
        <v>Cataluña</v>
      </c>
      <c r="M792" t="s">
        <v>15</v>
      </c>
      <c r="N792">
        <v>4</v>
      </c>
    </row>
    <row r="793" spans="1:14" x14ac:dyDescent="0.25">
      <c r="A793">
        <v>1792</v>
      </c>
      <c r="B793" s="1">
        <v>45666</v>
      </c>
      <c r="C793" s="4">
        <f>MONTH(datos_ventas[[#This Row],[Fecha]])</f>
        <v>1</v>
      </c>
      <c r="D793" s="4">
        <f>WEEKNUM(datos_ventas[[#This Row],[Fecha]],2)</f>
        <v>2</v>
      </c>
      <c r="E793" t="s">
        <v>17</v>
      </c>
      <c r="F793" t="s">
        <v>18</v>
      </c>
      <c r="G793">
        <v>5</v>
      </c>
      <c r="H793">
        <v>99172</v>
      </c>
      <c r="I793">
        <v>473</v>
      </c>
      <c r="J793" t="s">
        <v>31</v>
      </c>
      <c r="K793" t="str">
        <f>_xlfn.XLOOKUP(datos_ventas[[#This Row],[Ciudad]],Tabla2[Ciudades],Tabla2[Provincias],"no se encuentra")</f>
        <v>Vizcaya</v>
      </c>
      <c r="L793" t="str">
        <f>_xlfn.XLOOKUP(datos_ventas[[#This Row],[Provincia]],Tabla2[Provincias],Tabla2[Comunidades],"no se encuentra")</f>
        <v>País Vasco</v>
      </c>
      <c r="M793" t="s">
        <v>19</v>
      </c>
      <c r="N793">
        <v>2</v>
      </c>
    </row>
    <row r="794" spans="1:14" x14ac:dyDescent="0.25">
      <c r="A794">
        <v>1793</v>
      </c>
      <c r="B794" s="1">
        <v>45728</v>
      </c>
      <c r="C794" s="4">
        <f>MONTH(datos_ventas[[#This Row],[Fecha]])</f>
        <v>3</v>
      </c>
      <c r="D794" s="4">
        <f>WEEKNUM(datos_ventas[[#This Row],[Fecha]],2)</f>
        <v>11</v>
      </c>
      <c r="E794" t="s">
        <v>17</v>
      </c>
      <c r="F794" t="s">
        <v>18</v>
      </c>
      <c r="G794">
        <v>2</v>
      </c>
      <c r="H794">
        <v>82337</v>
      </c>
      <c r="I794">
        <v>916</v>
      </c>
      <c r="J794" t="s">
        <v>12</v>
      </c>
      <c r="K794" t="str">
        <f>_xlfn.XLOOKUP(datos_ventas[[#This Row],[Ciudad]],Tabla2[Ciudades],Tabla2[Provincias],"no se encuentra")</f>
        <v>Málaga</v>
      </c>
      <c r="L794" t="str">
        <f>_xlfn.XLOOKUP(datos_ventas[[#This Row],[Provincia]],Tabla2[Provincias],Tabla2[Comunidades],"no se encuentra")</f>
        <v>Andalucía</v>
      </c>
      <c r="M794" t="s">
        <v>15</v>
      </c>
      <c r="N794">
        <v>4</v>
      </c>
    </row>
    <row r="795" spans="1:14" x14ac:dyDescent="0.25">
      <c r="A795">
        <v>1794</v>
      </c>
      <c r="B795" s="1">
        <v>45722</v>
      </c>
      <c r="C795" s="4">
        <f>MONTH(datos_ventas[[#This Row],[Fecha]])</f>
        <v>3</v>
      </c>
      <c r="D795" s="4">
        <f>WEEKNUM(datos_ventas[[#This Row],[Fecha]],2)</f>
        <v>10</v>
      </c>
      <c r="E795" t="s">
        <v>10</v>
      </c>
      <c r="F795" t="s">
        <v>11</v>
      </c>
      <c r="G795">
        <v>2</v>
      </c>
      <c r="H795">
        <v>6402</v>
      </c>
      <c r="I795">
        <v>4344</v>
      </c>
      <c r="J795" t="s">
        <v>14</v>
      </c>
      <c r="K795" t="str">
        <f>_xlfn.XLOOKUP(datos_ventas[[#This Row],[Ciudad]],Tabla2[Ciudades],Tabla2[Provincias],"no se encuentra")</f>
        <v>Madrid</v>
      </c>
      <c r="L795" t="str">
        <f>_xlfn.XLOOKUP(datos_ventas[[#This Row],[Provincia]],Tabla2[Provincias],Tabla2[Comunidades],"no se encuentra")</f>
        <v>Comunidad de Madrid</v>
      </c>
      <c r="M795" t="s">
        <v>19</v>
      </c>
      <c r="N795">
        <v>5</v>
      </c>
    </row>
    <row r="796" spans="1:14" x14ac:dyDescent="0.25">
      <c r="A796">
        <v>1795</v>
      </c>
      <c r="B796" s="1">
        <v>45824</v>
      </c>
      <c r="C796" s="4">
        <f>MONTH(datos_ventas[[#This Row],[Fecha]])</f>
        <v>6</v>
      </c>
      <c r="D796" s="4">
        <f>WEEKNUM(datos_ventas[[#This Row],[Fecha]],2)</f>
        <v>25</v>
      </c>
      <c r="E796" t="s">
        <v>23</v>
      </c>
      <c r="F796" t="s">
        <v>18</v>
      </c>
      <c r="G796">
        <v>2</v>
      </c>
      <c r="H796">
        <v>7717</v>
      </c>
      <c r="I796">
        <v>3041</v>
      </c>
      <c r="J796" t="s">
        <v>32</v>
      </c>
      <c r="K796" t="str">
        <f>_xlfn.XLOOKUP(datos_ventas[[#This Row],[Ciudad]],Tabla2[Ciudades],Tabla2[Provincias],"no se encuentra")</f>
        <v>Barcelona</v>
      </c>
      <c r="L796" t="str">
        <f>_xlfn.XLOOKUP(datos_ventas[[#This Row],[Provincia]],Tabla2[Provincias],Tabla2[Comunidades],"no se encuentra")</f>
        <v>Cataluña</v>
      </c>
      <c r="M796" t="s">
        <v>28</v>
      </c>
      <c r="N796">
        <v>3</v>
      </c>
    </row>
    <row r="797" spans="1:14" x14ac:dyDescent="0.25">
      <c r="A797">
        <v>1796</v>
      </c>
      <c r="B797" s="1">
        <v>45850</v>
      </c>
      <c r="C797" s="4">
        <f>MONTH(datos_ventas[[#This Row],[Fecha]])</f>
        <v>7</v>
      </c>
      <c r="D797" s="4">
        <f>WEEKNUM(datos_ventas[[#This Row],[Fecha]],2)</f>
        <v>28</v>
      </c>
      <c r="E797" t="s">
        <v>29</v>
      </c>
      <c r="F797" t="s">
        <v>30</v>
      </c>
      <c r="G797">
        <v>1</v>
      </c>
      <c r="H797">
        <v>8823</v>
      </c>
      <c r="I797">
        <v>943</v>
      </c>
      <c r="J797" t="s">
        <v>12</v>
      </c>
      <c r="K797" t="str">
        <f>_xlfn.XLOOKUP(datos_ventas[[#This Row],[Ciudad]],Tabla2[Ciudades],Tabla2[Provincias],"no se encuentra")</f>
        <v>Málaga</v>
      </c>
      <c r="L797" t="str">
        <f>_xlfn.XLOOKUP(datos_ventas[[#This Row],[Provincia]],Tabla2[Provincias],Tabla2[Comunidades],"no se encuentra")</f>
        <v>Andalucía</v>
      </c>
      <c r="M797" t="s">
        <v>15</v>
      </c>
      <c r="N797">
        <v>1</v>
      </c>
    </row>
    <row r="798" spans="1:14" x14ac:dyDescent="0.25">
      <c r="A798">
        <v>1797</v>
      </c>
      <c r="B798" s="1">
        <v>45783</v>
      </c>
      <c r="C798" s="4">
        <f>MONTH(datos_ventas[[#This Row],[Fecha]])</f>
        <v>5</v>
      </c>
      <c r="D798" s="4">
        <f>WEEKNUM(datos_ventas[[#This Row],[Fecha]],2)</f>
        <v>19</v>
      </c>
      <c r="E798" t="s">
        <v>24</v>
      </c>
      <c r="F798" t="s">
        <v>25</v>
      </c>
      <c r="G798">
        <v>1</v>
      </c>
      <c r="H798">
        <v>55395</v>
      </c>
      <c r="I798">
        <v>4958</v>
      </c>
      <c r="J798" t="s">
        <v>12</v>
      </c>
      <c r="K798" t="str">
        <f>_xlfn.XLOOKUP(datos_ventas[[#This Row],[Ciudad]],Tabla2[Ciudades],Tabla2[Provincias],"no se encuentra")</f>
        <v>Málaga</v>
      </c>
      <c r="L798" t="str">
        <f>_xlfn.XLOOKUP(datos_ventas[[#This Row],[Provincia]],Tabla2[Provincias],Tabla2[Comunidades],"no se encuentra")</f>
        <v>Andalucía</v>
      </c>
      <c r="M798" t="s">
        <v>13</v>
      </c>
      <c r="N798">
        <v>1</v>
      </c>
    </row>
    <row r="799" spans="1:14" x14ac:dyDescent="0.25">
      <c r="A799">
        <v>1798</v>
      </c>
      <c r="B799" s="1">
        <v>45899</v>
      </c>
      <c r="C799" s="4">
        <f>MONTH(datos_ventas[[#This Row],[Fecha]])</f>
        <v>8</v>
      </c>
      <c r="D799" s="4">
        <f>WEEKNUM(datos_ventas[[#This Row],[Fecha]],2)</f>
        <v>35</v>
      </c>
      <c r="E799" t="s">
        <v>26</v>
      </c>
      <c r="F799" t="s">
        <v>18</v>
      </c>
      <c r="G799">
        <v>4</v>
      </c>
      <c r="H799">
        <v>88834</v>
      </c>
      <c r="I799">
        <v>962</v>
      </c>
      <c r="J799" t="s">
        <v>22</v>
      </c>
      <c r="K799" t="str">
        <f>_xlfn.XLOOKUP(datos_ventas[[#This Row],[Ciudad]],Tabla2[Ciudades],Tabla2[Provincias],"no se encuentra")</f>
        <v>Valencia</v>
      </c>
      <c r="L799" t="str">
        <f>_xlfn.XLOOKUP(datos_ventas[[#This Row],[Provincia]],Tabla2[Provincias],Tabla2[Comunidades],"no se encuentra")</f>
        <v>Comunidad Valenciana</v>
      </c>
      <c r="M799" t="s">
        <v>19</v>
      </c>
      <c r="N799">
        <v>1</v>
      </c>
    </row>
    <row r="800" spans="1:14" x14ac:dyDescent="0.25">
      <c r="A800">
        <v>1799</v>
      </c>
      <c r="B800" s="1">
        <v>45917</v>
      </c>
      <c r="C800" s="4">
        <f>MONTH(datos_ventas[[#This Row],[Fecha]])</f>
        <v>9</v>
      </c>
      <c r="D800" s="4">
        <f>WEEKNUM(datos_ventas[[#This Row],[Fecha]],2)</f>
        <v>38</v>
      </c>
      <c r="E800" t="s">
        <v>23</v>
      </c>
      <c r="F800" t="s">
        <v>18</v>
      </c>
      <c r="G800">
        <v>1</v>
      </c>
      <c r="H800">
        <v>109431</v>
      </c>
      <c r="I800">
        <v>869</v>
      </c>
      <c r="J800" t="s">
        <v>27</v>
      </c>
      <c r="K800" t="str">
        <f>_xlfn.XLOOKUP(datos_ventas[[#This Row],[Ciudad]],Tabla2[Ciudades],Tabla2[Provincias],"no se encuentra")</f>
        <v>Sevilla</v>
      </c>
      <c r="L800" t="str">
        <f>_xlfn.XLOOKUP(datos_ventas[[#This Row],[Provincia]],Tabla2[Provincias],Tabla2[Comunidades],"no se encuentra")</f>
        <v>Andalucía</v>
      </c>
      <c r="M800" t="s">
        <v>13</v>
      </c>
      <c r="N800">
        <v>2</v>
      </c>
    </row>
    <row r="801" spans="1:14" x14ac:dyDescent="0.25">
      <c r="A801">
        <v>1800</v>
      </c>
      <c r="B801" s="1">
        <v>45860</v>
      </c>
      <c r="C801" s="4">
        <f>MONTH(datos_ventas[[#This Row],[Fecha]])</f>
        <v>7</v>
      </c>
      <c r="D801" s="4">
        <f>WEEKNUM(datos_ventas[[#This Row],[Fecha]],2)</f>
        <v>30</v>
      </c>
      <c r="E801" t="s">
        <v>20</v>
      </c>
      <c r="F801" t="s">
        <v>21</v>
      </c>
      <c r="G801">
        <v>5</v>
      </c>
      <c r="H801">
        <v>3524</v>
      </c>
      <c r="I801">
        <v>1929</v>
      </c>
      <c r="J801" t="s">
        <v>14</v>
      </c>
      <c r="K801" t="str">
        <f>_xlfn.XLOOKUP(datos_ventas[[#This Row],[Ciudad]],Tabla2[Ciudades],Tabla2[Provincias],"no se encuentra")</f>
        <v>Madrid</v>
      </c>
      <c r="L801" t="str">
        <f>_xlfn.XLOOKUP(datos_ventas[[#This Row],[Provincia]],Tabla2[Provincias],Tabla2[Comunidades],"no se encuentra")</f>
        <v>Comunidad de Madrid</v>
      </c>
      <c r="M801" t="s">
        <v>13</v>
      </c>
      <c r="N801">
        <v>4</v>
      </c>
    </row>
    <row r="802" spans="1:14" x14ac:dyDescent="0.25">
      <c r="A802">
        <v>1801</v>
      </c>
      <c r="B802" s="1">
        <v>45876</v>
      </c>
      <c r="C802" s="4">
        <f>MONTH(datos_ventas[[#This Row],[Fecha]])</f>
        <v>8</v>
      </c>
      <c r="D802" s="4">
        <f>WEEKNUM(datos_ventas[[#This Row],[Fecha]],2)</f>
        <v>32</v>
      </c>
      <c r="E802" t="s">
        <v>20</v>
      </c>
      <c r="F802" t="s">
        <v>21</v>
      </c>
      <c r="G802">
        <v>5</v>
      </c>
      <c r="H802">
        <v>102374</v>
      </c>
      <c r="I802">
        <v>4969</v>
      </c>
      <c r="J802" t="s">
        <v>22</v>
      </c>
      <c r="K802" t="str">
        <f>_xlfn.XLOOKUP(datos_ventas[[#This Row],[Ciudad]],Tabla2[Ciudades],Tabla2[Provincias],"no se encuentra")</f>
        <v>Valencia</v>
      </c>
      <c r="L802" t="str">
        <f>_xlfn.XLOOKUP(datos_ventas[[#This Row],[Provincia]],Tabla2[Provincias],Tabla2[Comunidades],"no se encuentra")</f>
        <v>Comunidad Valenciana</v>
      </c>
      <c r="M802" t="s">
        <v>15</v>
      </c>
      <c r="N802">
        <v>2</v>
      </c>
    </row>
    <row r="803" spans="1:14" x14ac:dyDescent="0.25">
      <c r="A803">
        <v>1802</v>
      </c>
      <c r="B803" s="1">
        <v>45983</v>
      </c>
      <c r="C803" s="4">
        <f>MONTH(datos_ventas[[#This Row],[Fecha]])</f>
        <v>11</v>
      </c>
      <c r="D803" s="4">
        <f>WEEKNUM(datos_ventas[[#This Row],[Fecha]],2)</f>
        <v>47</v>
      </c>
      <c r="E803" t="s">
        <v>17</v>
      </c>
      <c r="F803" t="s">
        <v>18</v>
      </c>
      <c r="G803">
        <v>3</v>
      </c>
      <c r="H803">
        <v>66589</v>
      </c>
      <c r="I803">
        <v>3777</v>
      </c>
      <c r="J803" t="s">
        <v>12</v>
      </c>
      <c r="K803" t="str">
        <f>_xlfn.XLOOKUP(datos_ventas[[#This Row],[Ciudad]],Tabla2[Ciudades],Tabla2[Provincias],"no se encuentra")</f>
        <v>Málaga</v>
      </c>
      <c r="L803" t="str">
        <f>_xlfn.XLOOKUP(datos_ventas[[#This Row],[Provincia]],Tabla2[Provincias],Tabla2[Comunidades],"no se encuentra")</f>
        <v>Andalucía</v>
      </c>
      <c r="M803" t="s">
        <v>15</v>
      </c>
      <c r="N803">
        <v>3</v>
      </c>
    </row>
    <row r="804" spans="1:14" x14ac:dyDescent="0.25">
      <c r="A804">
        <v>1803</v>
      </c>
      <c r="B804" s="1">
        <v>45965</v>
      </c>
      <c r="C804" s="4">
        <f>MONTH(datos_ventas[[#This Row],[Fecha]])</f>
        <v>11</v>
      </c>
      <c r="D804" s="4">
        <f>WEEKNUM(datos_ventas[[#This Row],[Fecha]],2)</f>
        <v>45</v>
      </c>
      <c r="E804" t="s">
        <v>20</v>
      </c>
      <c r="F804" t="s">
        <v>21</v>
      </c>
      <c r="G804">
        <v>5</v>
      </c>
      <c r="H804">
        <v>119013</v>
      </c>
      <c r="I804">
        <v>203</v>
      </c>
      <c r="J804" t="s">
        <v>27</v>
      </c>
      <c r="K804" t="str">
        <f>_xlfn.XLOOKUP(datos_ventas[[#This Row],[Ciudad]],Tabla2[Ciudades],Tabla2[Provincias],"no se encuentra")</f>
        <v>Sevilla</v>
      </c>
      <c r="L804" t="str">
        <f>_xlfn.XLOOKUP(datos_ventas[[#This Row],[Provincia]],Tabla2[Provincias],Tabla2[Comunidades],"no se encuentra")</f>
        <v>Andalucía</v>
      </c>
      <c r="M804" t="s">
        <v>15</v>
      </c>
      <c r="N804">
        <v>4</v>
      </c>
    </row>
    <row r="805" spans="1:14" x14ac:dyDescent="0.25">
      <c r="A805">
        <v>1804</v>
      </c>
      <c r="B805" s="1">
        <v>45960</v>
      </c>
      <c r="C805" s="4">
        <f>MONTH(datos_ventas[[#This Row],[Fecha]])</f>
        <v>10</v>
      </c>
      <c r="D805" s="4">
        <f>WEEKNUM(datos_ventas[[#This Row],[Fecha]],2)</f>
        <v>44</v>
      </c>
      <c r="E805" t="s">
        <v>26</v>
      </c>
      <c r="F805" t="s">
        <v>18</v>
      </c>
      <c r="G805">
        <v>2</v>
      </c>
      <c r="H805">
        <v>117591</v>
      </c>
      <c r="I805">
        <v>4359</v>
      </c>
      <c r="J805" t="s">
        <v>27</v>
      </c>
      <c r="K805" t="str">
        <f>_xlfn.XLOOKUP(datos_ventas[[#This Row],[Ciudad]],Tabla2[Ciudades],Tabla2[Provincias],"no se encuentra")</f>
        <v>Sevilla</v>
      </c>
      <c r="L805" t="str">
        <f>_xlfn.XLOOKUP(datos_ventas[[#This Row],[Provincia]],Tabla2[Provincias],Tabla2[Comunidades],"no se encuentra")</f>
        <v>Andalucía</v>
      </c>
      <c r="M805" t="s">
        <v>15</v>
      </c>
      <c r="N805">
        <v>3</v>
      </c>
    </row>
    <row r="806" spans="1:14" x14ac:dyDescent="0.25">
      <c r="A806">
        <v>1805</v>
      </c>
      <c r="B806" s="1">
        <v>45828</v>
      </c>
      <c r="C806" s="4">
        <f>MONTH(datos_ventas[[#This Row],[Fecha]])</f>
        <v>6</v>
      </c>
      <c r="D806" s="4">
        <f>WEEKNUM(datos_ventas[[#This Row],[Fecha]],2)</f>
        <v>25</v>
      </c>
      <c r="E806" t="s">
        <v>23</v>
      </c>
      <c r="F806" t="s">
        <v>18</v>
      </c>
      <c r="G806">
        <v>3</v>
      </c>
      <c r="H806">
        <v>50379</v>
      </c>
      <c r="I806">
        <v>2107</v>
      </c>
      <c r="J806" t="s">
        <v>14</v>
      </c>
      <c r="K806" t="str">
        <f>_xlfn.XLOOKUP(datos_ventas[[#This Row],[Ciudad]],Tabla2[Ciudades],Tabla2[Provincias],"no se encuentra")</f>
        <v>Madrid</v>
      </c>
      <c r="L806" t="str">
        <f>_xlfn.XLOOKUP(datos_ventas[[#This Row],[Provincia]],Tabla2[Provincias],Tabla2[Comunidades],"no se encuentra")</f>
        <v>Comunidad de Madrid</v>
      </c>
      <c r="M806" t="s">
        <v>13</v>
      </c>
      <c r="N806">
        <v>2</v>
      </c>
    </row>
    <row r="807" spans="1:14" x14ac:dyDescent="0.25">
      <c r="A807">
        <v>1806</v>
      </c>
      <c r="B807" s="1">
        <v>45679</v>
      </c>
      <c r="C807" s="4">
        <f>MONTH(datos_ventas[[#This Row],[Fecha]])</f>
        <v>1</v>
      </c>
      <c r="D807" s="4">
        <f>WEEKNUM(datos_ventas[[#This Row],[Fecha]],2)</f>
        <v>4</v>
      </c>
      <c r="E807" t="s">
        <v>10</v>
      </c>
      <c r="F807" t="s">
        <v>11</v>
      </c>
      <c r="G807">
        <v>2</v>
      </c>
      <c r="H807">
        <v>10914</v>
      </c>
      <c r="I807">
        <v>1934</v>
      </c>
      <c r="J807" t="s">
        <v>32</v>
      </c>
      <c r="K807" t="str">
        <f>_xlfn.XLOOKUP(datos_ventas[[#This Row],[Ciudad]],Tabla2[Ciudades],Tabla2[Provincias],"no se encuentra")</f>
        <v>Barcelona</v>
      </c>
      <c r="L807" t="str">
        <f>_xlfn.XLOOKUP(datos_ventas[[#This Row],[Provincia]],Tabla2[Provincias],Tabla2[Comunidades],"no se encuentra")</f>
        <v>Cataluña</v>
      </c>
      <c r="M807" t="s">
        <v>28</v>
      </c>
      <c r="N807">
        <v>1</v>
      </c>
    </row>
    <row r="808" spans="1:14" x14ac:dyDescent="0.25">
      <c r="A808">
        <v>1807</v>
      </c>
      <c r="B808" s="1">
        <v>45844</v>
      </c>
      <c r="C808" s="4">
        <f>MONTH(datos_ventas[[#This Row],[Fecha]])</f>
        <v>7</v>
      </c>
      <c r="D808" s="4">
        <f>WEEKNUM(datos_ventas[[#This Row],[Fecha]],2)</f>
        <v>27</v>
      </c>
      <c r="E808" t="s">
        <v>26</v>
      </c>
      <c r="F808" t="s">
        <v>18</v>
      </c>
      <c r="G808">
        <v>1</v>
      </c>
      <c r="H808">
        <v>79516</v>
      </c>
      <c r="I808">
        <v>4814</v>
      </c>
      <c r="J808" t="s">
        <v>32</v>
      </c>
      <c r="K808" t="str">
        <f>_xlfn.XLOOKUP(datos_ventas[[#This Row],[Ciudad]],Tabla2[Ciudades],Tabla2[Provincias],"no se encuentra")</f>
        <v>Barcelona</v>
      </c>
      <c r="L808" t="str">
        <f>_xlfn.XLOOKUP(datos_ventas[[#This Row],[Provincia]],Tabla2[Provincias],Tabla2[Comunidades],"no se encuentra")</f>
        <v>Cataluña</v>
      </c>
      <c r="M808" t="s">
        <v>15</v>
      </c>
      <c r="N808">
        <v>5</v>
      </c>
    </row>
    <row r="809" spans="1:14" x14ac:dyDescent="0.25">
      <c r="A809">
        <v>1808</v>
      </c>
      <c r="B809" s="1">
        <v>45795</v>
      </c>
      <c r="C809" s="4">
        <f>MONTH(datos_ventas[[#This Row],[Fecha]])</f>
        <v>5</v>
      </c>
      <c r="D809" s="4">
        <f>WEEKNUM(datos_ventas[[#This Row],[Fecha]],2)</f>
        <v>20</v>
      </c>
      <c r="E809" t="s">
        <v>17</v>
      </c>
      <c r="F809" t="s">
        <v>18</v>
      </c>
      <c r="G809">
        <v>3</v>
      </c>
      <c r="H809">
        <v>114526</v>
      </c>
      <c r="I809">
        <v>1217</v>
      </c>
      <c r="J809" t="s">
        <v>12</v>
      </c>
      <c r="K809" t="str">
        <f>_xlfn.XLOOKUP(datos_ventas[[#This Row],[Ciudad]],Tabla2[Ciudades],Tabla2[Provincias],"no se encuentra")</f>
        <v>Málaga</v>
      </c>
      <c r="L809" t="str">
        <f>_xlfn.XLOOKUP(datos_ventas[[#This Row],[Provincia]],Tabla2[Provincias],Tabla2[Comunidades],"no se encuentra")</f>
        <v>Andalucía</v>
      </c>
      <c r="M809" t="s">
        <v>13</v>
      </c>
      <c r="N809">
        <v>2</v>
      </c>
    </row>
    <row r="810" spans="1:14" x14ac:dyDescent="0.25">
      <c r="A810">
        <v>1809</v>
      </c>
      <c r="B810" s="1">
        <v>45977</v>
      </c>
      <c r="C810" s="4">
        <f>MONTH(datos_ventas[[#This Row],[Fecha]])</f>
        <v>11</v>
      </c>
      <c r="D810" s="4">
        <f>WEEKNUM(datos_ventas[[#This Row],[Fecha]],2)</f>
        <v>46</v>
      </c>
      <c r="E810" t="s">
        <v>29</v>
      </c>
      <c r="F810" t="s">
        <v>30</v>
      </c>
      <c r="G810">
        <v>3</v>
      </c>
      <c r="H810">
        <v>43766</v>
      </c>
      <c r="I810">
        <v>3223</v>
      </c>
      <c r="J810" t="s">
        <v>14</v>
      </c>
      <c r="K810" t="str">
        <f>_xlfn.XLOOKUP(datos_ventas[[#This Row],[Ciudad]],Tabla2[Ciudades],Tabla2[Provincias],"no se encuentra")</f>
        <v>Madrid</v>
      </c>
      <c r="L810" t="str">
        <f>_xlfn.XLOOKUP(datos_ventas[[#This Row],[Provincia]],Tabla2[Provincias],Tabla2[Comunidades],"no se encuentra")</f>
        <v>Comunidad de Madrid</v>
      </c>
      <c r="M810" t="s">
        <v>15</v>
      </c>
      <c r="N810">
        <v>4</v>
      </c>
    </row>
    <row r="811" spans="1:14" x14ac:dyDescent="0.25">
      <c r="A811">
        <v>1810</v>
      </c>
      <c r="B811" s="1">
        <v>45796</v>
      </c>
      <c r="C811" s="4">
        <f>MONTH(datos_ventas[[#This Row],[Fecha]])</f>
        <v>5</v>
      </c>
      <c r="D811" s="4">
        <f>WEEKNUM(datos_ventas[[#This Row],[Fecha]],2)</f>
        <v>21</v>
      </c>
      <c r="E811" t="s">
        <v>20</v>
      </c>
      <c r="F811" t="s">
        <v>21</v>
      </c>
      <c r="G811">
        <v>4</v>
      </c>
      <c r="H811">
        <v>59757</v>
      </c>
      <c r="I811">
        <v>786</v>
      </c>
      <c r="J811" t="s">
        <v>14</v>
      </c>
      <c r="K811" t="str">
        <f>_xlfn.XLOOKUP(datos_ventas[[#This Row],[Ciudad]],Tabla2[Ciudades],Tabla2[Provincias],"no se encuentra")</f>
        <v>Madrid</v>
      </c>
      <c r="L811" t="str">
        <f>_xlfn.XLOOKUP(datos_ventas[[#This Row],[Provincia]],Tabla2[Provincias],Tabla2[Comunidades],"no se encuentra")</f>
        <v>Comunidad de Madrid</v>
      </c>
      <c r="M811" t="s">
        <v>15</v>
      </c>
      <c r="N811">
        <v>5</v>
      </c>
    </row>
    <row r="812" spans="1:14" x14ac:dyDescent="0.25">
      <c r="A812">
        <v>1811</v>
      </c>
      <c r="B812" s="1">
        <v>45910</v>
      </c>
      <c r="C812" s="4">
        <f>MONTH(datos_ventas[[#This Row],[Fecha]])</f>
        <v>9</v>
      </c>
      <c r="D812" s="4">
        <f>WEEKNUM(datos_ventas[[#This Row],[Fecha]],2)</f>
        <v>37</v>
      </c>
      <c r="E812" t="s">
        <v>16</v>
      </c>
      <c r="F812" t="s">
        <v>11</v>
      </c>
      <c r="G812">
        <v>3</v>
      </c>
      <c r="H812">
        <v>57967</v>
      </c>
      <c r="I812">
        <v>3399</v>
      </c>
      <c r="J812" t="s">
        <v>22</v>
      </c>
      <c r="K812" t="str">
        <f>_xlfn.XLOOKUP(datos_ventas[[#This Row],[Ciudad]],Tabla2[Ciudades],Tabla2[Provincias],"no se encuentra")</f>
        <v>Valencia</v>
      </c>
      <c r="L812" t="str">
        <f>_xlfn.XLOOKUP(datos_ventas[[#This Row],[Provincia]],Tabla2[Provincias],Tabla2[Comunidades],"no se encuentra")</f>
        <v>Comunidad Valenciana</v>
      </c>
      <c r="M812" t="s">
        <v>13</v>
      </c>
      <c r="N812">
        <v>5</v>
      </c>
    </row>
    <row r="813" spans="1:14" x14ac:dyDescent="0.25">
      <c r="A813">
        <v>1812</v>
      </c>
      <c r="B813" s="1">
        <v>45956</v>
      </c>
      <c r="C813" s="4">
        <f>MONTH(datos_ventas[[#This Row],[Fecha]])</f>
        <v>10</v>
      </c>
      <c r="D813" s="4">
        <f>WEEKNUM(datos_ventas[[#This Row],[Fecha]],2)</f>
        <v>43</v>
      </c>
      <c r="E813" t="s">
        <v>23</v>
      </c>
      <c r="F813" t="s">
        <v>18</v>
      </c>
      <c r="G813">
        <v>3</v>
      </c>
      <c r="H813">
        <v>104619</v>
      </c>
      <c r="I813">
        <v>4723</v>
      </c>
      <c r="J813" t="s">
        <v>14</v>
      </c>
      <c r="K813" t="str">
        <f>_xlfn.XLOOKUP(datos_ventas[[#This Row],[Ciudad]],Tabla2[Ciudades],Tabla2[Provincias],"no se encuentra")</f>
        <v>Madrid</v>
      </c>
      <c r="L813" t="str">
        <f>_xlfn.XLOOKUP(datos_ventas[[#This Row],[Provincia]],Tabla2[Provincias],Tabla2[Comunidades],"no se encuentra")</f>
        <v>Comunidad de Madrid</v>
      </c>
      <c r="M813" t="s">
        <v>15</v>
      </c>
      <c r="N813">
        <v>3</v>
      </c>
    </row>
    <row r="814" spans="1:14" x14ac:dyDescent="0.25">
      <c r="A814">
        <v>1813</v>
      </c>
      <c r="B814" s="1">
        <v>45701</v>
      </c>
      <c r="C814" s="4">
        <f>MONTH(datos_ventas[[#This Row],[Fecha]])</f>
        <v>2</v>
      </c>
      <c r="D814" s="4">
        <f>WEEKNUM(datos_ventas[[#This Row],[Fecha]],2)</f>
        <v>7</v>
      </c>
      <c r="E814" t="s">
        <v>23</v>
      </c>
      <c r="F814" t="s">
        <v>18</v>
      </c>
      <c r="G814">
        <v>4</v>
      </c>
      <c r="H814">
        <v>7883</v>
      </c>
      <c r="I814">
        <v>4666</v>
      </c>
      <c r="J814" t="s">
        <v>27</v>
      </c>
      <c r="K814" t="str">
        <f>_xlfn.XLOOKUP(datos_ventas[[#This Row],[Ciudad]],Tabla2[Ciudades],Tabla2[Provincias],"no se encuentra")</f>
        <v>Sevilla</v>
      </c>
      <c r="L814" t="str">
        <f>_xlfn.XLOOKUP(datos_ventas[[#This Row],[Provincia]],Tabla2[Provincias],Tabla2[Comunidades],"no se encuentra")</f>
        <v>Andalucía</v>
      </c>
      <c r="M814" t="s">
        <v>13</v>
      </c>
      <c r="N814">
        <v>3</v>
      </c>
    </row>
    <row r="815" spans="1:14" x14ac:dyDescent="0.25">
      <c r="A815">
        <v>1814</v>
      </c>
      <c r="B815" s="1">
        <v>45891</v>
      </c>
      <c r="C815" s="4">
        <f>MONTH(datos_ventas[[#This Row],[Fecha]])</f>
        <v>8</v>
      </c>
      <c r="D815" s="4">
        <f>WEEKNUM(datos_ventas[[#This Row],[Fecha]],2)</f>
        <v>34</v>
      </c>
      <c r="E815" t="s">
        <v>20</v>
      </c>
      <c r="F815" t="s">
        <v>21</v>
      </c>
      <c r="G815">
        <v>2</v>
      </c>
      <c r="H815">
        <v>87487</v>
      </c>
      <c r="I815">
        <v>2976</v>
      </c>
      <c r="J815" t="s">
        <v>31</v>
      </c>
      <c r="K815" t="str">
        <f>_xlfn.XLOOKUP(datos_ventas[[#This Row],[Ciudad]],Tabla2[Ciudades],Tabla2[Provincias],"no se encuentra")</f>
        <v>Vizcaya</v>
      </c>
      <c r="L815" t="str">
        <f>_xlfn.XLOOKUP(datos_ventas[[#This Row],[Provincia]],Tabla2[Provincias],Tabla2[Comunidades],"no se encuentra")</f>
        <v>País Vasco</v>
      </c>
      <c r="M815" t="s">
        <v>19</v>
      </c>
      <c r="N815">
        <v>5</v>
      </c>
    </row>
    <row r="816" spans="1:14" x14ac:dyDescent="0.25">
      <c r="A816">
        <v>1815</v>
      </c>
      <c r="B816" s="1">
        <v>45964</v>
      </c>
      <c r="C816" s="4">
        <f>MONTH(datos_ventas[[#This Row],[Fecha]])</f>
        <v>11</v>
      </c>
      <c r="D816" s="4">
        <f>WEEKNUM(datos_ventas[[#This Row],[Fecha]],2)</f>
        <v>45</v>
      </c>
      <c r="E816" t="s">
        <v>10</v>
      </c>
      <c r="F816" t="s">
        <v>11</v>
      </c>
      <c r="G816">
        <v>1</v>
      </c>
      <c r="H816">
        <v>2861</v>
      </c>
      <c r="I816">
        <v>1749</v>
      </c>
      <c r="J816" t="s">
        <v>14</v>
      </c>
      <c r="K816" t="str">
        <f>_xlfn.XLOOKUP(datos_ventas[[#This Row],[Ciudad]],Tabla2[Ciudades],Tabla2[Provincias],"no se encuentra")</f>
        <v>Madrid</v>
      </c>
      <c r="L816" t="str">
        <f>_xlfn.XLOOKUP(datos_ventas[[#This Row],[Provincia]],Tabla2[Provincias],Tabla2[Comunidades],"no se encuentra")</f>
        <v>Comunidad de Madrid</v>
      </c>
      <c r="M816" t="s">
        <v>13</v>
      </c>
      <c r="N816">
        <v>2</v>
      </c>
    </row>
    <row r="817" spans="1:14" x14ac:dyDescent="0.25">
      <c r="A817">
        <v>1816</v>
      </c>
      <c r="B817" s="1">
        <v>46016</v>
      </c>
      <c r="C817" s="4">
        <f>MONTH(datos_ventas[[#This Row],[Fecha]])</f>
        <v>12</v>
      </c>
      <c r="D817" s="4">
        <f>WEEKNUM(datos_ventas[[#This Row],[Fecha]],2)</f>
        <v>52</v>
      </c>
      <c r="E817" t="s">
        <v>10</v>
      </c>
      <c r="F817" t="s">
        <v>11</v>
      </c>
      <c r="G817">
        <v>2</v>
      </c>
      <c r="H817">
        <v>115287</v>
      </c>
      <c r="I817">
        <v>4919</v>
      </c>
      <c r="J817" t="s">
        <v>22</v>
      </c>
      <c r="K817" t="str">
        <f>_xlfn.XLOOKUP(datos_ventas[[#This Row],[Ciudad]],Tabla2[Ciudades],Tabla2[Provincias],"no se encuentra")</f>
        <v>Valencia</v>
      </c>
      <c r="L817" t="str">
        <f>_xlfn.XLOOKUP(datos_ventas[[#This Row],[Provincia]],Tabla2[Provincias],Tabla2[Comunidades],"no se encuentra")</f>
        <v>Comunidad Valenciana</v>
      </c>
      <c r="M817" t="s">
        <v>19</v>
      </c>
      <c r="N817">
        <v>5</v>
      </c>
    </row>
    <row r="818" spans="1:14" x14ac:dyDescent="0.25">
      <c r="A818">
        <v>1817</v>
      </c>
      <c r="B818" s="1">
        <v>45678</v>
      </c>
      <c r="C818" s="4">
        <f>MONTH(datos_ventas[[#This Row],[Fecha]])</f>
        <v>1</v>
      </c>
      <c r="D818" s="4">
        <f>WEEKNUM(datos_ventas[[#This Row],[Fecha]],2)</f>
        <v>4</v>
      </c>
      <c r="E818" t="s">
        <v>16</v>
      </c>
      <c r="F818" t="s">
        <v>11</v>
      </c>
      <c r="G818">
        <v>3</v>
      </c>
      <c r="H818">
        <v>2350</v>
      </c>
      <c r="I818">
        <v>4825</v>
      </c>
      <c r="J818" t="s">
        <v>27</v>
      </c>
      <c r="K818" t="str">
        <f>_xlfn.XLOOKUP(datos_ventas[[#This Row],[Ciudad]],Tabla2[Ciudades],Tabla2[Provincias],"no se encuentra")</f>
        <v>Sevilla</v>
      </c>
      <c r="L818" t="str">
        <f>_xlfn.XLOOKUP(datos_ventas[[#This Row],[Provincia]],Tabla2[Provincias],Tabla2[Comunidades],"no se encuentra")</f>
        <v>Andalucía</v>
      </c>
      <c r="M818" t="s">
        <v>19</v>
      </c>
      <c r="N818">
        <v>4</v>
      </c>
    </row>
    <row r="819" spans="1:14" x14ac:dyDescent="0.25">
      <c r="A819">
        <v>1818</v>
      </c>
      <c r="B819" s="1">
        <v>45805</v>
      </c>
      <c r="C819" s="4">
        <f>MONTH(datos_ventas[[#This Row],[Fecha]])</f>
        <v>5</v>
      </c>
      <c r="D819" s="4">
        <f>WEEKNUM(datos_ventas[[#This Row],[Fecha]],2)</f>
        <v>22</v>
      </c>
      <c r="E819" t="s">
        <v>17</v>
      </c>
      <c r="F819" t="s">
        <v>18</v>
      </c>
      <c r="G819">
        <v>4</v>
      </c>
      <c r="H819">
        <v>17697</v>
      </c>
      <c r="I819">
        <v>4099</v>
      </c>
      <c r="J819" t="s">
        <v>12</v>
      </c>
      <c r="K819" t="str">
        <f>_xlfn.XLOOKUP(datos_ventas[[#This Row],[Ciudad]],Tabla2[Ciudades],Tabla2[Provincias],"no se encuentra")</f>
        <v>Málaga</v>
      </c>
      <c r="L819" t="str">
        <f>_xlfn.XLOOKUP(datos_ventas[[#This Row],[Provincia]],Tabla2[Provincias],Tabla2[Comunidades],"no se encuentra")</f>
        <v>Andalucía</v>
      </c>
      <c r="M819" t="s">
        <v>13</v>
      </c>
      <c r="N819">
        <v>1</v>
      </c>
    </row>
    <row r="820" spans="1:14" x14ac:dyDescent="0.25">
      <c r="A820">
        <v>1819</v>
      </c>
      <c r="B820" s="1">
        <v>45668</v>
      </c>
      <c r="C820" s="4">
        <f>MONTH(datos_ventas[[#This Row],[Fecha]])</f>
        <v>1</v>
      </c>
      <c r="D820" s="4">
        <f>WEEKNUM(datos_ventas[[#This Row],[Fecha]],2)</f>
        <v>2</v>
      </c>
      <c r="E820" t="s">
        <v>23</v>
      </c>
      <c r="F820" t="s">
        <v>18</v>
      </c>
      <c r="G820">
        <v>5</v>
      </c>
      <c r="H820">
        <v>3052</v>
      </c>
      <c r="I820">
        <v>3556</v>
      </c>
      <c r="J820" t="s">
        <v>32</v>
      </c>
      <c r="K820" t="str">
        <f>_xlfn.XLOOKUP(datos_ventas[[#This Row],[Ciudad]],Tabla2[Ciudades],Tabla2[Provincias],"no se encuentra")</f>
        <v>Barcelona</v>
      </c>
      <c r="L820" t="str">
        <f>_xlfn.XLOOKUP(datos_ventas[[#This Row],[Provincia]],Tabla2[Provincias],Tabla2[Comunidades],"no se encuentra")</f>
        <v>Cataluña</v>
      </c>
      <c r="M820" t="s">
        <v>19</v>
      </c>
      <c r="N820">
        <v>1</v>
      </c>
    </row>
    <row r="821" spans="1:14" x14ac:dyDescent="0.25">
      <c r="A821">
        <v>1820</v>
      </c>
      <c r="B821" s="1">
        <v>45742</v>
      </c>
      <c r="C821" s="4">
        <f>MONTH(datos_ventas[[#This Row],[Fecha]])</f>
        <v>3</v>
      </c>
      <c r="D821" s="4">
        <f>WEEKNUM(datos_ventas[[#This Row],[Fecha]],2)</f>
        <v>13</v>
      </c>
      <c r="E821" t="s">
        <v>10</v>
      </c>
      <c r="F821" t="s">
        <v>11</v>
      </c>
      <c r="G821">
        <v>1</v>
      </c>
      <c r="H821">
        <v>38007</v>
      </c>
      <c r="I821">
        <v>4668</v>
      </c>
      <c r="J821" t="s">
        <v>14</v>
      </c>
      <c r="K821" t="str">
        <f>_xlfn.XLOOKUP(datos_ventas[[#This Row],[Ciudad]],Tabla2[Ciudades],Tabla2[Provincias],"no se encuentra")</f>
        <v>Madrid</v>
      </c>
      <c r="L821" t="str">
        <f>_xlfn.XLOOKUP(datos_ventas[[#This Row],[Provincia]],Tabla2[Provincias],Tabla2[Comunidades],"no se encuentra")</f>
        <v>Comunidad de Madrid</v>
      </c>
      <c r="M821" t="s">
        <v>15</v>
      </c>
      <c r="N821">
        <v>2</v>
      </c>
    </row>
    <row r="822" spans="1:14" x14ac:dyDescent="0.25">
      <c r="A822">
        <v>1821</v>
      </c>
      <c r="B822" s="1">
        <v>45890</v>
      </c>
      <c r="C822" s="4">
        <f>MONTH(datos_ventas[[#This Row],[Fecha]])</f>
        <v>8</v>
      </c>
      <c r="D822" s="4">
        <f>WEEKNUM(datos_ventas[[#This Row],[Fecha]],2)</f>
        <v>34</v>
      </c>
      <c r="E822" t="s">
        <v>17</v>
      </c>
      <c r="F822" t="s">
        <v>18</v>
      </c>
      <c r="G822">
        <v>1</v>
      </c>
      <c r="H822">
        <v>24804</v>
      </c>
      <c r="I822">
        <v>3536</v>
      </c>
      <c r="J822" t="s">
        <v>32</v>
      </c>
      <c r="K822" t="str">
        <f>_xlfn.XLOOKUP(datos_ventas[[#This Row],[Ciudad]],Tabla2[Ciudades],Tabla2[Provincias],"no se encuentra")</f>
        <v>Barcelona</v>
      </c>
      <c r="L822" t="str">
        <f>_xlfn.XLOOKUP(datos_ventas[[#This Row],[Provincia]],Tabla2[Provincias],Tabla2[Comunidades],"no se encuentra")</f>
        <v>Cataluña</v>
      </c>
      <c r="M822" t="s">
        <v>15</v>
      </c>
      <c r="N822">
        <v>1</v>
      </c>
    </row>
    <row r="823" spans="1:14" x14ac:dyDescent="0.25">
      <c r="A823">
        <v>1822</v>
      </c>
      <c r="B823" s="1">
        <v>45891</v>
      </c>
      <c r="C823" s="4">
        <f>MONTH(datos_ventas[[#This Row],[Fecha]])</f>
        <v>8</v>
      </c>
      <c r="D823" s="4">
        <f>WEEKNUM(datos_ventas[[#This Row],[Fecha]],2)</f>
        <v>34</v>
      </c>
      <c r="E823" t="s">
        <v>23</v>
      </c>
      <c r="F823" t="s">
        <v>18</v>
      </c>
      <c r="G823">
        <v>1</v>
      </c>
      <c r="H823">
        <v>16781</v>
      </c>
      <c r="I823">
        <v>2543</v>
      </c>
      <c r="J823" t="s">
        <v>32</v>
      </c>
      <c r="K823" t="str">
        <f>_xlfn.XLOOKUP(datos_ventas[[#This Row],[Ciudad]],Tabla2[Ciudades],Tabla2[Provincias],"no se encuentra")</f>
        <v>Barcelona</v>
      </c>
      <c r="L823" t="str">
        <f>_xlfn.XLOOKUP(datos_ventas[[#This Row],[Provincia]],Tabla2[Provincias],Tabla2[Comunidades],"no se encuentra")</f>
        <v>Cataluña</v>
      </c>
      <c r="M823" t="s">
        <v>19</v>
      </c>
      <c r="N823">
        <v>2</v>
      </c>
    </row>
    <row r="824" spans="1:14" x14ac:dyDescent="0.25">
      <c r="A824">
        <v>1823</v>
      </c>
      <c r="B824" s="1">
        <v>45843</v>
      </c>
      <c r="C824" s="4">
        <f>MONTH(datos_ventas[[#This Row],[Fecha]])</f>
        <v>7</v>
      </c>
      <c r="D824" s="4">
        <f>WEEKNUM(datos_ventas[[#This Row],[Fecha]],2)</f>
        <v>27</v>
      </c>
      <c r="E824" t="s">
        <v>20</v>
      </c>
      <c r="F824" t="s">
        <v>21</v>
      </c>
      <c r="G824">
        <v>1</v>
      </c>
      <c r="H824">
        <v>95147</v>
      </c>
      <c r="I824">
        <v>606</v>
      </c>
      <c r="J824" t="s">
        <v>32</v>
      </c>
      <c r="K824" t="str">
        <f>_xlfn.XLOOKUP(datos_ventas[[#This Row],[Ciudad]],Tabla2[Ciudades],Tabla2[Provincias],"no se encuentra")</f>
        <v>Barcelona</v>
      </c>
      <c r="L824" t="str">
        <f>_xlfn.XLOOKUP(datos_ventas[[#This Row],[Provincia]],Tabla2[Provincias],Tabla2[Comunidades],"no se encuentra")</f>
        <v>Cataluña</v>
      </c>
      <c r="M824" t="s">
        <v>13</v>
      </c>
      <c r="N824">
        <v>2</v>
      </c>
    </row>
    <row r="825" spans="1:14" x14ac:dyDescent="0.25">
      <c r="A825">
        <v>1824</v>
      </c>
      <c r="B825" s="1">
        <v>45826</v>
      </c>
      <c r="C825" s="4">
        <f>MONTH(datos_ventas[[#This Row],[Fecha]])</f>
        <v>6</v>
      </c>
      <c r="D825" s="4">
        <f>WEEKNUM(datos_ventas[[#This Row],[Fecha]],2)</f>
        <v>25</v>
      </c>
      <c r="E825" t="s">
        <v>23</v>
      </c>
      <c r="F825" t="s">
        <v>18</v>
      </c>
      <c r="G825">
        <v>5</v>
      </c>
      <c r="H825">
        <v>115942</v>
      </c>
      <c r="I825">
        <v>3874</v>
      </c>
      <c r="J825" t="s">
        <v>32</v>
      </c>
      <c r="K825" t="str">
        <f>_xlfn.XLOOKUP(datos_ventas[[#This Row],[Ciudad]],Tabla2[Ciudades],Tabla2[Provincias],"no se encuentra")</f>
        <v>Barcelona</v>
      </c>
      <c r="L825" t="str">
        <f>_xlfn.XLOOKUP(datos_ventas[[#This Row],[Provincia]],Tabla2[Provincias],Tabla2[Comunidades],"no se encuentra")</f>
        <v>Cataluña</v>
      </c>
      <c r="M825" t="s">
        <v>13</v>
      </c>
      <c r="N825">
        <v>2</v>
      </c>
    </row>
    <row r="826" spans="1:14" x14ac:dyDescent="0.25">
      <c r="A826">
        <v>1825</v>
      </c>
      <c r="B826" s="1">
        <v>45946</v>
      </c>
      <c r="C826" s="4">
        <f>MONTH(datos_ventas[[#This Row],[Fecha]])</f>
        <v>10</v>
      </c>
      <c r="D826" s="4">
        <f>WEEKNUM(datos_ventas[[#This Row],[Fecha]],2)</f>
        <v>42</v>
      </c>
      <c r="E826" t="s">
        <v>10</v>
      </c>
      <c r="F826" t="s">
        <v>11</v>
      </c>
      <c r="G826">
        <v>4</v>
      </c>
      <c r="H826">
        <v>86966</v>
      </c>
      <c r="I826">
        <v>3163</v>
      </c>
      <c r="J826" t="s">
        <v>27</v>
      </c>
      <c r="K826" t="str">
        <f>_xlfn.XLOOKUP(datos_ventas[[#This Row],[Ciudad]],Tabla2[Ciudades],Tabla2[Provincias],"no se encuentra")</f>
        <v>Sevilla</v>
      </c>
      <c r="L826" t="str">
        <f>_xlfn.XLOOKUP(datos_ventas[[#This Row],[Provincia]],Tabla2[Provincias],Tabla2[Comunidades],"no se encuentra")</f>
        <v>Andalucía</v>
      </c>
      <c r="M826" t="s">
        <v>28</v>
      </c>
      <c r="N826">
        <v>2</v>
      </c>
    </row>
    <row r="827" spans="1:14" x14ac:dyDescent="0.25">
      <c r="A827">
        <v>1826</v>
      </c>
      <c r="B827" s="1">
        <v>45674</v>
      </c>
      <c r="C827" s="4">
        <f>MONTH(datos_ventas[[#This Row],[Fecha]])</f>
        <v>1</v>
      </c>
      <c r="D827" s="4">
        <f>WEEKNUM(datos_ventas[[#This Row],[Fecha]],2)</f>
        <v>3</v>
      </c>
      <c r="E827" t="s">
        <v>29</v>
      </c>
      <c r="F827" t="s">
        <v>30</v>
      </c>
      <c r="G827">
        <v>1</v>
      </c>
      <c r="H827">
        <v>21752</v>
      </c>
      <c r="I827">
        <v>310</v>
      </c>
      <c r="J827" t="s">
        <v>27</v>
      </c>
      <c r="K827" t="str">
        <f>_xlfn.XLOOKUP(datos_ventas[[#This Row],[Ciudad]],Tabla2[Ciudades],Tabla2[Provincias],"no se encuentra")</f>
        <v>Sevilla</v>
      </c>
      <c r="L827" t="str">
        <f>_xlfn.XLOOKUP(datos_ventas[[#This Row],[Provincia]],Tabla2[Provincias],Tabla2[Comunidades],"no se encuentra")</f>
        <v>Andalucía</v>
      </c>
      <c r="M827" t="s">
        <v>19</v>
      </c>
      <c r="N827">
        <v>2</v>
      </c>
    </row>
    <row r="828" spans="1:14" x14ac:dyDescent="0.25">
      <c r="A828">
        <v>1827</v>
      </c>
      <c r="B828" s="1">
        <v>45907</v>
      </c>
      <c r="C828" s="4">
        <f>MONTH(datos_ventas[[#This Row],[Fecha]])</f>
        <v>9</v>
      </c>
      <c r="D828" s="4">
        <f>WEEKNUM(datos_ventas[[#This Row],[Fecha]],2)</f>
        <v>36</v>
      </c>
      <c r="E828" t="s">
        <v>23</v>
      </c>
      <c r="F828" t="s">
        <v>18</v>
      </c>
      <c r="G828">
        <v>4</v>
      </c>
      <c r="H828">
        <v>60302</v>
      </c>
      <c r="I828">
        <v>2085</v>
      </c>
      <c r="J828" t="s">
        <v>22</v>
      </c>
      <c r="K828" t="str">
        <f>_xlfn.XLOOKUP(datos_ventas[[#This Row],[Ciudad]],Tabla2[Ciudades],Tabla2[Provincias],"no se encuentra")</f>
        <v>Valencia</v>
      </c>
      <c r="L828" t="str">
        <f>_xlfn.XLOOKUP(datos_ventas[[#This Row],[Provincia]],Tabla2[Provincias],Tabla2[Comunidades],"no se encuentra")</f>
        <v>Comunidad Valenciana</v>
      </c>
      <c r="M828" t="s">
        <v>28</v>
      </c>
      <c r="N828">
        <v>3</v>
      </c>
    </row>
    <row r="829" spans="1:14" x14ac:dyDescent="0.25">
      <c r="A829">
        <v>1828</v>
      </c>
      <c r="B829" s="1">
        <v>45978</v>
      </c>
      <c r="C829" s="4">
        <f>MONTH(datos_ventas[[#This Row],[Fecha]])</f>
        <v>11</v>
      </c>
      <c r="D829" s="4">
        <f>WEEKNUM(datos_ventas[[#This Row],[Fecha]],2)</f>
        <v>47</v>
      </c>
      <c r="E829" t="s">
        <v>24</v>
      </c>
      <c r="F829" t="s">
        <v>25</v>
      </c>
      <c r="G829">
        <v>3</v>
      </c>
      <c r="H829">
        <v>109248</v>
      </c>
      <c r="I829">
        <v>1801</v>
      </c>
      <c r="J829" t="s">
        <v>27</v>
      </c>
      <c r="K829" t="str">
        <f>_xlfn.XLOOKUP(datos_ventas[[#This Row],[Ciudad]],Tabla2[Ciudades],Tabla2[Provincias],"no se encuentra")</f>
        <v>Sevilla</v>
      </c>
      <c r="L829" t="str">
        <f>_xlfn.XLOOKUP(datos_ventas[[#This Row],[Provincia]],Tabla2[Provincias],Tabla2[Comunidades],"no se encuentra")</f>
        <v>Andalucía</v>
      </c>
      <c r="M829" t="s">
        <v>13</v>
      </c>
      <c r="N829">
        <v>1</v>
      </c>
    </row>
    <row r="830" spans="1:14" x14ac:dyDescent="0.25">
      <c r="A830">
        <v>1829</v>
      </c>
      <c r="B830" s="1">
        <v>45848</v>
      </c>
      <c r="C830" s="4">
        <f>MONTH(datos_ventas[[#This Row],[Fecha]])</f>
        <v>7</v>
      </c>
      <c r="D830" s="4">
        <f>WEEKNUM(datos_ventas[[#This Row],[Fecha]],2)</f>
        <v>28</v>
      </c>
      <c r="E830" t="s">
        <v>29</v>
      </c>
      <c r="F830" t="s">
        <v>30</v>
      </c>
      <c r="G830">
        <v>3</v>
      </c>
      <c r="H830">
        <v>62244</v>
      </c>
      <c r="I830">
        <v>1649</v>
      </c>
      <c r="J830" t="s">
        <v>22</v>
      </c>
      <c r="K830" t="str">
        <f>_xlfn.XLOOKUP(datos_ventas[[#This Row],[Ciudad]],Tabla2[Ciudades],Tabla2[Provincias],"no se encuentra")</f>
        <v>Valencia</v>
      </c>
      <c r="L830" t="str">
        <f>_xlfn.XLOOKUP(datos_ventas[[#This Row],[Provincia]],Tabla2[Provincias],Tabla2[Comunidades],"no se encuentra")</f>
        <v>Comunidad Valenciana</v>
      </c>
      <c r="M830" t="s">
        <v>28</v>
      </c>
      <c r="N830">
        <v>4</v>
      </c>
    </row>
    <row r="831" spans="1:14" x14ac:dyDescent="0.25">
      <c r="A831">
        <v>1830</v>
      </c>
      <c r="B831" s="1">
        <v>45789</v>
      </c>
      <c r="C831" s="4">
        <f>MONTH(datos_ventas[[#This Row],[Fecha]])</f>
        <v>5</v>
      </c>
      <c r="D831" s="4">
        <f>WEEKNUM(datos_ventas[[#This Row],[Fecha]],2)</f>
        <v>20</v>
      </c>
      <c r="E831" t="s">
        <v>29</v>
      </c>
      <c r="F831" t="s">
        <v>30</v>
      </c>
      <c r="G831">
        <v>2</v>
      </c>
      <c r="H831">
        <v>14015</v>
      </c>
      <c r="I831">
        <v>1729</v>
      </c>
      <c r="J831" t="s">
        <v>22</v>
      </c>
      <c r="K831" t="str">
        <f>_xlfn.XLOOKUP(datos_ventas[[#This Row],[Ciudad]],Tabla2[Ciudades],Tabla2[Provincias],"no se encuentra")</f>
        <v>Valencia</v>
      </c>
      <c r="L831" t="str">
        <f>_xlfn.XLOOKUP(datos_ventas[[#This Row],[Provincia]],Tabla2[Provincias],Tabla2[Comunidades],"no se encuentra")</f>
        <v>Comunidad Valenciana</v>
      </c>
      <c r="M831" t="s">
        <v>13</v>
      </c>
      <c r="N831">
        <v>3</v>
      </c>
    </row>
    <row r="832" spans="1:14" x14ac:dyDescent="0.25">
      <c r="A832">
        <v>1831</v>
      </c>
      <c r="B832" s="1">
        <v>45703</v>
      </c>
      <c r="C832" s="4">
        <f>MONTH(datos_ventas[[#This Row],[Fecha]])</f>
        <v>2</v>
      </c>
      <c r="D832" s="4">
        <f>WEEKNUM(datos_ventas[[#This Row],[Fecha]],2)</f>
        <v>7</v>
      </c>
      <c r="E832" t="s">
        <v>23</v>
      </c>
      <c r="F832" t="s">
        <v>18</v>
      </c>
      <c r="G832">
        <v>1</v>
      </c>
      <c r="H832">
        <v>55188</v>
      </c>
      <c r="I832">
        <v>1947</v>
      </c>
      <c r="J832" t="s">
        <v>12</v>
      </c>
      <c r="K832" t="str">
        <f>_xlfn.XLOOKUP(datos_ventas[[#This Row],[Ciudad]],Tabla2[Ciudades],Tabla2[Provincias],"no se encuentra")</f>
        <v>Málaga</v>
      </c>
      <c r="L832" t="str">
        <f>_xlfn.XLOOKUP(datos_ventas[[#This Row],[Provincia]],Tabla2[Provincias],Tabla2[Comunidades],"no se encuentra")</f>
        <v>Andalucía</v>
      </c>
      <c r="M832" t="s">
        <v>28</v>
      </c>
      <c r="N832">
        <v>3</v>
      </c>
    </row>
    <row r="833" spans="1:14" x14ac:dyDescent="0.25">
      <c r="A833">
        <v>1832</v>
      </c>
      <c r="B833" s="1">
        <v>45794</v>
      </c>
      <c r="C833" s="4">
        <f>MONTH(datos_ventas[[#This Row],[Fecha]])</f>
        <v>5</v>
      </c>
      <c r="D833" s="4">
        <f>WEEKNUM(datos_ventas[[#This Row],[Fecha]],2)</f>
        <v>20</v>
      </c>
      <c r="E833" t="s">
        <v>10</v>
      </c>
      <c r="F833" t="s">
        <v>11</v>
      </c>
      <c r="G833">
        <v>3</v>
      </c>
      <c r="H833">
        <v>47282</v>
      </c>
      <c r="I833">
        <v>4037</v>
      </c>
      <c r="J833" t="s">
        <v>22</v>
      </c>
      <c r="K833" t="str">
        <f>_xlfn.XLOOKUP(datos_ventas[[#This Row],[Ciudad]],Tabla2[Ciudades],Tabla2[Provincias],"no se encuentra")</f>
        <v>Valencia</v>
      </c>
      <c r="L833" t="str">
        <f>_xlfn.XLOOKUP(datos_ventas[[#This Row],[Provincia]],Tabla2[Provincias],Tabla2[Comunidades],"no se encuentra")</f>
        <v>Comunidad Valenciana</v>
      </c>
      <c r="M833" t="s">
        <v>15</v>
      </c>
      <c r="N833">
        <v>4</v>
      </c>
    </row>
    <row r="834" spans="1:14" x14ac:dyDescent="0.25">
      <c r="A834">
        <v>1833</v>
      </c>
      <c r="B834" s="1">
        <v>45740</v>
      </c>
      <c r="C834" s="4">
        <f>MONTH(datos_ventas[[#This Row],[Fecha]])</f>
        <v>3</v>
      </c>
      <c r="D834" s="4">
        <f>WEEKNUM(datos_ventas[[#This Row],[Fecha]],2)</f>
        <v>13</v>
      </c>
      <c r="E834" t="s">
        <v>26</v>
      </c>
      <c r="F834" t="s">
        <v>18</v>
      </c>
      <c r="G834">
        <v>2</v>
      </c>
      <c r="H834">
        <v>101877</v>
      </c>
      <c r="I834">
        <v>1963</v>
      </c>
      <c r="J834" t="s">
        <v>22</v>
      </c>
      <c r="K834" t="str">
        <f>_xlfn.XLOOKUP(datos_ventas[[#This Row],[Ciudad]],Tabla2[Ciudades],Tabla2[Provincias],"no se encuentra")</f>
        <v>Valencia</v>
      </c>
      <c r="L834" t="str">
        <f>_xlfn.XLOOKUP(datos_ventas[[#This Row],[Provincia]],Tabla2[Provincias],Tabla2[Comunidades],"no se encuentra")</f>
        <v>Comunidad Valenciana</v>
      </c>
      <c r="M834" t="s">
        <v>13</v>
      </c>
      <c r="N834">
        <v>3</v>
      </c>
    </row>
    <row r="835" spans="1:14" x14ac:dyDescent="0.25">
      <c r="A835">
        <v>1834</v>
      </c>
      <c r="B835" s="1">
        <v>45717</v>
      </c>
      <c r="C835" s="4">
        <f>MONTH(datos_ventas[[#This Row],[Fecha]])</f>
        <v>3</v>
      </c>
      <c r="D835" s="4">
        <f>WEEKNUM(datos_ventas[[#This Row],[Fecha]],2)</f>
        <v>9</v>
      </c>
      <c r="E835" t="s">
        <v>26</v>
      </c>
      <c r="F835" t="s">
        <v>18</v>
      </c>
      <c r="G835">
        <v>1</v>
      </c>
      <c r="H835">
        <v>77044</v>
      </c>
      <c r="I835">
        <v>2861</v>
      </c>
      <c r="J835" t="s">
        <v>27</v>
      </c>
      <c r="K835" t="str">
        <f>_xlfn.XLOOKUP(datos_ventas[[#This Row],[Ciudad]],Tabla2[Ciudades],Tabla2[Provincias],"no se encuentra")</f>
        <v>Sevilla</v>
      </c>
      <c r="L835" t="str">
        <f>_xlfn.XLOOKUP(datos_ventas[[#This Row],[Provincia]],Tabla2[Provincias],Tabla2[Comunidades],"no se encuentra")</f>
        <v>Andalucía</v>
      </c>
      <c r="M835" t="s">
        <v>15</v>
      </c>
      <c r="N835">
        <v>5</v>
      </c>
    </row>
    <row r="836" spans="1:14" x14ac:dyDescent="0.25">
      <c r="A836">
        <v>1835</v>
      </c>
      <c r="B836" s="1">
        <v>45959</v>
      </c>
      <c r="C836" s="4">
        <f>MONTH(datos_ventas[[#This Row],[Fecha]])</f>
        <v>10</v>
      </c>
      <c r="D836" s="4">
        <f>WEEKNUM(datos_ventas[[#This Row],[Fecha]],2)</f>
        <v>44</v>
      </c>
      <c r="E836" t="s">
        <v>20</v>
      </c>
      <c r="F836" t="s">
        <v>21</v>
      </c>
      <c r="G836">
        <v>4</v>
      </c>
      <c r="H836">
        <v>42235</v>
      </c>
      <c r="I836">
        <v>3434</v>
      </c>
      <c r="J836" t="s">
        <v>31</v>
      </c>
      <c r="K836" t="str">
        <f>_xlfn.XLOOKUP(datos_ventas[[#This Row],[Ciudad]],Tabla2[Ciudades],Tabla2[Provincias],"no se encuentra")</f>
        <v>Vizcaya</v>
      </c>
      <c r="L836" t="str">
        <f>_xlfn.XLOOKUP(datos_ventas[[#This Row],[Provincia]],Tabla2[Provincias],Tabla2[Comunidades],"no se encuentra")</f>
        <v>País Vasco</v>
      </c>
      <c r="M836" t="s">
        <v>15</v>
      </c>
      <c r="N836">
        <v>2</v>
      </c>
    </row>
    <row r="837" spans="1:14" x14ac:dyDescent="0.25">
      <c r="A837">
        <v>1836</v>
      </c>
      <c r="B837" s="1">
        <v>46018</v>
      </c>
      <c r="C837" s="4">
        <f>MONTH(datos_ventas[[#This Row],[Fecha]])</f>
        <v>12</v>
      </c>
      <c r="D837" s="4">
        <f>WEEKNUM(datos_ventas[[#This Row],[Fecha]],2)</f>
        <v>52</v>
      </c>
      <c r="E837" t="s">
        <v>17</v>
      </c>
      <c r="F837" t="s">
        <v>18</v>
      </c>
      <c r="G837">
        <v>1</v>
      </c>
      <c r="H837">
        <v>67912</v>
      </c>
      <c r="I837">
        <v>1621</v>
      </c>
      <c r="J837" t="s">
        <v>14</v>
      </c>
      <c r="K837" t="str">
        <f>_xlfn.XLOOKUP(datos_ventas[[#This Row],[Ciudad]],Tabla2[Ciudades],Tabla2[Provincias],"no se encuentra")</f>
        <v>Madrid</v>
      </c>
      <c r="L837" t="str">
        <f>_xlfn.XLOOKUP(datos_ventas[[#This Row],[Provincia]],Tabla2[Provincias],Tabla2[Comunidades],"no se encuentra")</f>
        <v>Comunidad de Madrid</v>
      </c>
      <c r="M837" t="s">
        <v>15</v>
      </c>
      <c r="N837">
        <v>5</v>
      </c>
    </row>
    <row r="838" spans="1:14" x14ac:dyDescent="0.25">
      <c r="A838">
        <v>1837</v>
      </c>
      <c r="B838" s="1">
        <v>45996</v>
      </c>
      <c r="C838" s="4">
        <f>MONTH(datos_ventas[[#This Row],[Fecha]])</f>
        <v>12</v>
      </c>
      <c r="D838" s="4">
        <f>WEEKNUM(datos_ventas[[#This Row],[Fecha]],2)</f>
        <v>49</v>
      </c>
      <c r="E838" t="s">
        <v>29</v>
      </c>
      <c r="F838" t="s">
        <v>30</v>
      </c>
      <c r="G838">
        <v>3</v>
      </c>
      <c r="H838">
        <v>81872</v>
      </c>
      <c r="I838">
        <v>297</v>
      </c>
      <c r="J838" t="s">
        <v>27</v>
      </c>
      <c r="K838" t="str">
        <f>_xlfn.XLOOKUP(datos_ventas[[#This Row],[Ciudad]],Tabla2[Ciudades],Tabla2[Provincias],"no se encuentra")</f>
        <v>Sevilla</v>
      </c>
      <c r="L838" t="str">
        <f>_xlfn.XLOOKUP(datos_ventas[[#This Row],[Provincia]],Tabla2[Provincias],Tabla2[Comunidades],"no se encuentra")</f>
        <v>Andalucía</v>
      </c>
      <c r="M838" t="s">
        <v>15</v>
      </c>
      <c r="N838">
        <v>1</v>
      </c>
    </row>
    <row r="839" spans="1:14" x14ac:dyDescent="0.25">
      <c r="A839">
        <v>1838</v>
      </c>
      <c r="B839" s="1">
        <v>45728</v>
      </c>
      <c r="C839" s="4">
        <f>MONTH(datos_ventas[[#This Row],[Fecha]])</f>
        <v>3</v>
      </c>
      <c r="D839" s="4">
        <f>WEEKNUM(datos_ventas[[#This Row],[Fecha]],2)</f>
        <v>11</v>
      </c>
      <c r="E839" t="s">
        <v>20</v>
      </c>
      <c r="F839" t="s">
        <v>21</v>
      </c>
      <c r="G839">
        <v>5</v>
      </c>
      <c r="H839">
        <v>78978</v>
      </c>
      <c r="I839">
        <v>3052</v>
      </c>
      <c r="J839" t="s">
        <v>22</v>
      </c>
      <c r="K839" t="str">
        <f>_xlfn.XLOOKUP(datos_ventas[[#This Row],[Ciudad]],Tabla2[Ciudades],Tabla2[Provincias],"no se encuentra")</f>
        <v>Valencia</v>
      </c>
      <c r="L839" t="str">
        <f>_xlfn.XLOOKUP(datos_ventas[[#This Row],[Provincia]],Tabla2[Provincias],Tabla2[Comunidades],"no se encuentra")</f>
        <v>Comunidad Valenciana</v>
      </c>
      <c r="M839" t="s">
        <v>28</v>
      </c>
      <c r="N839">
        <v>2</v>
      </c>
    </row>
    <row r="840" spans="1:14" x14ac:dyDescent="0.25">
      <c r="A840">
        <v>1839</v>
      </c>
      <c r="B840" s="1">
        <v>45736</v>
      </c>
      <c r="C840" s="4">
        <f>MONTH(datos_ventas[[#This Row],[Fecha]])</f>
        <v>3</v>
      </c>
      <c r="D840" s="4">
        <f>WEEKNUM(datos_ventas[[#This Row],[Fecha]],2)</f>
        <v>12</v>
      </c>
      <c r="E840" t="s">
        <v>24</v>
      </c>
      <c r="F840" t="s">
        <v>25</v>
      </c>
      <c r="G840">
        <v>2</v>
      </c>
      <c r="H840">
        <v>96041</v>
      </c>
      <c r="I840">
        <v>1184</v>
      </c>
      <c r="J840" t="s">
        <v>22</v>
      </c>
      <c r="K840" t="str">
        <f>_xlfn.XLOOKUP(datos_ventas[[#This Row],[Ciudad]],Tabla2[Ciudades],Tabla2[Provincias],"no se encuentra")</f>
        <v>Valencia</v>
      </c>
      <c r="L840" t="str">
        <f>_xlfn.XLOOKUP(datos_ventas[[#This Row],[Provincia]],Tabla2[Provincias],Tabla2[Comunidades],"no se encuentra")</f>
        <v>Comunidad Valenciana</v>
      </c>
      <c r="M840" t="s">
        <v>19</v>
      </c>
      <c r="N840">
        <v>1</v>
      </c>
    </row>
    <row r="841" spans="1:14" x14ac:dyDescent="0.25">
      <c r="A841">
        <v>1840</v>
      </c>
      <c r="B841" s="1">
        <v>45745</v>
      </c>
      <c r="C841" s="4">
        <f>MONTH(datos_ventas[[#This Row],[Fecha]])</f>
        <v>3</v>
      </c>
      <c r="D841" s="4">
        <f>WEEKNUM(datos_ventas[[#This Row],[Fecha]],2)</f>
        <v>13</v>
      </c>
      <c r="E841" t="s">
        <v>17</v>
      </c>
      <c r="F841" t="s">
        <v>18</v>
      </c>
      <c r="G841">
        <v>2</v>
      </c>
      <c r="H841">
        <v>97975</v>
      </c>
      <c r="I841">
        <v>1375</v>
      </c>
      <c r="J841" t="s">
        <v>22</v>
      </c>
      <c r="K841" t="str">
        <f>_xlfn.XLOOKUP(datos_ventas[[#This Row],[Ciudad]],Tabla2[Ciudades],Tabla2[Provincias],"no se encuentra")</f>
        <v>Valencia</v>
      </c>
      <c r="L841" t="str">
        <f>_xlfn.XLOOKUP(datos_ventas[[#This Row],[Provincia]],Tabla2[Provincias],Tabla2[Comunidades],"no se encuentra")</f>
        <v>Comunidad Valenciana</v>
      </c>
      <c r="M841" t="s">
        <v>15</v>
      </c>
      <c r="N841">
        <v>4</v>
      </c>
    </row>
    <row r="842" spans="1:14" x14ac:dyDescent="0.25">
      <c r="A842">
        <v>1841</v>
      </c>
      <c r="B842" s="1">
        <v>45711</v>
      </c>
      <c r="C842" s="4">
        <f>MONTH(datos_ventas[[#This Row],[Fecha]])</f>
        <v>2</v>
      </c>
      <c r="D842" s="4">
        <f>WEEKNUM(datos_ventas[[#This Row],[Fecha]],2)</f>
        <v>8</v>
      </c>
      <c r="E842" t="s">
        <v>26</v>
      </c>
      <c r="F842" t="s">
        <v>18</v>
      </c>
      <c r="G842">
        <v>4</v>
      </c>
      <c r="H842">
        <v>11159</v>
      </c>
      <c r="I842">
        <v>2008</v>
      </c>
      <c r="J842" t="s">
        <v>32</v>
      </c>
      <c r="K842" t="str">
        <f>_xlfn.XLOOKUP(datos_ventas[[#This Row],[Ciudad]],Tabla2[Ciudades],Tabla2[Provincias],"no se encuentra")</f>
        <v>Barcelona</v>
      </c>
      <c r="L842" t="str">
        <f>_xlfn.XLOOKUP(datos_ventas[[#This Row],[Provincia]],Tabla2[Provincias],Tabla2[Comunidades],"no se encuentra")</f>
        <v>Cataluña</v>
      </c>
      <c r="M842" t="s">
        <v>28</v>
      </c>
      <c r="N842">
        <v>1</v>
      </c>
    </row>
    <row r="843" spans="1:14" x14ac:dyDescent="0.25">
      <c r="A843">
        <v>1842</v>
      </c>
      <c r="B843" s="1">
        <v>45697</v>
      </c>
      <c r="C843" s="4">
        <f>MONTH(datos_ventas[[#This Row],[Fecha]])</f>
        <v>2</v>
      </c>
      <c r="D843" s="4">
        <f>WEEKNUM(datos_ventas[[#This Row],[Fecha]],2)</f>
        <v>6</v>
      </c>
      <c r="E843" t="s">
        <v>17</v>
      </c>
      <c r="F843" t="s">
        <v>18</v>
      </c>
      <c r="G843">
        <v>4</v>
      </c>
      <c r="H843">
        <v>41277</v>
      </c>
      <c r="I843">
        <v>1617</v>
      </c>
      <c r="J843" t="s">
        <v>22</v>
      </c>
      <c r="K843" t="str">
        <f>_xlfn.XLOOKUP(datos_ventas[[#This Row],[Ciudad]],Tabla2[Ciudades],Tabla2[Provincias],"no se encuentra")</f>
        <v>Valencia</v>
      </c>
      <c r="L843" t="str">
        <f>_xlfn.XLOOKUP(datos_ventas[[#This Row],[Provincia]],Tabla2[Provincias],Tabla2[Comunidades],"no se encuentra")</f>
        <v>Comunidad Valenciana</v>
      </c>
      <c r="M843" t="s">
        <v>28</v>
      </c>
      <c r="N843">
        <v>3</v>
      </c>
    </row>
    <row r="844" spans="1:14" x14ac:dyDescent="0.25">
      <c r="A844">
        <v>1843</v>
      </c>
      <c r="B844" s="1">
        <v>45990</v>
      </c>
      <c r="C844" s="4">
        <f>MONTH(datos_ventas[[#This Row],[Fecha]])</f>
        <v>11</v>
      </c>
      <c r="D844" s="4">
        <f>WEEKNUM(datos_ventas[[#This Row],[Fecha]],2)</f>
        <v>48</v>
      </c>
      <c r="E844" t="s">
        <v>10</v>
      </c>
      <c r="F844" t="s">
        <v>11</v>
      </c>
      <c r="G844">
        <v>2</v>
      </c>
      <c r="H844">
        <v>61184</v>
      </c>
      <c r="I844">
        <v>3829</v>
      </c>
      <c r="J844" t="s">
        <v>27</v>
      </c>
      <c r="K844" t="str">
        <f>_xlfn.XLOOKUP(datos_ventas[[#This Row],[Ciudad]],Tabla2[Ciudades],Tabla2[Provincias],"no se encuentra")</f>
        <v>Sevilla</v>
      </c>
      <c r="L844" t="str">
        <f>_xlfn.XLOOKUP(datos_ventas[[#This Row],[Provincia]],Tabla2[Provincias],Tabla2[Comunidades],"no se encuentra")</f>
        <v>Andalucía</v>
      </c>
      <c r="M844" t="s">
        <v>15</v>
      </c>
      <c r="N844">
        <v>5</v>
      </c>
    </row>
    <row r="845" spans="1:14" x14ac:dyDescent="0.25">
      <c r="A845">
        <v>1844</v>
      </c>
      <c r="B845" s="1">
        <v>45779</v>
      </c>
      <c r="C845" s="4">
        <f>MONTH(datos_ventas[[#This Row],[Fecha]])</f>
        <v>5</v>
      </c>
      <c r="D845" s="4">
        <f>WEEKNUM(datos_ventas[[#This Row],[Fecha]],2)</f>
        <v>18</v>
      </c>
      <c r="E845" t="s">
        <v>26</v>
      </c>
      <c r="F845" t="s">
        <v>18</v>
      </c>
      <c r="G845">
        <v>4</v>
      </c>
      <c r="H845">
        <v>117014</v>
      </c>
      <c r="I845">
        <v>3463</v>
      </c>
      <c r="J845" t="s">
        <v>14</v>
      </c>
      <c r="K845" t="str">
        <f>_xlfn.XLOOKUP(datos_ventas[[#This Row],[Ciudad]],Tabla2[Ciudades],Tabla2[Provincias],"no se encuentra")</f>
        <v>Madrid</v>
      </c>
      <c r="L845" t="str">
        <f>_xlfn.XLOOKUP(datos_ventas[[#This Row],[Provincia]],Tabla2[Provincias],Tabla2[Comunidades],"no se encuentra")</f>
        <v>Comunidad de Madrid</v>
      </c>
      <c r="M845" t="s">
        <v>15</v>
      </c>
      <c r="N845">
        <v>5</v>
      </c>
    </row>
    <row r="846" spans="1:14" x14ac:dyDescent="0.25">
      <c r="A846">
        <v>1845</v>
      </c>
      <c r="B846" s="1">
        <v>45796</v>
      </c>
      <c r="C846" s="4">
        <f>MONTH(datos_ventas[[#This Row],[Fecha]])</f>
        <v>5</v>
      </c>
      <c r="D846" s="4">
        <f>WEEKNUM(datos_ventas[[#This Row],[Fecha]],2)</f>
        <v>21</v>
      </c>
      <c r="E846" t="s">
        <v>26</v>
      </c>
      <c r="F846" t="s">
        <v>18</v>
      </c>
      <c r="G846">
        <v>5</v>
      </c>
      <c r="H846">
        <v>10616</v>
      </c>
      <c r="I846">
        <v>722</v>
      </c>
      <c r="J846" t="s">
        <v>31</v>
      </c>
      <c r="K846" t="str">
        <f>_xlfn.XLOOKUP(datos_ventas[[#This Row],[Ciudad]],Tabla2[Ciudades],Tabla2[Provincias],"no se encuentra")</f>
        <v>Vizcaya</v>
      </c>
      <c r="L846" t="str">
        <f>_xlfn.XLOOKUP(datos_ventas[[#This Row],[Provincia]],Tabla2[Provincias],Tabla2[Comunidades],"no se encuentra")</f>
        <v>País Vasco</v>
      </c>
      <c r="M846" t="s">
        <v>15</v>
      </c>
      <c r="N846">
        <v>2</v>
      </c>
    </row>
    <row r="847" spans="1:14" x14ac:dyDescent="0.25">
      <c r="A847">
        <v>1846</v>
      </c>
      <c r="B847" s="1">
        <v>45970</v>
      </c>
      <c r="C847" s="4">
        <f>MONTH(datos_ventas[[#This Row],[Fecha]])</f>
        <v>11</v>
      </c>
      <c r="D847" s="4">
        <f>WEEKNUM(datos_ventas[[#This Row],[Fecha]],2)</f>
        <v>45</v>
      </c>
      <c r="E847" t="s">
        <v>17</v>
      </c>
      <c r="F847" t="s">
        <v>18</v>
      </c>
      <c r="G847">
        <v>2</v>
      </c>
      <c r="H847">
        <v>78444</v>
      </c>
      <c r="I847">
        <v>4773</v>
      </c>
      <c r="J847" t="s">
        <v>22</v>
      </c>
      <c r="K847" t="str">
        <f>_xlfn.XLOOKUP(datos_ventas[[#This Row],[Ciudad]],Tabla2[Ciudades],Tabla2[Provincias],"no se encuentra")</f>
        <v>Valencia</v>
      </c>
      <c r="L847" t="str">
        <f>_xlfn.XLOOKUP(datos_ventas[[#This Row],[Provincia]],Tabla2[Provincias],Tabla2[Comunidades],"no se encuentra")</f>
        <v>Comunidad Valenciana</v>
      </c>
      <c r="M847" t="s">
        <v>28</v>
      </c>
      <c r="N847">
        <v>1</v>
      </c>
    </row>
    <row r="848" spans="1:14" x14ac:dyDescent="0.25">
      <c r="A848">
        <v>1847</v>
      </c>
      <c r="B848" s="1">
        <v>45837</v>
      </c>
      <c r="C848" s="4">
        <f>MONTH(datos_ventas[[#This Row],[Fecha]])</f>
        <v>6</v>
      </c>
      <c r="D848" s="4">
        <f>WEEKNUM(datos_ventas[[#This Row],[Fecha]],2)</f>
        <v>26</v>
      </c>
      <c r="E848" t="s">
        <v>16</v>
      </c>
      <c r="F848" t="s">
        <v>11</v>
      </c>
      <c r="G848">
        <v>5</v>
      </c>
      <c r="H848">
        <v>34669</v>
      </c>
      <c r="I848">
        <v>4779</v>
      </c>
      <c r="J848" t="s">
        <v>14</v>
      </c>
      <c r="K848" t="str">
        <f>_xlfn.XLOOKUP(datos_ventas[[#This Row],[Ciudad]],Tabla2[Ciudades],Tabla2[Provincias],"no se encuentra")</f>
        <v>Madrid</v>
      </c>
      <c r="L848" t="str">
        <f>_xlfn.XLOOKUP(datos_ventas[[#This Row],[Provincia]],Tabla2[Provincias],Tabla2[Comunidades],"no se encuentra")</f>
        <v>Comunidad de Madrid</v>
      </c>
      <c r="M848" t="s">
        <v>19</v>
      </c>
      <c r="N848">
        <v>1</v>
      </c>
    </row>
    <row r="849" spans="1:14" x14ac:dyDescent="0.25">
      <c r="A849">
        <v>1848</v>
      </c>
      <c r="B849" s="1">
        <v>45837</v>
      </c>
      <c r="C849" s="4">
        <f>MONTH(datos_ventas[[#This Row],[Fecha]])</f>
        <v>6</v>
      </c>
      <c r="D849" s="4">
        <f>WEEKNUM(datos_ventas[[#This Row],[Fecha]],2)</f>
        <v>26</v>
      </c>
      <c r="E849" t="s">
        <v>29</v>
      </c>
      <c r="F849" t="s">
        <v>30</v>
      </c>
      <c r="G849">
        <v>5</v>
      </c>
      <c r="H849">
        <v>30151</v>
      </c>
      <c r="I849">
        <v>3564</v>
      </c>
      <c r="J849" t="s">
        <v>31</v>
      </c>
      <c r="K849" t="str">
        <f>_xlfn.XLOOKUP(datos_ventas[[#This Row],[Ciudad]],Tabla2[Ciudades],Tabla2[Provincias],"no se encuentra")</f>
        <v>Vizcaya</v>
      </c>
      <c r="L849" t="str">
        <f>_xlfn.XLOOKUP(datos_ventas[[#This Row],[Provincia]],Tabla2[Provincias],Tabla2[Comunidades],"no se encuentra")</f>
        <v>País Vasco</v>
      </c>
      <c r="M849" t="s">
        <v>28</v>
      </c>
      <c r="N849">
        <v>1</v>
      </c>
    </row>
    <row r="850" spans="1:14" x14ac:dyDescent="0.25">
      <c r="A850">
        <v>1849</v>
      </c>
      <c r="B850" s="1">
        <v>45967</v>
      </c>
      <c r="C850" s="4">
        <f>MONTH(datos_ventas[[#This Row],[Fecha]])</f>
        <v>11</v>
      </c>
      <c r="D850" s="4">
        <f>WEEKNUM(datos_ventas[[#This Row],[Fecha]],2)</f>
        <v>45</v>
      </c>
      <c r="E850" t="s">
        <v>17</v>
      </c>
      <c r="F850" t="s">
        <v>18</v>
      </c>
      <c r="G850">
        <v>1</v>
      </c>
      <c r="H850">
        <v>58372</v>
      </c>
      <c r="I850">
        <v>2521</v>
      </c>
      <c r="J850" t="s">
        <v>32</v>
      </c>
      <c r="K850" t="str">
        <f>_xlfn.XLOOKUP(datos_ventas[[#This Row],[Ciudad]],Tabla2[Ciudades],Tabla2[Provincias],"no se encuentra")</f>
        <v>Barcelona</v>
      </c>
      <c r="L850" t="str">
        <f>_xlfn.XLOOKUP(datos_ventas[[#This Row],[Provincia]],Tabla2[Provincias],Tabla2[Comunidades],"no se encuentra")</f>
        <v>Cataluña</v>
      </c>
      <c r="M850" t="s">
        <v>19</v>
      </c>
      <c r="N850">
        <v>4</v>
      </c>
    </row>
    <row r="851" spans="1:14" x14ac:dyDescent="0.25">
      <c r="A851">
        <v>1850</v>
      </c>
      <c r="B851" s="1">
        <v>45977</v>
      </c>
      <c r="C851" s="4">
        <f>MONTH(datos_ventas[[#This Row],[Fecha]])</f>
        <v>11</v>
      </c>
      <c r="D851" s="4">
        <f>WEEKNUM(datos_ventas[[#This Row],[Fecha]],2)</f>
        <v>46</v>
      </c>
      <c r="E851" t="s">
        <v>29</v>
      </c>
      <c r="F851" t="s">
        <v>30</v>
      </c>
      <c r="G851">
        <v>3</v>
      </c>
      <c r="H851">
        <v>2355</v>
      </c>
      <c r="I851">
        <v>2069</v>
      </c>
      <c r="J851" t="s">
        <v>22</v>
      </c>
      <c r="K851" t="str">
        <f>_xlfn.XLOOKUP(datos_ventas[[#This Row],[Ciudad]],Tabla2[Ciudades],Tabla2[Provincias],"no se encuentra")</f>
        <v>Valencia</v>
      </c>
      <c r="L851" t="str">
        <f>_xlfn.XLOOKUP(datos_ventas[[#This Row],[Provincia]],Tabla2[Provincias],Tabla2[Comunidades],"no se encuentra")</f>
        <v>Comunidad Valenciana</v>
      </c>
      <c r="M851" t="s">
        <v>19</v>
      </c>
      <c r="N851">
        <v>3</v>
      </c>
    </row>
    <row r="852" spans="1:14" x14ac:dyDescent="0.25">
      <c r="A852">
        <v>1851</v>
      </c>
      <c r="B852" s="1">
        <v>45907</v>
      </c>
      <c r="C852" s="4">
        <f>MONTH(datos_ventas[[#This Row],[Fecha]])</f>
        <v>9</v>
      </c>
      <c r="D852" s="4">
        <f>WEEKNUM(datos_ventas[[#This Row],[Fecha]],2)</f>
        <v>36</v>
      </c>
      <c r="E852" t="s">
        <v>20</v>
      </c>
      <c r="F852" t="s">
        <v>21</v>
      </c>
      <c r="G852">
        <v>2</v>
      </c>
      <c r="H852">
        <v>84029</v>
      </c>
      <c r="I852">
        <v>4001</v>
      </c>
      <c r="J852" t="s">
        <v>27</v>
      </c>
      <c r="K852" t="str">
        <f>_xlfn.XLOOKUP(datos_ventas[[#This Row],[Ciudad]],Tabla2[Ciudades],Tabla2[Provincias],"no se encuentra")</f>
        <v>Sevilla</v>
      </c>
      <c r="L852" t="str">
        <f>_xlfn.XLOOKUP(datos_ventas[[#This Row],[Provincia]],Tabla2[Provincias],Tabla2[Comunidades],"no se encuentra")</f>
        <v>Andalucía</v>
      </c>
      <c r="M852" t="s">
        <v>13</v>
      </c>
      <c r="N852">
        <v>2</v>
      </c>
    </row>
    <row r="853" spans="1:14" x14ac:dyDescent="0.25">
      <c r="A853">
        <v>1852</v>
      </c>
      <c r="B853" s="1">
        <v>45697</v>
      </c>
      <c r="C853" s="4">
        <f>MONTH(datos_ventas[[#This Row],[Fecha]])</f>
        <v>2</v>
      </c>
      <c r="D853" s="4">
        <f>WEEKNUM(datos_ventas[[#This Row],[Fecha]],2)</f>
        <v>6</v>
      </c>
      <c r="E853" t="s">
        <v>20</v>
      </c>
      <c r="F853" t="s">
        <v>21</v>
      </c>
      <c r="G853">
        <v>4</v>
      </c>
      <c r="H853">
        <v>80344</v>
      </c>
      <c r="I853">
        <v>4387</v>
      </c>
      <c r="J853" t="s">
        <v>22</v>
      </c>
      <c r="K853" t="str">
        <f>_xlfn.XLOOKUP(datos_ventas[[#This Row],[Ciudad]],Tabla2[Ciudades],Tabla2[Provincias],"no se encuentra")</f>
        <v>Valencia</v>
      </c>
      <c r="L853" t="str">
        <f>_xlfn.XLOOKUP(datos_ventas[[#This Row],[Provincia]],Tabla2[Provincias],Tabla2[Comunidades],"no se encuentra")</f>
        <v>Comunidad Valenciana</v>
      </c>
      <c r="M853" t="s">
        <v>15</v>
      </c>
      <c r="N853">
        <v>1</v>
      </c>
    </row>
    <row r="854" spans="1:14" x14ac:dyDescent="0.25">
      <c r="A854">
        <v>1853</v>
      </c>
      <c r="B854" s="1">
        <v>45773</v>
      </c>
      <c r="C854" s="4">
        <f>MONTH(datos_ventas[[#This Row],[Fecha]])</f>
        <v>4</v>
      </c>
      <c r="D854" s="4">
        <f>WEEKNUM(datos_ventas[[#This Row],[Fecha]],2)</f>
        <v>17</v>
      </c>
      <c r="E854" t="s">
        <v>26</v>
      </c>
      <c r="F854" t="s">
        <v>18</v>
      </c>
      <c r="G854">
        <v>2</v>
      </c>
      <c r="H854">
        <v>67769</v>
      </c>
      <c r="I854">
        <v>4291</v>
      </c>
      <c r="J854" t="s">
        <v>12</v>
      </c>
      <c r="K854" t="str">
        <f>_xlfn.XLOOKUP(datos_ventas[[#This Row],[Ciudad]],Tabla2[Ciudades],Tabla2[Provincias],"no se encuentra")</f>
        <v>Málaga</v>
      </c>
      <c r="L854" t="str">
        <f>_xlfn.XLOOKUP(datos_ventas[[#This Row],[Provincia]],Tabla2[Provincias],Tabla2[Comunidades],"no se encuentra")</f>
        <v>Andalucía</v>
      </c>
      <c r="M854" t="s">
        <v>19</v>
      </c>
      <c r="N854">
        <v>1</v>
      </c>
    </row>
    <row r="855" spans="1:14" x14ac:dyDescent="0.25">
      <c r="A855">
        <v>1854</v>
      </c>
      <c r="B855" s="1">
        <v>45821</v>
      </c>
      <c r="C855" s="4">
        <f>MONTH(datos_ventas[[#This Row],[Fecha]])</f>
        <v>6</v>
      </c>
      <c r="D855" s="4">
        <f>WEEKNUM(datos_ventas[[#This Row],[Fecha]],2)</f>
        <v>24</v>
      </c>
      <c r="E855" t="s">
        <v>29</v>
      </c>
      <c r="F855" t="s">
        <v>30</v>
      </c>
      <c r="G855">
        <v>2</v>
      </c>
      <c r="H855">
        <v>87561</v>
      </c>
      <c r="I855">
        <v>1245</v>
      </c>
      <c r="J855" t="s">
        <v>12</v>
      </c>
      <c r="K855" t="str">
        <f>_xlfn.XLOOKUP(datos_ventas[[#This Row],[Ciudad]],Tabla2[Ciudades],Tabla2[Provincias],"no se encuentra")</f>
        <v>Málaga</v>
      </c>
      <c r="L855" t="str">
        <f>_xlfn.XLOOKUP(datos_ventas[[#This Row],[Provincia]],Tabla2[Provincias],Tabla2[Comunidades],"no se encuentra")</f>
        <v>Andalucía</v>
      </c>
      <c r="M855" t="s">
        <v>19</v>
      </c>
      <c r="N855">
        <v>5</v>
      </c>
    </row>
    <row r="856" spans="1:14" x14ac:dyDescent="0.25">
      <c r="A856">
        <v>1855</v>
      </c>
      <c r="B856" s="1">
        <v>45835</v>
      </c>
      <c r="C856" s="4">
        <f>MONTH(datos_ventas[[#This Row],[Fecha]])</f>
        <v>6</v>
      </c>
      <c r="D856" s="4">
        <f>WEEKNUM(datos_ventas[[#This Row],[Fecha]],2)</f>
        <v>26</v>
      </c>
      <c r="E856" t="s">
        <v>10</v>
      </c>
      <c r="F856" t="s">
        <v>11</v>
      </c>
      <c r="G856">
        <v>5</v>
      </c>
      <c r="H856">
        <v>3262</v>
      </c>
      <c r="I856">
        <v>1815</v>
      </c>
      <c r="J856" t="s">
        <v>22</v>
      </c>
      <c r="K856" t="str">
        <f>_xlfn.XLOOKUP(datos_ventas[[#This Row],[Ciudad]],Tabla2[Ciudades],Tabla2[Provincias],"no se encuentra")</f>
        <v>Valencia</v>
      </c>
      <c r="L856" t="str">
        <f>_xlfn.XLOOKUP(datos_ventas[[#This Row],[Provincia]],Tabla2[Provincias],Tabla2[Comunidades],"no se encuentra")</f>
        <v>Comunidad Valenciana</v>
      </c>
      <c r="M856" t="s">
        <v>28</v>
      </c>
      <c r="N856">
        <v>5</v>
      </c>
    </row>
    <row r="857" spans="1:14" x14ac:dyDescent="0.25">
      <c r="A857">
        <v>1856</v>
      </c>
      <c r="B857" s="1">
        <v>45782</v>
      </c>
      <c r="C857" s="4">
        <f>MONTH(datos_ventas[[#This Row],[Fecha]])</f>
        <v>5</v>
      </c>
      <c r="D857" s="4">
        <f>WEEKNUM(datos_ventas[[#This Row],[Fecha]],2)</f>
        <v>19</v>
      </c>
      <c r="E857" t="s">
        <v>24</v>
      </c>
      <c r="F857" t="s">
        <v>25</v>
      </c>
      <c r="G857">
        <v>3</v>
      </c>
      <c r="H857">
        <v>104109</v>
      </c>
      <c r="I857">
        <v>4479</v>
      </c>
      <c r="J857" t="s">
        <v>31</v>
      </c>
      <c r="K857" t="str">
        <f>_xlfn.XLOOKUP(datos_ventas[[#This Row],[Ciudad]],Tabla2[Ciudades],Tabla2[Provincias],"no se encuentra")</f>
        <v>Vizcaya</v>
      </c>
      <c r="L857" t="str">
        <f>_xlfn.XLOOKUP(datos_ventas[[#This Row],[Provincia]],Tabla2[Provincias],Tabla2[Comunidades],"no se encuentra")</f>
        <v>País Vasco</v>
      </c>
      <c r="M857" t="s">
        <v>15</v>
      </c>
      <c r="N857">
        <v>3</v>
      </c>
    </row>
    <row r="858" spans="1:14" x14ac:dyDescent="0.25">
      <c r="A858">
        <v>1857</v>
      </c>
      <c r="B858" s="1">
        <v>45719</v>
      </c>
      <c r="C858" s="4">
        <f>MONTH(datos_ventas[[#This Row],[Fecha]])</f>
        <v>3</v>
      </c>
      <c r="D858" s="4">
        <f>WEEKNUM(datos_ventas[[#This Row],[Fecha]],2)</f>
        <v>10</v>
      </c>
      <c r="E858" t="s">
        <v>24</v>
      </c>
      <c r="F858" t="s">
        <v>25</v>
      </c>
      <c r="G858">
        <v>2</v>
      </c>
      <c r="H858">
        <v>65423</v>
      </c>
      <c r="I858">
        <v>3656</v>
      </c>
      <c r="J858" t="s">
        <v>12</v>
      </c>
      <c r="K858" t="str">
        <f>_xlfn.XLOOKUP(datos_ventas[[#This Row],[Ciudad]],Tabla2[Ciudades],Tabla2[Provincias],"no se encuentra")</f>
        <v>Málaga</v>
      </c>
      <c r="L858" t="str">
        <f>_xlfn.XLOOKUP(datos_ventas[[#This Row],[Provincia]],Tabla2[Provincias],Tabla2[Comunidades],"no se encuentra")</f>
        <v>Andalucía</v>
      </c>
      <c r="M858" t="s">
        <v>15</v>
      </c>
      <c r="N858">
        <v>1</v>
      </c>
    </row>
    <row r="859" spans="1:14" x14ac:dyDescent="0.25">
      <c r="A859">
        <v>1858</v>
      </c>
      <c r="B859" s="1">
        <v>45779</v>
      </c>
      <c r="C859" s="4">
        <f>MONTH(datos_ventas[[#This Row],[Fecha]])</f>
        <v>5</v>
      </c>
      <c r="D859" s="4">
        <f>WEEKNUM(datos_ventas[[#This Row],[Fecha]],2)</f>
        <v>18</v>
      </c>
      <c r="E859" t="s">
        <v>29</v>
      </c>
      <c r="F859" t="s">
        <v>30</v>
      </c>
      <c r="G859">
        <v>4</v>
      </c>
      <c r="H859">
        <v>84261</v>
      </c>
      <c r="I859">
        <v>63</v>
      </c>
      <c r="J859" t="s">
        <v>14</v>
      </c>
      <c r="K859" t="str">
        <f>_xlfn.XLOOKUP(datos_ventas[[#This Row],[Ciudad]],Tabla2[Ciudades],Tabla2[Provincias],"no se encuentra")</f>
        <v>Madrid</v>
      </c>
      <c r="L859" t="str">
        <f>_xlfn.XLOOKUP(datos_ventas[[#This Row],[Provincia]],Tabla2[Provincias],Tabla2[Comunidades],"no se encuentra")</f>
        <v>Comunidad de Madrid</v>
      </c>
      <c r="M859" t="s">
        <v>15</v>
      </c>
      <c r="N859">
        <v>3</v>
      </c>
    </row>
    <row r="860" spans="1:14" x14ac:dyDescent="0.25">
      <c r="A860">
        <v>1859</v>
      </c>
      <c r="B860" s="1">
        <v>45749</v>
      </c>
      <c r="C860" s="4">
        <f>MONTH(datos_ventas[[#This Row],[Fecha]])</f>
        <v>4</v>
      </c>
      <c r="D860" s="4">
        <f>WEEKNUM(datos_ventas[[#This Row],[Fecha]],2)</f>
        <v>14</v>
      </c>
      <c r="E860" t="s">
        <v>26</v>
      </c>
      <c r="F860" t="s">
        <v>18</v>
      </c>
      <c r="G860">
        <v>4</v>
      </c>
      <c r="H860">
        <v>112377</v>
      </c>
      <c r="I860">
        <v>2611</v>
      </c>
      <c r="J860" t="s">
        <v>31</v>
      </c>
      <c r="K860" t="str">
        <f>_xlfn.XLOOKUP(datos_ventas[[#This Row],[Ciudad]],Tabla2[Ciudades],Tabla2[Provincias],"no se encuentra")</f>
        <v>Vizcaya</v>
      </c>
      <c r="L860" t="str">
        <f>_xlfn.XLOOKUP(datos_ventas[[#This Row],[Provincia]],Tabla2[Provincias],Tabla2[Comunidades],"no se encuentra")</f>
        <v>País Vasco</v>
      </c>
      <c r="M860" t="s">
        <v>19</v>
      </c>
      <c r="N860">
        <v>4</v>
      </c>
    </row>
    <row r="861" spans="1:14" x14ac:dyDescent="0.25">
      <c r="A861">
        <v>1860</v>
      </c>
      <c r="B861" s="1">
        <v>45849</v>
      </c>
      <c r="C861" s="4">
        <f>MONTH(datos_ventas[[#This Row],[Fecha]])</f>
        <v>7</v>
      </c>
      <c r="D861" s="4">
        <f>WEEKNUM(datos_ventas[[#This Row],[Fecha]],2)</f>
        <v>28</v>
      </c>
      <c r="E861" t="s">
        <v>10</v>
      </c>
      <c r="F861" t="s">
        <v>11</v>
      </c>
      <c r="G861">
        <v>1</v>
      </c>
      <c r="H861">
        <v>107984</v>
      </c>
      <c r="I861">
        <v>2494</v>
      </c>
      <c r="J861" t="s">
        <v>12</v>
      </c>
      <c r="K861" t="str">
        <f>_xlfn.XLOOKUP(datos_ventas[[#This Row],[Ciudad]],Tabla2[Ciudades],Tabla2[Provincias],"no se encuentra")</f>
        <v>Málaga</v>
      </c>
      <c r="L861" t="str">
        <f>_xlfn.XLOOKUP(datos_ventas[[#This Row],[Provincia]],Tabla2[Provincias],Tabla2[Comunidades],"no se encuentra")</f>
        <v>Andalucía</v>
      </c>
      <c r="M861" t="s">
        <v>19</v>
      </c>
      <c r="N861">
        <v>4</v>
      </c>
    </row>
    <row r="862" spans="1:14" x14ac:dyDescent="0.25">
      <c r="A862">
        <v>1861</v>
      </c>
      <c r="B862" s="1">
        <v>45953</v>
      </c>
      <c r="C862" s="4">
        <f>MONTH(datos_ventas[[#This Row],[Fecha]])</f>
        <v>10</v>
      </c>
      <c r="D862" s="4">
        <f>WEEKNUM(datos_ventas[[#This Row],[Fecha]],2)</f>
        <v>43</v>
      </c>
      <c r="E862" t="s">
        <v>10</v>
      </c>
      <c r="F862" t="s">
        <v>11</v>
      </c>
      <c r="G862">
        <v>1</v>
      </c>
      <c r="H862">
        <v>119524</v>
      </c>
      <c r="I862">
        <v>1806</v>
      </c>
      <c r="J862" t="s">
        <v>14</v>
      </c>
      <c r="K862" t="str">
        <f>_xlfn.XLOOKUP(datos_ventas[[#This Row],[Ciudad]],Tabla2[Ciudades],Tabla2[Provincias],"no se encuentra")</f>
        <v>Madrid</v>
      </c>
      <c r="L862" t="str">
        <f>_xlfn.XLOOKUP(datos_ventas[[#This Row],[Provincia]],Tabla2[Provincias],Tabla2[Comunidades],"no se encuentra")</f>
        <v>Comunidad de Madrid</v>
      </c>
      <c r="M862" t="s">
        <v>15</v>
      </c>
      <c r="N862">
        <v>2</v>
      </c>
    </row>
    <row r="863" spans="1:14" x14ac:dyDescent="0.25">
      <c r="A863">
        <v>1862</v>
      </c>
      <c r="B863" s="1">
        <v>45828</v>
      </c>
      <c r="C863" s="4">
        <f>MONTH(datos_ventas[[#This Row],[Fecha]])</f>
        <v>6</v>
      </c>
      <c r="D863" s="4">
        <f>WEEKNUM(datos_ventas[[#This Row],[Fecha]],2)</f>
        <v>25</v>
      </c>
      <c r="E863" t="s">
        <v>20</v>
      </c>
      <c r="F863" t="s">
        <v>21</v>
      </c>
      <c r="G863">
        <v>1</v>
      </c>
      <c r="H863">
        <v>5691</v>
      </c>
      <c r="I863">
        <v>3656</v>
      </c>
      <c r="J863" t="s">
        <v>31</v>
      </c>
      <c r="K863" t="str">
        <f>_xlfn.XLOOKUP(datos_ventas[[#This Row],[Ciudad]],Tabla2[Ciudades],Tabla2[Provincias],"no se encuentra")</f>
        <v>Vizcaya</v>
      </c>
      <c r="L863" t="str">
        <f>_xlfn.XLOOKUP(datos_ventas[[#This Row],[Provincia]],Tabla2[Provincias],Tabla2[Comunidades],"no se encuentra")</f>
        <v>País Vasco</v>
      </c>
      <c r="M863" t="s">
        <v>19</v>
      </c>
      <c r="N863">
        <v>3</v>
      </c>
    </row>
    <row r="864" spans="1:14" x14ac:dyDescent="0.25">
      <c r="A864">
        <v>1863</v>
      </c>
      <c r="B864" s="1">
        <v>45785</v>
      </c>
      <c r="C864" s="4">
        <f>MONTH(datos_ventas[[#This Row],[Fecha]])</f>
        <v>5</v>
      </c>
      <c r="D864" s="4">
        <f>WEEKNUM(datos_ventas[[#This Row],[Fecha]],2)</f>
        <v>19</v>
      </c>
      <c r="E864" t="s">
        <v>29</v>
      </c>
      <c r="F864" t="s">
        <v>30</v>
      </c>
      <c r="G864">
        <v>5</v>
      </c>
      <c r="H864">
        <v>7320</v>
      </c>
      <c r="I864">
        <v>410</v>
      </c>
      <c r="J864" t="s">
        <v>27</v>
      </c>
      <c r="K864" t="str">
        <f>_xlfn.XLOOKUP(datos_ventas[[#This Row],[Ciudad]],Tabla2[Ciudades],Tabla2[Provincias],"no se encuentra")</f>
        <v>Sevilla</v>
      </c>
      <c r="L864" t="str">
        <f>_xlfn.XLOOKUP(datos_ventas[[#This Row],[Provincia]],Tabla2[Provincias],Tabla2[Comunidades],"no se encuentra")</f>
        <v>Andalucía</v>
      </c>
      <c r="M864" t="s">
        <v>28</v>
      </c>
      <c r="N864">
        <v>1</v>
      </c>
    </row>
    <row r="865" spans="1:14" x14ac:dyDescent="0.25">
      <c r="A865">
        <v>1864</v>
      </c>
      <c r="B865" s="1">
        <v>45883</v>
      </c>
      <c r="C865" s="4">
        <f>MONTH(datos_ventas[[#This Row],[Fecha]])</f>
        <v>8</v>
      </c>
      <c r="D865" s="4">
        <f>WEEKNUM(datos_ventas[[#This Row],[Fecha]],2)</f>
        <v>33</v>
      </c>
      <c r="E865" t="s">
        <v>23</v>
      </c>
      <c r="F865" t="s">
        <v>18</v>
      </c>
      <c r="G865">
        <v>4</v>
      </c>
      <c r="H865">
        <v>118946</v>
      </c>
      <c r="I865">
        <v>3503</v>
      </c>
      <c r="J865" t="s">
        <v>27</v>
      </c>
      <c r="K865" t="str">
        <f>_xlfn.XLOOKUP(datos_ventas[[#This Row],[Ciudad]],Tabla2[Ciudades],Tabla2[Provincias],"no se encuentra")</f>
        <v>Sevilla</v>
      </c>
      <c r="L865" t="str">
        <f>_xlfn.XLOOKUP(datos_ventas[[#This Row],[Provincia]],Tabla2[Provincias],Tabla2[Comunidades],"no se encuentra")</f>
        <v>Andalucía</v>
      </c>
      <c r="M865" t="s">
        <v>28</v>
      </c>
      <c r="N865">
        <v>1</v>
      </c>
    </row>
    <row r="866" spans="1:14" x14ac:dyDescent="0.25">
      <c r="A866">
        <v>1865</v>
      </c>
      <c r="B866" s="1">
        <v>45935</v>
      </c>
      <c r="C866" s="4">
        <f>MONTH(datos_ventas[[#This Row],[Fecha]])</f>
        <v>10</v>
      </c>
      <c r="D866" s="4">
        <f>WEEKNUM(datos_ventas[[#This Row],[Fecha]],2)</f>
        <v>40</v>
      </c>
      <c r="E866" t="s">
        <v>26</v>
      </c>
      <c r="F866" t="s">
        <v>18</v>
      </c>
      <c r="G866">
        <v>1</v>
      </c>
      <c r="H866">
        <v>72452</v>
      </c>
      <c r="I866">
        <v>1188</v>
      </c>
      <c r="J866" t="s">
        <v>32</v>
      </c>
      <c r="K866" t="str">
        <f>_xlfn.XLOOKUP(datos_ventas[[#This Row],[Ciudad]],Tabla2[Ciudades],Tabla2[Provincias],"no se encuentra")</f>
        <v>Barcelona</v>
      </c>
      <c r="L866" t="str">
        <f>_xlfn.XLOOKUP(datos_ventas[[#This Row],[Provincia]],Tabla2[Provincias],Tabla2[Comunidades],"no se encuentra")</f>
        <v>Cataluña</v>
      </c>
      <c r="M866" t="s">
        <v>13</v>
      </c>
      <c r="N866">
        <v>4</v>
      </c>
    </row>
    <row r="867" spans="1:14" x14ac:dyDescent="0.25">
      <c r="A867">
        <v>1866</v>
      </c>
      <c r="B867" s="1">
        <v>45914</v>
      </c>
      <c r="C867" s="4">
        <f>MONTH(datos_ventas[[#This Row],[Fecha]])</f>
        <v>9</v>
      </c>
      <c r="D867" s="4">
        <f>WEEKNUM(datos_ventas[[#This Row],[Fecha]],2)</f>
        <v>37</v>
      </c>
      <c r="E867" t="s">
        <v>16</v>
      </c>
      <c r="F867" t="s">
        <v>11</v>
      </c>
      <c r="G867">
        <v>1</v>
      </c>
      <c r="H867">
        <v>62528</v>
      </c>
      <c r="I867">
        <v>1642</v>
      </c>
      <c r="J867" t="s">
        <v>32</v>
      </c>
      <c r="K867" t="str">
        <f>_xlfn.XLOOKUP(datos_ventas[[#This Row],[Ciudad]],Tabla2[Ciudades],Tabla2[Provincias],"no se encuentra")</f>
        <v>Barcelona</v>
      </c>
      <c r="L867" t="str">
        <f>_xlfn.XLOOKUP(datos_ventas[[#This Row],[Provincia]],Tabla2[Provincias],Tabla2[Comunidades],"no se encuentra")</f>
        <v>Cataluña</v>
      </c>
      <c r="M867" t="s">
        <v>19</v>
      </c>
      <c r="N867">
        <v>1</v>
      </c>
    </row>
    <row r="868" spans="1:14" x14ac:dyDescent="0.25">
      <c r="A868">
        <v>1867</v>
      </c>
      <c r="B868" s="1">
        <v>46001</v>
      </c>
      <c r="C868" s="4">
        <f>MONTH(datos_ventas[[#This Row],[Fecha]])</f>
        <v>12</v>
      </c>
      <c r="D868" s="4">
        <f>WEEKNUM(datos_ventas[[#This Row],[Fecha]],2)</f>
        <v>50</v>
      </c>
      <c r="E868" t="s">
        <v>16</v>
      </c>
      <c r="F868" t="s">
        <v>11</v>
      </c>
      <c r="G868">
        <v>4</v>
      </c>
      <c r="H868">
        <v>119126</v>
      </c>
      <c r="I868">
        <v>2557</v>
      </c>
      <c r="J868" t="s">
        <v>22</v>
      </c>
      <c r="K868" t="str">
        <f>_xlfn.XLOOKUP(datos_ventas[[#This Row],[Ciudad]],Tabla2[Ciudades],Tabla2[Provincias],"no se encuentra")</f>
        <v>Valencia</v>
      </c>
      <c r="L868" t="str">
        <f>_xlfn.XLOOKUP(datos_ventas[[#This Row],[Provincia]],Tabla2[Provincias],Tabla2[Comunidades],"no se encuentra")</f>
        <v>Comunidad Valenciana</v>
      </c>
      <c r="M868" t="s">
        <v>13</v>
      </c>
      <c r="N868">
        <v>1</v>
      </c>
    </row>
    <row r="869" spans="1:14" x14ac:dyDescent="0.25">
      <c r="A869">
        <v>1868</v>
      </c>
      <c r="B869" s="1">
        <v>45852</v>
      </c>
      <c r="C869" s="4">
        <f>MONTH(datos_ventas[[#This Row],[Fecha]])</f>
        <v>7</v>
      </c>
      <c r="D869" s="4">
        <f>WEEKNUM(datos_ventas[[#This Row],[Fecha]],2)</f>
        <v>29</v>
      </c>
      <c r="E869" t="s">
        <v>20</v>
      </c>
      <c r="F869" t="s">
        <v>21</v>
      </c>
      <c r="G869">
        <v>5</v>
      </c>
      <c r="H869">
        <v>102812</v>
      </c>
      <c r="I869">
        <v>3632</v>
      </c>
      <c r="J869" t="s">
        <v>32</v>
      </c>
      <c r="K869" t="str">
        <f>_xlfn.XLOOKUP(datos_ventas[[#This Row],[Ciudad]],Tabla2[Ciudades],Tabla2[Provincias],"no se encuentra")</f>
        <v>Barcelona</v>
      </c>
      <c r="L869" t="str">
        <f>_xlfn.XLOOKUP(datos_ventas[[#This Row],[Provincia]],Tabla2[Provincias],Tabla2[Comunidades],"no se encuentra")</f>
        <v>Cataluña</v>
      </c>
      <c r="M869" t="s">
        <v>13</v>
      </c>
      <c r="N869">
        <v>5</v>
      </c>
    </row>
    <row r="870" spans="1:14" x14ac:dyDescent="0.25">
      <c r="A870">
        <v>1869</v>
      </c>
      <c r="B870" s="1">
        <v>45859</v>
      </c>
      <c r="C870" s="4">
        <f>MONTH(datos_ventas[[#This Row],[Fecha]])</f>
        <v>7</v>
      </c>
      <c r="D870" s="4">
        <f>WEEKNUM(datos_ventas[[#This Row],[Fecha]],2)</f>
        <v>30</v>
      </c>
      <c r="E870" t="s">
        <v>23</v>
      </c>
      <c r="F870" t="s">
        <v>18</v>
      </c>
      <c r="G870">
        <v>1</v>
      </c>
      <c r="H870">
        <v>112067</v>
      </c>
      <c r="I870">
        <v>176</v>
      </c>
      <c r="J870" t="s">
        <v>27</v>
      </c>
      <c r="K870" t="str">
        <f>_xlfn.XLOOKUP(datos_ventas[[#This Row],[Ciudad]],Tabla2[Ciudades],Tabla2[Provincias],"no se encuentra")</f>
        <v>Sevilla</v>
      </c>
      <c r="L870" t="str">
        <f>_xlfn.XLOOKUP(datos_ventas[[#This Row],[Provincia]],Tabla2[Provincias],Tabla2[Comunidades],"no se encuentra")</f>
        <v>Andalucía</v>
      </c>
      <c r="M870" t="s">
        <v>13</v>
      </c>
      <c r="N870">
        <v>1</v>
      </c>
    </row>
    <row r="871" spans="1:14" x14ac:dyDescent="0.25">
      <c r="A871">
        <v>1870</v>
      </c>
      <c r="B871" s="1">
        <v>45901</v>
      </c>
      <c r="C871" s="4">
        <f>MONTH(datos_ventas[[#This Row],[Fecha]])</f>
        <v>9</v>
      </c>
      <c r="D871" s="4">
        <f>WEEKNUM(datos_ventas[[#This Row],[Fecha]],2)</f>
        <v>36</v>
      </c>
      <c r="E871" t="s">
        <v>17</v>
      </c>
      <c r="F871" t="s">
        <v>18</v>
      </c>
      <c r="G871">
        <v>1</v>
      </c>
      <c r="H871">
        <v>33344</v>
      </c>
      <c r="I871">
        <v>132</v>
      </c>
      <c r="J871" t="s">
        <v>22</v>
      </c>
      <c r="K871" t="str">
        <f>_xlfn.XLOOKUP(datos_ventas[[#This Row],[Ciudad]],Tabla2[Ciudades],Tabla2[Provincias],"no se encuentra")</f>
        <v>Valencia</v>
      </c>
      <c r="L871" t="str">
        <f>_xlfn.XLOOKUP(datos_ventas[[#This Row],[Provincia]],Tabla2[Provincias],Tabla2[Comunidades],"no se encuentra")</f>
        <v>Comunidad Valenciana</v>
      </c>
      <c r="M871" t="s">
        <v>28</v>
      </c>
      <c r="N871">
        <v>3</v>
      </c>
    </row>
    <row r="872" spans="1:14" x14ac:dyDescent="0.25">
      <c r="A872">
        <v>1871</v>
      </c>
      <c r="B872" s="1">
        <v>45898</v>
      </c>
      <c r="C872" s="4">
        <f>MONTH(datos_ventas[[#This Row],[Fecha]])</f>
        <v>8</v>
      </c>
      <c r="D872" s="4">
        <f>WEEKNUM(datos_ventas[[#This Row],[Fecha]],2)</f>
        <v>35</v>
      </c>
      <c r="E872" t="s">
        <v>20</v>
      </c>
      <c r="F872" t="s">
        <v>21</v>
      </c>
      <c r="G872">
        <v>4</v>
      </c>
      <c r="H872">
        <v>22737</v>
      </c>
      <c r="I872">
        <v>3663</v>
      </c>
      <c r="J872" t="s">
        <v>22</v>
      </c>
      <c r="K872" t="str">
        <f>_xlfn.XLOOKUP(datos_ventas[[#This Row],[Ciudad]],Tabla2[Ciudades],Tabla2[Provincias],"no se encuentra")</f>
        <v>Valencia</v>
      </c>
      <c r="L872" t="str">
        <f>_xlfn.XLOOKUP(datos_ventas[[#This Row],[Provincia]],Tabla2[Provincias],Tabla2[Comunidades],"no se encuentra")</f>
        <v>Comunidad Valenciana</v>
      </c>
      <c r="M872" t="s">
        <v>28</v>
      </c>
      <c r="N872">
        <v>4</v>
      </c>
    </row>
    <row r="873" spans="1:14" x14ac:dyDescent="0.25">
      <c r="A873">
        <v>1872</v>
      </c>
      <c r="B873" s="1">
        <v>45825</v>
      </c>
      <c r="C873" s="4">
        <f>MONTH(datos_ventas[[#This Row],[Fecha]])</f>
        <v>6</v>
      </c>
      <c r="D873" s="4">
        <f>WEEKNUM(datos_ventas[[#This Row],[Fecha]],2)</f>
        <v>25</v>
      </c>
      <c r="E873" t="s">
        <v>23</v>
      </c>
      <c r="F873" t="s">
        <v>18</v>
      </c>
      <c r="G873">
        <v>1</v>
      </c>
      <c r="H873">
        <v>71544</v>
      </c>
      <c r="I873">
        <v>1964</v>
      </c>
      <c r="J873" t="s">
        <v>14</v>
      </c>
      <c r="K873" t="str">
        <f>_xlfn.XLOOKUP(datos_ventas[[#This Row],[Ciudad]],Tabla2[Ciudades],Tabla2[Provincias],"no se encuentra")</f>
        <v>Madrid</v>
      </c>
      <c r="L873" t="str">
        <f>_xlfn.XLOOKUP(datos_ventas[[#This Row],[Provincia]],Tabla2[Provincias],Tabla2[Comunidades],"no se encuentra")</f>
        <v>Comunidad de Madrid</v>
      </c>
      <c r="M873" t="s">
        <v>19</v>
      </c>
      <c r="N873">
        <v>2</v>
      </c>
    </row>
    <row r="874" spans="1:14" x14ac:dyDescent="0.25">
      <c r="A874">
        <v>1873</v>
      </c>
      <c r="B874" s="1">
        <v>45768</v>
      </c>
      <c r="C874" s="4">
        <f>MONTH(datos_ventas[[#This Row],[Fecha]])</f>
        <v>4</v>
      </c>
      <c r="D874" s="4">
        <f>WEEKNUM(datos_ventas[[#This Row],[Fecha]],2)</f>
        <v>17</v>
      </c>
      <c r="E874" t="s">
        <v>20</v>
      </c>
      <c r="F874" t="s">
        <v>21</v>
      </c>
      <c r="G874">
        <v>5</v>
      </c>
      <c r="H874">
        <v>82479</v>
      </c>
      <c r="I874">
        <v>3993</v>
      </c>
      <c r="J874" t="s">
        <v>22</v>
      </c>
      <c r="K874" t="str">
        <f>_xlfn.XLOOKUP(datos_ventas[[#This Row],[Ciudad]],Tabla2[Ciudades],Tabla2[Provincias],"no se encuentra")</f>
        <v>Valencia</v>
      </c>
      <c r="L874" t="str">
        <f>_xlfn.XLOOKUP(datos_ventas[[#This Row],[Provincia]],Tabla2[Provincias],Tabla2[Comunidades],"no se encuentra")</f>
        <v>Comunidad Valenciana</v>
      </c>
      <c r="M874" t="s">
        <v>15</v>
      </c>
      <c r="N874">
        <v>3</v>
      </c>
    </row>
    <row r="875" spans="1:14" x14ac:dyDescent="0.25">
      <c r="A875">
        <v>1874</v>
      </c>
      <c r="B875" s="1">
        <v>45725</v>
      </c>
      <c r="C875" s="4">
        <f>MONTH(datos_ventas[[#This Row],[Fecha]])</f>
        <v>3</v>
      </c>
      <c r="D875" s="4">
        <f>WEEKNUM(datos_ventas[[#This Row],[Fecha]],2)</f>
        <v>10</v>
      </c>
      <c r="E875" t="s">
        <v>10</v>
      </c>
      <c r="F875" t="s">
        <v>11</v>
      </c>
      <c r="G875">
        <v>4</v>
      </c>
      <c r="H875">
        <v>63981</v>
      </c>
      <c r="I875">
        <v>4416</v>
      </c>
      <c r="J875" t="s">
        <v>27</v>
      </c>
      <c r="K875" t="str">
        <f>_xlfn.XLOOKUP(datos_ventas[[#This Row],[Ciudad]],Tabla2[Ciudades],Tabla2[Provincias],"no se encuentra")</f>
        <v>Sevilla</v>
      </c>
      <c r="L875" t="str">
        <f>_xlfn.XLOOKUP(datos_ventas[[#This Row],[Provincia]],Tabla2[Provincias],Tabla2[Comunidades],"no se encuentra")</f>
        <v>Andalucía</v>
      </c>
      <c r="M875" t="s">
        <v>28</v>
      </c>
      <c r="N875">
        <v>4</v>
      </c>
    </row>
    <row r="876" spans="1:14" x14ac:dyDescent="0.25">
      <c r="A876">
        <v>1875</v>
      </c>
      <c r="B876" s="1">
        <v>45767</v>
      </c>
      <c r="C876" s="4">
        <f>MONTH(datos_ventas[[#This Row],[Fecha]])</f>
        <v>4</v>
      </c>
      <c r="D876" s="4">
        <f>WEEKNUM(datos_ventas[[#This Row],[Fecha]],2)</f>
        <v>16</v>
      </c>
      <c r="E876" t="s">
        <v>29</v>
      </c>
      <c r="F876" t="s">
        <v>30</v>
      </c>
      <c r="G876">
        <v>3</v>
      </c>
      <c r="H876">
        <v>5672</v>
      </c>
      <c r="I876">
        <v>2376</v>
      </c>
      <c r="J876" t="s">
        <v>32</v>
      </c>
      <c r="K876" t="str">
        <f>_xlfn.XLOOKUP(datos_ventas[[#This Row],[Ciudad]],Tabla2[Ciudades],Tabla2[Provincias],"no se encuentra")</f>
        <v>Barcelona</v>
      </c>
      <c r="L876" t="str">
        <f>_xlfn.XLOOKUP(datos_ventas[[#This Row],[Provincia]],Tabla2[Provincias],Tabla2[Comunidades],"no se encuentra")</f>
        <v>Cataluña</v>
      </c>
      <c r="M876" t="s">
        <v>19</v>
      </c>
      <c r="N876">
        <v>4</v>
      </c>
    </row>
    <row r="877" spans="1:14" x14ac:dyDescent="0.25">
      <c r="A877">
        <v>1876</v>
      </c>
      <c r="B877" s="1">
        <v>45697</v>
      </c>
      <c r="C877" s="4">
        <f>MONTH(datos_ventas[[#This Row],[Fecha]])</f>
        <v>2</v>
      </c>
      <c r="D877" s="4">
        <f>WEEKNUM(datos_ventas[[#This Row],[Fecha]],2)</f>
        <v>6</v>
      </c>
      <c r="E877" t="s">
        <v>26</v>
      </c>
      <c r="F877" t="s">
        <v>18</v>
      </c>
      <c r="G877">
        <v>1</v>
      </c>
      <c r="H877">
        <v>617</v>
      </c>
      <c r="I877">
        <v>2825</v>
      </c>
      <c r="J877" t="s">
        <v>22</v>
      </c>
      <c r="K877" t="str">
        <f>_xlfn.XLOOKUP(datos_ventas[[#This Row],[Ciudad]],Tabla2[Ciudades],Tabla2[Provincias],"no se encuentra")</f>
        <v>Valencia</v>
      </c>
      <c r="L877" t="str">
        <f>_xlfn.XLOOKUP(datos_ventas[[#This Row],[Provincia]],Tabla2[Provincias],Tabla2[Comunidades],"no se encuentra")</f>
        <v>Comunidad Valenciana</v>
      </c>
      <c r="M877" t="s">
        <v>15</v>
      </c>
      <c r="N877">
        <v>2</v>
      </c>
    </row>
    <row r="878" spans="1:14" x14ac:dyDescent="0.25">
      <c r="A878">
        <v>1877</v>
      </c>
      <c r="B878" s="1">
        <v>45706</v>
      </c>
      <c r="C878" s="4">
        <f>MONTH(datos_ventas[[#This Row],[Fecha]])</f>
        <v>2</v>
      </c>
      <c r="D878" s="4">
        <f>WEEKNUM(datos_ventas[[#This Row],[Fecha]],2)</f>
        <v>8</v>
      </c>
      <c r="E878" t="s">
        <v>23</v>
      </c>
      <c r="F878" t="s">
        <v>18</v>
      </c>
      <c r="G878">
        <v>1</v>
      </c>
      <c r="H878">
        <v>93947</v>
      </c>
      <c r="I878">
        <v>4274</v>
      </c>
      <c r="J878" t="s">
        <v>31</v>
      </c>
      <c r="K878" t="str">
        <f>_xlfn.XLOOKUP(datos_ventas[[#This Row],[Ciudad]],Tabla2[Ciudades],Tabla2[Provincias],"no se encuentra")</f>
        <v>Vizcaya</v>
      </c>
      <c r="L878" t="str">
        <f>_xlfn.XLOOKUP(datos_ventas[[#This Row],[Provincia]],Tabla2[Provincias],Tabla2[Comunidades],"no se encuentra")</f>
        <v>País Vasco</v>
      </c>
      <c r="M878" t="s">
        <v>28</v>
      </c>
      <c r="N878">
        <v>3</v>
      </c>
    </row>
    <row r="879" spans="1:14" x14ac:dyDescent="0.25">
      <c r="A879">
        <v>1878</v>
      </c>
      <c r="B879" s="1">
        <v>46011</v>
      </c>
      <c r="C879" s="4">
        <f>MONTH(datos_ventas[[#This Row],[Fecha]])</f>
        <v>12</v>
      </c>
      <c r="D879" s="4">
        <f>WEEKNUM(datos_ventas[[#This Row],[Fecha]],2)</f>
        <v>51</v>
      </c>
      <c r="E879" t="s">
        <v>29</v>
      </c>
      <c r="F879" t="s">
        <v>30</v>
      </c>
      <c r="G879">
        <v>2</v>
      </c>
      <c r="H879">
        <v>51431</v>
      </c>
      <c r="I879">
        <v>534</v>
      </c>
      <c r="J879" t="s">
        <v>31</v>
      </c>
      <c r="K879" t="str">
        <f>_xlfn.XLOOKUP(datos_ventas[[#This Row],[Ciudad]],Tabla2[Ciudades],Tabla2[Provincias],"no se encuentra")</f>
        <v>Vizcaya</v>
      </c>
      <c r="L879" t="str">
        <f>_xlfn.XLOOKUP(datos_ventas[[#This Row],[Provincia]],Tabla2[Provincias],Tabla2[Comunidades],"no se encuentra")</f>
        <v>País Vasco</v>
      </c>
      <c r="M879" t="s">
        <v>13</v>
      </c>
      <c r="N879">
        <v>2</v>
      </c>
    </row>
    <row r="880" spans="1:14" x14ac:dyDescent="0.25">
      <c r="A880">
        <v>1879</v>
      </c>
      <c r="B880" s="1">
        <v>45980</v>
      </c>
      <c r="C880" s="4">
        <f>MONTH(datos_ventas[[#This Row],[Fecha]])</f>
        <v>11</v>
      </c>
      <c r="D880" s="4">
        <f>WEEKNUM(datos_ventas[[#This Row],[Fecha]],2)</f>
        <v>47</v>
      </c>
      <c r="E880" t="s">
        <v>26</v>
      </c>
      <c r="F880" t="s">
        <v>18</v>
      </c>
      <c r="G880">
        <v>3</v>
      </c>
      <c r="H880">
        <v>71286</v>
      </c>
      <c r="I880">
        <v>193</v>
      </c>
      <c r="J880" t="s">
        <v>32</v>
      </c>
      <c r="K880" t="str">
        <f>_xlfn.XLOOKUP(datos_ventas[[#This Row],[Ciudad]],Tabla2[Ciudades],Tabla2[Provincias],"no se encuentra")</f>
        <v>Barcelona</v>
      </c>
      <c r="L880" t="str">
        <f>_xlfn.XLOOKUP(datos_ventas[[#This Row],[Provincia]],Tabla2[Provincias],Tabla2[Comunidades],"no se encuentra")</f>
        <v>Cataluña</v>
      </c>
      <c r="M880" t="s">
        <v>19</v>
      </c>
      <c r="N880">
        <v>1</v>
      </c>
    </row>
    <row r="881" spans="1:14" x14ac:dyDescent="0.25">
      <c r="A881">
        <v>1880</v>
      </c>
      <c r="B881" s="1">
        <v>45773</v>
      </c>
      <c r="C881" s="4">
        <f>MONTH(datos_ventas[[#This Row],[Fecha]])</f>
        <v>4</v>
      </c>
      <c r="D881" s="4">
        <f>WEEKNUM(datos_ventas[[#This Row],[Fecha]],2)</f>
        <v>17</v>
      </c>
      <c r="E881" t="s">
        <v>24</v>
      </c>
      <c r="F881" t="s">
        <v>25</v>
      </c>
      <c r="G881">
        <v>3</v>
      </c>
      <c r="H881">
        <v>4662</v>
      </c>
      <c r="I881">
        <v>1559</v>
      </c>
      <c r="J881" t="s">
        <v>32</v>
      </c>
      <c r="K881" t="str">
        <f>_xlfn.XLOOKUP(datos_ventas[[#This Row],[Ciudad]],Tabla2[Ciudades],Tabla2[Provincias],"no se encuentra")</f>
        <v>Barcelona</v>
      </c>
      <c r="L881" t="str">
        <f>_xlfn.XLOOKUP(datos_ventas[[#This Row],[Provincia]],Tabla2[Provincias],Tabla2[Comunidades],"no se encuentra")</f>
        <v>Cataluña</v>
      </c>
      <c r="M881" t="s">
        <v>19</v>
      </c>
      <c r="N881">
        <v>1</v>
      </c>
    </row>
    <row r="882" spans="1:14" x14ac:dyDescent="0.25">
      <c r="A882">
        <v>1881</v>
      </c>
      <c r="B882" s="1">
        <v>45769</v>
      </c>
      <c r="C882" s="4">
        <f>MONTH(datos_ventas[[#This Row],[Fecha]])</f>
        <v>4</v>
      </c>
      <c r="D882" s="4">
        <f>WEEKNUM(datos_ventas[[#This Row],[Fecha]],2)</f>
        <v>17</v>
      </c>
      <c r="E882" t="s">
        <v>24</v>
      </c>
      <c r="F882" t="s">
        <v>25</v>
      </c>
      <c r="G882">
        <v>5</v>
      </c>
      <c r="H882">
        <v>44031</v>
      </c>
      <c r="I882">
        <v>2263</v>
      </c>
      <c r="J882" t="s">
        <v>27</v>
      </c>
      <c r="K882" t="str">
        <f>_xlfn.XLOOKUP(datos_ventas[[#This Row],[Ciudad]],Tabla2[Ciudades],Tabla2[Provincias],"no se encuentra")</f>
        <v>Sevilla</v>
      </c>
      <c r="L882" t="str">
        <f>_xlfn.XLOOKUP(datos_ventas[[#This Row],[Provincia]],Tabla2[Provincias],Tabla2[Comunidades],"no se encuentra")</f>
        <v>Andalucía</v>
      </c>
      <c r="M882" t="s">
        <v>28</v>
      </c>
      <c r="N882">
        <v>2</v>
      </c>
    </row>
    <row r="883" spans="1:14" x14ac:dyDescent="0.25">
      <c r="A883">
        <v>1882</v>
      </c>
      <c r="B883" s="1">
        <v>45672</v>
      </c>
      <c r="C883" s="4">
        <f>MONTH(datos_ventas[[#This Row],[Fecha]])</f>
        <v>1</v>
      </c>
      <c r="D883" s="4">
        <f>WEEKNUM(datos_ventas[[#This Row],[Fecha]],2)</f>
        <v>3</v>
      </c>
      <c r="E883" t="s">
        <v>16</v>
      </c>
      <c r="F883" t="s">
        <v>11</v>
      </c>
      <c r="G883">
        <v>2</v>
      </c>
      <c r="H883">
        <v>17144</v>
      </c>
      <c r="I883">
        <v>864</v>
      </c>
      <c r="J883" t="s">
        <v>12</v>
      </c>
      <c r="K883" t="str">
        <f>_xlfn.XLOOKUP(datos_ventas[[#This Row],[Ciudad]],Tabla2[Ciudades],Tabla2[Provincias],"no se encuentra")</f>
        <v>Málaga</v>
      </c>
      <c r="L883" t="str">
        <f>_xlfn.XLOOKUP(datos_ventas[[#This Row],[Provincia]],Tabla2[Provincias],Tabla2[Comunidades],"no se encuentra")</f>
        <v>Andalucía</v>
      </c>
      <c r="M883" t="s">
        <v>13</v>
      </c>
      <c r="N883">
        <v>3</v>
      </c>
    </row>
    <row r="884" spans="1:14" x14ac:dyDescent="0.25">
      <c r="A884">
        <v>1883</v>
      </c>
      <c r="B884" s="1">
        <v>45935</v>
      </c>
      <c r="C884" s="4">
        <f>MONTH(datos_ventas[[#This Row],[Fecha]])</f>
        <v>10</v>
      </c>
      <c r="D884" s="4">
        <f>WEEKNUM(datos_ventas[[#This Row],[Fecha]],2)</f>
        <v>40</v>
      </c>
      <c r="E884" t="s">
        <v>17</v>
      </c>
      <c r="F884" t="s">
        <v>18</v>
      </c>
      <c r="G884">
        <v>3</v>
      </c>
      <c r="H884">
        <v>87298</v>
      </c>
      <c r="I884">
        <v>3384</v>
      </c>
      <c r="J884" t="s">
        <v>27</v>
      </c>
      <c r="K884" t="str">
        <f>_xlfn.XLOOKUP(datos_ventas[[#This Row],[Ciudad]],Tabla2[Ciudades],Tabla2[Provincias],"no se encuentra")</f>
        <v>Sevilla</v>
      </c>
      <c r="L884" t="str">
        <f>_xlfn.XLOOKUP(datos_ventas[[#This Row],[Provincia]],Tabla2[Provincias],Tabla2[Comunidades],"no se encuentra")</f>
        <v>Andalucía</v>
      </c>
      <c r="M884" t="s">
        <v>28</v>
      </c>
      <c r="N884">
        <v>1</v>
      </c>
    </row>
    <row r="885" spans="1:14" x14ac:dyDescent="0.25">
      <c r="A885">
        <v>1884</v>
      </c>
      <c r="B885" s="1">
        <v>45748</v>
      </c>
      <c r="C885" s="4">
        <f>MONTH(datos_ventas[[#This Row],[Fecha]])</f>
        <v>4</v>
      </c>
      <c r="D885" s="4">
        <f>WEEKNUM(datos_ventas[[#This Row],[Fecha]],2)</f>
        <v>14</v>
      </c>
      <c r="E885" t="s">
        <v>16</v>
      </c>
      <c r="F885" t="s">
        <v>11</v>
      </c>
      <c r="G885">
        <v>3</v>
      </c>
      <c r="H885">
        <v>80384</v>
      </c>
      <c r="I885">
        <v>3383</v>
      </c>
      <c r="J885" t="s">
        <v>12</v>
      </c>
      <c r="K885" t="str">
        <f>_xlfn.XLOOKUP(datos_ventas[[#This Row],[Ciudad]],Tabla2[Ciudades],Tabla2[Provincias],"no se encuentra")</f>
        <v>Málaga</v>
      </c>
      <c r="L885" t="str">
        <f>_xlfn.XLOOKUP(datos_ventas[[#This Row],[Provincia]],Tabla2[Provincias],Tabla2[Comunidades],"no se encuentra")</f>
        <v>Andalucía</v>
      </c>
      <c r="M885" t="s">
        <v>13</v>
      </c>
      <c r="N885">
        <v>3</v>
      </c>
    </row>
    <row r="886" spans="1:14" x14ac:dyDescent="0.25">
      <c r="A886">
        <v>1885</v>
      </c>
      <c r="B886" s="1">
        <v>45969</v>
      </c>
      <c r="C886" s="4">
        <f>MONTH(datos_ventas[[#This Row],[Fecha]])</f>
        <v>11</v>
      </c>
      <c r="D886" s="4">
        <f>WEEKNUM(datos_ventas[[#This Row],[Fecha]],2)</f>
        <v>45</v>
      </c>
      <c r="E886" t="s">
        <v>24</v>
      </c>
      <c r="F886" t="s">
        <v>25</v>
      </c>
      <c r="G886">
        <v>1</v>
      </c>
      <c r="H886">
        <v>70534</v>
      </c>
      <c r="I886">
        <v>1678</v>
      </c>
      <c r="J886" t="s">
        <v>27</v>
      </c>
      <c r="K886" t="str">
        <f>_xlfn.XLOOKUP(datos_ventas[[#This Row],[Ciudad]],Tabla2[Ciudades],Tabla2[Provincias],"no se encuentra")</f>
        <v>Sevilla</v>
      </c>
      <c r="L886" t="str">
        <f>_xlfn.XLOOKUP(datos_ventas[[#This Row],[Provincia]],Tabla2[Provincias],Tabla2[Comunidades],"no se encuentra")</f>
        <v>Andalucía</v>
      </c>
      <c r="M886" t="s">
        <v>19</v>
      </c>
      <c r="N886">
        <v>2</v>
      </c>
    </row>
    <row r="887" spans="1:14" x14ac:dyDescent="0.25">
      <c r="A887">
        <v>1886</v>
      </c>
      <c r="B887" s="1">
        <v>46015</v>
      </c>
      <c r="C887" s="4">
        <f>MONTH(datos_ventas[[#This Row],[Fecha]])</f>
        <v>12</v>
      </c>
      <c r="D887" s="4">
        <f>WEEKNUM(datos_ventas[[#This Row],[Fecha]],2)</f>
        <v>52</v>
      </c>
      <c r="E887" t="s">
        <v>24</v>
      </c>
      <c r="F887" t="s">
        <v>25</v>
      </c>
      <c r="G887">
        <v>4</v>
      </c>
      <c r="H887">
        <v>27642</v>
      </c>
      <c r="I887">
        <v>992</v>
      </c>
      <c r="J887" t="s">
        <v>14</v>
      </c>
      <c r="K887" t="str">
        <f>_xlfn.XLOOKUP(datos_ventas[[#This Row],[Ciudad]],Tabla2[Ciudades],Tabla2[Provincias],"no se encuentra")</f>
        <v>Madrid</v>
      </c>
      <c r="L887" t="str">
        <f>_xlfn.XLOOKUP(datos_ventas[[#This Row],[Provincia]],Tabla2[Provincias],Tabla2[Comunidades],"no se encuentra")</f>
        <v>Comunidad de Madrid</v>
      </c>
      <c r="M887" t="s">
        <v>15</v>
      </c>
      <c r="N887">
        <v>4</v>
      </c>
    </row>
    <row r="888" spans="1:14" x14ac:dyDescent="0.25">
      <c r="A888">
        <v>1887</v>
      </c>
      <c r="B888" s="1">
        <v>45909</v>
      </c>
      <c r="C888" s="4">
        <f>MONTH(datos_ventas[[#This Row],[Fecha]])</f>
        <v>9</v>
      </c>
      <c r="D888" s="4">
        <f>WEEKNUM(datos_ventas[[#This Row],[Fecha]],2)</f>
        <v>37</v>
      </c>
      <c r="E888" t="s">
        <v>20</v>
      </c>
      <c r="F888" t="s">
        <v>21</v>
      </c>
      <c r="G888">
        <v>5</v>
      </c>
      <c r="H888">
        <v>104934</v>
      </c>
      <c r="I888">
        <v>1995</v>
      </c>
      <c r="J888" t="s">
        <v>31</v>
      </c>
      <c r="K888" t="str">
        <f>_xlfn.XLOOKUP(datos_ventas[[#This Row],[Ciudad]],Tabla2[Ciudades],Tabla2[Provincias],"no se encuentra")</f>
        <v>Vizcaya</v>
      </c>
      <c r="L888" t="str">
        <f>_xlfn.XLOOKUP(datos_ventas[[#This Row],[Provincia]],Tabla2[Provincias],Tabla2[Comunidades],"no se encuentra")</f>
        <v>País Vasco</v>
      </c>
      <c r="M888" t="s">
        <v>19</v>
      </c>
      <c r="N888">
        <v>5</v>
      </c>
    </row>
    <row r="889" spans="1:14" x14ac:dyDescent="0.25">
      <c r="A889">
        <v>1888</v>
      </c>
      <c r="B889" s="1">
        <v>45813</v>
      </c>
      <c r="C889" s="4">
        <f>MONTH(datos_ventas[[#This Row],[Fecha]])</f>
        <v>6</v>
      </c>
      <c r="D889" s="4">
        <f>WEEKNUM(datos_ventas[[#This Row],[Fecha]],2)</f>
        <v>23</v>
      </c>
      <c r="E889" t="s">
        <v>16</v>
      </c>
      <c r="F889" t="s">
        <v>11</v>
      </c>
      <c r="G889">
        <v>5</v>
      </c>
      <c r="H889">
        <v>109882</v>
      </c>
      <c r="I889">
        <v>128</v>
      </c>
      <c r="J889" t="s">
        <v>14</v>
      </c>
      <c r="K889" t="str">
        <f>_xlfn.XLOOKUP(datos_ventas[[#This Row],[Ciudad]],Tabla2[Ciudades],Tabla2[Provincias],"no se encuentra")</f>
        <v>Madrid</v>
      </c>
      <c r="L889" t="str">
        <f>_xlfn.XLOOKUP(datos_ventas[[#This Row],[Provincia]],Tabla2[Provincias],Tabla2[Comunidades],"no se encuentra")</f>
        <v>Comunidad de Madrid</v>
      </c>
      <c r="M889" t="s">
        <v>28</v>
      </c>
      <c r="N889">
        <v>1</v>
      </c>
    </row>
    <row r="890" spans="1:14" x14ac:dyDescent="0.25">
      <c r="A890">
        <v>1889</v>
      </c>
      <c r="B890" s="1">
        <v>46000</v>
      </c>
      <c r="C890" s="4">
        <f>MONTH(datos_ventas[[#This Row],[Fecha]])</f>
        <v>12</v>
      </c>
      <c r="D890" s="4">
        <f>WEEKNUM(datos_ventas[[#This Row],[Fecha]],2)</f>
        <v>50</v>
      </c>
      <c r="E890" t="s">
        <v>17</v>
      </c>
      <c r="F890" t="s">
        <v>18</v>
      </c>
      <c r="G890">
        <v>3</v>
      </c>
      <c r="H890">
        <v>118878</v>
      </c>
      <c r="I890">
        <v>2782</v>
      </c>
      <c r="J890" t="s">
        <v>31</v>
      </c>
      <c r="K890" t="str">
        <f>_xlfn.XLOOKUP(datos_ventas[[#This Row],[Ciudad]],Tabla2[Ciudades],Tabla2[Provincias],"no se encuentra")</f>
        <v>Vizcaya</v>
      </c>
      <c r="L890" t="str">
        <f>_xlfn.XLOOKUP(datos_ventas[[#This Row],[Provincia]],Tabla2[Provincias],Tabla2[Comunidades],"no se encuentra")</f>
        <v>País Vasco</v>
      </c>
      <c r="M890" t="s">
        <v>15</v>
      </c>
      <c r="N890">
        <v>4</v>
      </c>
    </row>
    <row r="891" spans="1:14" x14ac:dyDescent="0.25">
      <c r="A891">
        <v>1890</v>
      </c>
      <c r="B891" s="1">
        <v>45912</v>
      </c>
      <c r="C891" s="4">
        <f>MONTH(datos_ventas[[#This Row],[Fecha]])</f>
        <v>9</v>
      </c>
      <c r="D891" s="4">
        <f>WEEKNUM(datos_ventas[[#This Row],[Fecha]],2)</f>
        <v>37</v>
      </c>
      <c r="E891" t="s">
        <v>23</v>
      </c>
      <c r="F891" t="s">
        <v>18</v>
      </c>
      <c r="G891">
        <v>4</v>
      </c>
      <c r="H891">
        <v>3329</v>
      </c>
      <c r="I891">
        <v>881</v>
      </c>
      <c r="J891" t="s">
        <v>14</v>
      </c>
      <c r="K891" t="str">
        <f>_xlfn.XLOOKUP(datos_ventas[[#This Row],[Ciudad]],Tabla2[Ciudades],Tabla2[Provincias],"no se encuentra")</f>
        <v>Madrid</v>
      </c>
      <c r="L891" t="str">
        <f>_xlfn.XLOOKUP(datos_ventas[[#This Row],[Provincia]],Tabla2[Provincias],Tabla2[Comunidades],"no se encuentra")</f>
        <v>Comunidad de Madrid</v>
      </c>
      <c r="M891" t="s">
        <v>13</v>
      </c>
      <c r="N891">
        <v>5</v>
      </c>
    </row>
    <row r="892" spans="1:14" x14ac:dyDescent="0.25">
      <c r="A892">
        <v>1891</v>
      </c>
      <c r="B892" s="1">
        <v>45672</v>
      </c>
      <c r="C892" s="4">
        <f>MONTH(datos_ventas[[#This Row],[Fecha]])</f>
        <v>1</v>
      </c>
      <c r="D892" s="4">
        <f>WEEKNUM(datos_ventas[[#This Row],[Fecha]],2)</f>
        <v>3</v>
      </c>
      <c r="E892" t="s">
        <v>26</v>
      </c>
      <c r="F892" t="s">
        <v>18</v>
      </c>
      <c r="G892">
        <v>3</v>
      </c>
      <c r="H892">
        <v>32898</v>
      </c>
      <c r="I892">
        <v>247</v>
      </c>
      <c r="J892" t="s">
        <v>12</v>
      </c>
      <c r="K892" t="str">
        <f>_xlfn.XLOOKUP(datos_ventas[[#This Row],[Ciudad]],Tabla2[Ciudades],Tabla2[Provincias],"no se encuentra")</f>
        <v>Málaga</v>
      </c>
      <c r="L892" t="str">
        <f>_xlfn.XLOOKUP(datos_ventas[[#This Row],[Provincia]],Tabla2[Provincias],Tabla2[Comunidades],"no se encuentra")</f>
        <v>Andalucía</v>
      </c>
      <c r="M892" t="s">
        <v>15</v>
      </c>
      <c r="N892">
        <v>1</v>
      </c>
    </row>
    <row r="893" spans="1:14" x14ac:dyDescent="0.25">
      <c r="A893">
        <v>1892</v>
      </c>
      <c r="B893" s="1">
        <v>45764</v>
      </c>
      <c r="C893" s="4">
        <f>MONTH(datos_ventas[[#This Row],[Fecha]])</f>
        <v>4</v>
      </c>
      <c r="D893" s="4">
        <f>WEEKNUM(datos_ventas[[#This Row],[Fecha]],2)</f>
        <v>16</v>
      </c>
      <c r="E893" t="s">
        <v>24</v>
      </c>
      <c r="F893" t="s">
        <v>25</v>
      </c>
      <c r="G893">
        <v>5</v>
      </c>
      <c r="H893">
        <v>111787</v>
      </c>
      <c r="I893">
        <v>969</v>
      </c>
      <c r="J893" t="s">
        <v>27</v>
      </c>
      <c r="K893" t="str">
        <f>_xlfn.XLOOKUP(datos_ventas[[#This Row],[Ciudad]],Tabla2[Ciudades],Tabla2[Provincias],"no se encuentra")</f>
        <v>Sevilla</v>
      </c>
      <c r="L893" t="str">
        <f>_xlfn.XLOOKUP(datos_ventas[[#This Row],[Provincia]],Tabla2[Provincias],Tabla2[Comunidades],"no se encuentra")</f>
        <v>Andalucía</v>
      </c>
      <c r="M893" t="s">
        <v>15</v>
      </c>
      <c r="N893">
        <v>2</v>
      </c>
    </row>
    <row r="894" spans="1:14" x14ac:dyDescent="0.25">
      <c r="A894">
        <v>1893</v>
      </c>
      <c r="B894" s="1">
        <v>45999</v>
      </c>
      <c r="C894" s="4">
        <f>MONTH(datos_ventas[[#This Row],[Fecha]])</f>
        <v>12</v>
      </c>
      <c r="D894" s="4">
        <f>WEEKNUM(datos_ventas[[#This Row],[Fecha]],2)</f>
        <v>50</v>
      </c>
      <c r="E894" t="s">
        <v>17</v>
      </c>
      <c r="F894" t="s">
        <v>18</v>
      </c>
      <c r="G894">
        <v>3</v>
      </c>
      <c r="H894">
        <v>80826</v>
      </c>
      <c r="I894">
        <v>2362</v>
      </c>
      <c r="J894" t="s">
        <v>31</v>
      </c>
      <c r="K894" t="str">
        <f>_xlfn.XLOOKUP(datos_ventas[[#This Row],[Ciudad]],Tabla2[Ciudades],Tabla2[Provincias],"no se encuentra")</f>
        <v>Vizcaya</v>
      </c>
      <c r="L894" t="str">
        <f>_xlfn.XLOOKUP(datos_ventas[[#This Row],[Provincia]],Tabla2[Provincias],Tabla2[Comunidades],"no se encuentra")</f>
        <v>País Vasco</v>
      </c>
      <c r="M894" t="s">
        <v>28</v>
      </c>
      <c r="N894">
        <v>2</v>
      </c>
    </row>
    <row r="895" spans="1:14" x14ac:dyDescent="0.25">
      <c r="A895">
        <v>1894</v>
      </c>
      <c r="B895" s="1">
        <v>45821</v>
      </c>
      <c r="C895" s="4">
        <f>MONTH(datos_ventas[[#This Row],[Fecha]])</f>
        <v>6</v>
      </c>
      <c r="D895" s="4">
        <f>WEEKNUM(datos_ventas[[#This Row],[Fecha]],2)</f>
        <v>24</v>
      </c>
      <c r="E895" t="s">
        <v>17</v>
      </c>
      <c r="F895" t="s">
        <v>18</v>
      </c>
      <c r="G895">
        <v>3</v>
      </c>
      <c r="H895">
        <v>105997</v>
      </c>
      <c r="I895">
        <v>1317</v>
      </c>
      <c r="J895" t="s">
        <v>31</v>
      </c>
      <c r="K895" t="str">
        <f>_xlfn.XLOOKUP(datos_ventas[[#This Row],[Ciudad]],Tabla2[Ciudades],Tabla2[Provincias],"no se encuentra")</f>
        <v>Vizcaya</v>
      </c>
      <c r="L895" t="str">
        <f>_xlfn.XLOOKUP(datos_ventas[[#This Row],[Provincia]],Tabla2[Provincias],Tabla2[Comunidades],"no se encuentra")</f>
        <v>País Vasco</v>
      </c>
      <c r="M895" t="s">
        <v>13</v>
      </c>
      <c r="N895">
        <v>5</v>
      </c>
    </row>
    <row r="896" spans="1:14" x14ac:dyDescent="0.25">
      <c r="A896">
        <v>1895</v>
      </c>
      <c r="B896" s="1">
        <v>45738</v>
      </c>
      <c r="C896" s="4">
        <f>MONTH(datos_ventas[[#This Row],[Fecha]])</f>
        <v>3</v>
      </c>
      <c r="D896" s="4">
        <f>WEEKNUM(datos_ventas[[#This Row],[Fecha]],2)</f>
        <v>12</v>
      </c>
      <c r="E896" t="s">
        <v>17</v>
      </c>
      <c r="F896" t="s">
        <v>18</v>
      </c>
      <c r="G896">
        <v>1</v>
      </c>
      <c r="H896">
        <v>53005</v>
      </c>
      <c r="I896">
        <v>585</v>
      </c>
      <c r="J896" t="s">
        <v>27</v>
      </c>
      <c r="K896" t="str">
        <f>_xlfn.XLOOKUP(datos_ventas[[#This Row],[Ciudad]],Tabla2[Ciudades],Tabla2[Provincias],"no se encuentra")</f>
        <v>Sevilla</v>
      </c>
      <c r="L896" t="str">
        <f>_xlfn.XLOOKUP(datos_ventas[[#This Row],[Provincia]],Tabla2[Provincias],Tabla2[Comunidades],"no se encuentra")</f>
        <v>Andalucía</v>
      </c>
      <c r="M896" t="s">
        <v>15</v>
      </c>
      <c r="N896">
        <v>4</v>
      </c>
    </row>
    <row r="897" spans="1:14" x14ac:dyDescent="0.25">
      <c r="A897">
        <v>1896</v>
      </c>
      <c r="B897" s="1">
        <v>45924</v>
      </c>
      <c r="C897" s="4">
        <f>MONTH(datos_ventas[[#This Row],[Fecha]])</f>
        <v>9</v>
      </c>
      <c r="D897" s="4">
        <f>WEEKNUM(datos_ventas[[#This Row],[Fecha]],2)</f>
        <v>39</v>
      </c>
      <c r="E897" t="s">
        <v>16</v>
      </c>
      <c r="F897" t="s">
        <v>11</v>
      </c>
      <c r="G897">
        <v>4</v>
      </c>
      <c r="H897">
        <v>57972</v>
      </c>
      <c r="I897">
        <v>3238</v>
      </c>
      <c r="J897" t="s">
        <v>32</v>
      </c>
      <c r="K897" t="str">
        <f>_xlfn.XLOOKUP(datos_ventas[[#This Row],[Ciudad]],Tabla2[Ciudades],Tabla2[Provincias],"no se encuentra")</f>
        <v>Barcelona</v>
      </c>
      <c r="L897" t="str">
        <f>_xlfn.XLOOKUP(datos_ventas[[#This Row],[Provincia]],Tabla2[Provincias],Tabla2[Comunidades],"no se encuentra")</f>
        <v>Cataluña</v>
      </c>
      <c r="M897" t="s">
        <v>28</v>
      </c>
      <c r="N897">
        <v>5</v>
      </c>
    </row>
    <row r="898" spans="1:14" x14ac:dyDescent="0.25">
      <c r="A898">
        <v>1897</v>
      </c>
      <c r="B898" s="1">
        <v>45770</v>
      </c>
      <c r="C898" s="4">
        <f>MONTH(datos_ventas[[#This Row],[Fecha]])</f>
        <v>4</v>
      </c>
      <c r="D898" s="4">
        <f>WEEKNUM(datos_ventas[[#This Row],[Fecha]],2)</f>
        <v>17</v>
      </c>
      <c r="E898" t="s">
        <v>24</v>
      </c>
      <c r="F898" t="s">
        <v>25</v>
      </c>
      <c r="G898">
        <v>2</v>
      </c>
      <c r="H898">
        <v>115626</v>
      </c>
      <c r="I898">
        <v>1923</v>
      </c>
      <c r="J898" t="s">
        <v>22</v>
      </c>
      <c r="K898" t="str">
        <f>_xlfn.XLOOKUP(datos_ventas[[#This Row],[Ciudad]],Tabla2[Ciudades],Tabla2[Provincias],"no se encuentra")</f>
        <v>Valencia</v>
      </c>
      <c r="L898" t="str">
        <f>_xlfn.XLOOKUP(datos_ventas[[#This Row],[Provincia]],Tabla2[Provincias],Tabla2[Comunidades],"no se encuentra")</f>
        <v>Comunidad Valenciana</v>
      </c>
      <c r="M898" t="s">
        <v>19</v>
      </c>
      <c r="N898">
        <v>2</v>
      </c>
    </row>
    <row r="899" spans="1:14" x14ac:dyDescent="0.25">
      <c r="A899">
        <v>1898</v>
      </c>
      <c r="B899" s="1">
        <v>45994</v>
      </c>
      <c r="C899" s="4">
        <f>MONTH(datos_ventas[[#This Row],[Fecha]])</f>
        <v>12</v>
      </c>
      <c r="D899" s="4">
        <f>WEEKNUM(datos_ventas[[#This Row],[Fecha]],2)</f>
        <v>49</v>
      </c>
      <c r="E899" t="s">
        <v>23</v>
      </c>
      <c r="F899" t="s">
        <v>18</v>
      </c>
      <c r="G899">
        <v>3</v>
      </c>
      <c r="H899">
        <v>5494</v>
      </c>
      <c r="I899">
        <v>2328</v>
      </c>
      <c r="J899" t="s">
        <v>31</v>
      </c>
      <c r="K899" t="str">
        <f>_xlfn.XLOOKUP(datos_ventas[[#This Row],[Ciudad]],Tabla2[Ciudades],Tabla2[Provincias],"no se encuentra")</f>
        <v>Vizcaya</v>
      </c>
      <c r="L899" t="str">
        <f>_xlfn.XLOOKUP(datos_ventas[[#This Row],[Provincia]],Tabla2[Provincias],Tabla2[Comunidades],"no se encuentra")</f>
        <v>País Vasco</v>
      </c>
      <c r="M899" t="s">
        <v>19</v>
      </c>
      <c r="N899">
        <v>5</v>
      </c>
    </row>
    <row r="900" spans="1:14" x14ac:dyDescent="0.25">
      <c r="A900">
        <v>1899</v>
      </c>
      <c r="B900" s="1">
        <v>45788</v>
      </c>
      <c r="C900" s="4">
        <f>MONTH(datos_ventas[[#This Row],[Fecha]])</f>
        <v>5</v>
      </c>
      <c r="D900" s="4">
        <f>WEEKNUM(datos_ventas[[#This Row],[Fecha]],2)</f>
        <v>19</v>
      </c>
      <c r="E900" t="s">
        <v>24</v>
      </c>
      <c r="F900" t="s">
        <v>25</v>
      </c>
      <c r="G900">
        <v>5</v>
      </c>
      <c r="H900">
        <v>8181</v>
      </c>
      <c r="I900">
        <v>3202</v>
      </c>
      <c r="J900" t="s">
        <v>22</v>
      </c>
      <c r="K900" t="str">
        <f>_xlfn.XLOOKUP(datos_ventas[[#This Row],[Ciudad]],Tabla2[Ciudades],Tabla2[Provincias],"no se encuentra")</f>
        <v>Valencia</v>
      </c>
      <c r="L900" t="str">
        <f>_xlfn.XLOOKUP(datos_ventas[[#This Row],[Provincia]],Tabla2[Provincias],Tabla2[Comunidades],"no se encuentra")</f>
        <v>Comunidad Valenciana</v>
      </c>
      <c r="M900" t="s">
        <v>19</v>
      </c>
      <c r="N900">
        <v>3</v>
      </c>
    </row>
    <row r="901" spans="1:14" x14ac:dyDescent="0.25">
      <c r="A901">
        <v>1900</v>
      </c>
      <c r="B901" s="1">
        <v>45994</v>
      </c>
      <c r="C901" s="4">
        <f>MONTH(datos_ventas[[#This Row],[Fecha]])</f>
        <v>12</v>
      </c>
      <c r="D901" s="4">
        <f>WEEKNUM(datos_ventas[[#This Row],[Fecha]],2)</f>
        <v>49</v>
      </c>
      <c r="E901" t="s">
        <v>16</v>
      </c>
      <c r="F901" t="s">
        <v>11</v>
      </c>
      <c r="G901">
        <v>3</v>
      </c>
      <c r="H901">
        <v>5638</v>
      </c>
      <c r="I901">
        <v>4683</v>
      </c>
      <c r="J901" t="s">
        <v>31</v>
      </c>
      <c r="K901" t="str">
        <f>_xlfn.XLOOKUP(datos_ventas[[#This Row],[Ciudad]],Tabla2[Ciudades],Tabla2[Provincias],"no se encuentra")</f>
        <v>Vizcaya</v>
      </c>
      <c r="L901" t="str">
        <f>_xlfn.XLOOKUP(datos_ventas[[#This Row],[Provincia]],Tabla2[Provincias],Tabla2[Comunidades],"no se encuentra")</f>
        <v>País Vasco</v>
      </c>
      <c r="M901" t="s">
        <v>13</v>
      </c>
      <c r="N901">
        <v>2</v>
      </c>
    </row>
    <row r="902" spans="1:14" x14ac:dyDescent="0.25">
      <c r="A902">
        <v>1901</v>
      </c>
      <c r="B902" s="1">
        <v>45878</v>
      </c>
      <c r="C902" s="4">
        <f>MONTH(datos_ventas[[#This Row],[Fecha]])</f>
        <v>8</v>
      </c>
      <c r="D902" s="4">
        <f>WEEKNUM(datos_ventas[[#This Row],[Fecha]],2)</f>
        <v>32</v>
      </c>
      <c r="E902" t="s">
        <v>29</v>
      </c>
      <c r="F902" t="s">
        <v>30</v>
      </c>
      <c r="G902">
        <v>2</v>
      </c>
      <c r="H902">
        <v>59828</v>
      </c>
      <c r="I902">
        <v>4902</v>
      </c>
      <c r="J902" t="s">
        <v>31</v>
      </c>
      <c r="K902" t="str">
        <f>_xlfn.XLOOKUP(datos_ventas[[#This Row],[Ciudad]],Tabla2[Ciudades],Tabla2[Provincias],"no se encuentra")</f>
        <v>Vizcaya</v>
      </c>
      <c r="L902" t="str">
        <f>_xlfn.XLOOKUP(datos_ventas[[#This Row],[Provincia]],Tabla2[Provincias],Tabla2[Comunidades],"no se encuentra")</f>
        <v>País Vasco</v>
      </c>
      <c r="M902" t="s">
        <v>28</v>
      </c>
      <c r="N902">
        <v>4</v>
      </c>
    </row>
    <row r="903" spans="1:14" x14ac:dyDescent="0.25">
      <c r="A903">
        <v>1902</v>
      </c>
      <c r="B903" s="1">
        <v>45947</v>
      </c>
      <c r="C903" s="4">
        <f>MONTH(datos_ventas[[#This Row],[Fecha]])</f>
        <v>10</v>
      </c>
      <c r="D903" s="4">
        <f>WEEKNUM(datos_ventas[[#This Row],[Fecha]],2)</f>
        <v>42</v>
      </c>
      <c r="E903" t="s">
        <v>26</v>
      </c>
      <c r="F903" t="s">
        <v>18</v>
      </c>
      <c r="G903">
        <v>3</v>
      </c>
      <c r="H903">
        <v>14035</v>
      </c>
      <c r="I903">
        <v>374</v>
      </c>
      <c r="J903" t="s">
        <v>14</v>
      </c>
      <c r="K903" t="str">
        <f>_xlfn.XLOOKUP(datos_ventas[[#This Row],[Ciudad]],Tabla2[Ciudades],Tabla2[Provincias],"no se encuentra")</f>
        <v>Madrid</v>
      </c>
      <c r="L903" t="str">
        <f>_xlfn.XLOOKUP(datos_ventas[[#This Row],[Provincia]],Tabla2[Provincias],Tabla2[Comunidades],"no se encuentra")</f>
        <v>Comunidad de Madrid</v>
      </c>
      <c r="M903" t="s">
        <v>15</v>
      </c>
      <c r="N903">
        <v>1</v>
      </c>
    </row>
    <row r="904" spans="1:14" x14ac:dyDescent="0.25">
      <c r="A904">
        <v>1903</v>
      </c>
      <c r="B904" s="1">
        <v>45685</v>
      </c>
      <c r="C904" s="4">
        <f>MONTH(datos_ventas[[#This Row],[Fecha]])</f>
        <v>1</v>
      </c>
      <c r="D904" s="4">
        <f>WEEKNUM(datos_ventas[[#This Row],[Fecha]],2)</f>
        <v>5</v>
      </c>
      <c r="E904" t="s">
        <v>16</v>
      </c>
      <c r="F904" t="s">
        <v>11</v>
      </c>
      <c r="G904">
        <v>5</v>
      </c>
      <c r="H904">
        <v>65388</v>
      </c>
      <c r="I904">
        <v>2764</v>
      </c>
      <c r="J904" t="s">
        <v>27</v>
      </c>
      <c r="K904" t="str">
        <f>_xlfn.XLOOKUP(datos_ventas[[#This Row],[Ciudad]],Tabla2[Ciudades],Tabla2[Provincias],"no se encuentra")</f>
        <v>Sevilla</v>
      </c>
      <c r="L904" t="str">
        <f>_xlfn.XLOOKUP(datos_ventas[[#This Row],[Provincia]],Tabla2[Provincias],Tabla2[Comunidades],"no se encuentra")</f>
        <v>Andalucía</v>
      </c>
      <c r="M904" t="s">
        <v>28</v>
      </c>
      <c r="N904">
        <v>1</v>
      </c>
    </row>
    <row r="905" spans="1:14" x14ac:dyDescent="0.25">
      <c r="A905">
        <v>1904</v>
      </c>
      <c r="B905" s="1">
        <v>45665</v>
      </c>
      <c r="C905" s="4">
        <f>MONTH(datos_ventas[[#This Row],[Fecha]])</f>
        <v>1</v>
      </c>
      <c r="D905" s="4">
        <f>WEEKNUM(datos_ventas[[#This Row],[Fecha]],2)</f>
        <v>2</v>
      </c>
      <c r="E905" t="s">
        <v>20</v>
      </c>
      <c r="F905" t="s">
        <v>21</v>
      </c>
      <c r="G905">
        <v>5</v>
      </c>
      <c r="H905">
        <v>105668</v>
      </c>
      <c r="I905">
        <v>1562</v>
      </c>
      <c r="J905" t="s">
        <v>22</v>
      </c>
      <c r="K905" t="str">
        <f>_xlfn.XLOOKUP(datos_ventas[[#This Row],[Ciudad]],Tabla2[Ciudades],Tabla2[Provincias],"no se encuentra")</f>
        <v>Valencia</v>
      </c>
      <c r="L905" t="str">
        <f>_xlfn.XLOOKUP(datos_ventas[[#This Row],[Provincia]],Tabla2[Provincias],Tabla2[Comunidades],"no se encuentra")</f>
        <v>Comunidad Valenciana</v>
      </c>
      <c r="M905" t="s">
        <v>13</v>
      </c>
      <c r="N905">
        <v>5</v>
      </c>
    </row>
    <row r="906" spans="1:14" x14ac:dyDescent="0.25">
      <c r="A906">
        <v>1905</v>
      </c>
      <c r="B906" s="1">
        <v>45788</v>
      </c>
      <c r="C906" s="4">
        <f>MONTH(datos_ventas[[#This Row],[Fecha]])</f>
        <v>5</v>
      </c>
      <c r="D906" s="4">
        <f>WEEKNUM(datos_ventas[[#This Row],[Fecha]],2)</f>
        <v>19</v>
      </c>
      <c r="E906" t="s">
        <v>24</v>
      </c>
      <c r="F906" t="s">
        <v>25</v>
      </c>
      <c r="G906">
        <v>4</v>
      </c>
      <c r="H906">
        <v>99061</v>
      </c>
      <c r="I906">
        <v>4437</v>
      </c>
      <c r="J906" t="s">
        <v>14</v>
      </c>
      <c r="K906" t="str">
        <f>_xlfn.XLOOKUP(datos_ventas[[#This Row],[Ciudad]],Tabla2[Ciudades],Tabla2[Provincias],"no se encuentra")</f>
        <v>Madrid</v>
      </c>
      <c r="L906" t="str">
        <f>_xlfn.XLOOKUP(datos_ventas[[#This Row],[Provincia]],Tabla2[Provincias],Tabla2[Comunidades],"no se encuentra")</f>
        <v>Comunidad de Madrid</v>
      </c>
      <c r="M906" t="s">
        <v>15</v>
      </c>
      <c r="N906">
        <v>2</v>
      </c>
    </row>
    <row r="907" spans="1:14" x14ac:dyDescent="0.25">
      <c r="A907">
        <v>1906</v>
      </c>
      <c r="B907" s="1">
        <v>45823</v>
      </c>
      <c r="C907" s="4">
        <f>MONTH(datos_ventas[[#This Row],[Fecha]])</f>
        <v>6</v>
      </c>
      <c r="D907" s="4">
        <f>WEEKNUM(datos_ventas[[#This Row],[Fecha]],2)</f>
        <v>24</v>
      </c>
      <c r="E907" t="s">
        <v>16</v>
      </c>
      <c r="F907" t="s">
        <v>11</v>
      </c>
      <c r="G907">
        <v>5</v>
      </c>
      <c r="H907">
        <v>10365</v>
      </c>
      <c r="I907">
        <v>1303</v>
      </c>
      <c r="J907" t="s">
        <v>32</v>
      </c>
      <c r="K907" t="str">
        <f>_xlfn.XLOOKUP(datos_ventas[[#This Row],[Ciudad]],Tabla2[Ciudades],Tabla2[Provincias],"no se encuentra")</f>
        <v>Barcelona</v>
      </c>
      <c r="L907" t="str">
        <f>_xlfn.XLOOKUP(datos_ventas[[#This Row],[Provincia]],Tabla2[Provincias],Tabla2[Comunidades],"no se encuentra")</f>
        <v>Cataluña</v>
      </c>
      <c r="M907" t="s">
        <v>15</v>
      </c>
      <c r="N907">
        <v>5</v>
      </c>
    </row>
    <row r="908" spans="1:14" x14ac:dyDescent="0.25">
      <c r="A908">
        <v>1907</v>
      </c>
      <c r="B908" s="1">
        <v>45979</v>
      </c>
      <c r="C908" s="4">
        <f>MONTH(datos_ventas[[#This Row],[Fecha]])</f>
        <v>11</v>
      </c>
      <c r="D908" s="4">
        <f>WEEKNUM(datos_ventas[[#This Row],[Fecha]],2)</f>
        <v>47</v>
      </c>
      <c r="E908" t="s">
        <v>20</v>
      </c>
      <c r="F908" t="s">
        <v>21</v>
      </c>
      <c r="G908">
        <v>5</v>
      </c>
      <c r="H908">
        <v>6404</v>
      </c>
      <c r="I908">
        <v>3297</v>
      </c>
      <c r="J908" t="s">
        <v>27</v>
      </c>
      <c r="K908" t="str">
        <f>_xlfn.XLOOKUP(datos_ventas[[#This Row],[Ciudad]],Tabla2[Ciudades],Tabla2[Provincias],"no se encuentra")</f>
        <v>Sevilla</v>
      </c>
      <c r="L908" t="str">
        <f>_xlfn.XLOOKUP(datos_ventas[[#This Row],[Provincia]],Tabla2[Provincias],Tabla2[Comunidades],"no se encuentra")</f>
        <v>Andalucía</v>
      </c>
      <c r="M908" t="s">
        <v>28</v>
      </c>
      <c r="N908">
        <v>3</v>
      </c>
    </row>
    <row r="909" spans="1:14" x14ac:dyDescent="0.25">
      <c r="A909">
        <v>1908</v>
      </c>
      <c r="B909" s="1">
        <v>45773</v>
      </c>
      <c r="C909" s="4">
        <f>MONTH(datos_ventas[[#This Row],[Fecha]])</f>
        <v>4</v>
      </c>
      <c r="D909" s="4">
        <f>WEEKNUM(datos_ventas[[#This Row],[Fecha]],2)</f>
        <v>17</v>
      </c>
      <c r="E909" t="s">
        <v>20</v>
      </c>
      <c r="F909" t="s">
        <v>21</v>
      </c>
      <c r="G909">
        <v>3</v>
      </c>
      <c r="H909">
        <v>43182</v>
      </c>
      <c r="I909">
        <v>4931</v>
      </c>
      <c r="J909" t="s">
        <v>31</v>
      </c>
      <c r="K909" t="str">
        <f>_xlfn.XLOOKUP(datos_ventas[[#This Row],[Ciudad]],Tabla2[Ciudades],Tabla2[Provincias],"no se encuentra")</f>
        <v>Vizcaya</v>
      </c>
      <c r="L909" t="str">
        <f>_xlfn.XLOOKUP(datos_ventas[[#This Row],[Provincia]],Tabla2[Provincias],Tabla2[Comunidades],"no se encuentra")</f>
        <v>País Vasco</v>
      </c>
      <c r="M909" t="s">
        <v>19</v>
      </c>
      <c r="N909">
        <v>5</v>
      </c>
    </row>
    <row r="910" spans="1:14" x14ac:dyDescent="0.25">
      <c r="A910">
        <v>1909</v>
      </c>
      <c r="B910" s="1">
        <v>45694</v>
      </c>
      <c r="C910" s="4">
        <f>MONTH(datos_ventas[[#This Row],[Fecha]])</f>
        <v>2</v>
      </c>
      <c r="D910" s="4">
        <f>WEEKNUM(datos_ventas[[#This Row],[Fecha]],2)</f>
        <v>6</v>
      </c>
      <c r="E910" t="s">
        <v>20</v>
      </c>
      <c r="F910" t="s">
        <v>21</v>
      </c>
      <c r="G910">
        <v>5</v>
      </c>
      <c r="H910">
        <v>38878</v>
      </c>
      <c r="I910">
        <v>341</v>
      </c>
      <c r="J910" t="s">
        <v>14</v>
      </c>
      <c r="K910" t="str">
        <f>_xlfn.XLOOKUP(datos_ventas[[#This Row],[Ciudad]],Tabla2[Ciudades],Tabla2[Provincias],"no se encuentra")</f>
        <v>Madrid</v>
      </c>
      <c r="L910" t="str">
        <f>_xlfn.XLOOKUP(datos_ventas[[#This Row],[Provincia]],Tabla2[Provincias],Tabla2[Comunidades],"no se encuentra")</f>
        <v>Comunidad de Madrid</v>
      </c>
      <c r="M910" t="s">
        <v>28</v>
      </c>
      <c r="N910">
        <v>2</v>
      </c>
    </row>
    <row r="911" spans="1:14" x14ac:dyDescent="0.25">
      <c r="A911">
        <v>1910</v>
      </c>
      <c r="B911" s="1">
        <v>45850</v>
      </c>
      <c r="C911" s="4">
        <f>MONTH(datos_ventas[[#This Row],[Fecha]])</f>
        <v>7</v>
      </c>
      <c r="D911" s="4">
        <f>WEEKNUM(datos_ventas[[#This Row],[Fecha]],2)</f>
        <v>28</v>
      </c>
      <c r="E911" t="s">
        <v>24</v>
      </c>
      <c r="F911" t="s">
        <v>25</v>
      </c>
      <c r="G911">
        <v>1</v>
      </c>
      <c r="H911">
        <v>103356</v>
      </c>
      <c r="I911">
        <v>4475</v>
      </c>
      <c r="J911" t="s">
        <v>27</v>
      </c>
      <c r="K911" t="str">
        <f>_xlfn.XLOOKUP(datos_ventas[[#This Row],[Ciudad]],Tabla2[Ciudades],Tabla2[Provincias],"no se encuentra")</f>
        <v>Sevilla</v>
      </c>
      <c r="L911" t="str">
        <f>_xlfn.XLOOKUP(datos_ventas[[#This Row],[Provincia]],Tabla2[Provincias],Tabla2[Comunidades],"no se encuentra")</f>
        <v>Andalucía</v>
      </c>
      <c r="M911" t="s">
        <v>19</v>
      </c>
      <c r="N911">
        <v>1</v>
      </c>
    </row>
    <row r="912" spans="1:14" x14ac:dyDescent="0.25">
      <c r="A912">
        <v>1911</v>
      </c>
      <c r="B912" s="1">
        <v>45704</v>
      </c>
      <c r="C912" s="4">
        <f>MONTH(datos_ventas[[#This Row],[Fecha]])</f>
        <v>2</v>
      </c>
      <c r="D912" s="4">
        <f>WEEKNUM(datos_ventas[[#This Row],[Fecha]],2)</f>
        <v>7</v>
      </c>
      <c r="E912" t="s">
        <v>26</v>
      </c>
      <c r="F912" t="s">
        <v>18</v>
      </c>
      <c r="G912">
        <v>2</v>
      </c>
      <c r="H912">
        <v>43062</v>
      </c>
      <c r="I912">
        <v>241</v>
      </c>
      <c r="J912" t="s">
        <v>12</v>
      </c>
      <c r="K912" t="str">
        <f>_xlfn.XLOOKUP(datos_ventas[[#This Row],[Ciudad]],Tabla2[Ciudades],Tabla2[Provincias],"no se encuentra")</f>
        <v>Málaga</v>
      </c>
      <c r="L912" t="str">
        <f>_xlfn.XLOOKUP(datos_ventas[[#This Row],[Provincia]],Tabla2[Provincias],Tabla2[Comunidades],"no se encuentra")</f>
        <v>Andalucía</v>
      </c>
      <c r="M912" t="s">
        <v>15</v>
      </c>
      <c r="N912">
        <v>4</v>
      </c>
    </row>
    <row r="913" spans="1:14" x14ac:dyDescent="0.25">
      <c r="A913">
        <v>1912</v>
      </c>
      <c r="B913" s="1">
        <v>46015</v>
      </c>
      <c r="C913" s="4">
        <f>MONTH(datos_ventas[[#This Row],[Fecha]])</f>
        <v>12</v>
      </c>
      <c r="D913" s="4">
        <f>WEEKNUM(datos_ventas[[#This Row],[Fecha]],2)</f>
        <v>52</v>
      </c>
      <c r="E913" t="s">
        <v>24</v>
      </c>
      <c r="F913" t="s">
        <v>25</v>
      </c>
      <c r="G913">
        <v>5</v>
      </c>
      <c r="H913">
        <v>14554</v>
      </c>
      <c r="I913">
        <v>3075</v>
      </c>
      <c r="J913" t="s">
        <v>12</v>
      </c>
      <c r="K913" t="str">
        <f>_xlfn.XLOOKUP(datos_ventas[[#This Row],[Ciudad]],Tabla2[Ciudades],Tabla2[Provincias],"no se encuentra")</f>
        <v>Málaga</v>
      </c>
      <c r="L913" t="str">
        <f>_xlfn.XLOOKUP(datos_ventas[[#This Row],[Provincia]],Tabla2[Provincias],Tabla2[Comunidades],"no se encuentra")</f>
        <v>Andalucía</v>
      </c>
      <c r="M913" t="s">
        <v>13</v>
      </c>
      <c r="N913">
        <v>1</v>
      </c>
    </row>
    <row r="914" spans="1:14" x14ac:dyDescent="0.25">
      <c r="A914">
        <v>1913</v>
      </c>
      <c r="B914" s="1">
        <v>45992</v>
      </c>
      <c r="C914" s="4">
        <f>MONTH(datos_ventas[[#This Row],[Fecha]])</f>
        <v>12</v>
      </c>
      <c r="D914" s="4">
        <f>WEEKNUM(datos_ventas[[#This Row],[Fecha]],2)</f>
        <v>49</v>
      </c>
      <c r="E914" t="s">
        <v>20</v>
      </c>
      <c r="F914" t="s">
        <v>21</v>
      </c>
      <c r="G914">
        <v>5</v>
      </c>
      <c r="H914">
        <v>97915</v>
      </c>
      <c r="I914">
        <v>4233</v>
      </c>
      <c r="J914" t="s">
        <v>27</v>
      </c>
      <c r="K914" t="str">
        <f>_xlfn.XLOOKUP(datos_ventas[[#This Row],[Ciudad]],Tabla2[Ciudades],Tabla2[Provincias],"no se encuentra")</f>
        <v>Sevilla</v>
      </c>
      <c r="L914" t="str">
        <f>_xlfn.XLOOKUP(datos_ventas[[#This Row],[Provincia]],Tabla2[Provincias],Tabla2[Comunidades],"no se encuentra")</f>
        <v>Andalucía</v>
      </c>
      <c r="M914" t="s">
        <v>15</v>
      </c>
      <c r="N914">
        <v>5</v>
      </c>
    </row>
    <row r="915" spans="1:14" x14ac:dyDescent="0.25">
      <c r="A915">
        <v>1914</v>
      </c>
      <c r="B915" s="1">
        <v>45756</v>
      </c>
      <c r="C915" s="4">
        <f>MONTH(datos_ventas[[#This Row],[Fecha]])</f>
        <v>4</v>
      </c>
      <c r="D915" s="4">
        <f>WEEKNUM(datos_ventas[[#This Row],[Fecha]],2)</f>
        <v>15</v>
      </c>
      <c r="E915" t="s">
        <v>20</v>
      </c>
      <c r="F915" t="s">
        <v>21</v>
      </c>
      <c r="G915">
        <v>4</v>
      </c>
      <c r="H915">
        <v>49313</v>
      </c>
      <c r="I915">
        <v>1645</v>
      </c>
      <c r="J915" t="s">
        <v>31</v>
      </c>
      <c r="K915" t="str">
        <f>_xlfn.XLOOKUP(datos_ventas[[#This Row],[Ciudad]],Tabla2[Ciudades],Tabla2[Provincias],"no se encuentra")</f>
        <v>Vizcaya</v>
      </c>
      <c r="L915" t="str">
        <f>_xlfn.XLOOKUP(datos_ventas[[#This Row],[Provincia]],Tabla2[Provincias],Tabla2[Comunidades],"no se encuentra")</f>
        <v>País Vasco</v>
      </c>
      <c r="M915" t="s">
        <v>19</v>
      </c>
      <c r="N915">
        <v>3</v>
      </c>
    </row>
    <row r="916" spans="1:14" x14ac:dyDescent="0.25">
      <c r="A916">
        <v>1915</v>
      </c>
      <c r="B916" s="1">
        <v>45970</v>
      </c>
      <c r="C916" s="4">
        <f>MONTH(datos_ventas[[#This Row],[Fecha]])</f>
        <v>11</v>
      </c>
      <c r="D916" s="4">
        <f>WEEKNUM(datos_ventas[[#This Row],[Fecha]],2)</f>
        <v>45</v>
      </c>
      <c r="E916" t="s">
        <v>20</v>
      </c>
      <c r="F916" t="s">
        <v>21</v>
      </c>
      <c r="G916">
        <v>1</v>
      </c>
      <c r="H916">
        <v>76908</v>
      </c>
      <c r="I916">
        <v>3934</v>
      </c>
      <c r="J916" t="s">
        <v>14</v>
      </c>
      <c r="K916" t="str">
        <f>_xlfn.XLOOKUP(datos_ventas[[#This Row],[Ciudad]],Tabla2[Ciudades],Tabla2[Provincias],"no se encuentra")</f>
        <v>Madrid</v>
      </c>
      <c r="L916" t="str">
        <f>_xlfn.XLOOKUP(datos_ventas[[#This Row],[Provincia]],Tabla2[Provincias],Tabla2[Comunidades],"no se encuentra")</f>
        <v>Comunidad de Madrid</v>
      </c>
      <c r="M916" t="s">
        <v>15</v>
      </c>
      <c r="N916">
        <v>4</v>
      </c>
    </row>
    <row r="917" spans="1:14" x14ac:dyDescent="0.25">
      <c r="A917">
        <v>1916</v>
      </c>
      <c r="B917" s="1">
        <v>46018</v>
      </c>
      <c r="C917" s="4">
        <f>MONTH(datos_ventas[[#This Row],[Fecha]])</f>
        <v>12</v>
      </c>
      <c r="D917" s="4">
        <f>WEEKNUM(datos_ventas[[#This Row],[Fecha]],2)</f>
        <v>52</v>
      </c>
      <c r="E917" t="s">
        <v>23</v>
      </c>
      <c r="F917" t="s">
        <v>18</v>
      </c>
      <c r="G917">
        <v>4</v>
      </c>
      <c r="H917">
        <v>93943</v>
      </c>
      <c r="I917">
        <v>1537</v>
      </c>
      <c r="J917" t="s">
        <v>22</v>
      </c>
      <c r="K917" t="str">
        <f>_xlfn.XLOOKUP(datos_ventas[[#This Row],[Ciudad]],Tabla2[Ciudades],Tabla2[Provincias],"no se encuentra")</f>
        <v>Valencia</v>
      </c>
      <c r="L917" t="str">
        <f>_xlfn.XLOOKUP(datos_ventas[[#This Row],[Provincia]],Tabla2[Provincias],Tabla2[Comunidades],"no se encuentra")</f>
        <v>Comunidad Valenciana</v>
      </c>
      <c r="M917" t="s">
        <v>15</v>
      </c>
      <c r="N917">
        <v>4</v>
      </c>
    </row>
    <row r="918" spans="1:14" x14ac:dyDescent="0.25">
      <c r="A918">
        <v>1917</v>
      </c>
      <c r="B918" s="1">
        <v>46017</v>
      </c>
      <c r="C918" s="4">
        <f>MONTH(datos_ventas[[#This Row],[Fecha]])</f>
        <v>12</v>
      </c>
      <c r="D918" s="4">
        <f>WEEKNUM(datos_ventas[[#This Row],[Fecha]],2)</f>
        <v>52</v>
      </c>
      <c r="E918" t="s">
        <v>16</v>
      </c>
      <c r="F918" t="s">
        <v>11</v>
      </c>
      <c r="G918">
        <v>5</v>
      </c>
      <c r="H918">
        <v>32915</v>
      </c>
      <c r="I918">
        <v>2221</v>
      </c>
      <c r="J918" t="s">
        <v>12</v>
      </c>
      <c r="K918" t="str">
        <f>_xlfn.XLOOKUP(datos_ventas[[#This Row],[Ciudad]],Tabla2[Ciudades],Tabla2[Provincias],"no se encuentra")</f>
        <v>Málaga</v>
      </c>
      <c r="L918" t="str">
        <f>_xlfn.XLOOKUP(datos_ventas[[#This Row],[Provincia]],Tabla2[Provincias],Tabla2[Comunidades],"no se encuentra")</f>
        <v>Andalucía</v>
      </c>
      <c r="M918" t="s">
        <v>15</v>
      </c>
      <c r="N918">
        <v>5</v>
      </c>
    </row>
    <row r="919" spans="1:14" x14ac:dyDescent="0.25">
      <c r="A919">
        <v>1918</v>
      </c>
      <c r="B919" s="1">
        <v>45666</v>
      </c>
      <c r="C919" s="4">
        <f>MONTH(datos_ventas[[#This Row],[Fecha]])</f>
        <v>1</v>
      </c>
      <c r="D919" s="4">
        <f>WEEKNUM(datos_ventas[[#This Row],[Fecha]],2)</f>
        <v>2</v>
      </c>
      <c r="E919" t="s">
        <v>24</v>
      </c>
      <c r="F919" t="s">
        <v>25</v>
      </c>
      <c r="G919">
        <v>3</v>
      </c>
      <c r="H919">
        <v>33137</v>
      </c>
      <c r="I919">
        <v>1224</v>
      </c>
      <c r="J919" t="s">
        <v>32</v>
      </c>
      <c r="K919" t="str">
        <f>_xlfn.XLOOKUP(datos_ventas[[#This Row],[Ciudad]],Tabla2[Ciudades],Tabla2[Provincias],"no se encuentra")</f>
        <v>Barcelona</v>
      </c>
      <c r="L919" t="str">
        <f>_xlfn.XLOOKUP(datos_ventas[[#This Row],[Provincia]],Tabla2[Provincias],Tabla2[Comunidades],"no se encuentra")</f>
        <v>Cataluña</v>
      </c>
      <c r="M919" t="s">
        <v>28</v>
      </c>
      <c r="N919">
        <v>2</v>
      </c>
    </row>
    <row r="920" spans="1:14" x14ac:dyDescent="0.25">
      <c r="A920">
        <v>1919</v>
      </c>
      <c r="B920" s="1">
        <v>45837</v>
      </c>
      <c r="C920" s="4">
        <f>MONTH(datos_ventas[[#This Row],[Fecha]])</f>
        <v>6</v>
      </c>
      <c r="D920" s="4">
        <f>WEEKNUM(datos_ventas[[#This Row],[Fecha]],2)</f>
        <v>26</v>
      </c>
      <c r="E920" t="s">
        <v>29</v>
      </c>
      <c r="F920" t="s">
        <v>30</v>
      </c>
      <c r="G920">
        <v>1</v>
      </c>
      <c r="H920">
        <v>24524</v>
      </c>
      <c r="I920">
        <v>2067</v>
      </c>
      <c r="J920" t="s">
        <v>12</v>
      </c>
      <c r="K920" t="str">
        <f>_xlfn.XLOOKUP(datos_ventas[[#This Row],[Ciudad]],Tabla2[Ciudades],Tabla2[Provincias],"no se encuentra")</f>
        <v>Málaga</v>
      </c>
      <c r="L920" t="str">
        <f>_xlfn.XLOOKUP(datos_ventas[[#This Row],[Provincia]],Tabla2[Provincias],Tabla2[Comunidades],"no se encuentra")</f>
        <v>Andalucía</v>
      </c>
      <c r="M920" t="s">
        <v>19</v>
      </c>
      <c r="N920">
        <v>1</v>
      </c>
    </row>
    <row r="921" spans="1:14" x14ac:dyDescent="0.25">
      <c r="A921">
        <v>1920</v>
      </c>
      <c r="B921" s="1">
        <v>45848</v>
      </c>
      <c r="C921" s="4">
        <f>MONTH(datos_ventas[[#This Row],[Fecha]])</f>
        <v>7</v>
      </c>
      <c r="D921" s="4">
        <f>WEEKNUM(datos_ventas[[#This Row],[Fecha]],2)</f>
        <v>28</v>
      </c>
      <c r="E921" t="s">
        <v>23</v>
      </c>
      <c r="F921" t="s">
        <v>18</v>
      </c>
      <c r="G921">
        <v>2</v>
      </c>
      <c r="H921">
        <v>9115</v>
      </c>
      <c r="I921">
        <v>515</v>
      </c>
      <c r="J921" t="s">
        <v>27</v>
      </c>
      <c r="K921" t="str">
        <f>_xlfn.XLOOKUP(datos_ventas[[#This Row],[Ciudad]],Tabla2[Ciudades],Tabla2[Provincias],"no se encuentra")</f>
        <v>Sevilla</v>
      </c>
      <c r="L921" t="str">
        <f>_xlfn.XLOOKUP(datos_ventas[[#This Row],[Provincia]],Tabla2[Provincias],Tabla2[Comunidades],"no se encuentra")</f>
        <v>Andalucía</v>
      </c>
      <c r="M921" t="s">
        <v>13</v>
      </c>
      <c r="N921">
        <v>1</v>
      </c>
    </row>
    <row r="922" spans="1:14" x14ac:dyDescent="0.25">
      <c r="A922">
        <v>1921</v>
      </c>
      <c r="B922" s="1">
        <v>45897</v>
      </c>
      <c r="C922" s="4">
        <f>MONTH(datos_ventas[[#This Row],[Fecha]])</f>
        <v>8</v>
      </c>
      <c r="D922" s="4">
        <f>WEEKNUM(datos_ventas[[#This Row],[Fecha]],2)</f>
        <v>35</v>
      </c>
      <c r="E922" t="s">
        <v>24</v>
      </c>
      <c r="F922" t="s">
        <v>25</v>
      </c>
      <c r="G922">
        <v>3</v>
      </c>
      <c r="H922">
        <v>99325</v>
      </c>
      <c r="I922">
        <v>1221</v>
      </c>
      <c r="J922" t="s">
        <v>22</v>
      </c>
      <c r="K922" t="str">
        <f>_xlfn.XLOOKUP(datos_ventas[[#This Row],[Ciudad]],Tabla2[Ciudades],Tabla2[Provincias],"no se encuentra")</f>
        <v>Valencia</v>
      </c>
      <c r="L922" t="str">
        <f>_xlfn.XLOOKUP(datos_ventas[[#This Row],[Provincia]],Tabla2[Provincias],Tabla2[Comunidades],"no se encuentra")</f>
        <v>Comunidad Valenciana</v>
      </c>
      <c r="M922" t="s">
        <v>15</v>
      </c>
      <c r="N922">
        <v>1</v>
      </c>
    </row>
    <row r="923" spans="1:14" x14ac:dyDescent="0.25">
      <c r="A923">
        <v>1922</v>
      </c>
      <c r="B923" s="1">
        <v>45704</v>
      </c>
      <c r="C923" s="4">
        <f>MONTH(datos_ventas[[#This Row],[Fecha]])</f>
        <v>2</v>
      </c>
      <c r="D923" s="4">
        <f>WEEKNUM(datos_ventas[[#This Row],[Fecha]],2)</f>
        <v>7</v>
      </c>
      <c r="E923" t="s">
        <v>24</v>
      </c>
      <c r="F923" t="s">
        <v>25</v>
      </c>
      <c r="G923">
        <v>2</v>
      </c>
      <c r="H923">
        <v>52372</v>
      </c>
      <c r="I923">
        <v>875</v>
      </c>
      <c r="J923" t="s">
        <v>27</v>
      </c>
      <c r="K923" t="str">
        <f>_xlfn.XLOOKUP(datos_ventas[[#This Row],[Ciudad]],Tabla2[Ciudades],Tabla2[Provincias],"no se encuentra")</f>
        <v>Sevilla</v>
      </c>
      <c r="L923" t="str">
        <f>_xlfn.XLOOKUP(datos_ventas[[#This Row],[Provincia]],Tabla2[Provincias],Tabla2[Comunidades],"no se encuentra")</f>
        <v>Andalucía</v>
      </c>
      <c r="M923" t="s">
        <v>15</v>
      </c>
      <c r="N923">
        <v>5</v>
      </c>
    </row>
    <row r="924" spans="1:14" x14ac:dyDescent="0.25">
      <c r="A924">
        <v>1923</v>
      </c>
      <c r="B924" s="1">
        <v>45989</v>
      </c>
      <c r="C924" s="4">
        <f>MONTH(datos_ventas[[#This Row],[Fecha]])</f>
        <v>11</v>
      </c>
      <c r="D924" s="4">
        <f>WEEKNUM(datos_ventas[[#This Row],[Fecha]],2)</f>
        <v>48</v>
      </c>
      <c r="E924" t="s">
        <v>26</v>
      </c>
      <c r="F924" t="s">
        <v>18</v>
      </c>
      <c r="G924">
        <v>2</v>
      </c>
      <c r="H924">
        <v>77324</v>
      </c>
      <c r="I924">
        <v>1786</v>
      </c>
      <c r="J924" t="s">
        <v>12</v>
      </c>
      <c r="K924" t="str">
        <f>_xlfn.XLOOKUP(datos_ventas[[#This Row],[Ciudad]],Tabla2[Ciudades],Tabla2[Provincias],"no se encuentra")</f>
        <v>Málaga</v>
      </c>
      <c r="L924" t="str">
        <f>_xlfn.XLOOKUP(datos_ventas[[#This Row],[Provincia]],Tabla2[Provincias],Tabla2[Comunidades],"no se encuentra")</f>
        <v>Andalucía</v>
      </c>
      <c r="M924" t="s">
        <v>28</v>
      </c>
      <c r="N924">
        <v>1</v>
      </c>
    </row>
    <row r="925" spans="1:14" x14ac:dyDescent="0.25">
      <c r="A925">
        <v>1924</v>
      </c>
      <c r="B925" s="1">
        <v>45735</v>
      </c>
      <c r="C925" s="4">
        <f>MONTH(datos_ventas[[#This Row],[Fecha]])</f>
        <v>3</v>
      </c>
      <c r="D925" s="4">
        <f>WEEKNUM(datos_ventas[[#This Row],[Fecha]],2)</f>
        <v>12</v>
      </c>
      <c r="E925" t="s">
        <v>29</v>
      </c>
      <c r="F925" t="s">
        <v>30</v>
      </c>
      <c r="G925">
        <v>4</v>
      </c>
      <c r="H925">
        <v>64657</v>
      </c>
      <c r="I925">
        <v>3674</v>
      </c>
      <c r="J925" t="s">
        <v>32</v>
      </c>
      <c r="K925" t="str">
        <f>_xlfn.XLOOKUP(datos_ventas[[#This Row],[Ciudad]],Tabla2[Ciudades],Tabla2[Provincias],"no se encuentra")</f>
        <v>Barcelona</v>
      </c>
      <c r="L925" t="str">
        <f>_xlfn.XLOOKUP(datos_ventas[[#This Row],[Provincia]],Tabla2[Provincias],Tabla2[Comunidades],"no se encuentra")</f>
        <v>Cataluña</v>
      </c>
      <c r="M925" t="s">
        <v>19</v>
      </c>
      <c r="N925">
        <v>2</v>
      </c>
    </row>
    <row r="926" spans="1:14" x14ac:dyDescent="0.25">
      <c r="A926">
        <v>1925</v>
      </c>
      <c r="B926" s="1">
        <v>45840</v>
      </c>
      <c r="C926" s="4">
        <f>MONTH(datos_ventas[[#This Row],[Fecha]])</f>
        <v>7</v>
      </c>
      <c r="D926" s="4">
        <f>WEEKNUM(datos_ventas[[#This Row],[Fecha]],2)</f>
        <v>27</v>
      </c>
      <c r="E926" t="s">
        <v>20</v>
      </c>
      <c r="F926" t="s">
        <v>21</v>
      </c>
      <c r="G926">
        <v>1</v>
      </c>
      <c r="H926">
        <v>10292</v>
      </c>
      <c r="I926">
        <v>1014</v>
      </c>
      <c r="J926" t="s">
        <v>27</v>
      </c>
      <c r="K926" t="str">
        <f>_xlfn.XLOOKUP(datos_ventas[[#This Row],[Ciudad]],Tabla2[Ciudades],Tabla2[Provincias],"no se encuentra")</f>
        <v>Sevilla</v>
      </c>
      <c r="L926" t="str">
        <f>_xlfn.XLOOKUP(datos_ventas[[#This Row],[Provincia]],Tabla2[Provincias],Tabla2[Comunidades],"no se encuentra")</f>
        <v>Andalucía</v>
      </c>
      <c r="M926" t="s">
        <v>13</v>
      </c>
      <c r="N926">
        <v>4</v>
      </c>
    </row>
    <row r="927" spans="1:14" x14ac:dyDescent="0.25">
      <c r="A927">
        <v>1926</v>
      </c>
      <c r="B927" s="1">
        <v>45687</v>
      </c>
      <c r="C927" s="4">
        <f>MONTH(datos_ventas[[#This Row],[Fecha]])</f>
        <v>1</v>
      </c>
      <c r="D927" s="4">
        <f>WEEKNUM(datos_ventas[[#This Row],[Fecha]],2)</f>
        <v>5</v>
      </c>
      <c r="E927" t="s">
        <v>26</v>
      </c>
      <c r="F927" t="s">
        <v>18</v>
      </c>
      <c r="G927">
        <v>5</v>
      </c>
      <c r="H927">
        <v>63339</v>
      </c>
      <c r="I927">
        <v>161</v>
      </c>
      <c r="J927" t="s">
        <v>14</v>
      </c>
      <c r="K927" t="str">
        <f>_xlfn.XLOOKUP(datos_ventas[[#This Row],[Ciudad]],Tabla2[Ciudades],Tabla2[Provincias],"no se encuentra")</f>
        <v>Madrid</v>
      </c>
      <c r="L927" t="str">
        <f>_xlfn.XLOOKUP(datos_ventas[[#This Row],[Provincia]],Tabla2[Provincias],Tabla2[Comunidades],"no se encuentra")</f>
        <v>Comunidad de Madrid</v>
      </c>
      <c r="M927" t="s">
        <v>15</v>
      </c>
      <c r="N927">
        <v>4</v>
      </c>
    </row>
    <row r="928" spans="1:14" x14ac:dyDescent="0.25">
      <c r="A928">
        <v>1927</v>
      </c>
      <c r="B928" s="1">
        <v>45730</v>
      </c>
      <c r="C928" s="4">
        <f>MONTH(datos_ventas[[#This Row],[Fecha]])</f>
        <v>3</v>
      </c>
      <c r="D928" s="4">
        <f>WEEKNUM(datos_ventas[[#This Row],[Fecha]],2)</f>
        <v>11</v>
      </c>
      <c r="E928" t="s">
        <v>26</v>
      </c>
      <c r="F928" t="s">
        <v>18</v>
      </c>
      <c r="G928">
        <v>1</v>
      </c>
      <c r="H928">
        <v>7966</v>
      </c>
      <c r="I928">
        <v>2573</v>
      </c>
      <c r="J928" t="s">
        <v>27</v>
      </c>
      <c r="K928" t="str">
        <f>_xlfn.XLOOKUP(datos_ventas[[#This Row],[Ciudad]],Tabla2[Ciudades],Tabla2[Provincias],"no se encuentra")</f>
        <v>Sevilla</v>
      </c>
      <c r="L928" t="str">
        <f>_xlfn.XLOOKUP(datos_ventas[[#This Row],[Provincia]],Tabla2[Provincias],Tabla2[Comunidades],"no se encuentra")</f>
        <v>Andalucía</v>
      </c>
      <c r="M928" t="s">
        <v>13</v>
      </c>
      <c r="N928">
        <v>4</v>
      </c>
    </row>
    <row r="929" spans="1:14" x14ac:dyDescent="0.25">
      <c r="A929">
        <v>1928</v>
      </c>
      <c r="B929" s="1">
        <v>45906</v>
      </c>
      <c r="C929" s="4">
        <f>MONTH(datos_ventas[[#This Row],[Fecha]])</f>
        <v>9</v>
      </c>
      <c r="D929" s="4">
        <f>WEEKNUM(datos_ventas[[#This Row],[Fecha]],2)</f>
        <v>36</v>
      </c>
      <c r="E929" t="s">
        <v>23</v>
      </c>
      <c r="F929" t="s">
        <v>18</v>
      </c>
      <c r="G929">
        <v>5</v>
      </c>
      <c r="H929">
        <v>102904</v>
      </c>
      <c r="I929">
        <v>2547</v>
      </c>
      <c r="J929" t="s">
        <v>22</v>
      </c>
      <c r="K929" t="str">
        <f>_xlfn.XLOOKUP(datos_ventas[[#This Row],[Ciudad]],Tabla2[Ciudades],Tabla2[Provincias],"no se encuentra")</f>
        <v>Valencia</v>
      </c>
      <c r="L929" t="str">
        <f>_xlfn.XLOOKUP(datos_ventas[[#This Row],[Provincia]],Tabla2[Provincias],Tabla2[Comunidades],"no se encuentra")</f>
        <v>Comunidad Valenciana</v>
      </c>
      <c r="M929" t="s">
        <v>28</v>
      </c>
      <c r="N929">
        <v>1</v>
      </c>
    </row>
    <row r="930" spans="1:14" x14ac:dyDescent="0.25">
      <c r="A930">
        <v>1929</v>
      </c>
      <c r="B930" s="1">
        <v>45845</v>
      </c>
      <c r="C930" s="4">
        <f>MONTH(datos_ventas[[#This Row],[Fecha]])</f>
        <v>7</v>
      </c>
      <c r="D930" s="4">
        <f>WEEKNUM(datos_ventas[[#This Row],[Fecha]],2)</f>
        <v>28</v>
      </c>
      <c r="E930" t="s">
        <v>24</v>
      </c>
      <c r="F930" t="s">
        <v>25</v>
      </c>
      <c r="G930">
        <v>5</v>
      </c>
      <c r="H930">
        <v>91951</v>
      </c>
      <c r="I930">
        <v>2496</v>
      </c>
      <c r="J930" t="s">
        <v>31</v>
      </c>
      <c r="K930" t="str">
        <f>_xlfn.XLOOKUP(datos_ventas[[#This Row],[Ciudad]],Tabla2[Ciudades],Tabla2[Provincias],"no se encuentra")</f>
        <v>Vizcaya</v>
      </c>
      <c r="L930" t="str">
        <f>_xlfn.XLOOKUP(datos_ventas[[#This Row],[Provincia]],Tabla2[Provincias],Tabla2[Comunidades],"no se encuentra")</f>
        <v>País Vasco</v>
      </c>
      <c r="M930" t="s">
        <v>28</v>
      </c>
      <c r="N930">
        <v>3</v>
      </c>
    </row>
    <row r="931" spans="1:14" x14ac:dyDescent="0.25">
      <c r="A931">
        <v>1930</v>
      </c>
      <c r="B931" s="1">
        <v>45830</v>
      </c>
      <c r="C931" s="4">
        <f>MONTH(datos_ventas[[#This Row],[Fecha]])</f>
        <v>6</v>
      </c>
      <c r="D931" s="4">
        <f>WEEKNUM(datos_ventas[[#This Row],[Fecha]],2)</f>
        <v>25</v>
      </c>
      <c r="E931" t="s">
        <v>17</v>
      </c>
      <c r="F931" t="s">
        <v>18</v>
      </c>
      <c r="G931">
        <v>4</v>
      </c>
      <c r="H931">
        <v>64551</v>
      </c>
      <c r="I931">
        <v>1941</v>
      </c>
      <c r="J931" t="s">
        <v>32</v>
      </c>
      <c r="K931" t="str">
        <f>_xlfn.XLOOKUP(datos_ventas[[#This Row],[Ciudad]],Tabla2[Ciudades],Tabla2[Provincias],"no se encuentra")</f>
        <v>Barcelona</v>
      </c>
      <c r="L931" t="str">
        <f>_xlfn.XLOOKUP(datos_ventas[[#This Row],[Provincia]],Tabla2[Provincias],Tabla2[Comunidades],"no se encuentra")</f>
        <v>Cataluña</v>
      </c>
      <c r="M931" t="s">
        <v>28</v>
      </c>
      <c r="N931">
        <v>1</v>
      </c>
    </row>
    <row r="932" spans="1:14" x14ac:dyDescent="0.25">
      <c r="A932">
        <v>1931</v>
      </c>
      <c r="B932" s="1">
        <v>45879</v>
      </c>
      <c r="C932" s="4">
        <f>MONTH(datos_ventas[[#This Row],[Fecha]])</f>
        <v>8</v>
      </c>
      <c r="D932" s="4">
        <f>WEEKNUM(datos_ventas[[#This Row],[Fecha]],2)</f>
        <v>32</v>
      </c>
      <c r="E932" t="s">
        <v>29</v>
      </c>
      <c r="F932" t="s">
        <v>30</v>
      </c>
      <c r="G932">
        <v>5</v>
      </c>
      <c r="H932">
        <v>42267</v>
      </c>
      <c r="I932">
        <v>2761</v>
      </c>
      <c r="J932" t="s">
        <v>22</v>
      </c>
      <c r="K932" t="str">
        <f>_xlfn.XLOOKUP(datos_ventas[[#This Row],[Ciudad]],Tabla2[Ciudades],Tabla2[Provincias],"no se encuentra")</f>
        <v>Valencia</v>
      </c>
      <c r="L932" t="str">
        <f>_xlfn.XLOOKUP(datos_ventas[[#This Row],[Provincia]],Tabla2[Provincias],Tabla2[Comunidades],"no se encuentra")</f>
        <v>Comunidad Valenciana</v>
      </c>
      <c r="M932" t="s">
        <v>13</v>
      </c>
      <c r="N932">
        <v>1</v>
      </c>
    </row>
    <row r="933" spans="1:14" x14ac:dyDescent="0.25">
      <c r="A933">
        <v>1932</v>
      </c>
      <c r="B933" s="1">
        <v>46003</v>
      </c>
      <c r="C933" s="4">
        <f>MONTH(datos_ventas[[#This Row],[Fecha]])</f>
        <v>12</v>
      </c>
      <c r="D933" s="4">
        <f>WEEKNUM(datos_ventas[[#This Row],[Fecha]],2)</f>
        <v>50</v>
      </c>
      <c r="E933" t="s">
        <v>16</v>
      </c>
      <c r="F933" t="s">
        <v>11</v>
      </c>
      <c r="G933">
        <v>2</v>
      </c>
      <c r="H933">
        <v>100538</v>
      </c>
      <c r="I933">
        <v>4143</v>
      </c>
      <c r="J933" t="s">
        <v>32</v>
      </c>
      <c r="K933" t="str">
        <f>_xlfn.XLOOKUP(datos_ventas[[#This Row],[Ciudad]],Tabla2[Ciudades],Tabla2[Provincias],"no se encuentra")</f>
        <v>Barcelona</v>
      </c>
      <c r="L933" t="str">
        <f>_xlfn.XLOOKUP(datos_ventas[[#This Row],[Provincia]],Tabla2[Provincias],Tabla2[Comunidades],"no se encuentra")</f>
        <v>Cataluña</v>
      </c>
      <c r="M933" t="s">
        <v>13</v>
      </c>
      <c r="N933">
        <v>3</v>
      </c>
    </row>
    <row r="934" spans="1:14" x14ac:dyDescent="0.25">
      <c r="A934">
        <v>1933</v>
      </c>
      <c r="B934" s="1">
        <v>45684</v>
      </c>
      <c r="C934" s="4">
        <f>MONTH(datos_ventas[[#This Row],[Fecha]])</f>
        <v>1</v>
      </c>
      <c r="D934" s="4">
        <f>WEEKNUM(datos_ventas[[#This Row],[Fecha]],2)</f>
        <v>5</v>
      </c>
      <c r="E934" t="s">
        <v>17</v>
      </c>
      <c r="F934" t="s">
        <v>18</v>
      </c>
      <c r="G934">
        <v>1</v>
      </c>
      <c r="H934">
        <v>115017</v>
      </c>
      <c r="I934">
        <v>4914</v>
      </c>
      <c r="J934" t="s">
        <v>12</v>
      </c>
      <c r="K934" t="str">
        <f>_xlfn.XLOOKUP(datos_ventas[[#This Row],[Ciudad]],Tabla2[Ciudades],Tabla2[Provincias],"no se encuentra")</f>
        <v>Málaga</v>
      </c>
      <c r="L934" t="str">
        <f>_xlfn.XLOOKUP(datos_ventas[[#This Row],[Provincia]],Tabla2[Provincias],Tabla2[Comunidades],"no se encuentra")</f>
        <v>Andalucía</v>
      </c>
      <c r="M934" t="s">
        <v>13</v>
      </c>
      <c r="N934">
        <v>4</v>
      </c>
    </row>
    <row r="935" spans="1:14" x14ac:dyDescent="0.25">
      <c r="A935">
        <v>1934</v>
      </c>
      <c r="B935" s="1">
        <v>45901</v>
      </c>
      <c r="C935" s="4">
        <f>MONTH(datos_ventas[[#This Row],[Fecha]])</f>
        <v>9</v>
      </c>
      <c r="D935" s="4">
        <f>WEEKNUM(datos_ventas[[#This Row],[Fecha]],2)</f>
        <v>36</v>
      </c>
      <c r="E935" t="s">
        <v>29</v>
      </c>
      <c r="F935" t="s">
        <v>30</v>
      </c>
      <c r="G935">
        <v>4</v>
      </c>
      <c r="H935">
        <v>81555</v>
      </c>
      <c r="I935">
        <v>2945</v>
      </c>
      <c r="J935" t="s">
        <v>31</v>
      </c>
      <c r="K935" t="str">
        <f>_xlfn.XLOOKUP(datos_ventas[[#This Row],[Ciudad]],Tabla2[Ciudades],Tabla2[Provincias],"no se encuentra")</f>
        <v>Vizcaya</v>
      </c>
      <c r="L935" t="str">
        <f>_xlfn.XLOOKUP(datos_ventas[[#This Row],[Provincia]],Tabla2[Provincias],Tabla2[Comunidades],"no se encuentra")</f>
        <v>País Vasco</v>
      </c>
      <c r="M935" t="s">
        <v>19</v>
      </c>
      <c r="N935">
        <v>5</v>
      </c>
    </row>
    <row r="936" spans="1:14" x14ac:dyDescent="0.25">
      <c r="A936">
        <v>1935</v>
      </c>
      <c r="B936" s="1">
        <v>45771</v>
      </c>
      <c r="C936" s="4">
        <f>MONTH(datos_ventas[[#This Row],[Fecha]])</f>
        <v>4</v>
      </c>
      <c r="D936" s="4">
        <f>WEEKNUM(datos_ventas[[#This Row],[Fecha]],2)</f>
        <v>17</v>
      </c>
      <c r="E936" t="s">
        <v>17</v>
      </c>
      <c r="F936" t="s">
        <v>18</v>
      </c>
      <c r="G936">
        <v>5</v>
      </c>
      <c r="H936">
        <v>119294</v>
      </c>
      <c r="I936">
        <v>2173</v>
      </c>
      <c r="J936" t="s">
        <v>22</v>
      </c>
      <c r="K936" t="str">
        <f>_xlfn.XLOOKUP(datos_ventas[[#This Row],[Ciudad]],Tabla2[Ciudades],Tabla2[Provincias],"no se encuentra")</f>
        <v>Valencia</v>
      </c>
      <c r="L936" t="str">
        <f>_xlfn.XLOOKUP(datos_ventas[[#This Row],[Provincia]],Tabla2[Provincias],Tabla2[Comunidades],"no se encuentra")</f>
        <v>Comunidad Valenciana</v>
      </c>
      <c r="M936" t="s">
        <v>15</v>
      </c>
      <c r="N936">
        <v>3</v>
      </c>
    </row>
    <row r="937" spans="1:14" x14ac:dyDescent="0.25">
      <c r="A937">
        <v>1936</v>
      </c>
      <c r="B937" s="1">
        <v>45846</v>
      </c>
      <c r="C937" s="4">
        <f>MONTH(datos_ventas[[#This Row],[Fecha]])</f>
        <v>7</v>
      </c>
      <c r="D937" s="4">
        <f>WEEKNUM(datos_ventas[[#This Row],[Fecha]],2)</f>
        <v>28</v>
      </c>
      <c r="E937" t="s">
        <v>26</v>
      </c>
      <c r="F937" t="s">
        <v>18</v>
      </c>
      <c r="G937">
        <v>1</v>
      </c>
      <c r="H937">
        <v>39066</v>
      </c>
      <c r="I937">
        <v>1163</v>
      </c>
      <c r="J937" t="s">
        <v>22</v>
      </c>
      <c r="K937" t="str">
        <f>_xlfn.XLOOKUP(datos_ventas[[#This Row],[Ciudad]],Tabla2[Ciudades],Tabla2[Provincias],"no se encuentra")</f>
        <v>Valencia</v>
      </c>
      <c r="L937" t="str">
        <f>_xlfn.XLOOKUP(datos_ventas[[#This Row],[Provincia]],Tabla2[Provincias],Tabla2[Comunidades],"no se encuentra")</f>
        <v>Comunidad Valenciana</v>
      </c>
      <c r="M937" t="s">
        <v>19</v>
      </c>
      <c r="N937">
        <v>4</v>
      </c>
    </row>
    <row r="938" spans="1:14" x14ac:dyDescent="0.25">
      <c r="A938">
        <v>1937</v>
      </c>
      <c r="B938" s="1">
        <v>45956</v>
      </c>
      <c r="C938" s="4">
        <f>MONTH(datos_ventas[[#This Row],[Fecha]])</f>
        <v>10</v>
      </c>
      <c r="D938" s="4">
        <f>WEEKNUM(datos_ventas[[#This Row],[Fecha]],2)</f>
        <v>43</v>
      </c>
      <c r="E938" t="s">
        <v>29</v>
      </c>
      <c r="F938" t="s">
        <v>30</v>
      </c>
      <c r="G938">
        <v>5</v>
      </c>
      <c r="H938">
        <v>94592</v>
      </c>
      <c r="I938">
        <v>2447</v>
      </c>
      <c r="J938" t="s">
        <v>27</v>
      </c>
      <c r="K938" t="str">
        <f>_xlfn.XLOOKUP(datos_ventas[[#This Row],[Ciudad]],Tabla2[Ciudades],Tabla2[Provincias],"no se encuentra")</f>
        <v>Sevilla</v>
      </c>
      <c r="L938" t="str">
        <f>_xlfn.XLOOKUP(datos_ventas[[#This Row],[Provincia]],Tabla2[Provincias],Tabla2[Comunidades],"no se encuentra")</f>
        <v>Andalucía</v>
      </c>
      <c r="M938" t="s">
        <v>28</v>
      </c>
      <c r="N938">
        <v>3</v>
      </c>
    </row>
    <row r="939" spans="1:14" x14ac:dyDescent="0.25">
      <c r="A939">
        <v>1938</v>
      </c>
      <c r="B939" s="1">
        <v>45672</v>
      </c>
      <c r="C939" s="4">
        <f>MONTH(datos_ventas[[#This Row],[Fecha]])</f>
        <v>1</v>
      </c>
      <c r="D939" s="4">
        <f>WEEKNUM(datos_ventas[[#This Row],[Fecha]],2)</f>
        <v>3</v>
      </c>
      <c r="E939" t="s">
        <v>16</v>
      </c>
      <c r="F939" t="s">
        <v>11</v>
      </c>
      <c r="G939">
        <v>3</v>
      </c>
      <c r="H939">
        <v>100365</v>
      </c>
      <c r="I939">
        <v>3993</v>
      </c>
      <c r="J939" t="s">
        <v>22</v>
      </c>
      <c r="K939" t="str">
        <f>_xlfn.XLOOKUP(datos_ventas[[#This Row],[Ciudad]],Tabla2[Ciudades],Tabla2[Provincias],"no se encuentra")</f>
        <v>Valencia</v>
      </c>
      <c r="L939" t="str">
        <f>_xlfn.XLOOKUP(datos_ventas[[#This Row],[Provincia]],Tabla2[Provincias],Tabla2[Comunidades],"no se encuentra")</f>
        <v>Comunidad Valenciana</v>
      </c>
      <c r="M939" t="s">
        <v>28</v>
      </c>
      <c r="N939">
        <v>4</v>
      </c>
    </row>
    <row r="940" spans="1:14" x14ac:dyDescent="0.25">
      <c r="A940">
        <v>1939</v>
      </c>
      <c r="B940" s="1">
        <v>45999</v>
      </c>
      <c r="C940" s="4">
        <f>MONTH(datos_ventas[[#This Row],[Fecha]])</f>
        <v>12</v>
      </c>
      <c r="D940" s="4">
        <f>WEEKNUM(datos_ventas[[#This Row],[Fecha]],2)</f>
        <v>50</v>
      </c>
      <c r="E940" t="s">
        <v>10</v>
      </c>
      <c r="F940" t="s">
        <v>11</v>
      </c>
      <c r="G940">
        <v>1</v>
      </c>
      <c r="H940">
        <v>110034</v>
      </c>
      <c r="I940">
        <v>2249</v>
      </c>
      <c r="J940" t="s">
        <v>27</v>
      </c>
      <c r="K940" t="str">
        <f>_xlfn.XLOOKUP(datos_ventas[[#This Row],[Ciudad]],Tabla2[Ciudades],Tabla2[Provincias],"no se encuentra")</f>
        <v>Sevilla</v>
      </c>
      <c r="L940" t="str">
        <f>_xlfn.XLOOKUP(datos_ventas[[#This Row],[Provincia]],Tabla2[Provincias],Tabla2[Comunidades],"no se encuentra")</f>
        <v>Andalucía</v>
      </c>
      <c r="M940" t="s">
        <v>28</v>
      </c>
      <c r="N940">
        <v>1</v>
      </c>
    </row>
    <row r="941" spans="1:14" x14ac:dyDescent="0.25">
      <c r="A941">
        <v>1940</v>
      </c>
      <c r="B941" s="1">
        <v>45866</v>
      </c>
      <c r="C941" s="4">
        <f>MONTH(datos_ventas[[#This Row],[Fecha]])</f>
        <v>7</v>
      </c>
      <c r="D941" s="4">
        <f>WEEKNUM(datos_ventas[[#This Row],[Fecha]],2)</f>
        <v>31</v>
      </c>
      <c r="E941" t="s">
        <v>23</v>
      </c>
      <c r="F941" t="s">
        <v>18</v>
      </c>
      <c r="G941">
        <v>3</v>
      </c>
      <c r="H941">
        <v>4993</v>
      </c>
      <c r="I941">
        <v>2893</v>
      </c>
      <c r="J941" t="s">
        <v>14</v>
      </c>
      <c r="K941" t="str">
        <f>_xlfn.XLOOKUP(datos_ventas[[#This Row],[Ciudad]],Tabla2[Ciudades],Tabla2[Provincias],"no se encuentra")</f>
        <v>Madrid</v>
      </c>
      <c r="L941" t="str">
        <f>_xlfn.XLOOKUP(datos_ventas[[#This Row],[Provincia]],Tabla2[Provincias],Tabla2[Comunidades],"no se encuentra")</f>
        <v>Comunidad de Madrid</v>
      </c>
      <c r="M941" t="s">
        <v>13</v>
      </c>
      <c r="N941">
        <v>3</v>
      </c>
    </row>
    <row r="942" spans="1:14" x14ac:dyDescent="0.25">
      <c r="A942">
        <v>1941</v>
      </c>
      <c r="B942" s="1">
        <v>45818</v>
      </c>
      <c r="C942" s="4">
        <f>MONTH(datos_ventas[[#This Row],[Fecha]])</f>
        <v>6</v>
      </c>
      <c r="D942" s="4">
        <f>WEEKNUM(datos_ventas[[#This Row],[Fecha]],2)</f>
        <v>24</v>
      </c>
      <c r="E942" t="s">
        <v>20</v>
      </c>
      <c r="F942" t="s">
        <v>21</v>
      </c>
      <c r="G942">
        <v>3</v>
      </c>
      <c r="H942">
        <v>13347</v>
      </c>
      <c r="I942">
        <v>878</v>
      </c>
      <c r="J942" t="s">
        <v>22</v>
      </c>
      <c r="K942" t="str">
        <f>_xlfn.XLOOKUP(datos_ventas[[#This Row],[Ciudad]],Tabla2[Ciudades],Tabla2[Provincias],"no se encuentra")</f>
        <v>Valencia</v>
      </c>
      <c r="L942" t="str">
        <f>_xlfn.XLOOKUP(datos_ventas[[#This Row],[Provincia]],Tabla2[Provincias],Tabla2[Comunidades],"no se encuentra")</f>
        <v>Comunidad Valenciana</v>
      </c>
      <c r="M942" t="s">
        <v>13</v>
      </c>
      <c r="N942">
        <v>5</v>
      </c>
    </row>
    <row r="943" spans="1:14" x14ac:dyDescent="0.25">
      <c r="A943">
        <v>1942</v>
      </c>
      <c r="B943" s="1">
        <v>45678</v>
      </c>
      <c r="C943" s="4">
        <f>MONTH(datos_ventas[[#This Row],[Fecha]])</f>
        <v>1</v>
      </c>
      <c r="D943" s="4">
        <f>WEEKNUM(datos_ventas[[#This Row],[Fecha]],2)</f>
        <v>4</v>
      </c>
      <c r="E943" t="s">
        <v>26</v>
      </c>
      <c r="F943" t="s">
        <v>18</v>
      </c>
      <c r="G943">
        <v>4</v>
      </c>
      <c r="H943">
        <v>15926</v>
      </c>
      <c r="I943">
        <v>2673</v>
      </c>
      <c r="J943" t="s">
        <v>14</v>
      </c>
      <c r="K943" t="str">
        <f>_xlfn.XLOOKUP(datos_ventas[[#This Row],[Ciudad]],Tabla2[Ciudades],Tabla2[Provincias],"no se encuentra")</f>
        <v>Madrid</v>
      </c>
      <c r="L943" t="str">
        <f>_xlfn.XLOOKUP(datos_ventas[[#This Row],[Provincia]],Tabla2[Provincias],Tabla2[Comunidades],"no se encuentra")</f>
        <v>Comunidad de Madrid</v>
      </c>
      <c r="M943" t="s">
        <v>13</v>
      </c>
      <c r="N943">
        <v>4</v>
      </c>
    </row>
    <row r="944" spans="1:14" x14ac:dyDescent="0.25">
      <c r="A944">
        <v>1943</v>
      </c>
      <c r="B944" s="1">
        <v>45918</v>
      </c>
      <c r="C944" s="4">
        <f>MONTH(datos_ventas[[#This Row],[Fecha]])</f>
        <v>9</v>
      </c>
      <c r="D944" s="4">
        <f>WEEKNUM(datos_ventas[[#This Row],[Fecha]],2)</f>
        <v>38</v>
      </c>
      <c r="E944" t="s">
        <v>24</v>
      </c>
      <c r="F944" t="s">
        <v>25</v>
      </c>
      <c r="G944">
        <v>1</v>
      </c>
      <c r="H944">
        <v>75187</v>
      </c>
      <c r="I944">
        <v>2996</v>
      </c>
      <c r="J944" t="s">
        <v>31</v>
      </c>
      <c r="K944" t="str">
        <f>_xlfn.XLOOKUP(datos_ventas[[#This Row],[Ciudad]],Tabla2[Ciudades],Tabla2[Provincias],"no se encuentra")</f>
        <v>Vizcaya</v>
      </c>
      <c r="L944" t="str">
        <f>_xlfn.XLOOKUP(datos_ventas[[#This Row],[Provincia]],Tabla2[Provincias],Tabla2[Comunidades],"no se encuentra")</f>
        <v>País Vasco</v>
      </c>
      <c r="M944" t="s">
        <v>28</v>
      </c>
      <c r="N944">
        <v>4</v>
      </c>
    </row>
    <row r="945" spans="1:14" x14ac:dyDescent="0.25">
      <c r="A945">
        <v>1944</v>
      </c>
      <c r="B945" s="1">
        <v>45819</v>
      </c>
      <c r="C945" s="4">
        <f>MONTH(datos_ventas[[#This Row],[Fecha]])</f>
        <v>6</v>
      </c>
      <c r="D945" s="4">
        <f>WEEKNUM(datos_ventas[[#This Row],[Fecha]],2)</f>
        <v>24</v>
      </c>
      <c r="E945" t="s">
        <v>17</v>
      </c>
      <c r="F945" t="s">
        <v>18</v>
      </c>
      <c r="G945">
        <v>1</v>
      </c>
      <c r="H945">
        <v>80387</v>
      </c>
      <c r="I945">
        <v>721</v>
      </c>
      <c r="J945" t="s">
        <v>32</v>
      </c>
      <c r="K945" t="str">
        <f>_xlfn.XLOOKUP(datos_ventas[[#This Row],[Ciudad]],Tabla2[Ciudades],Tabla2[Provincias],"no se encuentra")</f>
        <v>Barcelona</v>
      </c>
      <c r="L945" t="str">
        <f>_xlfn.XLOOKUP(datos_ventas[[#This Row],[Provincia]],Tabla2[Provincias],Tabla2[Comunidades],"no se encuentra")</f>
        <v>Cataluña</v>
      </c>
      <c r="M945" t="s">
        <v>13</v>
      </c>
      <c r="N945">
        <v>5</v>
      </c>
    </row>
    <row r="946" spans="1:14" x14ac:dyDescent="0.25">
      <c r="A946">
        <v>1945</v>
      </c>
      <c r="B946" s="1">
        <v>45908</v>
      </c>
      <c r="C946" s="4">
        <f>MONTH(datos_ventas[[#This Row],[Fecha]])</f>
        <v>9</v>
      </c>
      <c r="D946" s="4">
        <f>WEEKNUM(datos_ventas[[#This Row],[Fecha]],2)</f>
        <v>37</v>
      </c>
      <c r="E946" t="s">
        <v>24</v>
      </c>
      <c r="F946" t="s">
        <v>25</v>
      </c>
      <c r="G946">
        <v>5</v>
      </c>
      <c r="H946">
        <v>14943</v>
      </c>
      <c r="I946">
        <v>1195</v>
      </c>
      <c r="J946" t="s">
        <v>31</v>
      </c>
      <c r="K946" t="str">
        <f>_xlfn.XLOOKUP(datos_ventas[[#This Row],[Ciudad]],Tabla2[Ciudades],Tabla2[Provincias],"no se encuentra")</f>
        <v>Vizcaya</v>
      </c>
      <c r="L946" t="str">
        <f>_xlfn.XLOOKUP(datos_ventas[[#This Row],[Provincia]],Tabla2[Provincias],Tabla2[Comunidades],"no se encuentra")</f>
        <v>País Vasco</v>
      </c>
      <c r="M946" t="s">
        <v>13</v>
      </c>
      <c r="N946">
        <v>3</v>
      </c>
    </row>
    <row r="947" spans="1:14" x14ac:dyDescent="0.25">
      <c r="A947">
        <v>1946</v>
      </c>
      <c r="B947" s="1">
        <v>45910</v>
      </c>
      <c r="C947" s="4">
        <f>MONTH(datos_ventas[[#This Row],[Fecha]])</f>
        <v>9</v>
      </c>
      <c r="D947" s="4">
        <f>WEEKNUM(datos_ventas[[#This Row],[Fecha]],2)</f>
        <v>37</v>
      </c>
      <c r="E947" t="s">
        <v>23</v>
      </c>
      <c r="F947" t="s">
        <v>18</v>
      </c>
      <c r="G947">
        <v>2</v>
      </c>
      <c r="H947">
        <v>84188</v>
      </c>
      <c r="I947">
        <v>4148</v>
      </c>
      <c r="J947" t="s">
        <v>14</v>
      </c>
      <c r="K947" t="str">
        <f>_xlfn.XLOOKUP(datos_ventas[[#This Row],[Ciudad]],Tabla2[Ciudades],Tabla2[Provincias],"no se encuentra")</f>
        <v>Madrid</v>
      </c>
      <c r="L947" t="str">
        <f>_xlfn.XLOOKUP(datos_ventas[[#This Row],[Provincia]],Tabla2[Provincias],Tabla2[Comunidades],"no se encuentra")</f>
        <v>Comunidad de Madrid</v>
      </c>
      <c r="M947" t="s">
        <v>15</v>
      </c>
      <c r="N947">
        <v>2</v>
      </c>
    </row>
    <row r="948" spans="1:14" x14ac:dyDescent="0.25">
      <c r="A948">
        <v>1947</v>
      </c>
      <c r="B948" s="1">
        <v>46015</v>
      </c>
      <c r="C948" s="4">
        <f>MONTH(datos_ventas[[#This Row],[Fecha]])</f>
        <v>12</v>
      </c>
      <c r="D948" s="4">
        <f>WEEKNUM(datos_ventas[[#This Row],[Fecha]],2)</f>
        <v>52</v>
      </c>
      <c r="E948" t="s">
        <v>26</v>
      </c>
      <c r="F948" t="s">
        <v>18</v>
      </c>
      <c r="G948">
        <v>1</v>
      </c>
      <c r="H948">
        <v>63909</v>
      </c>
      <c r="I948">
        <v>1692</v>
      </c>
      <c r="J948" t="s">
        <v>14</v>
      </c>
      <c r="K948" t="str">
        <f>_xlfn.XLOOKUP(datos_ventas[[#This Row],[Ciudad]],Tabla2[Ciudades],Tabla2[Provincias],"no se encuentra")</f>
        <v>Madrid</v>
      </c>
      <c r="L948" t="str">
        <f>_xlfn.XLOOKUP(datos_ventas[[#This Row],[Provincia]],Tabla2[Provincias],Tabla2[Comunidades],"no se encuentra")</f>
        <v>Comunidad de Madrid</v>
      </c>
      <c r="M948" t="s">
        <v>15</v>
      </c>
      <c r="N948">
        <v>3</v>
      </c>
    </row>
    <row r="949" spans="1:14" x14ac:dyDescent="0.25">
      <c r="A949">
        <v>1948</v>
      </c>
      <c r="B949" s="1">
        <v>45989</v>
      </c>
      <c r="C949" s="4">
        <f>MONTH(datos_ventas[[#This Row],[Fecha]])</f>
        <v>11</v>
      </c>
      <c r="D949" s="4">
        <f>WEEKNUM(datos_ventas[[#This Row],[Fecha]],2)</f>
        <v>48</v>
      </c>
      <c r="E949" t="s">
        <v>10</v>
      </c>
      <c r="F949" t="s">
        <v>11</v>
      </c>
      <c r="G949">
        <v>1</v>
      </c>
      <c r="H949">
        <v>36551</v>
      </c>
      <c r="I949">
        <v>2899</v>
      </c>
      <c r="J949" t="s">
        <v>22</v>
      </c>
      <c r="K949" t="str">
        <f>_xlfn.XLOOKUP(datos_ventas[[#This Row],[Ciudad]],Tabla2[Ciudades],Tabla2[Provincias],"no se encuentra")</f>
        <v>Valencia</v>
      </c>
      <c r="L949" t="str">
        <f>_xlfn.XLOOKUP(datos_ventas[[#This Row],[Provincia]],Tabla2[Provincias],Tabla2[Comunidades],"no se encuentra")</f>
        <v>Comunidad Valenciana</v>
      </c>
      <c r="M949" t="s">
        <v>15</v>
      </c>
      <c r="N949">
        <v>4</v>
      </c>
    </row>
    <row r="950" spans="1:14" x14ac:dyDescent="0.25">
      <c r="A950">
        <v>1949</v>
      </c>
      <c r="B950" s="1">
        <v>45716</v>
      </c>
      <c r="C950" s="4">
        <f>MONTH(datos_ventas[[#This Row],[Fecha]])</f>
        <v>2</v>
      </c>
      <c r="D950" s="4">
        <f>WEEKNUM(datos_ventas[[#This Row],[Fecha]],2)</f>
        <v>9</v>
      </c>
      <c r="E950" t="s">
        <v>26</v>
      </c>
      <c r="F950" t="s">
        <v>18</v>
      </c>
      <c r="G950">
        <v>1</v>
      </c>
      <c r="H950">
        <v>4839</v>
      </c>
      <c r="I950">
        <v>1514</v>
      </c>
      <c r="J950" t="s">
        <v>27</v>
      </c>
      <c r="K950" t="str">
        <f>_xlfn.XLOOKUP(datos_ventas[[#This Row],[Ciudad]],Tabla2[Ciudades],Tabla2[Provincias],"no se encuentra")</f>
        <v>Sevilla</v>
      </c>
      <c r="L950" t="str">
        <f>_xlfn.XLOOKUP(datos_ventas[[#This Row],[Provincia]],Tabla2[Provincias],Tabla2[Comunidades],"no se encuentra")</f>
        <v>Andalucía</v>
      </c>
      <c r="M950" t="s">
        <v>13</v>
      </c>
      <c r="N950">
        <v>4</v>
      </c>
    </row>
    <row r="951" spans="1:14" x14ac:dyDescent="0.25">
      <c r="A951">
        <v>1950</v>
      </c>
      <c r="B951" s="1">
        <v>45834</v>
      </c>
      <c r="C951" s="4">
        <f>MONTH(datos_ventas[[#This Row],[Fecha]])</f>
        <v>6</v>
      </c>
      <c r="D951" s="4">
        <f>WEEKNUM(datos_ventas[[#This Row],[Fecha]],2)</f>
        <v>26</v>
      </c>
      <c r="E951" t="s">
        <v>29</v>
      </c>
      <c r="F951" t="s">
        <v>30</v>
      </c>
      <c r="G951">
        <v>5</v>
      </c>
      <c r="H951">
        <v>52862</v>
      </c>
      <c r="I951">
        <v>4829</v>
      </c>
      <c r="J951" t="s">
        <v>27</v>
      </c>
      <c r="K951" t="str">
        <f>_xlfn.XLOOKUP(datos_ventas[[#This Row],[Ciudad]],Tabla2[Ciudades],Tabla2[Provincias],"no se encuentra")</f>
        <v>Sevilla</v>
      </c>
      <c r="L951" t="str">
        <f>_xlfn.XLOOKUP(datos_ventas[[#This Row],[Provincia]],Tabla2[Provincias],Tabla2[Comunidades],"no se encuentra")</f>
        <v>Andalucía</v>
      </c>
      <c r="M951" t="s">
        <v>13</v>
      </c>
      <c r="N951">
        <v>2</v>
      </c>
    </row>
    <row r="952" spans="1:14" x14ac:dyDescent="0.25">
      <c r="A952">
        <v>1951</v>
      </c>
      <c r="B952" s="1">
        <v>45935</v>
      </c>
      <c r="C952" s="4">
        <f>MONTH(datos_ventas[[#This Row],[Fecha]])</f>
        <v>10</v>
      </c>
      <c r="D952" s="4">
        <f>WEEKNUM(datos_ventas[[#This Row],[Fecha]],2)</f>
        <v>40</v>
      </c>
      <c r="E952" t="s">
        <v>24</v>
      </c>
      <c r="F952" t="s">
        <v>25</v>
      </c>
      <c r="G952">
        <v>3</v>
      </c>
      <c r="H952">
        <v>22334</v>
      </c>
      <c r="I952">
        <v>4121</v>
      </c>
      <c r="J952" t="s">
        <v>27</v>
      </c>
      <c r="K952" t="str">
        <f>_xlfn.XLOOKUP(datos_ventas[[#This Row],[Ciudad]],Tabla2[Ciudades],Tabla2[Provincias],"no se encuentra")</f>
        <v>Sevilla</v>
      </c>
      <c r="L952" t="str">
        <f>_xlfn.XLOOKUP(datos_ventas[[#This Row],[Provincia]],Tabla2[Provincias],Tabla2[Comunidades],"no se encuentra")</f>
        <v>Andalucía</v>
      </c>
      <c r="M952" t="s">
        <v>28</v>
      </c>
      <c r="N952">
        <v>4</v>
      </c>
    </row>
    <row r="953" spans="1:14" x14ac:dyDescent="0.25">
      <c r="A953">
        <v>1952</v>
      </c>
      <c r="B953" s="1">
        <v>45820</v>
      </c>
      <c r="C953" s="4">
        <f>MONTH(datos_ventas[[#This Row],[Fecha]])</f>
        <v>6</v>
      </c>
      <c r="D953" s="4">
        <f>WEEKNUM(datos_ventas[[#This Row],[Fecha]],2)</f>
        <v>24</v>
      </c>
      <c r="E953" t="s">
        <v>17</v>
      </c>
      <c r="F953" t="s">
        <v>18</v>
      </c>
      <c r="G953">
        <v>2</v>
      </c>
      <c r="H953">
        <v>103902</v>
      </c>
      <c r="I953">
        <v>4435</v>
      </c>
      <c r="J953" t="s">
        <v>27</v>
      </c>
      <c r="K953" t="str">
        <f>_xlfn.XLOOKUP(datos_ventas[[#This Row],[Ciudad]],Tabla2[Ciudades],Tabla2[Provincias],"no se encuentra")</f>
        <v>Sevilla</v>
      </c>
      <c r="L953" t="str">
        <f>_xlfn.XLOOKUP(datos_ventas[[#This Row],[Provincia]],Tabla2[Provincias],Tabla2[Comunidades],"no se encuentra")</f>
        <v>Andalucía</v>
      </c>
      <c r="M953" t="s">
        <v>15</v>
      </c>
      <c r="N953">
        <v>4</v>
      </c>
    </row>
    <row r="954" spans="1:14" x14ac:dyDescent="0.25">
      <c r="A954">
        <v>1953</v>
      </c>
      <c r="B954" s="1">
        <v>45819</v>
      </c>
      <c r="C954" s="4">
        <f>MONTH(datos_ventas[[#This Row],[Fecha]])</f>
        <v>6</v>
      </c>
      <c r="D954" s="4">
        <f>WEEKNUM(datos_ventas[[#This Row],[Fecha]],2)</f>
        <v>24</v>
      </c>
      <c r="E954" t="s">
        <v>23</v>
      </c>
      <c r="F954" t="s">
        <v>18</v>
      </c>
      <c r="G954">
        <v>1</v>
      </c>
      <c r="H954">
        <v>60431</v>
      </c>
      <c r="I954">
        <v>1301</v>
      </c>
      <c r="J954" t="s">
        <v>31</v>
      </c>
      <c r="K954" t="str">
        <f>_xlfn.XLOOKUP(datos_ventas[[#This Row],[Ciudad]],Tabla2[Ciudades],Tabla2[Provincias],"no se encuentra")</f>
        <v>Vizcaya</v>
      </c>
      <c r="L954" t="str">
        <f>_xlfn.XLOOKUP(datos_ventas[[#This Row],[Provincia]],Tabla2[Provincias],Tabla2[Comunidades],"no se encuentra")</f>
        <v>País Vasco</v>
      </c>
      <c r="M954" t="s">
        <v>28</v>
      </c>
      <c r="N954">
        <v>1</v>
      </c>
    </row>
    <row r="955" spans="1:14" x14ac:dyDescent="0.25">
      <c r="A955">
        <v>1954</v>
      </c>
      <c r="B955" s="1">
        <v>46002</v>
      </c>
      <c r="C955" s="4">
        <f>MONTH(datos_ventas[[#This Row],[Fecha]])</f>
        <v>12</v>
      </c>
      <c r="D955" s="4">
        <f>WEEKNUM(datos_ventas[[#This Row],[Fecha]],2)</f>
        <v>50</v>
      </c>
      <c r="E955" t="s">
        <v>29</v>
      </c>
      <c r="F955" t="s">
        <v>30</v>
      </c>
      <c r="G955">
        <v>5</v>
      </c>
      <c r="H955">
        <v>56062</v>
      </c>
      <c r="I955">
        <v>4592</v>
      </c>
      <c r="J955" t="s">
        <v>12</v>
      </c>
      <c r="K955" t="str">
        <f>_xlfn.XLOOKUP(datos_ventas[[#This Row],[Ciudad]],Tabla2[Ciudades],Tabla2[Provincias],"no se encuentra")</f>
        <v>Málaga</v>
      </c>
      <c r="L955" t="str">
        <f>_xlfn.XLOOKUP(datos_ventas[[#This Row],[Provincia]],Tabla2[Provincias],Tabla2[Comunidades],"no se encuentra")</f>
        <v>Andalucía</v>
      </c>
      <c r="M955" t="s">
        <v>15</v>
      </c>
      <c r="N955">
        <v>1</v>
      </c>
    </row>
    <row r="956" spans="1:14" x14ac:dyDescent="0.25">
      <c r="A956">
        <v>1955</v>
      </c>
      <c r="B956" s="1">
        <v>45972</v>
      </c>
      <c r="C956" s="4">
        <f>MONTH(datos_ventas[[#This Row],[Fecha]])</f>
        <v>11</v>
      </c>
      <c r="D956" s="4">
        <f>WEEKNUM(datos_ventas[[#This Row],[Fecha]],2)</f>
        <v>46</v>
      </c>
      <c r="E956" t="s">
        <v>16</v>
      </c>
      <c r="F956" t="s">
        <v>11</v>
      </c>
      <c r="G956">
        <v>4</v>
      </c>
      <c r="H956">
        <v>47242</v>
      </c>
      <c r="I956">
        <v>2933</v>
      </c>
      <c r="J956" t="s">
        <v>32</v>
      </c>
      <c r="K956" t="str">
        <f>_xlfn.XLOOKUP(datos_ventas[[#This Row],[Ciudad]],Tabla2[Ciudades],Tabla2[Provincias],"no se encuentra")</f>
        <v>Barcelona</v>
      </c>
      <c r="L956" t="str">
        <f>_xlfn.XLOOKUP(datos_ventas[[#This Row],[Provincia]],Tabla2[Provincias],Tabla2[Comunidades],"no se encuentra")</f>
        <v>Cataluña</v>
      </c>
      <c r="M956" t="s">
        <v>28</v>
      </c>
      <c r="N956">
        <v>5</v>
      </c>
    </row>
    <row r="957" spans="1:14" x14ac:dyDescent="0.25">
      <c r="A957">
        <v>1956</v>
      </c>
      <c r="B957" s="1">
        <v>45727</v>
      </c>
      <c r="C957" s="4">
        <f>MONTH(datos_ventas[[#This Row],[Fecha]])</f>
        <v>3</v>
      </c>
      <c r="D957" s="4">
        <f>WEEKNUM(datos_ventas[[#This Row],[Fecha]],2)</f>
        <v>11</v>
      </c>
      <c r="E957" t="s">
        <v>23</v>
      </c>
      <c r="F957" t="s">
        <v>18</v>
      </c>
      <c r="G957">
        <v>4</v>
      </c>
      <c r="H957">
        <v>59586</v>
      </c>
      <c r="I957">
        <v>2818</v>
      </c>
      <c r="J957" t="s">
        <v>12</v>
      </c>
      <c r="K957" t="str">
        <f>_xlfn.XLOOKUP(datos_ventas[[#This Row],[Ciudad]],Tabla2[Ciudades],Tabla2[Provincias],"no se encuentra")</f>
        <v>Málaga</v>
      </c>
      <c r="L957" t="str">
        <f>_xlfn.XLOOKUP(datos_ventas[[#This Row],[Provincia]],Tabla2[Provincias],Tabla2[Comunidades],"no se encuentra")</f>
        <v>Andalucía</v>
      </c>
      <c r="M957" t="s">
        <v>28</v>
      </c>
      <c r="N957">
        <v>1</v>
      </c>
    </row>
    <row r="958" spans="1:14" x14ac:dyDescent="0.25">
      <c r="A958">
        <v>1957</v>
      </c>
      <c r="B958" s="1">
        <v>45888</v>
      </c>
      <c r="C958" s="4">
        <f>MONTH(datos_ventas[[#This Row],[Fecha]])</f>
        <v>8</v>
      </c>
      <c r="D958" s="4">
        <f>WEEKNUM(datos_ventas[[#This Row],[Fecha]],2)</f>
        <v>34</v>
      </c>
      <c r="E958" t="s">
        <v>16</v>
      </c>
      <c r="F958" t="s">
        <v>11</v>
      </c>
      <c r="G958">
        <v>4</v>
      </c>
      <c r="H958">
        <v>61113</v>
      </c>
      <c r="I958">
        <v>4068</v>
      </c>
      <c r="J958" t="s">
        <v>32</v>
      </c>
      <c r="K958" t="str">
        <f>_xlfn.XLOOKUP(datos_ventas[[#This Row],[Ciudad]],Tabla2[Ciudades],Tabla2[Provincias],"no se encuentra")</f>
        <v>Barcelona</v>
      </c>
      <c r="L958" t="str">
        <f>_xlfn.XLOOKUP(datos_ventas[[#This Row],[Provincia]],Tabla2[Provincias],Tabla2[Comunidades],"no se encuentra")</f>
        <v>Cataluña</v>
      </c>
      <c r="M958" t="s">
        <v>28</v>
      </c>
      <c r="N958">
        <v>1</v>
      </c>
    </row>
    <row r="959" spans="1:14" x14ac:dyDescent="0.25">
      <c r="A959">
        <v>1958</v>
      </c>
      <c r="B959" s="1">
        <v>45710</v>
      </c>
      <c r="C959" s="4">
        <f>MONTH(datos_ventas[[#This Row],[Fecha]])</f>
        <v>2</v>
      </c>
      <c r="D959" s="4">
        <f>WEEKNUM(datos_ventas[[#This Row],[Fecha]],2)</f>
        <v>8</v>
      </c>
      <c r="E959" t="s">
        <v>17</v>
      </c>
      <c r="F959" t="s">
        <v>18</v>
      </c>
      <c r="G959">
        <v>5</v>
      </c>
      <c r="H959">
        <v>4054</v>
      </c>
      <c r="I959">
        <v>4547</v>
      </c>
      <c r="J959" t="s">
        <v>22</v>
      </c>
      <c r="K959" t="str">
        <f>_xlfn.XLOOKUP(datos_ventas[[#This Row],[Ciudad]],Tabla2[Ciudades],Tabla2[Provincias],"no se encuentra")</f>
        <v>Valencia</v>
      </c>
      <c r="L959" t="str">
        <f>_xlfn.XLOOKUP(datos_ventas[[#This Row],[Provincia]],Tabla2[Provincias],Tabla2[Comunidades],"no se encuentra")</f>
        <v>Comunidad Valenciana</v>
      </c>
      <c r="M959" t="s">
        <v>15</v>
      </c>
      <c r="N959">
        <v>1</v>
      </c>
    </row>
    <row r="960" spans="1:14" x14ac:dyDescent="0.25">
      <c r="A960">
        <v>1959</v>
      </c>
      <c r="B960" s="1">
        <v>45810</v>
      </c>
      <c r="C960" s="4">
        <f>MONTH(datos_ventas[[#This Row],[Fecha]])</f>
        <v>6</v>
      </c>
      <c r="D960" s="4">
        <f>WEEKNUM(datos_ventas[[#This Row],[Fecha]],2)</f>
        <v>23</v>
      </c>
      <c r="E960" t="s">
        <v>23</v>
      </c>
      <c r="F960" t="s">
        <v>18</v>
      </c>
      <c r="G960">
        <v>4</v>
      </c>
      <c r="H960">
        <v>73882</v>
      </c>
      <c r="I960">
        <v>3661</v>
      </c>
      <c r="J960" t="s">
        <v>12</v>
      </c>
      <c r="K960" t="str">
        <f>_xlfn.XLOOKUP(datos_ventas[[#This Row],[Ciudad]],Tabla2[Ciudades],Tabla2[Provincias],"no se encuentra")</f>
        <v>Málaga</v>
      </c>
      <c r="L960" t="str">
        <f>_xlfn.XLOOKUP(datos_ventas[[#This Row],[Provincia]],Tabla2[Provincias],Tabla2[Comunidades],"no se encuentra")</f>
        <v>Andalucía</v>
      </c>
      <c r="M960" t="s">
        <v>15</v>
      </c>
      <c r="N960">
        <v>3</v>
      </c>
    </row>
    <row r="961" spans="1:14" x14ac:dyDescent="0.25">
      <c r="A961">
        <v>1960</v>
      </c>
      <c r="B961" s="1">
        <v>45814</v>
      </c>
      <c r="C961" s="4">
        <f>MONTH(datos_ventas[[#This Row],[Fecha]])</f>
        <v>6</v>
      </c>
      <c r="D961" s="4">
        <f>WEEKNUM(datos_ventas[[#This Row],[Fecha]],2)</f>
        <v>23</v>
      </c>
      <c r="E961" t="s">
        <v>24</v>
      </c>
      <c r="F961" t="s">
        <v>25</v>
      </c>
      <c r="G961">
        <v>2</v>
      </c>
      <c r="H961">
        <v>80788</v>
      </c>
      <c r="I961">
        <v>3383</v>
      </c>
      <c r="J961" t="s">
        <v>22</v>
      </c>
      <c r="K961" t="str">
        <f>_xlfn.XLOOKUP(datos_ventas[[#This Row],[Ciudad]],Tabla2[Ciudades],Tabla2[Provincias],"no se encuentra")</f>
        <v>Valencia</v>
      </c>
      <c r="L961" t="str">
        <f>_xlfn.XLOOKUP(datos_ventas[[#This Row],[Provincia]],Tabla2[Provincias],Tabla2[Comunidades],"no se encuentra")</f>
        <v>Comunidad Valenciana</v>
      </c>
      <c r="M961" t="s">
        <v>19</v>
      </c>
      <c r="N961">
        <v>1</v>
      </c>
    </row>
    <row r="962" spans="1:14" x14ac:dyDescent="0.25">
      <c r="A962">
        <v>1961</v>
      </c>
      <c r="B962" s="1">
        <v>45819</v>
      </c>
      <c r="C962" s="4">
        <f>MONTH(datos_ventas[[#This Row],[Fecha]])</f>
        <v>6</v>
      </c>
      <c r="D962" s="4">
        <f>WEEKNUM(datos_ventas[[#This Row],[Fecha]],2)</f>
        <v>24</v>
      </c>
      <c r="E962" t="s">
        <v>29</v>
      </c>
      <c r="F962" t="s">
        <v>30</v>
      </c>
      <c r="G962">
        <v>3</v>
      </c>
      <c r="H962">
        <v>5348</v>
      </c>
      <c r="I962">
        <v>702</v>
      </c>
      <c r="J962" t="s">
        <v>12</v>
      </c>
      <c r="K962" t="str">
        <f>_xlfn.XLOOKUP(datos_ventas[[#This Row],[Ciudad]],Tabla2[Ciudades],Tabla2[Provincias],"no se encuentra")</f>
        <v>Málaga</v>
      </c>
      <c r="L962" t="str">
        <f>_xlfn.XLOOKUP(datos_ventas[[#This Row],[Provincia]],Tabla2[Provincias],Tabla2[Comunidades],"no se encuentra")</f>
        <v>Andalucía</v>
      </c>
      <c r="M962" t="s">
        <v>19</v>
      </c>
      <c r="N962">
        <v>2</v>
      </c>
    </row>
    <row r="963" spans="1:14" x14ac:dyDescent="0.25">
      <c r="A963">
        <v>1962</v>
      </c>
      <c r="B963" s="1">
        <v>45871</v>
      </c>
      <c r="C963" s="4">
        <f>MONTH(datos_ventas[[#This Row],[Fecha]])</f>
        <v>8</v>
      </c>
      <c r="D963" s="4">
        <f>WEEKNUM(datos_ventas[[#This Row],[Fecha]],2)</f>
        <v>31</v>
      </c>
      <c r="E963" t="s">
        <v>29</v>
      </c>
      <c r="F963" t="s">
        <v>30</v>
      </c>
      <c r="G963">
        <v>4</v>
      </c>
      <c r="H963">
        <v>20975</v>
      </c>
      <c r="I963">
        <v>1321</v>
      </c>
      <c r="J963" t="s">
        <v>14</v>
      </c>
      <c r="K963" t="str">
        <f>_xlfn.XLOOKUP(datos_ventas[[#This Row],[Ciudad]],Tabla2[Ciudades],Tabla2[Provincias],"no se encuentra")</f>
        <v>Madrid</v>
      </c>
      <c r="L963" t="str">
        <f>_xlfn.XLOOKUP(datos_ventas[[#This Row],[Provincia]],Tabla2[Provincias],Tabla2[Comunidades],"no se encuentra")</f>
        <v>Comunidad de Madrid</v>
      </c>
      <c r="M963" t="s">
        <v>13</v>
      </c>
      <c r="N963">
        <v>4</v>
      </c>
    </row>
    <row r="964" spans="1:14" x14ac:dyDescent="0.25">
      <c r="A964">
        <v>1963</v>
      </c>
      <c r="B964" s="1">
        <v>45731</v>
      </c>
      <c r="C964" s="4">
        <f>MONTH(datos_ventas[[#This Row],[Fecha]])</f>
        <v>3</v>
      </c>
      <c r="D964" s="4">
        <f>WEEKNUM(datos_ventas[[#This Row],[Fecha]],2)</f>
        <v>11</v>
      </c>
      <c r="E964" t="s">
        <v>23</v>
      </c>
      <c r="F964" t="s">
        <v>18</v>
      </c>
      <c r="G964">
        <v>4</v>
      </c>
      <c r="H964">
        <v>69241</v>
      </c>
      <c r="I964">
        <v>3185</v>
      </c>
      <c r="J964" t="s">
        <v>27</v>
      </c>
      <c r="K964" t="str">
        <f>_xlfn.XLOOKUP(datos_ventas[[#This Row],[Ciudad]],Tabla2[Ciudades],Tabla2[Provincias],"no se encuentra")</f>
        <v>Sevilla</v>
      </c>
      <c r="L964" t="str">
        <f>_xlfn.XLOOKUP(datos_ventas[[#This Row],[Provincia]],Tabla2[Provincias],Tabla2[Comunidades],"no se encuentra")</f>
        <v>Andalucía</v>
      </c>
      <c r="M964" t="s">
        <v>13</v>
      </c>
      <c r="N964">
        <v>1</v>
      </c>
    </row>
    <row r="965" spans="1:14" x14ac:dyDescent="0.25">
      <c r="A965">
        <v>1964</v>
      </c>
      <c r="B965" s="1">
        <v>45865</v>
      </c>
      <c r="C965" s="4">
        <f>MONTH(datos_ventas[[#This Row],[Fecha]])</f>
        <v>7</v>
      </c>
      <c r="D965" s="4">
        <f>WEEKNUM(datos_ventas[[#This Row],[Fecha]],2)</f>
        <v>30</v>
      </c>
      <c r="E965" t="s">
        <v>23</v>
      </c>
      <c r="F965" t="s">
        <v>18</v>
      </c>
      <c r="G965">
        <v>1</v>
      </c>
      <c r="H965">
        <v>27863</v>
      </c>
      <c r="I965">
        <v>1151</v>
      </c>
      <c r="J965" t="s">
        <v>22</v>
      </c>
      <c r="K965" t="str">
        <f>_xlfn.XLOOKUP(datos_ventas[[#This Row],[Ciudad]],Tabla2[Ciudades],Tabla2[Provincias],"no se encuentra")</f>
        <v>Valencia</v>
      </c>
      <c r="L965" t="str">
        <f>_xlfn.XLOOKUP(datos_ventas[[#This Row],[Provincia]],Tabla2[Provincias],Tabla2[Comunidades],"no se encuentra")</f>
        <v>Comunidad Valenciana</v>
      </c>
      <c r="M965" t="s">
        <v>28</v>
      </c>
      <c r="N965">
        <v>5</v>
      </c>
    </row>
    <row r="966" spans="1:14" x14ac:dyDescent="0.25">
      <c r="A966">
        <v>1965</v>
      </c>
      <c r="B966" s="1">
        <v>45756</v>
      </c>
      <c r="C966" s="4">
        <f>MONTH(datos_ventas[[#This Row],[Fecha]])</f>
        <v>4</v>
      </c>
      <c r="D966" s="4">
        <f>WEEKNUM(datos_ventas[[#This Row],[Fecha]],2)</f>
        <v>15</v>
      </c>
      <c r="E966" t="s">
        <v>24</v>
      </c>
      <c r="F966" t="s">
        <v>25</v>
      </c>
      <c r="G966">
        <v>4</v>
      </c>
      <c r="H966">
        <v>6632</v>
      </c>
      <c r="I966">
        <v>3105</v>
      </c>
      <c r="J966" t="s">
        <v>32</v>
      </c>
      <c r="K966" t="str">
        <f>_xlfn.XLOOKUP(datos_ventas[[#This Row],[Ciudad]],Tabla2[Ciudades],Tabla2[Provincias],"no se encuentra")</f>
        <v>Barcelona</v>
      </c>
      <c r="L966" t="str">
        <f>_xlfn.XLOOKUP(datos_ventas[[#This Row],[Provincia]],Tabla2[Provincias],Tabla2[Comunidades],"no se encuentra")</f>
        <v>Cataluña</v>
      </c>
      <c r="M966" t="s">
        <v>13</v>
      </c>
      <c r="N966">
        <v>4</v>
      </c>
    </row>
    <row r="967" spans="1:14" x14ac:dyDescent="0.25">
      <c r="A967">
        <v>1966</v>
      </c>
      <c r="B967" s="1">
        <v>45667</v>
      </c>
      <c r="C967" s="4">
        <f>MONTH(datos_ventas[[#This Row],[Fecha]])</f>
        <v>1</v>
      </c>
      <c r="D967" s="4">
        <f>WEEKNUM(datos_ventas[[#This Row],[Fecha]],2)</f>
        <v>2</v>
      </c>
      <c r="E967" t="s">
        <v>16</v>
      </c>
      <c r="F967" t="s">
        <v>11</v>
      </c>
      <c r="G967">
        <v>1</v>
      </c>
      <c r="H967">
        <v>16386</v>
      </c>
      <c r="I967">
        <v>689</v>
      </c>
      <c r="J967" t="s">
        <v>14</v>
      </c>
      <c r="K967" t="str">
        <f>_xlfn.XLOOKUP(datos_ventas[[#This Row],[Ciudad]],Tabla2[Ciudades],Tabla2[Provincias],"no se encuentra")</f>
        <v>Madrid</v>
      </c>
      <c r="L967" t="str">
        <f>_xlfn.XLOOKUP(datos_ventas[[#This Row],[Provincia]],Tabla2[Provincias],Tabla2[Comunidades],"no se encuentra")</f>
        <v>Comunidad de Madrid</v>
      </c>
      <c r="M967" t="s">
        <v>15</v>
      </c>
      <c r="N967">
        <v>4</v>
      </c>
    </row>
    <row r="968" spans="1:14" x14ac:dyDescent="0.25">
      <c r="A968">
        <v>1967</v>
      </c>
      <c r="B968" s="1">
        <v>45840</v>
      </c>
      <c r="C968" s="4">
        <f>MONTH(datos_ventas[[#This Row],[Fecha]])</f>
        <v>7</v>
      </c>
      <c r="D968" s="4">
        <f>WEEKNUM(datos_ventas[[#This Row],[Fecha]],2)</f>
        <v>27</v>
      </c>
      <c r="E968" t="s">
        <v>26</v>
      </c>
      <c r="F968" t="s">
        <v>18</v>
      </c>
      <c r="G968">
        <v>5</v>
      </c>
      <c r="H968">
        <v>83675</v>
      </c>
      <c r="I968">
        <v>2248</v>
      </c>
      <c r="J968" t="s">
        <v>22</v>
      </c>
      <c r="K968" t="str">
        <f>_xlfn.XLOOKUP(datos_ventas[[#This Row],[Ciudad]],Tabla2[Ciudades],Tabla2[Provincias],"no se encuentra")</f>
        <v>Valencia</v>
      </c>
      <c r="L968" t="str">
        <f>_xlfn.XLOOKUP(datos_ventas[[#This Row],[Provincia]],Tabla2[Provincias],Tabla2[Comunidades],"no se encuentra")</f>
        <v>Comunidad Valenciana</v>
      </c>
      <c r="M968" t="s">
        <v>19</v>
      </c>
      <c r="N968">
        <v>5</v>
      </c>
    </row>
    <row r="969" spans="1:14" x14ac:dyDescent="0.25">
      <c r="A969">
        <v>1968</v>
      </c>
      <c r="B969" s="1">
        <v>45992</v>
      </c>
      <c r="C969" s="4">
        <f>MONTH(datos_ventas[[#This Row],[Fecha]])</f>
        <v>12</v>
      </c>
      <c r="D969" s="4">
        <f>WEEKNUM(datos_ventas[[#This Row],[Fecha]],2)</f>
        <v>49</v>
      </c>
      <c r="E969" t="s">
        <v>29</v>
      </c>
      <c r="F969" t="s">
        <v>30</v>
      </c>
      <c r="G969">
        <v>3</v>
      </c>
      <c r="H969">
        <v>67945</v>
      </c>
      <c r="I969">
        <v>2499</v>
      </c>
      <c r="J969" t="s">
        <v>32</v>
      </c>
      <c r="K969" t="str">
        <f>_xlfn.XLOOKUP(datos_ventas[[#This Row],[Ciudad]],Tabla2[Ciudades],Tabla2[Provincias],"no se encuentra")</f>
        <v>Barcelona</v>
      </c>
      <c r="L969" t="str">
        <f>_xlfn.XLOOKUP(datos_ventas[[#This Row],[Provincia]],Tabla2[Provincias],Tabla2[Comunidades],"no se encuentra")</f>
        <v>Cataluña</v>
      </c>
      <c r="M969" t="s">
        <v>28</v>
      </c>
      <c r="N969">
        <v>1</v>
      </c>
    </row>
    <row r="970" spans="1:14" x14ac:dyDescent="0.25">
      <c r="A970">
        <v>1969</v>
      </c>
      <c r="B970" s="1">
        <v>45734</v>
      </c>
      <c r="C970" s="4">
        <f>MONTH(datos_ventas[[#This Row],[Fecha]])</f>
        <v>3</v>
      </c>
      <c r="D970" s="4">
        <f>WEEKNUM(datos_ventas[[#This Row],[Fecha]],2)</f>
        <v>12</v>
      </c>
      <c r="E970" t="s">
        <v>29</v>
      </c>
      <c r="F970" t="s">
        <v>30</v>
      </c>
      <c r="G970">
        <v>2</v>
      </c>
      <c r="H970">
        <v>16209</v>
      </c>
      <c r="I970">
        <v>4072</v>
      </c>
      <c r="J970" t="s">
        <v>12</v>
      </c>
      <c r="K970" t="str">
        <f>_xlfn.XLOOKUP(datos_ventas[[#This Row],[Ciudad]],Tabla2[Ciudades],Tabla2[Provincias],"no se encuentra")</f>
        <v>Málaga</v>
      </c>
      <c r="L970" t="str">
        <f>_xlfn.XLOOKUP(datos_ventas[[#This Row],[Provincia]],Tabla2[Provincias],Tabla2[Comunidades],"no se encuentra")</f>
        <v>Andalucía</v>
      </c>
      <c r="M970" t="s">
        <v>28</v>
      </c>
      <c r="N970">
        <v>3</v>
      </c>
    </row>
    <row r="971" spans="1:14" x14ac:dyDescent="0.25">
      <c r="A971">
        <v>1970</v>
      </c>
      <c r="B971" s="1">
        <v>45974</v>
      </c>
      <c r="C971" s="4">
        <f>MONTH(datos_ventas[[#This Row],[Fecha]])</f>
        <v>11</v>
      </c>
      <c r="D971" s="4">
        <f>WEEKNUM(datos_ventas[[#This Row],[Fecha]],2)</f>
        <v>46</v>
      </c>
      <c r="E971" t="s">
        <v>29</v>
      </c>
      <c r="F971" t="s">
        <v>30</v>
      </c>
      <c r="G971">
        <v>1</v>
      </c>
      <c r="H971">
        <v>8475</v>
      </c>
      <c r="I971">
        <v>498</v>
      </c>
      <c r="J971" t="s">
        <v>14</v>
      </c>
      <c r="K971" t="str">
        <f>_xlfn.XLOOKUP(datos_ventas[[#This Row],[Ciudad]],Tabla2[Ciudades],Tabla2[Provincias],"no se encuentra")</f>
        <v>Madrid</v>
      </c>
      <c r="L971" t="str">
        <f>_xlfn.XLOOKUP(datos_ventas[[#This Row],[Provincia]],Tabla2[Provincias],Tabla2[Comunidades],"no se encuentra")</f>
        <v>Comunidad de Madrid</v>
      </c>
      <c r="M971" t="s">
        <v>19</v>
      </c>
      <c r="N971">
        <v>3</v>
      </c>
    </row>
    <row r="972" spans="1:14" x14ac:dyDescent="0.25">
      <c r="A972">
        <v>1971</v>
      </c>
      <c r="B972" s="1">
        <v>45818</v>
      </c>
      <c r="C972" s="4">
        <f>MONTH(datos_ventas[[#This Row],[Fecha]])</f>
        <v>6</v>
      </c>
      <c r="D972" s="4">
        <f>WEEKNUM(datos_ventas[[#This Row],[Fecha]],2)</f>
        <v>24</v>
      </c>
      <c r="E972" t="s">
        <v>16</v>
      </c>
      <c r="F972" t="s">
        <v>11</v>
      </c>
      <c r="G972">
        <v>5</v>
      </c>
      <c r="H972">
        <v>17578</v>
      </c>
      <c r="I972">
        <v>3646</v>
      </c>
      <c r="J972" t="s">
        <v>31</v>
      </c>
      <c r="K972" t="str">
        <f>_xlfn.XLOOKUP(datos_ventas[[#This Row],[Ciudad]],Tabla2[Ciudades],Tabla2[Provincias],"no se encuentra")</f>
        <v>Vizcaya</v>
      </c>
      <c r="L972" t="str">
        <f>_xlfn.XLOOKUP(datos_ventas[[#This Row],[Provincia]],Tabla2[Provincias],Tabla2[Comunidades],"no se encuentra")</f>
        <v>País Vasco</v>
      </c>
      <c r="M972" t="s">
        <v>13</v>
      </c>
      <c r="N972">
        <v>1</v>
      </c>
    </row>
    <row r="973" spans="1:14" x14ac:dyDescent="0.25">
      <c r="A973">
        <v>1972</v>
      </c>
      <c r="B973" s="1">
        <v>45805</v>
      </c>
      <c r="C973" s="4">
        <f>MONTH(datos_ventas[[#This Row],[Fecha]])</f>
        <v>5</v>
      </c>
      <c r="D973" s="4">
        <f>WEEKNUM(datos_ventas[[#This Row],[Fecha]],2)</f>
        <v>22</v>
      </c>
      <c r="E973" t="s">
        <v>16</v>
      </c>
      <c r="F973" t="s">
        <v>11</v>
      </c>
      <c r="G973">
        <v>1</v>
      </c>
      <c r="H973">
        <v>69075</v>
      </c>
      <c r="I973">
        <v>4727</v>
      </c>
      <c r="J973" t="s">
        <v>27</v>
      </c>
      <c r="K973" t="str">
        <f>_xlfn.XLOOKUP(datos_ventas[[#This Row],[Ciudad]],Tabla2[Ciudades],Tabla2[Provincias],"no se encuentra")</f>
        <v>Sevilla</v>
      </c>
      <c r="L973" t="str">
        <f>_xlfn.XLOOKUP(datos_ventas[[#This Row],[Provincia]],Tabla2[Provincias],Tabla2[Comunidades],"no se encuentra")</f>
        <v>Andalucía</v>
      </c>
      <c r="M973" t="s">
        <v>15</v>
      </c>
      <c r="N973">
        <v>3</v>
      </c>
    </row>
    <row r="974" spans="1:14" x14ac:dyDescent="0.25">
      <c r="A974">
        <v>1973</v>
      </c>
      <c r="B974" s="1">
        <v>45665</v>
      </c>
      <c r="C974" s="4">
        <f>MONTH(datos_ventas[[#This Row],[Fecha]])</f>
        <v>1</v>
      </c>
      <c r="D974" s="4">
        <f>WEEKNUM(datos_ventas[[#This Row],[Fecha]],2)</f>
        <v>2</v>
      </c>
      <c r="E974" t="s">
        <v>20</v>
      </c>
      <c r="F974" t="s">
        <v>21</v>
      </c>
      <c r="G974">
        <v>3</v>
      </c>
      <c r="H974">
        <v>85479</v>
      </c>
      <c r="I974">
        <v>886</v>
      </c>
      <c r="J974" t="s">
        <v>12</v>
      </c>
      <c r="K974" t="str">
        <f>_xlfn.XLOOKUP(datos_ventas[[#This Row],[Ciudad]],Tabla2[Ciudades],Tabla2[Provincias],"no se encuentra")</f>
        <v>Málaga</v>
      </c>
      <c r="L974" t="str">
        <f>_xlfn.XLOOKUP(datos_ventas[[#This Row],[Provincia]],Tabla2[Provincias],Tabla2[Comunidades],"no se encuentra")</f>
        <v>Andalucía</v>
      </c>
      <c r="M974" t="s">
        <v>15</v>
      </c>
      <c r="N974">
        <v>3</v>
      </c>
    </row>
    <row r="975" spans="1:14" x14ac:dyDescent="0.25">
      <c r="A975">
        <v>1974</v>
      </c>
      <c r="B975" s="1">
        <v>45980</v>
      </c>
      <c r="C975" s="4">
        <f>MONTH(datos_ventas[[#This Row],[Fecha]])</f>
        <v>11</v>
      </c>
      <c r="D975" s="4">
        <f>WEEKNUM(datos_ventas[[#This Row],[Fecha]],2)</f>
        <v>47</v>
      </c>
      <c r="E975" t="s">
        <v>29</v>
      </c>
      <c r="F975" t="s">
        <v>30</v>
      </c>
      <c r="G975">
        <v>1</v>
      </c>
      <c r="H975">
        <v>97722</v>
      </c>
      <c r="I975">
        <v>4641</v>
      </c>
      <c r="J975" t="s">
        <v>27</v>
      </c>
      <c r="K975" t="str">
        <f>_xlfn.XLOOKUP(datos_ventas[[#This Row],[Ciudad]],Tabla2[Ciudades],Tabla2[Provincias],"no se encuentra")</f>
        <v>Sevilla</v>
      </c>
      <c r="L975" t="str">
        <f>_xlfn.XLOOKUP(datos_ventas[[#This Row],[Provincia]],Tabla2[Provincias],Tabla2[Comunidades],"no se encuentra")</f>
        <v>Andalucía</v>
      </c>
      <c r="M975" t="s">
        <v>19</v>
      </c>
      <c r="N975">
        <v>2</v>
      </c>
    </row>
    <row r="976" spans="1:14" x14ac:dyDescent="0.25">
      <c r="A976">
        <v>1975</v>
      </c>
      <c r="B976" s="1">
        <v>45759</v>
      </c>
      <c r="C976" s="4">
        <f>MONTH(datos_ventas[[#This Row],[Fecha]])</f>
        <v>4</v>
      </c>
      <c r="D976" s="4">
        <f>WEEKNUM(datos_ventas[[#This Row],[Fecha]],2)</f>
        <v>15</v>
      </c>
      <c r="E976" t="s">
        <v>20</v>
      </c>
      <c r="F976" t="s">
        <v>21</v>
      </c>
      <c r="G976">
        <v>4</v>
      </c>
      <c r="H976">
        <v>71064</v>
      </c>
      <c r="I976">
        <v>4015</v>
      </c>
      <c r="J976" t="s">
        <v>14</v>
      </c>
      <c r="K976" t="str">
        <f>_xlfn.XLOOKUP(datos_ventas[[#This Row],[Ciudad]],Tabla2[Ciudades],Tabla2[Provincias],"no se encuentra")</f>
        <v>Madrid</v>
      </c>
      <c r="L976" t="str">
        <f>_xlfn.XLOOKUP(datos_ventas[[#This Row],[Provincia]],Tabla2[Provincias],Tabla2[Comunidades],"no se encuentra")</f>
        <v>Comunidad de Madrid</v>
      </c>
      <c r="M976" t="s">
        <v>28</v>
      </c>
      <c r="N976">
        <v>2</v>
      </c>
    </row>
    <row r="977" spans="1:14" x14ac:dyDescent="0.25">
      <c r="A977">
        <v>1976</v>
      </c>
      <c r="B977" s="1">
        <v>46008</v>
      </c>
      <c r="C977" s="4">
        <f>MONTH(datos_ventas[[#This Row],[Fecha]])</f>
        <v>12</v>
      </c>
      <c r="D977" s="4">
        <f>WEEKNUM(datos_ventas[[#This Row],[Fecha]],2)</f>
        <v>51</v>
      </c>
      <c r="E977" t="s">
        <v>20</v>
      </c>
      <c r="F977" t="s">
        <v>21</v>
      </c>
      <c r="G977">
        <v>5</v>
      </c>
      <c r="H977">
        <v>1842</v>
      </c>
      <c r="I977">
        <v>4428</v>
      </c>
      <c r="J977" t="s">
        <v>14</v>
      </c>
      <c r="K977" t="str">
        <f>_xlfn.XLOOKUP(datos_ventas[[#This Row],[Ciudad]],Tabla2[Ciudades],Tabla2[Provincias],"no se encuentra")</f>
        <v>Madrid</v>
      </c>
      <c r="L977" t="str">
        <f>_xlfn.XLOOKUP(datos_ventas[[#This Row],[Provincia]],Tabla2[Provincias],Tabla2[Comunidades],"no se encuentra")</f>
        <v>Comunidad de Madrid</v>
      </c>
      <c r="M977" t="s">
        <v>19</v>
      </c>
      <c r="N977">
        <v>5</v>
      </c>
    </row>
    <row r="978" spans="1:14" x14ac:dyDescent="0.25">
      <c r="A978">
        <v>1977</v>
      </c>
      <c r="B978" s="1">
        <v>45854</v>
      </c>
      <c r="C978" s="4">
        <f>MONTH(datos_ventas[[#This Row],[Fecha]])</f>
        <v>7</v>
      </c>
      <c r="D978" s="4">
        <f>WEEKNUM(datos_ventas[[#This Row],[Fecha]],2)</f>
        <v>29</v>
      </c>
      <c r="E978" t="s">
        <v>24</v>
      </c>
      <c r="F978" t="s">
        <v>25</v>
      </c>
      <c r="G978">
        <v>3</v>
      </c>
      <c r="H978">
        <v>25512</v>
      </c>
      <c r="I978">
        <v>1547</v>
      </c>
      <c r="J978" t="s">
        <v>12</v>
      </c>
      <c r="K978" t="str">
        <f>_xlfn.XLOOKUP(datos_ventas[[#This Row],[Ciudad]],Tabla2[Ciudades],Tabla2[Provincias],"no se encuentra")</f>
        <v>Málaga</v>
      </c>
      <c r="L978" t="str">
        <f>_xlfn.XLOOKUP(datos_ventas[[#This Row],[Provincia]],Tabla2[Provincias],Tabla2[Comunidades],"no se encuentra")</f>
        <v>Andalucía</v>
      </c>
      <c r="M978" t="s">
        <v>28</v>
      </c>
      <c r="N978">
        <v>3</v>
      </c>
    </row>
    <row r="979" spans="1:14" x14ac:dyDescent="0.25">
      <c r="A979">
        <v>1978</v>
      </c>
      <c r="B979" s="1">
        <v>45775</v>
      </c>
      <c r="C979" s="4">
        <f>MONTH(datos_ventas[[#This Row],[Fecha]])</f>
        <v>4</v>
      </c>
      <c r="D979" s="4">
        <f>WEEKNUM(datos_ventas[[#This Row],[Fecha]],2)</f>
        <v>18</v>
      </c>
      <c r="E979" t="s">
        <v>26</v>
      </c>
      <c r="F979" t="s">
        <v>18</v>
      </c>
      <c r="G979">
        <v>4</v>
      </c>
      <c r="H979">
        <v>106659</v>
      </c>
      <c r="I979">
        <v>3859</v>
      </c>
      <c r="J979" t="s">
        <v>22</v>
      </c>
      <c r="K979" t="str">
        <f>_xlfn.XLOOKUP(datos_ventas[[#This Row],[Ciudad]],Tabla2[Ciudades],Tabla2[Provincias],"no se encuentra")</f>
        <v>Valencia</v>
      </c>
      <c r="L979" t="str">
        <f>_xlfn.XLOOKUP(datos_ventas[[#This Row],[Provincia]],Tabla2[Provincias],Tabla2[Comunidades],"no se encuentra")</f>
        <v>Comunidad Valenciana</v>
      </c>
      <c r="M979" t="s">
        <v>19</v>
      </c>
      <c r="N979">
        <v>1</v>
      </c>
    </row>
    <row r="980" spans="1:14" x14ac:dyDescent="0.25">
      <c r="A980">
        <v>1979</v>
      </c>
      <c r="B980" s="1">
        <v>46006</v>
      </c>
      <c r="C980" s="4">
        <f>MONTH(datos_ventas[[#This Row],[Fecha]])</f>
        <v>12</v>
      </c>
      <c r="D980" s="4">
        <f>WEEKNUM(datos_ventas[[#This Row],[Fecha]],2)</f>
        <v>51</v>
      </c>
      <c r="E980" t="s">
        <v>29</v>
      </c>
      <c r="F980" t="s">
        <v>30</v>
      </c>
      <c r="G980">
        <v>2</v>
      </c>
      <c r="H980">
        <v>69763</v>
      </c>
      <c r="I980">
        <v>3634</v>
      </c>
      <c r="J980" t="s">
        <v>32</v>
      </c>
      <c r="K980" t="str">
        <f>_xlfn.XLOOKUP(datos_ventas[[#This Row],[Ciudad]],Tabla2[Ciudades],Tabla2[Provincias],"no se encuentra")</f>
        <v>Barcelona</v>
      </c>
      <c r="L980" t="str">
        <f>_xlfn.XLOOKUP(datos_ventas[[#This Row],[Provincia]],Tabla2[Provincias],Tabla2[Comunidades],"no se encuentra")</f>
        <v>Cataluña</v>
      </c>
      <c r="M980" t="s">
        <v>13</v>
      </c>
      <c r="N980">
        <v>2</v>
      </c>
    </row>
    <row r="981" spans="1:14" x14ac:dyDescent="0.25">
      <c r="A981">
        <v>1980</v>
      </c>
      <c r="B981" s="1">
        <v>45835</v>
      </c>
      <c r="C981" s="4">
        <f>MONTH(datos_ventas[[#This Row],[Fecha]])</f>
        <v>6</v>
      </c>
      <c r="D981" s="4">
        <f>WEEKNUM(datos_ventas[[#This Row],[Fecha]],2)</f>
        <v>26</v>
      </c>
      <c r="E981" t="s">
        <v>20</v>
      </c>
      <c r="F981" t="s">
        <v>21</v>
      </c>
      <c r="G981">
        <v>2</v>
      </c>
      <c r="H981">
        <v>3748</v>
      </c>
      <c r="I981">
        <v>4727</v>
      </c>
      <c r="J981" t="s">
        <v>22</v>
      </c>
      <c r="K981" t="str">
        <f>_xlfn.XLOOKUP(datos_ventas[[#This Row],[Ciudad]],Tabla2[Ciudades],Tabla2[Provincias],"no se encuentra")</f>
        <v>Valencia</v>
      </c>
      <c r="L981" t="str">
        <f>_xlfn.XLOOKUP(datos_ventas[[#This Row],[Provincia]],Tabla2[Provincias],Tabla2[Comunidades],"no se encuentra")</f>
        <v>Comunidad Valenciana</v>
      </c>
      <c r="M981" t="s">
        <v>28</v>
      </c>
      <c r="N981">
        <v>1</v>
      </c>
    </row>
    <row r="982" spans="1:14" x14ac:dyDescent="0.25">
      <c r="A982">
        <v>1981</v>
      </c>
      <c r="B982" s="1">
        <v>45751</v>
      </c>
      <c r="C982" s="4">
        <f>MONTH(datos_ventas[[#This Row],[Fecha]])</f>
        <v>4</v>
      </c>
      <c r="D982" s="4">
        <f>WEEKNUM(datos_ventas[[#This Row],[Fecha]],2)</f>
        <v>14</v>
      </c>
      <c r="E982" t="s">
        <v>29</v>
      </c>
      <c r="F982" t="s">
        <v>30</v>
      </c>
      <c r="G982">
        <v>2</v>
      </c>
      <c r="H982">
        <v>100839</v>
      </c>
      <c r="I982">
        <v>3302</v>
      </c>
      <c r="J982" t="s">
        <v>14</v>
      </c>
      <c r="K982" t="str">
        <f>_xlfn.XLOOKUP(datos_ventas[[#This Row],[Ciudad]],Tabla2[Ciudades],Tabla2[Provincias],"no se encuentra")</f>
        <v>Madrid</v>
      </c>
      <c r="L982" t="str">
        <f>_xlfn.XLOOKUP(datos_ventas[[#This Row],[Provincia]],Tabla2[Provincias],Tabla2[Comunidades],"no se encuentra")</f>
        <v>Comunidad de Madrid</v>
      </c>
      <c r="M982" t="s">
        <v>28</v>
      </c>
      <c r="N982">
        <v>3</v>
      </c>
    </row>
    <row r="983" spans="1:14" x14ac:dyDescent="0.25">
      <c r="A983">
        <v>1982</v>
      </c>
      <c r="B983" s="1">
        <v>46000</v>
      </c>
      <c r="C983" s="4">
        <f>MONTH(datos_ventas[[#This Row],[Fecha]])</f>
        <v>12</v>
      </c>
      <c r="D983" s="4">
        <f>WEEKNUM(datos_ventas[[#This Row],[Fecha]],2)</f>
        <v>50</v>
      </c>
      <c r="E983" t="s">
        <v>10</v>
      </c>
      <c r="F983" t="s">
        <v>11</v>
      </c>
      <c r="G983">
        <v>3</v>
      </c>
      <c r="H983">
        <v>75077</v>
      </c>
      <c r="I983">
        <v>2103</v>
      </c>
      <c r="J983" t="s">
        <v>31</v>
      </c>
      <c r="K983" t="str">
        <f>_xlfn.XLOOKUP(datos_ventas[[#This Row],[Ciudad]],Tabla2[Ciudades],Tabla2[Provincias],"no se encuentra")</f>
        <v>Vizcaya</v>
      </c>
      <c r="L983" t="str">
        <f>_xlfn.XLOOKUP(datos_ventas[[#This Row],[Provincia]],Tabla2[Provincias],Tabla2[Comunidades],"no se encuentra")</f>
        <v>País Vasco</v>
      </c>
      <c r="M983" t="s">
        <v>15</v>
      </c>
      <c r="N983">
        <v>5</v>
      </c>
    </row>
    <row r="984" spans="1:14" x14ac:dyDescent="0.25">
      <c r="A984">
        <v>1983</v>
      </c>
      <c r="B984" s="1">
        <v>45972</v>
      </c>
      <c r="C984" s="4">
        <f>MONTH(datos_ventas[[#This Row],[Fecha]])</f>
        <v>11</v>
      </c>
      <c r="D984" s="4">
        <f>WEEKNUM(datos_ventas[[#This Row],[Fecha]],2)</f>
        <v>46</v>
      </c>
      <c r="E984" t="s">
        <v>20</v>
      </c>
      <c r="F984" t="s">
        <v>21</v>
      </c>
      <c r="G984">
        <v>2</v>
      </c>
      <c r="H984">
        <v>88955</v>
      </c>
      <c r="I984">
        <v>2472</v>
      </c>
      <c r="J984" t="s">
        <v>27</v>
      </c>
      <c r="K984" t="str">
        <f>_xlfn.XLOOKUP(datos_ventas[[#This Row],[Ciudad]],Tabla2[Ciudades],Tabla2[Provincias],"no se encuentra")</f>
        <v>Sevilla</v>
      </c>
      <c r="L984" t="str">
        <f>_xlfn.XLOOKUP(datos_ventas[[#This Row],[Provincia]],Tabla2[Provincias],Tabla2[Comunidades],"no se encuentra")</f>
        <v>Andalucía</v>
      </c>
      <c r="M984" t="s">
        <v>15</v>
      </c>
      <c r="N984">
        <v>4</v>
      </c>
    </row>
    <row r="985" spans="1:14" x14ac:dyDescent="0.25">
      <c r="A985">
        <v>1984</v>
      </c>
      <c r="B985" s="1">
        <v>45749</v>
      </c>
      <c r="C985" s="4">
        <f>MONTH(datos_ventas[[#This Row],[Fecha]])</f>
        <v>4</v>
      </c>
      <c r="D985" s="4">
        <f>WEEKNUM(datos_ventas[[#This Row],[Fecha]],2)</f>
        <v>14</v>
      </c>
      <c r="E985" t="s">
        <v>23</v>
      </c>
      <c r="F985" t="s">
        <v>18</v>
      </c>
      <c r="G985">
        <v>3</v>
      </c>
      <c r="H985">
        <v>49087</v>
      </c>
      <c r="I985">
        <v>3782</v>
      </c>
      <c r="J985" t="s">
        <v>14</v>
      </c>
      <c r="K985" t="str">
        <f>_xlfn.XLOOKUP(datos_ventas[[#This Row],[Ciudad]],Tabla2[Ciudades],Tabla2[Provincias],"no se encuentra")</f>
        <v>Madrid</v>
      </c>
      <c r="L985" t="str">
        <f>_xlfn.XLOOKUP(datos_ventas[[#This Row],[Provincia]],Tabla2[Provincias],Tabla2[Comunidades],"no se encuentra")</f>
        <v>Comunidad de Madrid</v>
      </c>
      <c r="M985" t="s">
        <v>28</v>
      </c>
      <c r="N985">
        <v>1</v>
      </c>
    </row>
    <row r="986" spans="1:14" x14ac:dyDescent="0.25">
      <c r="A986">
        <v>1985</v>
      </c>
      <c r="B986" s="1">
        <v>45933</v>
      </c>
      <c r="C986" s="4">
        <f>MONTH(datos_ventas[[#This Row],[Fecha]])</f>
        <v>10</v>
      </c>
      <c r="D986" s="4">
        <f>WEEKNUM(datos_ventas[[#This Row],[Fecha]],2)</f>
        <v>40</v>
      </c>
      <c r="E986" t="s">
        <v>10</v>
      </c>
      <c r="F986" t="s">
        <v>11</v>
      </c>
      <c r="G986">
        <v>4</v>
      </c>
      <c r="H986">
        <v>60263</v>
      </c>
      <c r="I986">
        <v>2174</v>
      </c>
      <c r="J986" t="s">
        <v>14</v>
      </c>
      <c r="K986" t="str">
        <f>_xlfn.XLOOKUP(datos_ventas[[#This Row],[Ciudad]],Tabla2[Ciudades],Tabla2[Provincias],"no se encuentra")</f>
        <v>Madrid</v>
      </c>
      <c r="L986" t="str">
        <f>_xlfn.XLOOKUP(datos_ventas[[#This Row],[Provincia]],Tabla2[Provincias],Tabla2[Comunidades],"no se encuentra")</f>
        <v>Comunidad de Madrid</v>
      </c>
      <c r="M986" t="s">
        <v>28</v>
      </c>
      <c r="N986">
        <v>1</v>
      </c>
    </row>
    <row r="987" spans="1:14" x14ac:dyDescent="0.25">
      <c r="A987">
        <v>1986</v>
      </c>
      <c r="B987" s="1">
        <v>45813</v>
      </c>
      <c r="C987" s="4">
        <f>MONTH(datos_ventas[[#This Row],[Fecha]])</f>
        <v>6</v>
      </c>
      <c r="D987" s="4">
        <f>WEEKNUM(datos_ventas[[#This Row],[Fecha]],2)</f>
        <v>23</v>
      </c>
      <c r="E987" t="s">
        <v>24</v>
      </c>
      <c r="F987" t="s">
        <v>25</v>
      </c>
      <c r="G987">
        <v>5</v>
      </c>
      <c r="H987">
        <v>42421</v>
      </c>
      <c r="I987">
        <v>4429</v>
      </c>
      <c r="J987" t="s">
        <v>22</v>
      </c>
      <c r="K987" t="str">
        <f>_xlfn.XLOOKUP(datos_ventas[[#This Row],[Ciudad]],Tabla2[Ciudades],Tabla2[Provincias],"no se encuentra")</f>
        <v>Valencia</v>
      </c>
      <c r="L987" t="str">
        <f>_xlfn.XLOOKUP(datos_ventas[[#This Row],[Provincia]],Tabla2[Provincias],Tabla2[Comunidades],"no se encuentra")</f>
        <v>Comunidad Valenciana</v>
      </c>
      <c r="M987" t="s">
        <v>19</v>
      </c>
      <c r="N987">
        <v>2</v>
      </c>
    </row>
    <row r="988" spans="1:14" x14ac:dyDescent="0.25">
      <c r="A988">
        <v>1987</v>
      </c>
      <c r="B988" s="1">
        <v>45869</v>
      </c>
      <c r="C988" s="4">
        <f>MONTH(datos_ventas[[#This Row],[Fecha]])</f>
        <v>7</v>
      </c>
      <c r="D988" s="4">
        <f>WEEKNUM(datos_ventas[[#This Row],[Fecha]],2)</f>
        <v>31</v>
      </c>
      <c r="E988" t="s">
        <v>23</v>
      </c>
      <c r="F988" t="s">
        <v>18</v>
      </c>
      <c r="G988">
        <v>1</v>
      </c>
      <c r="H988">
        <v>114793</v>
      </c>
      <c r="I988">
        <v>2745</v>
      </c>
      <c r="J988" t="s">
        <v>27</v>
      </c>
      <c r="K988" t="str">
        <f>_xlfn.XLOOKUP(datos_ventas[[#This Row],[Ciudad]],Tabla2[Ciudades],Tabla2[Provincias],"no se encuentra")</f>
        <v>Sevilla</v>
      </c>
      <c r="L988" t="str">
        <f>_xlfn.XLOOKUP(datos_ventas[[#This Row],[Provincia]],Tabla2[Provincias],Tabla2[Comunidades],"no se encuentra")</f>
        <v>Andalucía</v>
      </c>
      <c r="M988" t="s">
        <v>13</v>
      </c>
      <c r="N988">
        <v>4</v>
      </c>
    </row>
    <row r="989" spans="1:14" x14ac:dyDescent="0.25">
      <c r="A989">
        <v>1988</v>
      </c>
      <c r="B989" s="1">
        <v>45664</v>
      </c>
      <c r="C989" s="4">
        <f>MONTH(datos_ventas[[#This Row],[Fecha]])</f>
        <v>1</v>
      </c>
      <c r="D989" s="4">
        <f>WEEKNUM(datos_ventas[[#This Row],[Fecha]],2)</f>
        <v>2</v>
      </c>
      <c r="E989" t="s">
        <v>10</v>
      </c>
      <c r="F989" t="s">
        <v>11</v>
      </c>
      <c r="G989">
        <v>1</v>
      </c>
      <c r="H989">
        <v>48117</v>
      </c>
      <c r="I989">
        <v>1973</v>
      </c>
      <c r="J989" t="s">
        <v>32</v>
      </c>
      <c r="K989" t="str">
        <f>_xlfn.XLOOKUP(datos_ventas[[#This Row],[Ciudad]],Tabla2[Ciudades],Tabla2[Provincias],"no se encuentra")</f>
        <v>Barcelona</v>
      </c>
      <c r="L989" t="str">
        <f>_xlfn.XLOOKUP(datos_ventas[[#This Row],[Provincia]],Tabla2[Provincias],Tabla2[Comunidades],"no se encuentra")</f>
        <v>Cataluña</v>
      </c>
      <c r="M989" t="s">
        <v>28</v>
      </c>
      <c r="N989">
        <v>1</v>
      </c>
    </row>
    <row r="990" spans="1:14" x14ac:dyDescent="0.25">
      <c r="A990">
        <v>1989</v>
      </c>
      <c r="B990" s="1">
        <v>45931</v>
      </c>
      <c r="C990" s="4">
        <f>MONTH(datos_ventas[[#This Row],[Fecha]])</f>
        <v>10</v>
      </c>
      <c r="D990" s="4">
        <f>WEEKNUM(datos_ventas[[#This Row],[Fecha]],2)</f>
        <v>40</v>
      </c>
      <c r="E990" t="s">
        <v>10</v>
      </c>
      <c r="F990" t="s">
        <v>11</v>
      </c>
      <c r="G990">
        <v>1</v>
      </c>
      <c r="H990">
        <v>8679</v>
      </c>
      <c r="I990">
        <v>1275</v>
      </c>
      <c r="J990" t="s">
        <v>12</v>
      </c>
      <c r="K990" t="str">
        <f>_xlfn.XLOOKUP(datos_ventas[[#This Row],[Ciudad]],Tabla2[Ciudades],Tabla2[Provincias],"no se encuentra")</f>
        <v>Málaga</v>
      </c>
      <c r="L990" t="str">
        <f>_xlfn.XLOOKUP(datos_ventas[[#This Row],[Provincia]],Tabla2[Provincias],Tabla2[Comunidades],"no se encuentra")</f>
        <v>Andalucía</v>
      </c>
      <c r="M990" t="s">
        <v>15</v>
      </c>
      <c r="N990">
        <v>5</v>
      </c>
    </row>
    <row r="991" spans="1:14" x14ac:dyDescent="0.25">
      <c r="A991">
        <v>1990</v>
      </c>
      <c r="B991" s="1">
        <v>45770</v>
      </c>
      <c r="C991" s="4">
        <f>MONTH(datos_ventas[[#This Row],[Fecha]])</f>
        <v>4</v>
      </c>
      <c r="D991" s="4">
        <f>WEEKNUM(datos_ventas[[#This Row],[Fecha]],2)</f>
        <v>17</v>
      </c>
      <c r="E991" t="s">
        <v>10</v>
      </c>
      <c r="F991" t="s">
        <v>11</v>
      </c>
      <c r="G991">
        <v>3</v>
      </c>
      <c r="H991">
        <v>115876</v>
      </c>
      <c r="I991">
        <v>715</v>
      </c>
      <c r="J991" t="s">
        <v>22</v>
      </c>
      <c r="K991" t="str">
        <f>_xlfn.XLOOKUP(datos_ventas[[#This Row],[Ciudad]],Tabla2[Ciudades],Tabla2[Provincias],"no se encuentra")</f>
        <v>Valencia</v>
      </c>
      <c r="L991" t="str">
        <f>_xlfn.XLOOKUP(datos_ventas[[#This Row],[Provincia]],Tabla2[Provincias],Tabla2[Comunidades],"no se encuentra")</f>
        <v>Comunidad Valenciana</v>
      </c>
      <c r="M991" t="s">
        <v>19</v>
      </c>
      <c r="N991">
        <v>5</v>
      </c>
    </row>
    <row r="992" spans="1:14" x14ac:dyDescent="0.25">
      <c r="A992">
        <v>1991</v>
      </c>
      <c r="B992" s="1">
        <v>45997</v>
      </c>
      <c r="C992" s="4">
        <f>MONTH(datos_ventas[[#This Row],[Fecha]])</f>
        <v>12</v>
      </c>
      <c r="D992" s="4">
        <f>WEEKNUM(datos_ventas[[#This Row],[Fecha]],2)</f>
        <v>49</v>
      </c>
      <c r="E992" t="s">
        <v>16</v>
      </c>
      <c r="F992" t="s">
        <v>11</v>
      </c>
      <c r="G992">
        <v>5</v>
      </c>
      <c r="H992">
        <v>12273</v>
      </c>
      <c r="I992">
        <v>1634</v>
      </c>
      <c r="J992" t="s">
        <v>14</v>
      </c>
      <c r="K992" t="str">
        <f>_xlfn.XLOOKUP(datos_ventas[[#This Row],[Ciudad]],Tabla2[Ciudades],Tabla2[Provincias],"no se encuentra")</f>
        <v>Madrid</v>
      </c>
      <c r="L992" t="str">
        <f>_xlfn.XLOOKUP(datos_ventas[[#This Row],[Provincia]],Tabla2[Provincias],Tabla2[Comunidades],"no se encuentra")</f>
        <v>Comunidad de Madrid</v>
      </c>
      <c r="M992" t="s">
        <v>13</v>
      </c>
      <c r="N992">
        <v>1</v>
      </c>
    </row>
    <row r="993" spans="1:14" x14ac:dyDescent="0.25">
      <c r="A993">
        <v>1992</v>
      </c>
      <c r="B993" s="1">
        <v>45950</v>
      </c>
      <c r="C993" s="4">
        <f>MONTH(datos_ventas[[#This Row],[Fecha]])</f>
        <v>10</v>
      </c>
      <c r="D993" s="4">
        <f>WEEKNUM(datos_ventas[[#This Row],[Fecha]],2)</f>
        <v>43</v>
      </c>
      <c r="E993" t="s">
        <v>20</v>
      </c>
      <c r="F993" t="s">
        <v>21</v>
      </c>
      <c r="G993">
        <v>3</v>
      </c>
      <c r="H993">
        <v>15092</v>
      </c>
      <c r="I993">
        <v>3003</v>
      </c>
      <c r="J993" t="s">
        <v>32</v>
      </c>
      <c r="K993" t="str">
        <f>_xlfn.XLOOKUP(datos_ventas[[#This Row],[Ciudad]],Tabla2[Ciudades],Tabla2[Provincias],"no se encuentra")</f>
        <v>Barcelona</v>
      </c>
      <c r="L993" t="str">
        <f>_xlfn.XLOOKUP(datos_ventas[[#This Row],[Provincia]],Tabla2[Provincias],Tabla2[Comunidades],"no se encuentra")</f>
        <v>Cataluña</v>
      </c>
      <c r="M993" t="s">
        <v>19</v>
      </c>
      <c r="N993">
        <v>4</v>
      </c>
    </row>
    <row r="994" spans="1:14" x14ac:dyDescent="0.25">
      <c r="A994">
        <v>1993</v>
      </c>
      <c r="B994" s="1">
        <v>45924</v>
      </c>
      <c r="C994" s="4">
        <f>MONTH(datos_ventas[[#This Row],[Fecha]])</f>
        <v>9</v>
      </c>
      <c r="D994" s="4">
        <f>WEEKNUM(datos_ventas[[#This Row],[Fecha]],2)</f>
        <v>39</v>
      </c>
      <c r="E994" t="s">
        <v>17</v>
      </c>
      <c r="F994" t="s">
        <v>18</v>
      </c>
      <c r="G994">
        <v>1</v>
      </c>
      <c r="H994">
        <v>12575</v>
      </c>
      <c r="I994">
        <v>2581</v>
      </c>
      <c r="J994" t="s">
        <v>31</v>
      </c>
      <c r="K994" t="str">
        <f>_xlfn.XLOOKUP(datos_ventas[[#This Row],[Ciudad]],Tabla2[Ciudades],Tabla2[Provincias],"no se encuentra")</f>
        <v>Vizcaya</v>
      </c>
      <c r="L994" t="str">
        <f>_xlfn.XLOOKUP(datos_ventas[[#This Row],[Provincia]],Tabla2[Provincias],Tabla2[Comunidades],"no se encuentra")</f>
        <v>País Vasco</v>
      </c>
      <c r="M994" t="s">
        <v>28</v>
      </c>
      <c r="N994">
        <v>1</v>
      </c>
    </row>
    <row r="995" spans="1:14" x14ac:dyDescent="0.25">
      <c r="A995">
        <v>1994</v>
      </c>
      <c r="B995" s="1">
        <v>45939</v>
      </c>
      <c r="C995" s="4">
        <f>MONTH(datos_ventas[[#This Row],[Fecha]])</f>
        <v>10</v>
      </c>
      <c r="D995" s="4">
        <f>WEEKNUM(datos_ventas[[#This Row],[Fecha]],2)</f>
        <v>41</v>
      </c>
      <c r="E995" t="s">
        <v>29</v>
      </c>
      <c r="F995" t="s">
        <v>30</v>
      </c>
      <c r="G995">
        <v>3</v>
      </c>
      <c r="H995">
        <v>43424</v>
      </c>
      <c r="I995">
        <v>837</v>
      </c>
      <c r="J995" t="s">
        <v>31</v>
      </c>
      <c r="K995" t="str">
        <f>_xlfn.XLOOKUP(datos_ventas[[#This Row],[Ciudad]],Tabla2[Ciudades],Tabla2[Provincias],"no se encuentra")</f>
        <v>Vizcaya</v>
      </c>
      <c r="L995" t="str">
        <f>_xlfn.XLOOKUP(datos_ventas[[#This Row],[Provincia]],Tabla2[Provincias],Tabla2[Comunidades],"no se encuentra")</f>
        <v>País Vasco</v>
      </c>
      <c r="M995" t="s">
        <v>28</v>
      </c>
      <c r="N995">
        <v>1</v>
      </c>
    </row>
    <row r="996" spans="1:14" x14ac:dyDescent="0.25">
      <c r="A996">
        <v>1995</v>
      </c>
      <c r="B996" s="1">
        <v>45886</v>
      </c>
      <c r="C996" s="4">
        <f>MONTH(datos_ventas[[#This Row],[Fecha]])</f>
        <v>8</v>
      </c>
      <c r="D996" s="4">
        <f>WEEKNUM(datos_ventas[[#This Row],[Fecha]],2)</f>
        <v>33</v>
      </c>
      <c r="E996" t="s">
        <v>16</v>
      </c>
      <c r="F996" t="s">
        <v>11</v>
      </c>
      <c r="G996">
        <v>1</v>
      </c>
      <c r="H996">
        <v>89756</v>
      </c>
      <c r="I996">
        <v>1291</v>
      </c>
      <c r="J996" t="s">
        <v>27</v>
      </c>
      <c r="K996" t="str">
        <f>_xlfn.XLOOKUP(datos_ventas[[#This Row],[Ciudad]],Tabla2[Ciudades],Tabla2[Provincias],"no se encuentra")</f>
        <v>Sevilla</v>
      </c>
      <c r="L996" t="str">
        <f>_xlfn.XLOOKUP(datos_ventas[[#This Row],[Provincia]],Tabla2[Provincias],Tabla2[Comunidades],"no se encuentra")</f>
        <v>Andalucía</v>
      </c>
      <c r="M996" t="s">
        <v>13</v>
      </c>
      <c r="N996">
        <v>5</v>
      </c>
    </row>
    <row r="997" spans="1:14" x14ac:dyDescent="0.25">
      <c r="A997">
        <v>1996</v>
      </c>
      <c r="B997" s="1">
        <v>45756</v>
      </c>
      <c r="C997" s="4">
        <f>MONTH(datos_ventas[[#This Row],[Fecha]])</f>
        <v>4</v>
      </c>
      <c r="D997" s="4">
        <f>WEEKNUM(datos_ventas[[#This Row],[Fecha]],2)</f>
        <v>15</v>
      </c>
      <c r="E997" t="s">
        <v>23</v>
      </c>
      <c r="F997" t="s">
        <v>18</v>
      </c>
      <c r="G997">
        <v>3</v>
      </c>
      <c r="H997">
        <v>56634</v>
      </c>
      <c r="I997">
        <v>4393</v>
      </c>
      <c r="J997" t="s">
        <v>12</v>
      </c>
      <c r="K997" t="str">
        <f>_xlfn.XLOOKUP(datos_ventas[[#This Row],[Ciudad]],Tabla2[Ciudades],Tabla2[Provincias],"no se encuentra")</f>
        <v>Málaga</v>
      </c>
      <c r="L997" t="str">
        <f>_xlfn.XLOOKUP(datos_ventas[[#This Row],[Provincia]],Tabla2[Provincias],Tabla2[Comunidades],"no se encuentra")</f>
        <v>Andalucía</v>
      </c>
      <c r="M997" t="s">
        <v>19</v>
      </c>
      <c r="N997">
        <v>4</v>
      </c>
    </row>
    <row r="998" spans="1:14" x14ac:dyDescent="0.25">
      <c r="A998">
        <v>1997</v>
      </c>
      <c r="B998" s="1">
        <v>46015</v>
      </c>
      <c r="C998" s="4">
        <f>MONTH(datos_ventas[[#This Row],[Fecha]])</f>
        <v>12</v>
      </c>
      <c r="D998" s="4">
        <f>WEEKNUM(datos_ventas[[#This Row],[Fecha]],2)</f>
        <v>52</v>
      </c>
      <c r="E998" t="s">
        <v>10</v>
      </c>
      <c r="F998" t="s">
        <v>11</v>
      </c>
      <c r="G998">
        <v>2</v>
      </c>
      <c r="H998">
        <v>17388</v>
      </c>
      <c r="I998">
        <v>2714</v>
      </c>
      <c r="J998" t="s">
        <v>12</v>
      </c>
      <c r="K998" t="str">
        <f>_xlfn.XLOOKUP(datos_ventas[[#This Row],[Ciudad]],Tabla2[Ciudades],Tabla2[Provincias],"no se encuentra")</f>
        <v>Málaga</v>
      </c>
      <c r="L998" t="str">
        <f>_xlfn.XLOOKUP(datos_ventas[[#This Row],[Provincia]],Tabla2[Provincias],Tabla2[Comunidades],"no se encuentra")</f>
        <v>Andalucía</v>
      </c>
      <c r="M998" t="s">
        <v>13</v>
      </c>
      <c r="N998">
        <v>3</v>
      </c>
    </row>
    <row r="999" spans="1:14" x14ac:dyDescent="0.25">
      <c r="A999">
        <v>1998</v>
      </c>
      <c r="B999" s="1">
        <v>45836</v>
      </c>
      <c r="C999" s="4">
        <f>MONTH(datos_ventas[[#This Row],[Fecha]])</f>
        <v>6</v>
      </c>
      <c r="D999" s="4">
        <f>WEEKNUM(datos_ventas[[#This Row],[Fecha]],2)</f>
        <v>26</v>
      </c>
      <c r="E999" t="s">
        <v>26</v>
      </c>
      <c r="F999" t="s">
        <v>18</v>
      </c>
      <c r="G999">
        <v>1</v>
      </c>
      <c r="H999">
        <v>77585</v>
      </c>
      <c r="I999">
        <v>3686</v>
      </c>
      <c r="J999" t="s">
        <v>12</v>
      </c>
      <c r="K999" t="str">
        <f>_xlfn.XLOOKUP(datos_ventas[[#This Row],[Ciudad]],Tabla2[Ciudades],Tabla2[Provincias],"no se encuentra")</f>
        <v>Málaga</v>
      </c>
      <c r="L999" t="str">
        <f>_xlfn.XLOOKUP(datos_ventas[[#This Row],[Provincia]],Tabla2[Provincias],Tabla2[Comunidades],"no se encuentra")</f>
        <v>Andalucía</v>
      </c>
      <c r="M999" t="s">
        <v>15</v>
      </c>
      <c r="N999">
        <v>4</v>
      </c>
    </row>
    <row r="1000" spans="1:14" x14ac:dyDescent="0.25">
      <c r="A1000">
        <v>1999</v>
      </c>
      <c r="B1000" s="1">
        <v>45768</v>
      </c>
      <c r="C1000" s="4">
        <f>MONTH(datos_ventas[[#This Row],[Fecha]])</f>
        <v>4</v>
      </c>
      <c r="D1000" s="4">
        <f>WEEKNUM(datos_ventas[[#This Row],[Fecha]],2)</f>
        <v>17</v>
      </c>
      <c r="E1000" t="s">
        <v>17</v>
      </c>
      <c r="F1000" t="s">
        <v>18</v>
      </c>
      <c r="G1000">
        <v>5</v>
      </c>
      <c r="H1000">
        <v>20964</v>
      </c>
      <c r="I1000">
        <v>1753</v>
      </c>
      <c r="J1000" t="s">
        <v>22</v>
      </c>
      <c r="K1000" t="str">
        <f>_xlfn.XLOOKUP(datos_ventas[[#This Row],[Ciudad]],Tabla2[Ciudades],Tabla2[Provincias],"no se encuentra")</f>
        <v>Valencia</v>
      </c>
      <c r="L1000" t="str">
        <f>_xlfn.XLOOKUP(datos_ventas[[#This Row],[Provincia]],Tabla2[Provincias],Tabla2[Comunidades],"no se encuentra")</f>
        <v>Comunidad Valenciana</v>
      </c>
      <c r="M1000" t="s">
        <v>15</v>
      </c>
      <c r="N1000">
        <v>1</v>
      </c>
    </row>
    <row r="1001" spans="1:14" x14ac:dyDescent="0.25">
      <c r="A1001">
        <v>2000</v>
      </c>
      <c r="B1001" s="1">
        <v>45975</v>
      </c>
      <c r="C1001" s="4">
        <f>MONTH(datos_ventas[[#This Row],[Fecha]])</f>
        <v>11</v>
      </c>
      <c r="D1001" s="4">
        <f>WEEKNUM(datos_ventas[[#This Row],[Fecha]],2)</f>
        <v>46</v>
      </c>
      <c r="E1001" t="s">
        <v>10</v>
      </c>
      <c r="F1001" t="s">
        <v>11</v>
      </c>
      <c r="G1001">
        <v>4</v>
      </c>
      <c r="H1001">
        <v>116759</v>
      </c>
      <c r="I1001">
        <v>4121</v>
      </c>
      <c r="J1001" t="s">
        <v>12</v>
      </c>
      <c r="K1001" t="str">
        <f>_xlfn.XLOOKUP(datos_ventas[[#This Row],[Ciudad]],Tabla2[Ciudades],Tabla2[Provincias],"no se encuentra")</f>
        <v>Málaga</v>
      </c>
      <c r="L1001" t="str">
        <f>_xlfn.XLOOKUP(datos_ventas[[#This Row],[Provincia]],Tabla2[Provincias],Tabla2[Comunidades],"no se encuentra")</f>
        <v>Andalucía</v>
      </c>
      <c r="M1001" t="s">
        <v>13</v>
      </c>
      <c r="N1001">
        <v>4</v>
      </c>
    </row>
    <row r="1002" spans="1:14" x14ac:dyDescent="0.25">
      <c r="A1002">
        <v>2001</v>
      </c>
      <c r="B1002" s="1">
        <v>45999</v>
      </c>
      <c r="C1002" s="4">
        <f>MONTH(datos_ventas[[#This Row],[Fecha]])</f>
        <v>12</v>
      </c>
      <c r="D1002" s="4">
        <f>WEEKNUM(datos_ventas[[#This Row],[Fecha]],2)</f>
        <v>50</v>
      </c>
      <c r="E1002" t="s">
        <v>29</v>
      </c>
      <c r="F1002" t="s">
        <v>30</v>
      </c>
      <c r="G1002">
        <v>3</v>
      </c>
      <c r="H1002">
        <v>112575</v>
      </c>
      <c r="I1002">
        <v>4505</v>
      </c>
      <c r="J1002" t="s">
        <v>14</v>
      </c>
      <c r="K1002" t="str">
        <f>_xlfn.XLOOKUP(datos_ventas[[#This Row],[Ciudad]],Tabla2[Ciudades],Tabla2[Provincias],"no se encuentra")</f>
        <v>Madrid</v>
      </c>
      <c r="L1002" t="str">
        <f>_xlfn.XLOOKUP(datos_ventas[[#This Row],[Provincia]],Tabla2[Provincias],Tabla2[Comunidades],"no se encuentra")</f>
        <v>Comunidad de Madrid</v>
      </c>
      <c r="M1002" t="s">
        <v>13</v>
      </c>
      <c r="N1002">
        <v>4</v>
      </c>
    </row>
    <row r="1003" spans="1:14" x14ac:dyDescent="0.25">
      <c r="A1003">
        <v>2002</v>
      </c>
      <c r="B1003" s="1">
        <v>45659</v>
      </c>
      <c r="C1003" s="4">
        <f>MONTH(datos_ventas[[#This Row],[Fecha]])</f>
        <v>1</v>
      </c>
      <c r="D1003" s="4">
        <f>WEEKNUM(datos_ventas[[#This Row],[Fecha]],2)</f>
        <v>1</v>
      </c>
      <c r="E1003" t="s">
        <v>23</v>
      </c>
      <c r="F1003" t="s">
        <v>18</v>
      </c>
      <c r="G1003">
        <v>5</v>
      </c>
      <c r="H1003">
        <v>118925</v>
      </c>
      <c r="I1003">
        <v>1707</v>
      </c>
      <c r="J1003" t="s">
        <v>12</v>
      </c>
      <c r="K1003" t="str">
        <f>_xlfn.XLOOKUP(datos_ventas[[#This Row],[Ciudad]],Tabla2[Ciudades],Tabla2[Provincias],"no se encuentra")</f>
        <v>Málaga</v>
      </c>
      <c r="L1003" t="str">
        <f>_xlfn.XLOOKUP(datos_ventas[[#This Row],[Provincia]],Tabla2[Provincias],Tabla2[Comunidades],"no se encuentra")</f>
        <v>Andalucía</v>
      </c>
      <c r="M1003" t="s">
        <v>15</v>
      </c>
      <c r="N1003">
        <v>1</v>
      </c>
    </row>
    <row r="1004" spans="1:14" x14ac:dyDescent="0.25">
      <c r="A1004">
        <v>2003</v>
      </c>
      <c r="B1004" s="1">
        <v>45868</v>
      </c>
      <c r="C1004" s="4">
        <f>MONTH(datos_ventas[[#This Row],[Fecha]])</f>
        <v>7</v>
      </c>
      <c r="D1004" s="4">
        <f>WEEKNUM(datos_ventas[[#This Row],[Fecha]],2)</f>
        <v>31</v>
      </c>
      <c r="E1004" t="s">
        <v>29</v>
      </c>
      <c r="F1004" t="s">
        <v>30</v>
      </c>
      <c r="G1004">
        <v>1</v>
      </c>
      <c r="H1004">
        <v>34936</v>
      </c>
      <c r="I1004">
        <v>4285</v>
      </c>
      <c r="J1004" t="s">
        <v>14</v>
      </c>
      <c r="K1004" t="str">
        <f>_xlfn.XLOOKUP(datos_ventas[[#This Row],[Ciudad]],Tabla2[Ciudades],Tabla2[Provincias],"no se encuentra")</f>
        <v>Madrid</v>
      </c>
      <c r="L1004" t="str">
        <f>_xlfn.XLOOKUP(datos_ventas[[#This Row],[Provincia]],Tabla2[Provincias],Tabla2[Comunidades],"no se encuentra")</f>
        <v>Comunidad de Madrid</v>
      </c>
      <c r="M1004" t="s">
        <v>15</v>
      </c>
      <c r="N1004">
        <v>5</v>
      </c>
    </row>
    <row r="1005" spans="1:14" x14ac:dyDescent="0.25">
      <c r="A1005">
        <v>2004</v>
      </c>
      <c r="B1005" s="1">
        <v>45965</v>
      </c>
      <c r="C1005" s="4">
        <f>MONTH(datos_ventas[[#This Row],[Fecha]])</f>
        <v>11</v>
      </c>
      <c r="D1005" s="4">
        <f>WEEKNUM(datos_ventas[[#This Row],[Fecha]],2)</f>
        <v>45</v>
      </c>
      <c r="E1005" t="s">
        <v>16</v>
      </c>
      <c r="F1005" t="s">
        <v>11</v>
      </c>
      <c r="G1005">
        <v>1</v>
      </c>
      <c r="H1005">
        <v>112649</v>
      </c>
      <c r="I1005">
        <v>2298</v>
      </c>
      <c r="J1005" t="s">
        <v>32</v>
      </c>
      <c r="K1005" t="str">
        <f>_xlfn.XLOOKUP(datos_ventas[[#This Row],[Ciudad]],Tabla2[Ciudades],Tabla2[Provincias],"no se encuentra")</f>
        <v>Barcelona</v>
      </c>
      <c r="L1005" t="str">
        <f>_xlfn.XLOOKUP(datos_ventas[[#This Row],[Provincia]],Tabla2[Provincias],Tabla2[Comunidades],"no se encuentra")</f>
        <v>Cataluña</v>
      </c>
      <c r="M1005" t="s">
        <v>15</v>
      </c>
      <c r="N1005">
        <v>4</v>
      </c>
    </row>
    <row r="1006" spans="1:14" x14ac:dyDescent="0.25">
      <c r="A1006">
        <v>2005</v>
      </c>
      <c r="B1006" s="1">
        <v>45961</v>
      </c>
      <c r="C1006" s="4">
        <f>MONTH(datos_ventas[[#This Row],[Fecha]])</f>
        <v>10</v>
      </c>
      <c r="D1006" s="4">
        <f>WEEKNUM(datos_ventas[[#This Row],[Fecha]],2)</f>
        <v>44</v>
      </c>
      <c r="E1006" t="s">
        <v>10</v>
      </c>
      <c r="F1006" t="s">
        <v>11</v>
      </c>
      <c r="G1006">
        <v>2</v>
      </c>
      <c r="H1006">
        <v>18825</v>
      </c>
      <c r="I1006">
        <v>336</v>
      </c>
      <c r="J1006" t="s">
        <v>14</v>
      </c>
      <c r="K1006" t="str">
        <f>_xlfn.XLOOKUP(datos_ventas[[#This Row],[Ciudad]],Tabla2[Ciudades],Tabla2[Provincias],"no se encuentra")</f>
        <v>Madrid</v>
      </c>
      <c r="L1006" t="str">
        <f>_xlfn.XLOOKUP(datos_ventas[[#This Row],[Provincia]],Tabla2[Provincias],Tabla2[Comunidades],"no se encuentra")</f>
        <v>Comunidad de Madrid</v>
      </c>
      <c r="M1006" t="s">
        <v>15</v>
      </c>
      <c r="N1006">
        <v>2</v>
      </c>
    </row>
    <row r="1007" spans="1:14" x14ac:dyDescent="0.25">
      <c r="A1007">
        <v>2006</v>
      </c>
      <c r="B1007" s="1">
        <v>45947</v>
      </c>
      <c r="C1007" s="4">
        <f>MONTH(datos_ventas[[#This Row],[Fecha]])</f>
        <v>10</v>
      </c>
      <c r="D1007" s="4">
        <f>WEEKNUM(datos_ventas[[#This Row],[Fecha]],2)</f>
        <v>42</v>
      </c>
      <c r="E1007" t="s">
        <v>17</v>
      </c>
      <c r="F1007" t="s">
        <v>18</v>
      </c>
      <c r="G1007">
        <v>2</v>
      </c>
      <c r="H1007">
        <v>54991</v>
      </c>
      <c r="I1007">
        <v>1956</v>
      </c>
      <c r="J1007" t="s">
        <v>14</v>
      </c>
      <c r="K1007" t="str">
        <f>_xlfn.XLOOKUP(datos_ventas[[#This Row],[Ciudad]],Tabla2[Ciudades],Tabla2[Provincias],"no se encuentra")</f>
        <v>Madrid</v>
      </c>
      <c r="L1007" t="str">
        <f>_xlfn.XLOOKUP(datos_ventas[[#This Row],[Provincia]],Tabla2[Provincias],Tabla2[Comunidades],"no se encuentra")</f>
        <v>Comunidad de Madrid</v>
      </c>
      <c r="M1007" t="s">
        <v>15</v>
      </c>
      <c r="N1007">
        <v>1</v>
      </c>
    </row>
    <row r="1008" spans="1:14" x14ac:dyDescent="0.25">
      <c r="A1008">
        <v>2007</v>
      </c>
      <c r="B1008" s="1">
        <v>45663</v>
      </c>
      <c r="C1008" s="4">
        <f>MONTH(datos_ventas[[#This Row],[Fecha]])</f>
        <v>1</v>
      </c>
      <c r="D1008" s="4">
        <f>WEEKNUM(datos_ventas[[#This Row],[Fecha]],2)</f>
        <v>2</v>
      </c>
      <c r="E1008" t="s">
        <v>17</v>
      </c>
      <c r="F1008" t="s">
        <v>18</v>
      </c>
      <c r="G1008">
        <v>5</v>
      </c>
      <c r="H1008">
        <v>20842</v>
      </c>
      <c r="I1008">
        <v>4107</v>
      </c>
      <c r="J1008" t="s">
        <v>31</v>
      </c>
      <c r="K1008" t="str">
        <f>_xlfn.XLOOKUP(datos_ventas[[#This Row],[Ciudad]],Tabla2[Ciudades],Tabla2[Provincias],"no se encuentra")</f>
        <v>Vizcaya</v>
      </c>
      <c r="L1008" t="str">
        <f>_xlfn.XLOOKUP(datos_ventas[[#This Row],[Provincia]],Tabla2[Provincias],Tabla2[Comunidades],"no se encuentra")</f>
        <v>País Vasco</v>
      </c>
      <c r="M1008" t="s">
        <v>13</v>
      </c>
      <c r="N1008">
        <v>4</v>
      </c>
    </row>
    <row r="1009" spans="1:14" x14ac:dyDescent="0.25">
      <c r="A1009">
        <v>2008</v>
      </c>
      <c r="B1009" s="1">
        <v>45975</v>
      </c>
      <c r="C1009" s="4">
        <f>MONTH(datos_ventas[[#This Row],[Fecha]])</f>
        <v>11</v>
      </c>
      <c r="D1009" s="4">
        <f>WEEKNUM(datos_ventas[[#This Row],[Fecha]],2)</f>
        <v>46</v>
      </c>
      <c r="E1009" t="s">
        <v>17</v>
      </c>
      <c r="F1009" t="s">
        <v>18</v>
      </c>
      <c r="G1009">
        <v>3</v>
      </c>
      <c r="H1009">
        <v>27209</v>
      </c>
      <c r="I1009">
        <v>364</v>
      </c>
      <c r="J1009" t="s">
        <v>14</v>
      </c>
      <c r="K1009" t="str">
        <f>_xlfn.XLOOKUP(datos_ventas[[#This Row],[Ciudad]],Tabla2[Ciudades],Tabla2[Provincias],"no se encuentra")</f>
        <v>Madrid</v>
      </c>
      <c r="L1009" t="str">
        <f>_xlfn.XLOOKUP(datos_ventas[[#This Row],[Provincia]],Tabla2[Provincias],Tabla2[Comunidades],"no se encuentra")</f>
        <v>Comunidad de Madrid</v>
      </c>
      <c r="M1009" t="s">
        <v>13</v>
      </c>
      <c r="N1009">
        <v>3</v>
      </c>
    </row>
    <row r="1010" spans="1:14" x14ac:dyDescent="0.25">
      <c r="A1010">
        <v>2009</v>
      </c>
      <c r="B1010" s="1">
        <v>45864</v>
      </c>
      <c r="C1010" s="4">
        <f>MONTH(datos_ventas[[#This Row],[Fecha]])</f>
        <v>7</v>
      </c>
      <c r="D1010" s="4">
        <f>WEEKNUM(datos_ventas[[#This Row],[Fecha]],2)</f>
        <v>30</v>
      </c>
      <c r="E1010" t="s">
        <v>17</v>
      </c>
      <c r="F1010" t="s">
        <v>18</v>
      </c>
      <c r="G1010">
        <v>1</v>
      </c>
      <c r="H1010">
        <v>26654</v>
      </c>
      <c r="I1010">
        <v>1859</v>
      </c>
      <c r="J1010" t="s">
        <v>22</v>
      </c>
      <c r="K1010" t="str">
        <f>_xlfn.XLOOKUP(datos_ventas[[#This Row],[Ciudad]],Tabla2[Ciudades],Tabla2[Provincias],"no se encuentra")</f>
        <v>Valencia</v>
      </c>
      <c r="L1010" t="str">
        <f>_xlfn.XLOOKUP(datos_ventas[[#This Row],[Provincia]],Tabla2[Provincias],Tabla2[Comunidades],"no se encuentra")</f>
        <v>Comunidad Valenciana</v>
      </c>
      <c r="M1010" t="s">
        <v>15</v>
      </c>
      <c r="N1010">
        <v>5</v>
      </c>
    </row>
    <row r="1011" spans="1:14" x14ac:dyDescent="0.25">
      <c r="A1011">
        <v>2010</v>
      </c>
      <c r="B1011" s="1">
        <v>45823</v>
      </c>
      <c r="C1011" s="4">
        <f>MONTH(datos_ventas[[#This Row],[Fecha]])</f>
        <v>6</v>
      </c>
      <c r="D1011" s="4">
        <f>WEEKNUM(datos_ventas[[#This Row],[Fecha]],2)</f>
        <v>24</v>
      </c>
      <c r="E1011" t="s">
        <v>23</v>
      </c>
      <c r="F1011" t="s">
        <v>18</v>
      </c>
      <c r="G1011">
        <v>3</v>
      </c>
      <c r="H1011">
        <v>81159</v>
      </c>
      <c r="I1011">
        <v>1716</v>
      </c>
      <c r="J1011" t="s">
        <v>22</v>
      </c>
      <c r="K1011" t="str">
        <f>_xlfn.XLOOKUP(datos_ventas[[#This Row],[Ciudad]],Tabla2[Ciudades],Tabla2[Provincias],"no se encuentra")</f>
        <v>Valencia</v>
      </c>
      <c r="L1011" t="str">
        <f>_xlfn.XLOOKUP(datos_ventas[[#This Row],[Provincia]],Tabla2[Provincias],Tabla2[Comunidades],"no se encuentra")</f>
        <v>Comunidad Valenciana</v>
      </c>
      <c r="M1011" t="s">
        <v>13</v>
      </c>
      <c r="N1011">
        <v>4</v>
      </c>
    </row>
    <row r="1012" spans="1:14" x14ac:dyDescent="0.25">
      <c r="A1012">
        <v>2011</v>
      </c>
      <c r="B1012" s="1">
        <v>45922</v>
      </c>
      <c r="C1012" s="4">
        <f>MONTH(datos_ventas[[#This Row],[Fecha]])</f>
        <v>9</v>
      </c>
      <c r="D1012" s="4">
        <f>WEEKNUM(datos_ventas[[#This Row],[Fecha]],2)</f>
        <v>39</v>
      </c>
      <c r="E1012" t="s">
        <v>16</v>
      </c>
      <c r="F1012" t="s">
        <v>11</v>
      </c>
      <c r="G1012">
        <v>4</v>
      </c>
      <c r="H1012">
        <v>4803</v>
      </c>
      <c r="I1012">
        <v>3152</v>
      </c>
      <c r="J1012" t="s">
        <v>12</v>
      </c>
      <c r="K1012" t="str">
        <f>_xlfn.XLOOKUP(datos_ventas[[#This Row],[Ciudad]],Tabla2[Ciudades],Tabla2[Provincias],"no se encuentra")</f>
        <v>Málaga</v>
      </c>
      <c r="L1012" t="str">
        <f>_xlfn.XLOOKUP(datos_ventas[[#This Row],[Provincia]],Tabla2[Provincias],Tabla2[Comunidades],"no se encuentra")</f>
        <v>Andalucía</v>
      </c>
      <c r="M1012" t="s">
        <v>28</v>
      </c>
      <c r="N1012">
        <v>4</v>
      </c>
    </row>
    <row r="1013" spans="1:14" x14ac:dyDescent="0.25">
      <c r="A1013">
        <v>2012</v>
      </c>
      <c r="B1013" s="1">
        <v>45746</v>
      </c>
      <c r="C1013" s="4">
        <f>MONTH(datos_ventas[[#This Row],[Fecha]])</f>
        <v>3</v>
      </c>
      <c r="D1013" s="4">
        <f>WEEKNUM(datos_ventas[[#This Row],[Fecha]],2)</f>
        <v>13</v>
      </c>
      <c r="E1013" t="s">
        <v>17</v>
      </c>
      <c r="F1013" t="s">
        <v>18</v>
      </c>
      <c r="G1013">
        <v>2</v>
      </c>
      <c r="H1013">
        <v>2633</v>
      </c>
      <c r="I1013">
        <v>2874</v>
      </c>
      <c r="J1013" t="s">
        <v>22</v>
      </c>
      <c r="K1013" t="str">
        <f>_xlfn.XLOOKUP(datos_ventas[[#This Row],[Ciudad]],Tabla2[Ciudades],Tabla2[Provincias],"no se encuentra")</f>
        <v>Valencia</v>
      </c>
      <c r="L1013" t="str">
        <f>_xlfn.XLOOKUP(datos_ventas[[#This Row],[Provincia]],Tabla2[Provincias],Tabla2[Comunidades],"no se encuentra")</f>
        <v>Comunidad Valenciana</v>
      </c>
      <c r="M1013" t="s">
        <v>28</v>
      </c>
      <c r="N1013">
        <v>3</v>
      </c>
    </row>
    <row r="1014" spans="1:14" x14ac:dyDescent="0.25">
      <c r="A1014">
        <v>2013</v>
      </c>
      <c r="B1014" s="1">
        <v>45995</v>
      </c>
      <c r="C1014" s="4">
        <f>MONTH(datos_ventas[[#This Row],[Fecha]])</f>
        <v>12</v>
      </c>
      <c r="D1014" s="4">
        <f>WEEKNUM(datos_ventas[[#This Row],[Fecha]],2)</f>
        <v>49</v>
      </c>
      <c r="E1014" t="s">
        <v>24</v>
      </c>
      <c r="F1014" t="s">
        <v>25</v>
      </c>
      <c r="G1014">
        <v>4</v>
      </c>
      <c r="H1014">
        <v>23412</v>
      </c>
      <c r="I1014">
        <v>3113</v>
      </c>
      <c r="J1014" t="s">
        <v>22</v>
      </c>
      <c r="K1014" t="str">
        <f>_xlfn.XLOOKUP(datos_ventas[[#This Row],[Ciudad]],Tabla2[Ciudades],Tabla2[Provincias],"no se encuentra")</f>
        <v>Valencia</v>
      </c>
      <c r="L1014" t="str">
        <f>_xlfn.XLOOKUP(datos_ventas[[#This Row],[Provincia]],Tabla2[Provincias],Tabla2[Comunidades],"no se encuentra")</f>
        <v>Comunidad Valenciana</v>
      </c>
      <c r="M1014" t="s">
        <v>19</v>
      </c>
      <c r="N1014">
        <v>5</v>
      </c>
    </row>
    <row r="1015" spans="1:14" x14ac:dyDescent="0.25">
      <c r="A1015">
        <v>2014</v>
      </c>
      <c r="B1015" s="1">
        <v>45786</v>
      </c>
      <c r="C1015" s="4">
        <f>MONTH(datos_ventas[[#This Row],[Fecha]])</f>
        <v>5</v>
      </c>
      <c r="D1015" s="4">
        <f>WEEKNUM(datos_ventas[[#This Row],[Fecha]],2)</f>
        <v>19</v>
      </c>
      <c r="E1015" t="s">
        <v>26</v>
      </c>
      <c r="F1015" t="s">
        <v>18</v>
      </c>
      <c r="G1015">
        <v>2</v>
      </c>
      <c r="H1015">
        <v>9672</v>
      </c>
      <c r="I1015">
        <v>2312</v>
      </c>
      <c r="J1015" t="s">
        <v>32</v>
      </c>
      <c r="K1015" t="str">
        <f>_xlfn.XLOOKUP(datos_ventas[[#This Row],[Ciudad]],Tabla2[Ciudades],Tabla2[Provincias],"no se encuentra")</f>
        <v>Barcelona</v>
      </c>
      <c r="L1015" t="str">
        <f>_xlfn.XLOOKUP(datos_ventas[[#This Row],[Provincia]],Tabla2[Provincias],Tabla2[Comunidades],"no se encuentra")</f>
        <v>Cataluña</v>
      </c>
      <c r="M1015" t="s">
        <v>15</v>
      </c>
      <c r="N1015">
        <v>1</v>
      </c>
    </row>
    <row r="1016" spans="1:14" x14ac:dyDescent="0.25">
      <c r="A1016">
        <v>2015</v>
      </c>
      <c r="B1016" s="1">
        <v>45822</v>
      </c>
      <c r="C1016" s="4">
        <f>MONTH(datos_ventas[[#This Row],[Fecha]])</f>
        <v>6</v>
      </c>
      <c r="D1016" s="4">
        <f>WEEKNUM(datos_ventas[[#This Row],[Fecha]],2)</f>
        <v>24</v>
      </c>
      <c r="E1016" t="s">
        <v>29</v>
      </c>
      <c r="F1016" t="s">
        <v>30</v>
      </c>
      <c r="G1016">
        <v>2</v>
      </c>
      <c r="H1016">
        <v>11283</v>
      </c>
      <c r="I1016">
        <v>1232</v>
      </c>
      <c r="J1016" t="s">
        <v>14</v>
      </c>
      <c r="K1016" t="str">
        <f>_xlfn.XLOOKUP(datos_ventas[[#This Row],[Ciudad]],Tabla2[Ciudades],Tabla2[Provincias],"no se encuentra")</f>
        <v>Madrid</v>
      </c>
      <c r="L1016" t="str">
        <f>_xlfn.XLOOKUP(datos_ventas[[#This Row],[Provincia]],Tabla2[Provincias],Tabla2[Comunidades],"no se encuentra")</f>
        <v>Comunidad de Madrid</v>
      </c>
      <c r="M1016" t="s">
        <v>15</v>
      </c>
      <c r="N1016">
        <v>1</v>
      </c>
    </row>
    <row r="1017" spans="1:14" x14ac:dyDescent="0.25">
      <c r="A1017">
        <v>2016</v>
      </c>
      <c r="B1017" s="1">
        <v>45986</v>
      </c>
      <c r="C1017" s="4">
        <f>MONTH(datos_ventas[[#This Row],[Fecha]])</f>
        <v>11</v>
      </c>
      <c r="D1017" s="4">
        <f>WEEKNUM(datos_ventas[[#This Row],[Fecha]],2)</f>
        <v>48</v>
      </c>
      <c r="E1017" t="s">
        <v>26</v>
      </c>
      <c r="F1017" t="s">
        <v>18</v>
      </c>
      <c r="G1017">
        <v>1</v>
      </c>
      <c r="H1017">
        <v>101144</v>
      </c>
      <c r="I1017">
        <v>261</v>
      </c>
      <c r="J1017" t="s">
        <v>12</v>
      </c>
      <c r="K1017" t="str">
        <f>_xlfn.XLOOKUP(datos_ventas[[#This Row],[Ciudad]],Tabla2[Ciudades],Tabla2[Provincias],"no se encuentra")</f>
        <v>Málaga</v>
      </c>
      <c r="L1017" t="str">
        <f>_xlfn.XLOOKUP(datos_ventas[[#This Row],[Provincia]],Tabla2[Provincias],Tabla2[Comunidades],"no se encuentra")</f>
        <v>Andalucía</v>
      </c>
      <c r="M1017" t="s">
        <v>13</v>
      </c>
      <c r="N1017">
        <v>4</v>
      </c>
    </row>
    <row r="1018" spans="1:14" x14ac:dyDescent="0.25">
      <c r="A1018">
        <v>2017</v>
      </c>
      <c r="B1018" s="1">
        <v>45753</v>
      </c>
      <c r="C1018" s="4">
        <f>MONTH(datos_ventas[[#This Row],[Fecha]])</f>
        <v>4</v>
      </c>
      <c r="D1018" s="4">
        <f>WEEKNUM(datos_ventas[[#This Row],[Fecha]],2)</f>
        <v>14</v>
      </c>
      <c r="E1018" t="s">
        <v>24</v>
      </c>
      <c r="F1018" t="s">
        <v>25</v>
      </c>
      <c r="G1018">
        <v>2</v>
      </c>
      <c r="H1018">
        <v>108767</v>
      </c>
      <c r="I1018">
        <v>1172</v>
      </c>
      <c r="J1018" t="s">
        <v>32</v>
      </c>
      <c r="K1018" t="str">
        <f>_xlfn.XLOOKUP(datos_ventas[[#This Row],[Ciudad]],Tabla2[Ciudades],Tabla2[Provincias],"no se encuentra")</f>
        <v>Barcelona</v>
      </c>
      <c r="L1018" t="str">
        <f>_xlfn.XLOOKUP(datos_ventas[[#This Row],[Provincia]],Tabla2[Provincias],Tabla2[Comunidades],"no se encuentra")</f>
        <v>Cataluña</v>
      </c>
      <c r="M1018" t="s">
        <v>15</v>
      </c>
      <c r="N1018">
        <v>5</v>
      </c>
    </row>
    <row r="1019" spans="1:14" x14ac:dyDescent="0.25">
      <c r="A1019">
        <v>2018</v>
      </c>
      <c r="B1019" s="1">
        <v>45984</v>
      </c>
      <c r="C1019" s="4">
        <f>MONTH(datos_ventas[[#This Row],[Fecha]])</f>
        <v>11</v>
      </c>
      <c r="D1019" s="4">
        <f>WEEKNUM(datos_ventas[[#This Row],[Fecha]],2)</f>
        <v>47</v>
      </c>
      <c r="E1019" t="s">
        <v>24</v>
      </c>
      <c r="F1019" t="s">
        <v>25</v>
      </c>
      <c r="G1019">
        <v>5</v>
      </c>
      <c r="H1019">
        <v>51902</v>
      </c>
      <c r="I1019">
        <v>2851</v>
      </c>
      <c r="J1019" t="s">
        <v>12</v>
      </c>
      <c r="K1019" t="str">
        <f>_xlfn.XLOOKUP(datos_ventas[[#This Row],[Ciudad]],Tabla2[Ciudades],Tabla2[Provincias],"no se encuentra")</f>
        <v>Málaga</v>
      </c>
      <c r="L1019" t="str">
        <f>_xlfn.XLOOKUP(datos_ventas[[#This Row],[Provincia]],Tabla2[Provincias],Tabla2[Comunidades],"no se encuentra")</f>
        <v>Andalucía</v>
      </c>
      <c r="M1019" t="s">
        <v>19</v>
      </c>
      <c r="N1019">
        <v>1</v>
      </c>
    </row>
    <row r="1020" spans="1:14" x14ac:dyDescent="0.25">
      <c r="A1020">
        <v>2019</v>
      </c>
      <c r="B1020" s="1">
        <v>45754</v>
      </c>
      <c r="C1020" s="4">
        <f>MONTH(datos_ventas[[#This Row],[Fecha]])</f>
        <v>4</v>
      </c>
      <c r="D1020" s="4">
        <f>WEEKNUM(datos_ventas[[#This Row],[Fecha]],2)</f>
        <v>15</v>
      </c>
      <c r="E1020" t="s">
        <v>16</v>
      </c>
      <c r="F1020" t="s">
        <v>11</v>
      </c>
      <c r="G1020">
        <v>5</v>
      </c>
      <c r="H1020">
        <v>10965</v>
      </c>
      <c r="I1020">
        <v>512</v>
      </c>
      <c r="J1020" t="s">
        <v>32</v>
      </c>
      <c r="K1020" t="str">
        <f>_xlfn.XLOOKUP(datos_ventas[[#This Row],[Ciudad]],Tabla2[Ciudades],Tabla2[Provincias],"no se encuentra")</f>
        <v>Barcelona</v>
      </c>
      <c r="L1020" t="str">
        <f>_xlfn.XLOOKUP(datos_ventas[[#This Row],[Provincia]],Tabla2[Provincias],Tabla2[Comunidades],"no se encuentra")</f>
        <v>Cataluña</v>
      </c>
      <c r="M1020" t="s">
        <v>19</v>
      </c>
      <c r="N1020">
        <v>1</v>
      </c>
    </row>
    <row r="1021" spans="1:14" x14ac:dyDescent="0.25">
      <c r="A1021">
        <v>2020</v>
      </c>
      <c r="B1021" s="1">
        <v>45855</v>
      </c>
      <c r="C1021" s="4">
        <f>MONTH(datos_ventas[[#This Row],[Fecha]])</f>
        <v>7</v>
      </c>
      <c r="D1021" s="4">
        <f>WEEKNUM(datos_ventas[[#This Row],[Fecha]],2)</f>
        <v>29</v>
      </c>
      <c r="E1021" t="s">
        <v>20</v>
      </c>
      <c r="F1021" t="s">
        <v>21</v>
      </c>
      <c r="G1021">
        <v>5</v>
      </c>
      <c r="H1021">
        <v>40683</v>
      </c>
      <c r="I1021">
        <v>3092</v>
      </c>
      <c r="J1021" t="s">
        <v>22</v>
      </c>
      <c r="K1021" t="str">
        <f>_xlfn.XLOOKUP(datos_ventas[[#This Row],[Ciudad]],Tabla2[Ciudades],Tabla2[Provincias],"no se encuentra")</f>
        <v>Valencia</v>
      </c>
      <c r="L1021" t="str">
        <f>_xlfn.XLOOKUP(datos_ventas[[#This Row],[Provincia]],Tabla2[Provincias],Tabla2[Comunidades],"no se encuentra")</f>
        <v>Comunidad Valenciana</v>
      </c>
      <c r="M1021" t="s">
        <v>13</v>
      </c>
      <c r="N1021">
        <v>2</v>
      </c>
    </row>
    <row r="1022" spans="1:14" x14ac:dyDescent="0.25">
      <c r="A1022">
        <v>2021</v>
      </c>
      <c r="B1022" s="1">
        <v>45760</v>
      </c>
      <c r="C1022" s="4">
        <f>MONTH(datos_ventas[[#This Row],[Fecha]])</f>
        <v>4</v>
      </c>
      <c r="D1022" s="4">
        <f>WEEKNUM(datos_ventas[[#This Row],[Fecha]],2)</f>
        <v>15</v>
      </c>
      <c r="E1022" t="s">
        <v>16</v>
      </c>
      <c r="F1022" t="s">
        <v>11</v>
      </c>
      <c r="G1022">
        <v>2</v>
      </c>
      <c r="H1022">
        <v>60106</v>
      </c>
      <c r="I1022">
        <v>4326</v>
      </c>
      <c r="J1022" t="s">
        <v>12</v>
      </c>
      <c r="K1022" t="str">
        <f>_xlfn.XLOOKUP(datos_ventas[[#This Row],[Ciudad]],Tabla2[Ciudades],Tabla2[Provincias],"no se encuentra")</f>
        <v>Málaga</v>
      </c>
      <c r="L1022" t="str">
        <f>_xlfn.XLOOKUP(datos_ventas[[#This Row],[Provincia]],Tabla2[Provincias],Tabla2[Comunidades],"no se encuentra")</f>
        <v>Andalucía</v>
      </c>
      <c r="M1022" t="s">
        <v>15</v>
      </c>
      <c r="N1022">
        <v>2</v>
      </c>
    </row>
    <row r="1023" spans="1:14" x14ac:dyDescent="0.25">
      <c r="A1023">
        <v>2022</v>
      </c>
      <c r="B1023" s="1">
        <v>45758</v>
      </c>
      <c r="C1023" s="4">
        <f>MONTH(datos_ventas[[#This Row],[Fecha]])</f>
        <v>4</v>
      </c>
      <c r="D1023" s="4">
        <f>WEEKNUM(datos_ventas[[#This Row],[Fecha]],2)</f>
        <v>15</v>
      </c>
      <c r="E1023" t="s">
        <v>26</v>
      </c>
      <c r="F1023" t="s">
        <v>18</v>
      </c>
      <c r="G1023">
        <v>3</v>
      </c>
      <c r="H1023">
        <v>11862</v>
      </c>
      <c r="I1023">
        <v>3092</v>
      </c>
      <c r="J1023" t="s">
        <v>32</v>
      </c>
      <c r="K1023" t="str">
        <f>_xlfn.XLOOKUP(datos_ventas[[#This Row],[Ciudad]],Tabla2[Ciudades],Tabla2[Provincias],"no se encuentra")</f>
        <v>Barcelona</v>
      </c>
      <c r="L1023" t="str">
        <f>_xlfn.XLOOKUP(datos_ventas[[#This Row],[Provincia]],Tabla2[Provincias],Tabla2[Comunidades],"no se encuentra")</f>
        <v>Cataluña</v>
      </c>
      <c r="M1023" t="s">
        <v>15</v>
      </c>
      <c r="N1023">
        <v>4</v>
      </c>
    </row>
    <row r="1024" spans="1:14" x14ac:dyDescent="0.25">
      <c r="A1024">
        <v>2023</v>
      </c>
      <c r="B1024" s="1">
        <v>45659</v>
      </c>
      <c r="C1024" s="4">
        <f>MONTH(datos_ventas[[#This Row],[Fecha]])</f>
        <v>1</v>
      </c>
      <c r="D1024" s="4">
        <f>WEEKNUM(datos_ventas[[#This Row],[Fecha]],2)</f>
        <v>1</v>
      </c>
      <c r="E1024" t="s">
        <v>17</v>
      </c>
      <c r="F1024" t="s">
        <v>18</v>
      </c>
      <c r="G1024">
        <v>2</v>
      </c>
      <c r="H1024">
        <v>99292</v>
      </c>
      <c r="I1024">
        <v>4695</v>
      </c>
      <c r="J1024" t="s">
        <v>14</v>
      </c>
      <c r="K1024" t="str">
        <f>_xlfn.XLOOKUP(datos_ventas[[#This Row],[Ciudad]],Tabla2[Ciudades],Tabla2[Provincias],"no se encuentra")</f>
        <v>Madrid</v>
      </c>
      <c r="L1024" t="str">
        <f>_xlfn.XLOOKUP(datos_ventas[[#This Row],[Provincia]],Tabla2[Provincias],Tabla2[Comunidades],"no se encuentra")</f>
        <v>Comunidad de Madrid</v>
      </c>
      <c r="M1024" t="s">
        <v>15</v>
      </c>
      <c r="N1024">
        <v>1</v>
      </c>
    </row>
    <row r="1025" spans="1:14" x14ac:dyDescent="0.25">
      <c r="A1025">
        <v>2024</v>
      </c>
      <c r="B1025" s="1">
        <v>45722</v>
      </c>
      <c r="C1025" s="4">
        <f>MONTH(datos_ventas[[#This Row],[Fecha]])</f>
        <v>3</v>
      </c>
      <c r="D1025" s="4">
        <f>WEEKNUM(datos_ventas[[#This Row],[Fecha]],2)</f>
        <v>10</v>
      </c>
      <c r="E1025" t="s">
        <v>16</v>
      </c>
      <c r="F1025" t="s">
        <v>11</v>
      </c>
      <c r="G1025">
        <v>1</v>
      </c>
      <c r="H1025">
        <v>101536</v>
      </c>
      <c r="I1025">
        <v>1286</v>
      </c>
      <c r="J1025" t="s">
        <v>22</v>
      </c>
      <c r="K1025" t="str">
        <f>_xlfn.XLOOKUP(datos_ventas[[#This Row],[Ciudad]],Tabla2[Ciudades],Tabla2[Provincias],"no se encuentra")</f>
        <v>Valencia</v>
      </c>
      <c r="L1025" t="str">
        <f>_xlfn.XLOOKUP(datos_ventas[[#This Row],[Provincia]],Tabla2[Provincias],Tabla2[Comunidades],"no se encuentra")</f>
        <v>Comunidad Valenciana</v>
      </c>
      <c r="M1025" t="s">
        <v>19</v>
      </c>
      <c r="N1025">
        <v>2</v>
      </c>
    </row>
    <row r="1026" spans="1:14" x14ac:dyDescent="0.25">
      <c r="A1026">
        <v>2025</v>
      </c>
      <c r="B1026" s="1">
        <v>45880</v>
      </c>
      <c r="C1026" s="4">
        <f>MONTH(datos_ventas[[#This Row],[Fecha]])</f>
        <v>8</v>
      </c>
      <c r="D1026" s="4">
        <f>WEEKNUM(datos_ventas[[#This Row],[Fecha]],2)</f>
        <v>33</v>
      </c>
      <c r="E1026" t="s">
        <v>23</v>
      </c>
      <c r="F1026" t="s">
        <v>18</v>
      </c>
      <c r="G1026">
        <v>4</v>
      </c>
      <c r="H1026">
        <v>91235</v>
      </c>
      <c r="I1026">
        <v>1302</v>
      </c>
      <c r="J1026" t="s">
        <v>22</v>
      </c>
      <c r="K1026" t="str">
        <f>_xlfn.XLOOKUP(datos_ventas[[#This Row],[Ciudad]],Tabla2[Ciudades],Tabla2[Provincias],"no se encuentra")</f>
        <v>Valencia</v>
      </c>
      <c r="L1026" t="str">
        <f>_xlfn.XLOOKUP(datos_ventas[[#This Row],[Provincia]],Tabla2[Provincias],Tabla2[Comunidades],"no se encuentra")</f>
        <v>Comunidad Valenciana</v>
      </c>
      <c r="M1026" t="s">
        <v>13</v>
      </c>
      <c r="N1026">
        <v>3</v>
      </c>
    </row>
    <row r="1027" spans="1:14" x14ac:dyDescent="0.25">
      <c r="A1027">
        <v>2026</v>
      </c>
      <c r="B1027" s="1">
        <v>45783</v>
      </c>
      <c r="C1027" s="4">
        <f>MONTH(datos_ventas[[#This Row],[Fecha]])</f>
        <v>5</v>
      </c>
      <c r="D1027" s="4">
        <f>WEEKNUM(datos_ventas[[#This Row],[Fecha]],2)</f>
        <v>19</v>
      </c>
      <c r="E1027" t="s">
        <v>20</v>
      </c>
      <c r="F1027" t="s">
        <v>21</v>
      </c>
      <c r="G1027">
        <v>2</v>
      </c>
      <c r="H1027">
        <v>95279</v>
      </c>
      <c r="I1027">
        <v>2628</v>
      </c>
      <c r="J1027" t="s">
        <v>22</v>
      </c>
      <c r="K1027" t="str">
        <f>_xlfn.XLOOKUP(datos_ventas[[#This Row],[Ciudad]],Tabla2[Ciudades],Tabla2[Provincias],"no se encuentra")</f>
        <v>Valencia</v>
      </c>
      <c r="L1027" t="str">
        <f>_xlfn.XLOOKUP(datos_ventas[[#This Row],[Provincia]],Tabla2[Provincias],Tabla2[Comunidades],"no se encuentra")</f>
        <v>Comunidad Valenciana</v>
      </c>
      <c r="M1027" t="s">
        <v>28</v>
      </c>
      <c r="N1027">
        <v>4</v>
      </c>
    </row>
    <row r="1028" spans="1:14" x14ac:dyDescent="0.25">
      <c r="A1028">
        <v>2027</v>
      </c>
      <c r="B1028" s="1">
        <v>45849</v>
      </c>
      <c r="C1028" s="4">
        <f>MONTH(datos_ventas[[#This Row],[Fecha]])</f>
        <v>7</v>
      </c>
      <c r="D1028" s="4">
        <f>WEEKNUM(datos_ventas[[#This Row],[Fecha]],2)</f>
        <v>28</v>
      </c>
      <c r="E1028" t="s">
        <v>16</v>
      </c>
      <c r="F1028" t="s">
        <v>11</v>
      </c>
      <c r="G1028">
        <v>5</v>
      </c>
      <c r="H1028">
        <v>107016</v>
      </c>
      <c r="I1028">
        <v>4882</v>
      </c>
      <c r="J1028" t="s">
        <v>31</v>
      </c>
      <c r="K1028" t="str">
        <f>_xlfn.XLOOKUP(datos_ventas[[#This Row],[Ciudad]],Tabla2[Ciudades],Tabla2[Provincias],"no se encuentra")</f>
        <v>Vizcaya</v>
      </c>
      <c r="L1028" t="str">
        <f>_xlfn.XLOOKUP(datos_ventas[[#This Row],[Provincia]],Tabla2[Provincias],Tabla2[Comunidades],"no se encuentra")</f>
        <v>País Vasco</v>
      </c>
      <c r="M1028" t="s">
        <v>28</v>
      </c>
      <c r="N1028">
        <v>4</v>
      </c>
    </row>
    <row r="1029" spans="1:14" x14ac:dyDescent="0.25">
      <c r="A1029">
        <v>2028</v>
      </c>
      <c r="B1029" s="1">
        <v>45841</v>
      </c>
      <c r="C1029" s="4">
        <f>MONTH(datos_ventas[[#This Row],[Fecha]])</f>
        <v>7</v>
      </c>
      <c r="D1029" s="4">
        <f>WEEKNUM(datos_ventas[[#This Row],[Fecha]],2)</f>
        <v>27</v>
      </c>
      <c r="E1029" t="s">
        <v>17</v>
      </c>
      <c r="F1029" t="s">
        <v>18</v>
      </c>
      <c r="G1029">
        <v>5</v>
      </c>
      <c r="H1029">
        <v>116838</v>
      </c>
      <c r="I1029">
        <v>3705</v>
      </c>
      <c r="J1029" t="s">
        <v>22</v>
      </c>
      <c r="K1029" t="str">
        <f>_xlfn.XLOOKUP(datos_ventas[[#This Row],[Ciudad]],Tabla2[Ciudades],Tabla2[Provincias],"no se encuentra")</f>
        <v>Valencia</v>
      </c>
      <c r="L1029" t="str">
        <f>_xlfn.XLOOKUP(datos_ventas[[#This Row],[Provincia]],Tabla2[Provincias],Tabla2[Comunidades],"no se encuentra")</f>
        <v>Comunidad Valenciana</v>
      </c>
      <c r="M1029" t="s">
        <v>19</v>
      </c>
      <c r="N1029">
        <v>5</v>
      </c>
    </row>
    <row r="1030" spans="1:14" x14ac:dyDescent="0.25">
      <c r="A1030">
        <v>2029</v>
      </c>
      <c r="B1030" s="1">
        <v>45814</v>
      </c>
      <c r="C1030" s="4">
        <f>MONTH(datos_ventas[[#This Row],[Fecha]])</f>
        <v>6</v>
      </c>
      <c r="D1030" s="4">
        <f>WEEKNUM(datos_ventas[[#This Row],[Fecha]],2)</f>
        <v>23</v>
      </c>
      <c r="E1030" t="s">
        <v>26</v>
      </c>
      <c r="F1030" t="s">
        <v>18</v>
      </c>
      <c r="G1030">
        <v>4</v>
      </c>
      <c r="H1030">
        <v>59377</v>
      </c>
      <c r="I1030">
        <v>431</v>
      </c>
      <c r="J1030" t="s">
        <v>22</v>
      </c>
      <c r="K1030" t="str">
        <f>_xlfn.XLOOKUP(datos_ventas[[#This Row],[Ciudad]],Tabla2[Ciudades],Tabla2[Provincias],"no se encuentra")</f>
        <v>Valencia</v>
      </c>
      <c r="L1030" t="str">
        <f>_xlfn.XLOOKUP(datos_ventas[[#This Row],[Provincia]],Tabla2[Provincias],Tabla2[Comunidades],"no se encuentra")</f>
        <v>Comunidad Valenciana</v>
      </c>
      <c r="M1030" t="s">
        <v>28</v>
      </c>
      <c r="N1030">
        <v>4</v>
      </c>
    </row>
    <row r="1031" spans="1:14" x14ac:dyDescent="0.25">
      <c r="A1031">
        <v>2030</v>
      </c>
      <c r="B1031" s="1">
        <v>45662</v>
      </c>
      <c r="C1031" s="4">
        <f>MONTH(datos_ventas[[#This Row],[Fecha]])</f>
        <v>1</v>
      </c>
      <c r="D1031" s="4">
        <f>WEEKNUM(datos_ventas[[#This Row],[Fecha]],2)</f>
        <v>1</v>
      </c>
      <c r="E1031" t="s">
        <v>17</v>
      </c>
      <c r="F1031" t="s">
        <v>18</v>
      </c>
      <c r="G1031">
        <v>2</v>
      </c>
      <c r="H1031">
        <v>42391</v>
      </c>
      <c r="I1031">
        <v>3894</v>
      </c>
      <c r="J1031" t="s">
        <v>22</v>
      </c>
      <c r="K1031" t="str">
        <f>_xlfn.XLOOKUP(datos_ventas[[#This Row],[Ciudad]],Tabla2[Ciudades],Tabla2[Provincias],"no se encuentra")</f>
        <v>Valencia</v>
      </c>
      <c r="L1031" t="str">
        <f>_xlfn.XLOOKUP(datos_ventas[[#This Row],[Provincia]],Tabla2[Provincias],Tabla2[Comunidades],"no se encuentra")</f>
        <v>Comunidad Valenciana</v>
      </c>
      <c r="M1031" t="s">
        <v>13</v>
      </c>
      <c r="N1031">
        <v>1</v>
      </c>
    </row>
    <row r="1032" spans="1:14" x14ac:dyDescent="0.25">
      <c r="A1032">
        <v>2031</v>
      </c>
      <c r="B1032" s="1">
        <v>46004</v>
      </c>
      <c r="C1032" s="4">
        <f>MONTH(datos_ventas[[#This Row],[Fecha]])</f>
        <v>12</v>
      </c>
      <c r="D1032" s="4">
        <f>WEEKNUM(datos_ventas[[#This Row],[Fecha]],2)</f>
        <v>50</v>
      </c>
      <c r="E1032" t="s">
        <v>10</v>
      </c>
      <c r="F1032" t="s">
        <v>11</v>
      </c>
      <c r="G1032">
        <v>1</v>
      </c>
      <c r="H1032">
        <v>33472</v>
      </c>
      <c r="I1032">
        <v>3751</v>
      </c>
      <c r="J1032" t="s">
        <v>32</v>
      </c>
      <c r="K1032" t="str">
        <f>_xlfn.XLOOKUP(datos_ventas[[#This Row],[Ciudad]],Tabla2[Ciudades],Tabla2[Provincias],"no se encuentra")</f>
        <v>Barcelona</v>
      </c>
      <c r="L1032" t="str">
        <f>_xlfn.XLOOKUP(datos_ventas[[#This Row],[Provincia]],Tabla2[Provincias],Tabla2[Comunidades],"no se encuentra")</f>
        <v>Cataluña</v>
      </c>
      <c r="M1032" t="s">
        <v>28</v>
      </c>
      <c r="N1032">
        <v>1</v>
      </c>
    </row>
    <row r="1033" spans="1:14" x14ac:dyDescent="0.25">
      <c r="A1033">
        <v>2032</v>
      </c>
      <c r="B1033" s="1">
        <v>45834</v>
      </c>
      <c r="C1033" s="4">
        <f>MONTH(datos_ventas[[#This Row],[Fecha]])</f>
        <v>6</v>
      </c>
      <c r="D1033" s="4">
        <f>WEEKNUM(datos_ventas[[#This Row],[Fecha]],2)</f>
        <v>26</v>
      </c>
      <c r="E1033" t="s">
        <v>26</v>
      </c>
      <c r="F1033" t="s">
        <v>18</v>
      </c>
      <c r="G1033">
        <v>5</v>
      </c>
      <c r="H1033">
        <v>44449</v>
      </c>
      <c r="I1033">
        <v>3362</v>
      </c>
      <c r="J1033" t="s">
        <v>12</v>
      </c>
      <c r="K1033" t="str">
        <f>_xlfn.XLOOKUP(datos_ventas[[#This Row],[Ciudad]],Tabla2[Ciudades],Tabla2[Provincias],"no se encuentra")</f>
        <v>Málaga</v>
      </c>
      <c r="L1033" t="str">
        <f>_xlfn.XLOOKUP(datos_ventas[[#This Row],[Provincia]],Tabla2[Provincias],Tabla2[Comunidades],"no se encuentra")</f>
        <v>Andalucía</v>
      </c>
      <c r="M1033" t="s">
        <v>28</v>
      </c>
      <c r="N1033">
        <v>5</v>
      </c>
    </row>
    <row r="1034" spans="1:14" x14ac:dyDescent="0.25">
      <c r="A1034">
        <v>2033</v>
      </c>
      <c r="B1034" s="1">
        <v>45754</v>
      </c>
      <c r="C1034" s="4">
        <f>MONTH(datos_ventas[[#This Row],[Fecha]])</f>
        <v>4</v>
      </c>
      <c r="D1034" s="4">
        <f>WEEKNUM(datos_ventas[[#This Row],[Fecha]],2)</f>
        <v>15</v>
      </c>
      <c r="E1034" t="s">
        <v>29</v>
      </c>
      <c r="F1034" t="s">
        <v>30</v>
      </c>
      <c r="G1034">
        <v>3</v>
      </c>
      <c r="H1034">
        <v>30605</v>
      </c>
      <c r="I1034">
        <v>4304</v>
      </c>
      <c r="J1034" t="s">
        <v>32</v>
      </c>
      <c r="K1034" t="str">
        <f>_xlfn.XLOOKUP(datos_ventas[[#This Row],[Ciudad]],Tabla2[Ciudades],Tabla2[Provincias],"no se encuentra")</f>
        <v>Barcelona</v>
      </c>
      <c r="L1034" t="str">
        <f>_xlfn.XLOOKUP(datos_ventas[[#This Row],[Provincia]],Tabla2[Provincias],Tabla2[Comunidades],"no se encuentra")</f>
        <v>Cataluña</v>
      </c>
      <c r="M1034" t="s">
        <v>13</v>
      </c>
      <c r="N1034">
        <v>1</v>
      </c>
    </row>
    <row r="1035" spans="1:14" x14ac:dyDescent="0.25">
      <c r="A1035">
        <v>2034</v>
      </c>
      <c r="B1035" s="1">
        <v>45752</v>
      </c>
      <c r="C1035" s="4">
        <f>MONTH(datos_ventas[[#This Row],[Fecha]])</f>
        <v>4</v>
      </c>
      <c r="D1035" s="4">
        <f>WEEKNUM(datos_ventas[[#This Row],[Fecha]],2)</f>
        <v>14</v>
      </c>
      <c r="E1035" t="s">
        <v>20</v>
      </c>
      <c r="F1035" t="s">
        <v>21</v>
      </c>
      <c r="G1035">
        <v>5</v>
      </c>
      <c r="H1035">
        <v>68162</v>
      </c>
      <c r="I1035">
        <v>2934</v>
      </c>
      <c r="J1035" t="s">
        <v>31</v>
      </c>
      <c r="K1035" t="str">
        <f>_xlfn.XLOOKUP(datos_ventas[[#This Row],[Ciudad]],Tabla2[Ciudades],Tabla2[Provincias],"no se encuentra")</f>
        <v>Vizcaya</v>
      </c>
      <c r="L1035" t="str">
        <f>_xlfn.XLOOKUP(datos_ventas[[#This Row],[Provincia]],Tabla2[Provincias],Tabla2[Comunidades],"no se encuentra")</f>
        <v>País Vasco</v>
      </c>
      <c r="M1035" t="s">
        <v>15</v>
      </c>
      <c r="N1035">
        <v>4</v>
      </c>
    </row>
    <row r="1036" spans="1:14" x14ac:dyDescent="0.25">
      <c r="A1036">
        <v>2035</v>
      </c>
      <c r="B1036" s="1">
        <v>45699</v>
      </c>
      <c r="C1036" s="4">
        <f>MONTH(datos_ventas[[#This Row],[Fecha]])</f>
        <v>2</v>
      </c>
      <c r="D1036" s="4">
        <f>WEEKNUM(datos_ventas[[#This Row],[Fecha]],2)</f>
        <v>7</v>
      </c>
      <c r="E1036" t="s">
        <v>24</v>
      </c>
      <c r="F1036" t="s">
        <v>25</v>
      </c>
      <c r="G1036">
        <v>5</v>
      </c>
      <c r="H1036">
        <v>68444</v>
      </c>
      <c r="I1036">
        <v>3483</v>
      </c>
      <c r="J1036" t="s">
        <v>22</v>
      </c>
      <c r="K1036" t="str">
        <f>_xlfn.XLOOKUP(datos_ventas[[#This Row],[Ciudad]],Tabla2[Ciudades],Tabla2[Provincias],"no se encuentra")</f>
        <v>Valencia</v>
      </c>
      <c r="L1036" t="str">
        <f>_xlfn.XLOOKUP(datos_ventas[[#This Row],[Provincia]],Tabla2[Provincias],Tabla2[Comunidades],"no se encuentra")</f>
        <v>Comunidad Valenciana</v>
      </c>
      <c r="M1036" t="s">
        <v>19</v>
      </c>
      <c r="N1036">
        <v>4</v>
      </c>
    </row>
    <row r="1037" spans="1:14" x14ac:dyDescent="0.25">
      <c r="A1037">
        <v>2036</v>
      </c>
      <c r="B1037" s="1">
        <v>46012</v>
      </c>
      <c r="C1037" s="4">
        <f>MONTH(datos_ventas[[#This Row],[Fecha]])</f>
        <v>12</v>
      </c>
      <c r="D1037" s="4">
        <f>WEEKNUM(datos_ventas[[#This Row],[Fecha]],2)</f>
        <v>51</v>
      </c>
      <c r="E1037" t="s">
        <v>16</v>
      </c>
      <c r="F1037" t="s">
        <v>11</v>
      </c>
      <c r="G1037">
        <v>1</v>
      </c>
      <c r="H1037">
        <v>118608</v>
      </c>
      <c r="I1037">
        <v>396</v>
      </c>
      <c r="J1037" t="s">
        <v>27</v>
      </c>
      <c r="K1037" t="str">
        <f>_xlfn.XLOOKUP(datos_ventas[[#This Row],[Ciudad]],Tabla2[Ciudades],Tabla2[Provincias],"no se encuentra")</f>
        <v>Sevilla</v>
      </c>
      <c r="L1037" t="str">
        <f>_xlfn.XLOOKUP(datos_ventas[[#This Row],[Provincia]],Tabla2[Provincias],Tabla2[Comunidades],"no se encuentra")</f>
        <v>Andalucía</v>
      </c>
      <c r="M1037" t="s">
        <v>19</v>
      </c>
      <c r="N1037">
        <v>3</v>
      </c>
    </row>
    <row r="1038" spans="1:14" x14ac:dyDescent="0.25">
      <c r="A1038">
        <v>2037</v>
      </c>
      <c r="B1038" s="1">
        <v>45730</v>
      </c>
      <c r="C1038" s="4">
        <f>MONTH(datos_ventas[[#This Row],[Fecha]])</f>
        <v>3</v>
      </c>
      <c r="D1038" s="4">
        <f>WEEKNUM(datos_ventas[[#This Row],[Fecha]],2)</f>
        <v>11</v>
      </c>
      <c r="E1038" t="s">
        <v>20</v>
      </c>
      <c r="F1038" t="s">
        <v>21</v>
      </c>
      <c r="G1038">
        <v>2</v>
      </c>
      <c r="H1038">
        <v>79635</v>
      </c>
      <c r="I1038">
        <v>3578</v>
      </c>
      <c r="J1038" t="s">
        <v>12</v>
      </c>
      <c r="K1038" t="str">
        <f>_xlfn.XLOOKUP(datos_ventas[[#This Row],[Ciudad]],Tabla2[Ciudades],Tabla2[Provincias],"no se encuentra")</f>
        <v>Málaga</v>
      </c>
      <c r="L1038" t="str">
        <f>_xlfn.XLOOKUP(datos_ventas[[#This Row],[Provincia]],Tabla2[Provincias],Tabla2[Comunidades],"no se encuentra")</f>
        <v>Andalucía</v>
      </c>
      <c r="M1038" t="s">
        <v>19</v>
      </c>
      <c r="N1038">
        <v>2</v>
      </c>
    </row>
    <row r="1039" spans="1:14" x14ac:dyDescent="0.25">
      <c r="A1039">
        <v>2038</v>
      </c>
      <c r="B1039" s="1">
        <v>45813</v>
      </c>
      <c r="C1039" s="4">
        <f>MONTH(datos_ventas[[#This Row],[Fecha]])</f>
        <v>6</v>
      </c>
      <c r="D1039" s="4">
        <f>WEEKNUM(datos_ventas[[#This Row],[Fecha]],2)</f>
        <v>23</v>
      </c>
      <c r="E1039" t="s">
        <v>29</v>
      </c>
      <c r="F1039" t="s">
        <v>30</v>
      </c>
      <c r="G1039">
        <v>5</v>
      </c>
      <c r="H1039">
        <v>38052</v>
      </c>
      <c r="I1039">
        <v>4993</v>
      </c>
      <c r="J1039" t="s">
        <v>32</v>
      </c>
      <c r="K1039" t="str">
        <f>_xlfn.XLOOKUP(datos_ventas[[#This Row],[Ciudad]],Tabla2[Ciudades],Tabla2[Provincias],"no se encuentra")</f>
        <v>Barcelona</v>
      </c>
      <c r="L1039" t="str">
        <f>_xlfn.XLOOKUP(datos_ventas[[#This Row],[Provincia]],Tabla2[Provincias],Tabla2[Comunidades],"no se encuentra")</f>
        <v>Cataluña</v>
      </c>
      <c r="M1039" t="s">
        <v>28</v>
      </c>
      <c r="N1039">
        <v>1</v>
      </c>
    </row>
    <row r="1040" spans="1:14" x14ac:dyDescent="0.25">
      <c r="A1040">
        <v>2039</v>
      </c>
      <c r="B1040" s="1">
        <v>45896</v>
      </c>
      <c r="C1040" s="4">
        <f>MONTH(datos_ventas[[#This Row],[Fecha]])</f>
        <v>8</v>
      </c>
      <c r="D1040" s="4">
        <f>WEEKNUM(datos_ventas[[#This Row],[Fecha]],2)</f>
        <v>35</v>
      </c>
      <c r="E1040" t="s">
        <v>23</v>
      </c>
      <c r="F1040" t="s">
        <v>18</v>
      </c>
      <c r="G1040">
        <v>2</v>
      </c>
      <c r="H1040">
        <v>74834</v>
      </c>
      <c r="I1040">
        <v>1907</v>
      </c>
      <c r="J1040" t="s">
        <v>27</v>
      </c>
      <c r="K1040" t="str">
        <f>_xlfn.XLOOKUP(datos_ventas[[#This Row],[Ciudad]],Tabla2[Ciudades],Tabla2[Provincias],"no se encuentra")</f>
        <v>Sevilla</v>
      </c>
      <c r="L1040" t="str">
        <f>_xlfn.XLOOKUP(datos_ventas[[#This Row],[Provincia]],Tabla2[Provincias],Tabla2[Comunidades],"no se encuentra")</f>
        <v>Andalucía</v>
      </c>
      <c r="M1040" t="s">
        <v>19</v>
      </c>
      <c r="N1040">
        <v>2</v>
      </c>
    </row>
    <row r="1041" spans="1:14" x14ac:dyDescent="0.25">
      <c r="A1041">
        <v>2040</v>
      </c>
      <c r="B1041" s="1">
        <v>45828</v>
      </c>
      <c r="C1041" s="4">
        <f>MONTH(datos_ventas[[#This Row],[Fecha]])</f>
        <v>6</v>
      </c>
      <c r="D1041" s="4">
        <f>WEEKNUM(datos_ventas[[#This Row],[Fecha]],2)</f>
        <v>25</v>
      </c>
      <c r="E1041" t="s">
        <v>23</v>
      </c>
      <c r="F1041" t="s">
        <v>18</v>
      </c>
      <c r="G1041">
        <v>3</v>
      </c>
      <c r="H1041">
        <v>95034</v>
      </c>
      <c r="I1041">
        <v>3505</v>
      </c>
      <c r="J1041" t="s">
        <v>22</v>
      </c>
      <c r="K1041" t="str">
        <f>_xlfn.XLOOKUP(datos_ventas[[#This Row],[Ciudad]],Tabla2[Ciudades],Tabla2[Provincias],"no se encuentra")</f>
        <v>Valencia</v>
      </c>
      <c r="L1041" t="str">
        <f>_xlfn.XLOOKUP(datos_ventas[[#This Row],[Provincia]],Tabla2[Provincias],Tabla2[Comunidades],"no se encuentra")</f>
        <v>Comunidad Valenciana</v>
      </c>
      <c r="M1041" t="s">
        <v>15</v>
      </c>
      <c r="N1041">
        <v>1</v>
      </c>
    </row>
    <row r="1042" spans="1:14" x14ac:dyDescent="0.25">
      <c r="A1042">
        <v>2041</v>
      </c>
      <c r="B1042" s="1">
        <v>45903</v>
      </c>
      <c r="C1042" s="4">
        <f>MONTH(datos_ventas[[#This Row],[Fecha]])</f>
        <v>9</v>
      </c>
      <c r="D1042" s="4">
        <f>WEEKNUM(datos_ventas[[#This Row],[Fecha]],2)</f>
        <v>36</v>
      </c>
      <c r="E1042" t="s">
        <v>16</v>
      </c>
      <c r="F1042" t="s">
        <v>11</v>
      </c>
      <c r="G1042">
        <v>1</v>
      </c>
      <c r="H1042">
        <v>20881</v>
      </c>
      <c r="I1042">
        <v>3843</v>
      </c>
      <c r="J1042" t="s">
        <v>22</v>
      </c>
      <c r="K1042" t="str">
        <f>_xlfn.XLOOKUP(datos_ventas[[#This Row],[Ciudad]],Tabla2[Ciudades],Tabla2[Provincias],"no se encuentra")</f>
        <v>Valencia</v>
      </c>
      <c r="L1042" t="str">
        <f>_xlfn.XLOOKUP(datos_ventas[[#This Row],[Provincia]],Tabla2[Provincias],Tabla2[Comunidades],"no se encuentra")</f>
        <v>Comunidad Valenciana</v>
      </c>
      <c r="M1042" t="s">
        <v>19</v>
      </c>
      <c r="N1042">
        <v>4</v>
      </c>
    </row>
    <row r="1043" spans="1:14" x14ac:dyDescent="0.25">
      <c r="A1043">
        <v>2042</v>
      </c>
      <c r="B1043" s="1">
        <v>45992</v>
      </c>
      <c r="C1043" s="4">
        <f>MONTH(datos_ventas[[#This Row],[Fecha]])</f>
        <v>12</v>
      </c>
      <c r="D1043" s="4">
        <f>WEEKNUM(datos_ventas[[#This Row],[Fecha]],2)</f>
        <v>49</v>
      </c>
      <c r="E1043" t="s">
        <v>23</v>
      </c>
      <c r="F1043" t="s">
        <v>18</v>
      </c>
      <c r="G1043">
        <v>1</v>
      </c>
      <c r="H1043">
        <v>105171</v>
      </c>
      <c r="I1043">
        <v>67</v>
      </c>
      <c r="J1043" t="s">
        <v>32</v>
      </c>
      <c r="K1043" t="str">
        <f>_xlfn.XLOOKUP(datos_ventas[[#This Row],[Ciudad]],Tabla2[Ciudades],Tabla2[Provincias],"no se encuentra")</f>
        <v>Barcelona</v>
      </c>
      <c r="L1043" t="str">
        <f>_xlfn.XLOOKUP(datos_ventas[[#This Row],[Provincia]],Tabla2[Provincias],Tabla2[Comunidades],"no se encuentra")</f>
        <v>Cataluña</v>
      </c>
      <c r="M1043" t="s">
        <v>28</v>
      </c>
      <c r="N1043">
        <v>1</v>
      </c>
    </row>
    <row r="1044" spans="1:14" x14ac:dyDescent="0.25">
      <c r="A1044">
        <v>2043</v>
      </c>
      <c r="B1044" s="1">
        <v>45871</v>
      </c>
      <c r="C1044" s="4">
        <f>MONTH(datos_ventas[[#This Row],[Fecha]])</f>
        <v>8</v>
      </c>
      <c r="D1044" s="4">
        <f>WEEKNUM(datos_ventas[[#This Row],[Fecha]],2)</f>
        <v>31</v>
      </c>
      <c r="E1044" t="s">
        <v>29</v>
      </c>
      <c r="F1044" t="s">
        <v>30</v>
      </c>
      <c r="G1044">
        <v>2</v>
      </c>
      <c r="H1044">
        <v>13254</v>
      </c>
      <c r="I1044">
        <v>1436</v>
      </c>
      <c r="J1044" t="s">
        <v>31</v>
      </c>
      <c r="K1044" t="str">
        <f>_xlfn.XLOOKUP(datos_ventas[[#This Row],[Ciudad]],Tabla2[Ciudades],Tabla2[Provincias],"no se encuentra")</f>
        <v>Vizcaya</v>
      </c>
      <c r="L1044" t="str">
        <f>_xlfn.XLOOKUP(datos_ventas[[#This Row],[Provincia]],Tabla2[Provincias],Tabla2[Comunidades],"no se encuentra")</f>
        <v>País Vasco</v>
      </c>
      <c r="M1044" t="s">
        <v>13</v>
      </c>
      <c r="N1044">
        <v>3</v>
      </c>
    </row>
    <row r="1045" spans="1:14" x14ac:dyDescent="0.25">
      <c r="A1045">
        <v>2044</v>
      </c>
      <c r="B1045" s="1">
        <v>45794</v>
      </c>
      <c r="C1045" s="4">
        <f>MONTH(datos_ventas[[#This Row],[Fecha]])</f>
        <v>5</v>
      </c>
      <c r="D1045" s="4">
        <f>WEEKNUM(datos_ventas[[#This Row],[Fecha]],2)</f>
        <v>20</v>
      </c>
      <c r="E1045" t="s">
        <v>29</v>
      </c>
      <c r="F1045" t="s">
        <v>30</v>
      </c>
      <c r="G1045">
        <v>2</v>
      </c>
      <c r="H1045">
        <v>60562</v>
      </c>
      <c r="I1045">
        <v>2439</v>
      </c>
      <c r="J1045" t="s">
        <v>14</v>
      </c>
      <c r="K1045" t="str">
        <f>_xlfn.XLOOKUP(datos_ventas[[#This Row],[Ciudad]],Tabla2[Ciudades],Tabla2[Provincias],"no se encuentra")</f>
        <v>Madrid</v>
      </c>
      <c r="L1045" t="str">
        <f>_xlfn.XLOOKUP(datos_ventas[[#This Row],[Provincia]],Tabla2[Provincias],Tabla2[Comunidades],"no se encuentra")</f>
        <v>Comunidad de Madrid</v>
      </c>
      <c r="M1045" t="s">
        <v>28</v>
      </c>
      <c r="N1045">
        <v>4</v>
      </c>
    </row>
    <row r="1046" spans="1:14" x14ac:dyDescent="0.25">
      <c r="A1046">
        <v>2045</v>
      </c>
      <c r="B1046" s="1">
        <v>45778</v>
      </c>
      <c r="C1046" s="4">
        <f>MONTH(datos_ventas[[#This Row],[Fecha]])</f>
        <v>5</v>
      </c>
      <c r="D1046" s="4">
        <f>WEEKNUM(datos_ventas[[#This Row],[Fecha]],2)</f>
        <v>18</v>
      </c>
      <c r="E1046" t="s">
        <v>17</v>
      </c>
      <c r="F1046" t="s">
        <v>18</v>
      </c>
      <c r="G1046">
        <v>5</v>
      </c>
      <c r="H1046">
        <v>108301</v>
      </c>
      <c r="I1046">
        <v>1272</v>
      </c>
      <c r="J1046" t="s">
        <v>27</v>
      </c>
      <c r="K1046" t="str">
        <f>_xlfn.XLOOKUP(datos_ventas[[#This Row],[Ciudad]],Tabla2[Ciudades],Tabla2[Provincias],"no se encuentra")</f>
        <v>Sevilla</v>
      </c>
      <c r="L1046" t="str">
        <f>_xlfn.XLOOKUP(datos_ventas[[#This Row],[Provincia]],Tabla2[Provincias],Tabla2[Comunidades],"no se encuentra")</f>
        <v>Andalucía</v>
      </c>
      <c r="M1046" t="s">
        <v>28</v>
      </c>
      <c r="N1046">
        <v>5</v>
      </c>
    </row>
    <row r="1047" spans="1:14" x14ac:dyDescent="0.25">
      <c r="A1047">
        <v>2046</v>
      </c>
      <c r="B1047" s="1">
        <v>45794</v>
      </c>
      <c r="C1047" s="4">
        <f>MONTH(datos_ventas[[#This Row],[Fecha]])</f>
        <v>5</v>
      </c>
      <c r="D1047" s="4">
        <f>WEEKNUM(datos_ventas[[#This Row],[Fecha]],2)</f>
        <v>20</v>
      </c>
      <c r="E1047" t="s">
        <v>26</v>
      </c>
      <c r="F1047" t="s">
        <v>18</v>
      </c>
      <c r="G1047">
        <v>5</v>
      </c>
      <c r="H1047">
        <v>41003</v>
      </c>
      <c r="I1047">
        <v>862</v>
      </c>
      <c r="J1047" t="s">
        <v>31</v>
      </c>
      <c r="K1047" t="str">
        <f>_xlfn.XLOOKUP(datos_ventas[[#This Row],[Ciudad]],Tabla2[Ciudades],Tabla2[Provincias],"no se encuentra")</f>
        <v>Vizcaya</v>
      </c>
      <c r="L1047" t="str">
        <f>_xlfn.XLOOKUP(datos_ventas[[#This Row],[Provincia]],Tabla2[Provincias],Tabla2[Comunidades],"no se encuentra")</f>
        <v>País Vasco</v>
      </c>
      <c r="M1047" t="s">
        <v>15</v>
      </c>
      <c r="N1047">
        <v>2</v>
      </c>
    </row>
    <row r="1048" spans="1:14" x14ac:dyDescent="0.25">
      <c r="A1048">
        <v>2047</v>
      </c>
      <c r="B1048" s="1">
        <v>45833</v>
      </c>
      <c r="C1048" s="4">
        <f>MONTH(datos_ventas[[#This Row],[Fecha]])</f>
        <v>6</v>
      </c>
      <c r="D1048" s="4">
        <f>WEEKNUM(datos_ventas[[#This Row],[Fecha]],2)</f>
        <v>26</v>
      </c>
      <c r="E1048" t="s">
        <v>23</v>
      </c>
      <c r="F1048" t="s">
        <v>18</v>
      </c>
      <c r="G1048">
        <v>4</v>
      </c>
      <c r="H1048">
        <v>14665</v>
      </c>
      <c r="I1048">
        <v>4358</v>
      </c>
      <c r="J1048" t="s">
        <v>12</v>
      </c>
      <c r="K1048" t="str">
        <f>_xlfn.XLOOKUP(datos_ventas[[#This Row],[Ciudad]],Tabla2[Ciudades],Tabla2[Provincias],"no se encuentra")</f>
        <v>Málaga</v>
      </c>
      <c r="L1048" t="str">
        <f>_xlfn.XLOOKUP(datos_ventas[[#This Row],[Provincia]],Tabla2[Provincias],Tabla2[Comunidades],"no se encuentra")</f>
        <v>Andalucía</v>
      </c>
      <c r="M1048" t="s">
        <v>19</v>
      </c>
      <c r="N1048">
        <v>4</v>
      </c>
    </row>
    <row r="1049" spans="1:14" x14ac:dyDescent="0.25">
      <c r="A1049">
        <v>2048</v>
      </c>
      <c r="B1049" s="1">
        <v>46008</v>
      </c>
      <c r="C1049" s="4">
        <f>MONTH(datos_ventas[[#This Row],[Fecha]])</f>
        <v>12</v>
      </c>
      <c r="D1049" s="4">
        <f>WEEKNUM(datos_ventas[[#This Row],[Fecha]],2)</f>
        <v>51</v>
      </c>
      <c r="E1049" t="s">
        <v>26</v>
      </c>
      <c r="F1049" t="s">
        <v>18</v>
      </c>
      <c r="G1049">
        <v>4</v>
      </c>
      <c r="H1049">
        <v>90425</v>
      </c>
      <c r="I1049">
        <v>1521</v>
      </c>
      <c r="J1049" t="s">
        <v>31</v>
      </c>
      <c r="K1049" t="str">
        <f>_xlfn.XLOOKUP(datos_ventas[[#This Row],[Ciudad]],Tabla2[Ciudades],Tabla2[Provincias],"no se encuentra")</f>
        <v>Vizcaya</v>
      </c>
      <c r="L1049" t="str">
        <f>_xlfn.XLOOKUP(datos_ventas[[#This Row],[Provincia]],Tabla2[Provincias],Tabla2[Comunidades],"no se encuentra")</f>
        <v>País Vasco</v>
      </c>
      <c r="M1049" t="s">
        <v>19</v>
      </c>
      <c r="N1049">
        <v>4</v>
      </c>
    </row>
    <row r="1050" spans="1:14" x14ac:dyDescent="0.25">
      <c r="A1050">
        <v>2049</v>
      </c>
      <c r="B1050" s="1">
        <v>45735</v>
      </c>
      <c r="C1050" s="4">
        <f>MONTH(datos_ventas[[#This Row],[Fecha]])</f>
        <v>3</v>
      </c>
      <c r="D1050" s="4">
        <f>WEEKNUM(datos_ventas[[#This Row],[Fecha]],2)</f>
        <v>12</v>
      </c>
      <c r="E1050" t="s">
        <v>23</v>
      </c>
      <c r="F1050" t="s">
        <v>18</v>
      </c>
      <c r="G1050">
        <v>5</v>
      </c>
      <c r="H1050">
        <v>96012</v>
      </c>
      <c r="I1050">
        <v>2898</v>
      </c>
      <c r="J1050" t="s">
        <v>27</v>
      </c>
      <c r="K1050" t="str">
        <f>_xlfn.XLOOKUP(datos_ventas[[#This Row],[Ciudad]],Tabla2[Ciudades],Tabla2[Provincias],"no se encuentra")</f>
        <v>Sevilla</v>
      </c>
      <c r="L1050" t="str">
        <f>_xlfn.XLOOKUP(datos_ventas[[#This Row],[Provincia]],Tabla2[Provincias],Tabla2[Comunidades],"no se encuentra")</f>
        <v>Andalucía</v>
      </c>
      <c r="M1050" t="s">
        <v>19</v>
      </c>
      <c r="N1050">
        <v>5</v>
      </c>
    </row>
    <row r="1051" spans="1:14" x14ac:dyDescent="0.25">
      <c r="A1051">
        <v>2050</v>
      </c>
      <c r="B1051" s="1">
        <v>45912</v>
      </c>
      <c r="C1051" s="4">
        <f>MONTH(datos_ventas[[#This Row],[Fecha]])</f>
        <v>9</v>
      </c>
      <c r="D1051" s="4">
        <f>WEEKNUM(datos_ventas[[#This Row],[Fecha]],2)</f>
        <v>37</v>
      </c>
      <c r="E1051" t="s">
        <v>16</v>
      </c>
      <c r="F1051" t="s">
        <v>11</v>
      </c>
      <c r="G1051">
        <v>2</v>
      </c>
      <c r="H1051">
        <v>79269</v>
      </c>
      <c r="I1051">
        <v>3738</v>
      </c>
      <c r="J1051" t="s">
        <v>32</v>
      </c>
      <c r="K1051" t="str">
        <f>_xlfn.XLOOKUP(datos_ventas[[#This Row],[Ciudad]],Tabla2[Ciudades],Tabla2[Provincias],"no se encuentra")</f>
        <v>Barcelona</v>
      </c>
      <c r="L1051" t="str">
        <f>_xlfn.XLOOKUP(datos_ventas[[#This Row],[Provincia]],Tabla2[Provincias],Tabla2[Comunidades],"no se encuentra")</f>
        <v>Cataluña</v>
      </c>
      <c r="M1051" t="s">
        <v>15</v>
      </c>
      <c r="N1051">
        <v>1</v>
      </c>
    </row>
    <row r="1052" spans="1:14" x14ac:dyDescent="0.25">
      <c r="A1052">
        <v>2051</v>
      </c>
      <c r="B1052" s="1">
        <v>45662</v>
      </c>
      <c r="C1052" s="4">
        <f>MONTH(datos_ventas[[#This Row],[Fecha]])</f>
        <v>1</v>
      </c>
      <c r="D1052" s="4">
        <f>WEEKNUM(datos_ventas[[#This Row],[Fecha]],2)</f>
        <v>1</v>
      </c>
      <c r="E1052" t="s">
        <v>23</v>
      </c>
      <c r="F1052" t="s">
        <v>18</v>
      </c>
      <c r="G1052">
        <v>4</v>
      </c>
      <c r="H1052">
        <v>51686</v>
      </c>
      <c r="I1052">
        <v>627</v>
      </c>
      <c r="J1052" t="s">
        <v>12</v>
      </c>
      <c r="K1052" t="str">
        <f>_xlfn.XLOOKUP(datos_ventas[[#This Row],[Ciudad]],Tabla2[Ciudades],Tabla2[Provincias],"no se encuentra")</f>
        <v>Málaga</v>
      </c>
      <c r="L1052" t="str">
        <f>_xlfn.XLOOKUP(datos_ventas[[#This Row],[Provincia]],Tabla2[Provincias],Tabla2[Comunidades],"no se encuentra")</f>
        <v>Andalucía</v>
      </c>
      <c r="M1052" t="s">
        <v>28</v>
      </c>
      <c r="N1052">
        <v>3</v>
      </c>
    </row>
    <row r="1053" spans="1:14" x14ac:dyDescent="0.25">
      <c r="A1053">
        <v>2052</v>
      </c>
      <c r="B1053" s="1">
        <v>45817</v>
      </c>
      <c r="C1053" s="4">
        <f>MONTH(datos_ventas[[#This Row],[Fecha]])</f>
        <v>6</v>
      </c>
      <c r="D1053" s="4">
        <f>WEEKNUM(datos_ventas[[#This Row],[Fecha]],2)</f>
        <v>24</v>
      </c>
      <c r="E1053" t="s">
        <v>17</v>
      </c>
      <c r="F1053" t="s">
        <v>18</v>
      </c>
      <c r="G1053">
        <v>1</v>
      </c>
      <c r="H1053">
        <v>31407</v>
      </c>
      <c r="I1053">
        <v>328</v>
      </c>
      <c r="J1053" t="s">
        <v>32</v>
      </c>
      <c r="K1053" t="str">
        <f>_xlfn.XLOOKUP(datos_ventas[[#This Row],[Ciudad]],Tabla2[Ciudades],Tabla2[Provincias],"no se encuentra")</f>
        <v>Barcelona</v>
      </c>
      <c r="L1053" t="str">
        <f>_xlfn.XLOOKUP(datos_ventas[[#This Row],[Provincia]],Tabla2[Provincias],Tabla2[Comunidades],"no se encuentra")</f>
        <v>Cataluña</v>
      </c>
      <c r="M1053" t="s">
        <v>19</v>
      </c>
      <c r="N1053">
        <v>4</v>
      </c>
    </row>
    <row r="1054" spans="1:14" x14ac:dyDescent="0.25">
      <c r="A1054">
        <v>2053</v>
      </c>
      <c r="B1054" s="1">
        <v>45868</v>
      </c>
      <c r="C1054" s="4">
        <f>MONTH(datos_ventas[[#This Row],[Fecha]])</f>
        <v>7</v>
      </c>
      <c r="D1054" s="4">
        <f>WEEKNUM(datos_ventas[[#This Row],[Fecha]],2)</f>
        <v>31</v>
      </c>
      <c r="E1054" t="s">
        <v>24</v>
      </c>
      <c r="F1054" t="s">
        <v>25</v>
      </c>
      <c r="G1054">
        <v>4</v>
      </c>
      <c r="H1054">
        <v>55246</v>
      </c>
      <c r="I1054">
        <v>420</v>
      </c>
      <c r="J1054" t="s">
        <v>12</v>
      </c>
      <c r="K1054" t="str">
        <f>_xlfn.XLOOKUP(datos_ventas[[#This Row],[Ciudad]],Tabla2[Ciudades],Tabla2[Provincias],"no se encuentra")</f>
        <v>Málaga</v>
      </c>
      <c r="L1054" t="str">
        <f>_xlfn.XLOOKUP(datos_ventas[[#This Row],[Provincia]],Tabla2[Provincias],Tabla2[Comunidades],"no se encuentra")</f>
        <v>Andalucía</v>
      </c>
      <c r="M1054" t="s">
        <v>19</v>
      </c>
      <c r="N1054">
        <v>2</v>
      </c>
    </row>
    <row r="1055" spans="1:14" x14ac:dyDescent="0.25">
      <c r="A1055">
        <v>2054</v>
      </c>
      <c r="B1055" s="1">
        <v>45690</v>
      </c>
      <c r="C1055" s="4">
        <f>MONTH(datos_ventas[[#This Row],[Fecha]])</f>
        <v>2</v>
      </c>
      <c r="D1055" s="4">
        <f>WEEKNUM(datos_ventas[[#This Row],[Fecha]],2)</f>
        <v>5</v>
      </c>
      <c r="E1055" t="s">
        <v>10</v>
      </c>
      <c r="F1055" t="s">
        <v>11</v>
      </c>
      <c r="G1055">
        <v>4</v>
      </c>
      <c r="H1055">
        <v>39219</v>
      </c>
      <c r="I1055">
        <v>1257</v>
      </c>
      <c r="J1055" t="s">
        <v>31</v>
      </c>
      <c r="K1055" t="str">
        <f>_xlfn.XLOOKUP(datos_ventas[[#This Row],[Ciudad]],Tabla2[Ciudades],Tabla2[Provincias],"no se encuentra")</f>
        <v>Vizcaya</v>
      </c>
      <c r="L1055" t="str">
        <f>_xlfn.XLOOKUP(datos_ventas[[#This Row],[Provincia]],Tabla2[Provincias],Tabla2[Comunidades],"no se encuentra")</f>
        <v>País Vasco</v>
      </c>
      <c r="M1055" t="s">
        <v>13</v>
      </c>
      <c r="N1055">
        <v>5</v>
      </c>
    </row>
    <row r="1056" spans="1:14" x14ac:dyDescent="0.25">
      <c r="A1056">
        <v>2055</v>
      </c>
      <c r="B1056" s="1">
        <v>46014</v>
      </c>
      <c r="C1056" s="4">
        <f>MONTH(datos_ventas[[#This Row],[Fecha]])</f>
        <v>12</v>
      </c>
      <c r="D1056" s="4">
        <f>WEEKNUM(datos_ventas[[#This Row],[Fecha]],2)</f>
        <v>52</v>
      </c>
      <c r="E1056" t="s">
        <v>29</v>
      </c>
      <c r="F1056" t="s">
        <v>30</v>
      </c>
      <c r="G1056">
        <v>2</v>
      </c>
      <c r="H1056">
        <v>74906</v>
      </c>
      <c r="I1056">
        <v>3895</v>
      </c>
      <c r="J1056" t="s">
        <v>32</v>
      </c>
      <c r="K1056" t="str">
        <f>_xlfn.XLOOKUP(datos_ventas[[#This Row],[Ciudad]],Tabla2[Ciudades],Tabla2[Provincias],"no se encuentra")</f>
        <v>Barcelona</v>
      </c>
      <c r="L1056" t="str">
        <f>_xlfn.XLOOKUP(datos_ventas[[#This Row],[Provincia]],Tabla2[Provincias],Tabla2[Comunidades],"no se encuentra")</f>
        <v>Cataluña</v>
      </c>
      <c r="M1056" t="s">
        <v>28</v>
      </c>
      <c r="N1056">
        <v>2</v>
      </c>
    </row>
    <row r="1057" spans="1:14" x14ac:dyDescent="0.25">
      <c r="A1057">
        <v>2056</v>
      </c>
      <c r="B1057" s="1">
        <v>45856</v>
      </c>
      <c r="C1057" s="4">
        <f>MONTH(datos_ventas[[#This Row],[Fecha]])</f>
        <v>7</v>
      </c>
      <c r="D1057" s="4">
        <f>WEEKNUM(datos_ventas[[#This Row],[Fecha]],2)</f>
        <v>29</v>
      </c>
      <c r="E1057" t="s">
        <v>29</v>
      </c>
      <c r="F1057" t="s">
        <v>30</v>
      </c>
      <c r="G1057">
        <v>5</v>
      </c>
      <c r="H1057">
        <v>5556</v>
      </c>
      <c r="I1057">
        <v>4754</v>
      </c>
      <c r="J1057" t="s">
        <v>12</v>
      </c>
      <c r="K1057" t="str">
        <f>_xlfn.XLOOKUP(datos_ventas[[#This Row],[Ciudad]],Tabla2[Ciudades],Tabla2[Provincias],"no se encuentra")</f>
        <v>Málaga</v>
      </c>
      <c r="L1057" t="str">
        <f>_xlfn.XLOOKUP(datos_ventas[[#This Row],[Provincia]],Tabla2[Provincias],Tabla2[Comunidades],"no se encuentra")</f>
        <v>Andalucía</v>
      </c>
      <c r="M1057" t="s">
        <v>15</v>
      </c>
      <c r="N1057">
        <v>3</v>
      </c>
    </row>
    <row r="1058" spans="1:14" x14ac:dyDescent="0.25">
      <c r="A1058">
        <v>2057</v>
      </c>
      <c r="B1058" s="1">
        <v>45998</v>
      </c>
      <c r="C1058" s="4">
        <f>MONTH(datos_ventas[[#This Row],[Fecha]])</f>
        <v>12</v>
      </c>
      <c r="D1058" s="4">
        <f>WEEKNUM(datos_ventas[[#This Row],[Fecha]],2)</f>
        <v>49</v>
      </c>
      <c r="E1058" t="s">
        <v>26</v>
      </c>
      <c r="F1058" t="s">
        <v>18</v>
      </c>
      <c r="G1058">
        <v>4</v>
      </c>
      <c r="H1058">
        <v>118377</v>
      </c>
      <c r="I1058">
        <v>3951</v>
      </c>
      <c r="J1058" t="s">
        <v>22</v>
      </c>
      <c r="K1058" t="str">
        <f>_xlfn.XLOOKUP(datos_ventas[[#This Row],[Ciudad]],Tabla2[Ciudades],Tabla2[Provincias],"no se encuentra")</f>
        <v>Valencia</v>
      </c>
      <c r="L1058" t="str">
        <f>_xlfn.XLOOKUP(datos_ventas[[#This Row],[Provincia]],Tabla2[Provincias],Tabla2[Comunidades],"no se encuentra")</f>
        <v>Comunidad Valenciana</v>
      </c>
      <c r="M1058" t="s">
        <v>19</v>
      </c>
      <c r="N1058">
        <v>1</v>
      </c>
    </row>
    <row r="1059" spans="1:14" x14ac:dyDescent="0.25">
      <c r="A1059">
        <v>2058</v>
      </c>
      <c r="B1059" s="1">
        <v>45670</v>
      </c>
      <c r="C1059" s="4">
        <f>MONTH(datos_ventas[[#This Row],[Fecha]])</f>
        <v>1</v>
      </c>
      <c r="D1059" s="4">
        <f>WEEKNUM(datos_ventas[[#This Row],[Fecha]],2)</f>
        <v>3</v>
      </c>
      <c r="E1059" t="s">
        <v>23</v>
      </c>
      <c r="F1059" t="s">
        <v>18</v>
      </c>
      <c r="G1059">
        <v>5</v>
      </c>
      <c r="H1059">
        <v>492</v>
      </c>
      <c r="I1059">
        <v>3793</v>
      </c>
      <c r="J1059" t="s">
        <v>12</v>
      </c>
      <c r="K1059" t="str">
        <f>_xlfn.XLOOKUP(datos_ventas[[#This Row],[Ciudad]],Tabla2[Ciudades],Tabla2[Provincias],"no se encuentra")</f>
        <v>Málaga</v>
      </c>
      <c r="L1059" t="str">
        <f>_xlfn.XLOOKUP(datos_ventas[[#This Row],[Provincia]],Tabla2[Provincias],Tabla2[Comunidades],"no se encuentra")</f>
        <v>Andalucía</v>
      </c>
      <c r="M1059" t="s">
        <v>28</v>
      </c>
      <c r="N1059">
        <v>5</v>
      </c>
    </row>
    <row r="1060" spans="1:14" x14ac:dyDescent="0.25">
      <c r="A1060">
        <v>2059</v>
      </c>
      <c r="B1060" s="1">
        <v>45843</v>
      </c>
      <c r="C1060" s="4">
        <f>MONTH(datos_ventas[[#This Row],[Fecha]])</f>
        <v>7</v>
      </c>
      <c r="D1060" s="4">
        <f>WEEKNUM(datos_ventas[[#This Row],[Fecha]],2)</f>
        <v>27</v>
      </c>
      <c r="E1060" t="s">
        <v>29</v>
      </c>
      <c r="F1060" t="s">
        <v>30</v>
      </c>
      <c r="G1060">
        <v>1</v>
      </c>
      <c r="H1060">
        <v>66353</v>
      </c>
      <c r="I1060">
        <v>1694</v>
      </c>
      <c r="J1060" t="s">
        <v>22</v>
      </c>
      <c r="K1060" t="str">
        <f>_xlfn.XLOOKUP(datos_ventas[[#This Row],[Ciudad]],Tabla2[Ciudades],Tabla2[Provincias],"no se encuentra")</f>
        <v>Valencia</v>
      </c>
      <c r="L1060" t="str">
        <f>_xlfn.XLOOKUP(datos_ventas[[#This Row],[Provincia]],Tabla2[Provincias],Tabla2[Comunidades],"no se encuentra")</f>
        <v>Comunidad Valenciana</v>
      </c>
      <c r="M1060" t="s">
        <v>15</v>
      </c>
      <c r="N1060">
        <v>3</v>
      </c>
    </row>
    <row r="1061" spans="1:14" x14ac:dyDescent="0.25">
      <c r="A1061">
        <v>2060</v>
      </c>
      <c r="B1061" s="1">
        <v>45842</v>
      </c>
      <c r="C1061" s="4">
        <f>MONTH(datos_ventas[[#This Row],[Fecha]])</f>
        <v>7</v>
      </c>
      <c r="D1061" s="4">
        <f>WEEKNUM(datos_ventas[[#This Row],[Fecha]],2)</f>
        <v>27</v>
      </c>
      <c r="E1061" t="s">
        <v>17</v>
      </c>
      <c r="F1061" t="s">
        <v>18</v>
      </c>
      <c r="G1061">
        <v>3</v>
      </c>
      <c r="H1061">
        <v>10316</v>
      </c>
      <c r="I1061">
        <v>310</v>
      </c>
      <c r="J1061" t="s">
        <v>12</v>
      </c>
      <c r="K1061" t="str">
        <f>_xlfn.XLOOKUP(datos_ventas[[#This Row],[Ciudad]],Tabla2[Ciudades],Tabla2[Provincias],"no se encuentra")</f>
        <v>Málaga</v>
      </c>
      <c r="L1061" t="str">
        <f>_xlfn.XLOOKUP(datos_ventas[[#This Row],[Provincia]],Tabla2[Provincias],Tabla2[Comunidades],"no se encuentra")</f>
        <v>Andalucía</v>
      </c>
      <c r="M1061" t="s">
        <v>13</v>
      </c>
      <c r="N1061">
        <v>2</v>
      </c>
    </row>
    <row r="1062" spans="1:14" x14ac:dyDescent="0.25">
      <c r="A1062">
        <v>2061</v>
      </c>
      <c r="B1062" s="1">
        <v>45787</v>
      </c>
      <c r="C1062" s="4">
        <f>MONTH(datos_ventas[[#This Row],[Fecha]])</f>
        <v>5</v>
      </c>
      <c r="D1062" s="4">
        <f>WEEKNUM(datos_ventas[[#This Row],[Fecha]],2)</f>
        <v>19</v>
      </c>
      <c r="E1062" t="s">
        <v>10</v>
      </c>
      <c r="F1062" t="s">
        <v>11</v>
      </c>
      <c r="G1062">
        <v>4</v>
      </c>
      <c r="H1062">
        <v>82182</v>
      </c>
      <c r="I1062">
        <v>4819</v>
      </c>
      <c r="J1062" t="s">
        <v>27</v>
      </c>
      <c r="K1062" t="str">
        <f>_xlfn.XLOOKUP(datos_ventas[[#This Row],[Ciudad]],Tabla2[Ciudades],Tabla2[Provincias],"no se encuentra")</f>
        <v>Sevilla</v>
      </c>
      <c r="L1062" t="str">
        <f>_xlfn.XLOOKUP(datos_ventas[[#This Row],[Provincia]],Tabla2[Provincias],Tabla2[Comunidades],"no se encuentra")</f>
        <v>Andalucía</v>
      </c>
      <c r="M1062" t="s">
        <v>19</v>
      </c>
      <c r="N1062">
        <v>2</v>
      </c>
    </row>
    <row r="1063" spans="1:14" x14ac:dyDescent="0.25">
      <c r="A1063">
        <v>2062</v>
      </c>
      <c r="B1063" s="1">
        <v>45793</v>
      </c>
      <c r="C1063" s="4">
        <f>MONTH(datos_ventas[[#This Row],[Fecha]])</f>
        <v>5</v>
      </c>
      <c r="D1063" s="4">
        <f>WEEKNUM(datos_ventas[[#This Row],[Fecha]],2)</f>
        <v>20</v>
      </c>
      <c r="E1063" t="s">
        <v>20</v>
      </c>
      <c r="F1063" t="s">
        <v>21</v>
      </c>
      <c r="G1063">
        <v>3</v>
      </c>
      <c r="H1063">
        <v>11814</v>
      </c>
      <c r="I1063">
        <v>4709</v>
      </c>
      <c r="J1063" t="s">
        <v>14</v>
      </c>
      <c r="K1063" t="str">
        <f>_xlfn.XLOOKUP(datos_ventas[[#This Row],[Ciudad]],Tabla2[Ciudades],Tabla2[Provincias],"no se encuentra")</f>
        <v>Madrid</v>
      </c>
      <c r="L1063" t="str">
        <f>_xlfn.XLOOKUP(datos_ventas[[#This Row],[Provincia]],Tabla2[Provincias],Tabla2[Comunidades],"no se encuentra")</f>
        <v>Comunidad de Madrid</v>
      </c>
      <c r="M1063" t="s">
        <v>15</v>
      </c>
      <c r="N1063">
        <v>2</v>
      </c>
    </row>
    <row r="1064" spans="1:14" x14ac:dyDescent="0.25">
      <c r="A1064">
        <v>2063</v>
      </c>
      <c r="B1064" s="1">
        <v>45910</v>
      </c>
      <c r="C1064" s="4">
        <f>MONTH(datos_ventas[[#This Row],[Fecha]])</f>
        <v>9</v>
      </c>
      <c r="D1064" s="4">
        <f>WEEKNUM(datos_ventas[[#This Row],[Fecha]],2)</f>
        <v>37</v>
      </c>
      <c r="E1064" t="s">
        <v>20</v>
      </c>
      <c r="F1064" t="s">
        <v>21</v>
      </c>
      <c r="G1064">
        <v>3</v>
      </c>
      <c r="H1064">
        <v>109691</v>
      </c>
      <c r="I1064">
        <v>3027</v>
      </c>
      <c r="J1064" t="s">
        <v>27</v>
      </c>
      <c r="K1064" t="str">
        <f>_xlfn.XLOOKUP(datos_ventas[[#This Row],[Ciudad]],Tabla2[Ciudades],Tabla2[Provincias],"no se encuentra")</f>
        <v>Sevilla</v>
      </c>
      <c r="L1064" t="str">
        <f>_xlfn.XLOOKUP(datos_ventas[[#This Row],[Provincia]],Tabla2[Provincias],Tabla2[Comunidades],"no se encuentra")</f>
        <v>Andalucía</v>
      </c>
      <c r="M1064" t="s">
        <v>19</v>
      </c>
      <c r="N1064">
        <v>3</v>
      </c>
    </row>
    <row r="1065" spans="1:14" x14ac:dyDescent="0.25">
      <c r="A1065">
        <v>2064</v>
      </c>
      <c r="B1065" s="1">
        <v>45889</v>
      </c>
      <c r="C1065" s="4">
        <f>MONTH(datos_ventas[[#This Row],[Fecha]])</f>
        <v>8</v>
      </c>
      <c r="D1065" s="4">
        <f>WEEKNUM(datos_ventas[[#This Row],[Fecha]],2)</f>
        <v>34</v>
      </c>
      <c r="E1065" t="s">
        <v>16</v>
      </c>
      <c r="F1065" t="s">
        <v>11</v>
      </c>
      <c r="G1065">
        <v>2</v>
      </c>
      <c r="H1065">
        <v>95974</v>
      </c>
      <c r="I1065">
        <v>1897</v>
      </c>
      <c r="J1065" t="s">
        <v>22</v>
      </c>
      <c r="K1065" t="str">
        <f>_xlfn.XLOOKUP(datos_ventas[[#This Row],[Ciudad]],Tabla2[Ciudades],Tabla2[Provincias],"no se encuentra")</f>
        <v>Valencia</v>
      </c>
      <c r="L1065" t="str">
        <f>_xlfn.XLOOKUP(datos_ventas[[#This Row],[Provincia]],Tabla2[Provincias],Tabla2[Comunidades],"no se encuentra")</f>
        <v>Comunidad Valenciana</v>
      </c>
      <c r="M1065" t="s">
        <v>13</v>
      </c>
      <c r="N1065">
        <v>1</v>
      </c>
    </row>
    <row r="1066" spans="1:14" x14ac:dyDescent="0.25">
      <c r="A1066">
        <v>2065</v>
      </c>
      <c r="B1066" s="1">
        <v>45743</v>
      </c>
      <c r="C1066" s="4">
        <f>MONTH(datos_ventas[[#This Row],[Fecha]])</f>
        <v>3</v>
      </c>
      <c r="D1066" s="4">
        <f>WEEKNUM(datos_ventas[[#This Row],[Fecha]],2)</f>
        <v>13</v>
      </c>
      <c r="E1066" t="s">
        <v>17</v>
      </c>
      <c r="F1066" t="s">
        <v>18</v>
      </c>
      <c r="G1066">
        <v>2</v>
      </c>
      <c r="H1066">
        <v>9520</v>
      </c>
      <c r="I1066">
        <v>2515</v>
      </c>
      <c r="J1066" t="s">
        <v>32</v>
      </c>
      <c r="K1066" t="str">
        <f>_xlfn.XLOOKUP(datos_ventas[[#This Row],[Ciudad]],Tabla2[Ciudades],Tabla2[Provincias],"no se encuentra")</f>
        <v>Barcelona</v>
      </c>
      <c r="L1066" t="str">
        <f>_xlfn.XLOOKUP(datos_ventas[[#This Row],[Provincia]],Tabla2[Provincias],Tabla2[Comunidades],"no se encuentra")</f>
        <v>Cataluña</v>
      </c>
      <c r="M1066" t="s">
        <v>19</v>
      </c>
      <c r="N1066">
        <v>5</v>
      </c>
    </row>
    <row r="1067" spans="1:14" x14ac:dyDescent="0.25">
      <c r="A1067">
        <v>2066</v>
      </c>
      <c r="B1067" s="1">
        <v>45737</v>
      </c>
      <c r="C1067" s="4">
        <f>MONTH(datos_ventas[[#This Row],[Fecha]])</f>
        <v>3</v>
      </c>
      <c r="D1067" s="4">
        <f>WEEKNUM(datos_ventas[[#This Row],[Fecha]],2)</f>
        <v>12</v>
      </c>
      <c r="E1067" t="s">
        <v>29</v>
      </c>
      <c r="F1067" t="s">
        <v>30</v>
      </c>
      <c r="G1067">
        <v>1</v>
      </c>
      <c r="H1067">
        <v>119566</v>
      </c>
      <c r="I1067">
        <v>2055</v>
      </c>
      <c r="J1067" t="s">
        <v>27</v>
      </c>
      <c r="K1067" t="str">
        <f>_xlfn.XLOOKUP(datos_ventas[[#This Row],[Ciudad]],Tabla2[Ciudades],Tabla2[Provincias],"no se encuentra")</f>
        <v>Sevilla</v>
      </c>
      <c r="L1067" t="str">
        <f>_xlfn.XLOOKUP(datos_ventas[[#This Row],[Provincia]],Tabla2[Provincias],Tabla2[Comunidades],"no se encuentra")</f>
        <v>Andalucía</v>
      </c>
      <c r="M1067" t="s">
        <v>15</v>
      </c>
      <c r="N1067">
        <v>4</v>
      </c>
    </row>
    <row r="1068" spans="1:14" x14ac:dyDescent="0.25">
      <c r="A1068">
        <v>2067</v>
      </c>
      <c r="B1068" s="1">
        <v>45741</v>
      </c>
      <c r="C1068" s="4">
        <f>MONTH(datos_ventas[[#This Row],[Fecha]])</f>
        <v>3</v>
      </c>
      <c r="D1068" s="4">
        <f>WEEKNUM(datos_ventas[[#This Row],[Fecha]],2)</f>
        <v>13</v>
      </c>
      <c r="E1068" t="s">
        <v>29</v>
      </c>
      <c r="F1068" t="s">
        <v>30</v>
      </c>
      <c r="G1068">
        <v>2</v>
      </c>
      <c r="H1068">
        <v>7569</v>
      </c>
      <c r="I1068">
        <v>2306</v>
      </c>
      <c r="J1068" t="s">
        <v>14</v>
      </c>
      <c r="K1068" t="str">
        <f>_xlfn.XLOOKUP(datos_ventas[[#This Row],[Ciudad]],Tabla2[Ciudades],Tabla2[Provincias],"no se encuentra")</f>
        <v>Madrid</v>
      </c>
      <c r="L1068" t="str">
        <f>_xlfn.XLOOKUP(datos_ventas[[#This Row],[Provincia]],Tabla2[Provincias],Tabla2[Comunidades],"no se encuentra")</f>
        <v>Comunidad de Madrid</v>
      </c>
      <c r="M1068" t="s">
        <v>15</v>
      </c>
      <c r="N1068">
        <v>5</v>
      </c>
    </row>
    <row r="1069" spans="1:14" x14ac:dyDescent="0.25">
      <c r="A1069">
        <v>2068</v>
      </c>
      <c r="B1069" s="1">
        <v>45793</v>
      </c>
      <c r="C1069" s="4">
        <f>MONTH(datos_ventas[[#This Row],[Fecha]])</f>
        <v>5</v>
      </c>
      <c r="D1069" s="4">
        <f>WEEKNUM(datos_ventas[[#This Row],[Fecha]],2)</f>
        <v>20</v>
      </c>
      <c r="E1069" t="s">
        <v>17</v>
      </c>
      <c r="F1069" t="s">
        <v>18</v>
      </c>
      <c r="G1069">
        <v>2</v>
      </c>
      <c r="H1069">
        <v>3247</v>
      </c>
      <c r="I1069">
        <v>2128</v>
      </c>
      <c r="J1069" t="s">
        <v>31</v>
      </c>
      <c r="K1069" t="str">
        <f>_xlfn.XLOOKUP(datos_ventas[[#This Row],[Ciudad]],Tabla2[Ciudades],Tabla2[Provincias],"no se encuentra")</f>
        <v>Vizcaya</v>
      </c>
      <c r="L1069" t="str">
        <f>_xlfn.XLOOKUP(datos_ventas[[#This Row],[Provincia]],Tabla2[Provincias],Tabla2[Comunidades],"no se encuentra")</f>
        <v>País Vasco</v>
      </c>
      <c r="M1069" t="s">
        <v>13</v>
      </c>
      <c r="N1069">
        <v>3</v>
      </c>
    </row>
    <row r="1070" spans="1:14" x14ac:dyDescent="0.25">
      <c r="A1070">
        <v>2069</v>
      </c>
      <c r="B1070" s="1">
        <v>45711</v>
      </c>
      <c r="C1070" s="4">
        <f>MONTH(datos_ventas[[#This Row],[Fecha]])</f>
        <v>2</v>
      </c>
      <c r="D1070" s="4">
        <f>WEEKNUM(datos_ventas[[#This Row],[Fecha]],2)</f>
        <v>8</v>
      </c>
      <c r="E1070" t="s">
        <v>23</v>
      </c>
      <c r="F1070" t="s">
        <v>18</v>
      </c>
      <c r="G1070">
        <v>3</v>
      </c>
      <c r="H1070">
        <v>5279</v>
      </c>
      <c r="I1070">
        <v>2644</v>
      </c>
      <c r="J1070" t="s">
        <v>32</v>
      </c>
      <c r="K1070" t="str">
        <f>_xlfn.XLOOKUP(datos_ventas[[#This Row],[Ciudad]],Tabla2[Ciudades],Tabla2[Provincias],"no se encuentra")</f>
        <v>Barcelona</v>
      </c>
      <c r="L1070" t="str">
        <f>_xlfn.XLOOKUP(datos_ventas[[#This Row],[Provincia]],Tabla2[Provincias],Tabla2[Comunidades],"no se encuentra")</f>
        <v>Cataluña</v>
      </c>
      <c r="M1070" t="s">
        <v>28</v>
      </c>
      <c r="N1070">
        <v>1</v>
      </c>
    </row>
    <row r="1071" spans="1:14" x14ac:dyDescent="0.25">
      <c r="A1071">
        <v>2070</v>
      </c>
      <c r="B1071" s="1">
        <v>45725</v>
      </c>
      <c r="C1071" s="4">
        <f>MONTH(datos_ventas[[#This Row],[Fecha]])</f>
        <v>3</v>
      </c>
      <c r="D1071" s="4">
        <f>WEEKNUM(datos_ventas[[#This Row],[Fecha]],2)</f>
        <v>10</v>
      </c>
      <c r="E1071" t="s">
        <v>10</v>
      </c>
      <c r="F1071" t="s">
        <v>11</v>
      </c>
      <c r="G1071">
        <v>3</v>
      </c>
      <c r="H1071">
        <v>115791</v>
      </c>
      <c r="I1071">
        <v>3018</v>
      </c>
      <c r="J1071" t="s">
        <v>27</v>
      </c>
      <c r="K1071" t="str">
        <f>_xlfn.XLOOKUP(datos_ventas[[#This Row],[Ciudad]],Tabla2[Ciudades],Tabla2[Provincias],"no se encuentra")</f>
        <v>Sevilla</v>
      </c>
      <c r="L1071" t="str">
        <f>_xlfn.XLOOKUP(datos_ventas[[#This Row],[Provincia]],Tabla2[Provincias],Tabla2[Comunidades],"no se encuentra")</f>
        <v>Andalucía</v>
      </c>
      <c r="M1071" t="s">
        <v>15</v>
      </c>
      <c r="N1071">
        <v>5</v>
      </c>
    </row>
    <row r="1072" spans="1:14" x14ac:dyDescent="0.25">
      <c r="A1072">
        <v>2071</v>
      </c>
      <c r="B1072" s="1">
        <v>45730</v>
      </c>
      <c r="C1072" s="4">
        <f>MONTH(datos_ventas[[#This Row],[Fecha]])</f>
        <v>3</v>
      </c>
      <c r="D1072" s="4">
        <f>WEEKNUM(datos_ventas[[#This Row],[Fecha]],2)</f>
        <v>11</v>
      </c>
      <c r="E1072" t="s">
        <v>24</v>
      </c>
      <c r="F1072" t="s">
        <v>25</v>
      </c>
      <c r="G1072">
        <v>3</v>
      </c>
      <c r="H1072">
        <v>12615</v>
      </c>
      <c r="I1072">
        <v>3669</v>
      </c>
      <c r="J1072" t="s">
        <v>22</v>
      </c>
      <c r="K1072" t="str">
        <f>_xlfn.XLOOKUP(datos_ventas[[#This Row],[Ciudad]],Tabla2[Ciudades],Tabla2[Provincias],"no se encuentra")</f>
        <v>Valencia</v>
      </c>
      <c r="L1072" t="str">
        <f>_xlfn.XLOOKUP(datos_ventas[[#This Row],[Provincia]],Tabla2[Provincias],Tabla2[Comunidades],"no se encuentra")</f>
        <v>Comunidad Valenciana</v>
      </c>
      <c r="M1072" t="s">
        <v>19</v>
      </c>
      <c r="N1072">
        <v>4</v>
      </c>
    </row>
    <row r="1073" spans="1:14" x14ac:dyDescent="0.25">
      <c r="A1073">
        <v>2072</v>
      </c>
      <c r="B1073" s="1">
        <v>45819</v>
      </c>
      <c r="C1073" s="4">
        <f>MONTH(datos_ventas[[#This Row],[Fecha]])</f>
        <v>6</v>
      </c>
      <c r="D1073" s="4">
        <f>WEEKNUM(datos_ventas[[#This Row],[Fecha]],2)</f>
        <v>24</v>
      </c>
      <c r="E1073" t="s">
        <v>20</v>
      </c>
      <c r="F1073" t="s">
        <v>21</v>
      </c>
      <c r="G1073">
        <v>3</v>
      </c>
      <c r="H1073">
        <v>27207</v>
      </c>
      <c r="I1073">
        <v>2822</v>
      </c>
      <c r="J1073" t="s">
        <v>14</v>
      </c>
      <c r="K1073" t="str">
        <f>_xlfn.XLOOKUP(datos_ventas[[#This Row],[Ciudad]],Tabla2[Ciudades],Tabla2[Provincias],"no se encuentra")</f>
        <v>Madrid</v>
      </c>
      <c r="L1073" t="str">
        <f>_xlfn.XLOOKUP(datos_ventas[[#This Row],[Provincia]],Tabla2[Provincias],Tabla2[Comunidades],"no se encuentra")</f>
        <v>Comunidad de Madrid</v>
      </c>
      <c r="M1073" t="s">
        <v>28</v>
      </c>
      <c r="N1073">
        <v>2</v>
      </c>
    </row>
    <row r="1074" spans="1:14" x14ac:dyDescent="0.25">
      <c r="A1074">
        <v>2073</v>
      </c>
      <c r="B1074" s="1">
        <v>45849</v>
      </c>
      <c r="C1074" s="4">
        <f>MONTH(datos_ventas[[#This Row],[Fecha]])</f>
        <v>7</v>
      </c>
      <c r="D1074" s="4">
        <f>WEEKNUM(datos_ventas[[#This Row],[Fecha]],2)</f>
        <v>28</v>
      </c>
      <c r="E1074" t="s">
        <v>16</v>
      </c>
      <c r="F1074" t="s">
        <v>11</v>
      </c>
      <c r="G1074">
        <v>2</v>
      </c>
      <c r="H1074">
        <v>71188</v>
      </c>
      <c r="I1074">
        <v>4873</v>
      </c>
      <c r="J1074" t="s">
        <v>27</v>
      </c>
      <c r="K1074" t="str">
        <f>_xlfn.XLOOKUP(datos_ventas[[#This Row],[Ciudad]],Tabla2[Ciudades],Tabla2[Provincias],"no se encuentra")</f>
        <v>Sevilla</v>
      </c>
      <c r="L1074" t="str">
        <f>_xlfn.XLOOKUP(datos_ventas[[#This Row],[Provincia]],Tabla2[Provincias],Tabla2[Comunidades],"no se encuentra")</f>
        <v>Andalucía</v>
      </c>
      <c r="M1074" t="s">
        <v>15</v>
      </c>
      <c r="N1074">
        <v>2</v>
      </c>
    </row>
    <row r="1075" spans="1:14" x14ac:dyDescent="0.25">
      <c r="A1075">
        <v>2074</v>
      </c>
      <c r="B1075" s="1">
        <v>46009</v>
      </c>
      <c r="C1075" s="4">
        <f>MONTH(datos_ventas[[#This Row],[Fecha]])</f>
        <v>12</v>
      </c>
      <c r="D1075" s="4">
        <f>WEEKNUM(datos_ventas[[#This Row],[Fecha]],2)</f>
        <v>51</v>
      </c>
      <c r="E1075" t="s">
        <v>26</v>
      </c>
      <c r="F1075" t="s">
        <v>18</v>
      </c>
      <c r="G1075">
        <v>4</v>
      </c>
      <c r="H1075">
        <v>94227</v>
      </c>
      <c r="I1075">
        <v>1383</v>
      </c>
      <c r="J1075" t="s">
        <v>22</v>
      </c>
      <c r="K1075" t="str">
        <f>_xlfn.XLOOKUP(datos_ventas[[#This Row],[Ciudad]],Tabla2[Ciudades],Tabla2[Provincias],"no se encuentra")</f>
        <v>Valencia</v>
      </c>
      <c r="L1075" t="str">
        <f>_xlfn.XLOOKUP(datos_ventas[[#This Row],[Provincia]],Tabla2[Provincias],Tabla2[Comunidades],"no se encuentra")</f>
        <v>Comunidad Valenciana</v>
      </c>
      <c r="M1075" t="s">
        <v>13</v>
      </c>
      <c r="N1075">
        <v>2</v>
      </c>
    </row>
    <row r="1076" spans="1:14" x14ac:dyDescent="0.25">
      <c r="A1076">
        <v>2075</v>
      </c>
      <c r="B1076" s="1">
        <v>45757</v>
      </c>
      <c r="C1076" s="4">
        <f>MONTH(datos_ventas[[#This Row],[Fecha]])</f>
        <v>4</v>
      </c>
      <c r="D1076" s="4">
        <f>WEEKNUM(datos_ventas[[#This Row],[Fecha]],2)</f>
        <v>15</v>
      </c>
      <c r="E1076" t="s">
        <v>17</v>
      </c>
      <c r="F1076" t="s">
        <v>18</v>
      </c>
      <c r="G1076">
        <v>2</v>
      </c>
      <c r="H1076">
        <v>27747</v>
      </c>
      <c r="I1076">
        <v>2466</v>
      </c>
      <c r="J1076" t="s">
        <v>14</v>
      </c>
      <c r="K1076" t="str">
        <f>_xlfn.XLOOKUP(datos_ventas[[#This Row],[Ciudad]],Tabla2[Ciudades],Tabla2[Provincias],"no se encuentra")</f>
        <v>Madrid</v>
      </c>
      <c r="L1076" t="str">
        <f>_xlfn.XLOOKUP(datos_ventas[[#This Row],[Provincia]],Tabla2[Provincias],Tabla2[Comunidades],"no se encuentra")</f>
        <v>Comunidad de Madrid</v>
      </c>
      <c r="M1076" t="s">
        <v>13</v>
      </c>
      <c r="N1076">
        <v>1</v>
      </c>
    </row>
    <row r="1077" spans="1:14" x14ac:dyDescent="0.25">
      <c r="A1077">
        <v>2076</v>
      </c>
      <c r="B1077" s="1">
        <v>45792</v>
      </c>
      <c r="C1077" s="4">
        <f>MONTH(datos_ventas[[#This Row],[Fecha]])</f>
        <v>5</v>
      </c>
      <c r="D1077" s="4">
        <f>WEEKNUM(datos_ventas[[#This Row],[Fecha]],2)</f>
        <v>20</v>
      </c>
      <c r="E1077" t="s">
        <v>24</v>
      </c>
      <c r="F1077" t="s">
        <v>25</v>
      </c>
      <c r="G1077">
        <v>4</v>
      </c>
      <c r="H1077">
        <v>23389</v>
      </c>
      <c r="I1077">
        <v>4618</v>
      </c>
      <c r="J1077" t="s">
        <v>14</v>
      </c>
      <c r="K1077" t="str">
        <f>_xlfn.XLOOKUP(datos_ventas[[#This Row],[Ciudad]],Tabla2[Ciudades],Tabla2[Provincias],"no se encuentra")</f>
        <v>Madrid</v>
      </c>
      <c r="L1077" t="str">
        <f>_xlfn.XLOOKUP(datos_ventas[[#This Row],[Provincia]],Tabla2[Provincias],Tabla2[Comunidades],"no se encuentra")</f>
        <v>Comunidad de Madrid</v>
      </c>
      <c r="M1077" t="s">
        <v>13</v>
      </c>
      <c r="N1077">
        <v>4</v>
      </c>
    </row>
    <row r="1078" spans="1:14" x14ac:dyDescent="0.25">
      <c r="A1078">
        <v>2077</v>
      </c>
      <c r="B1078" s="1">
        <v>45969</v>
      </c>
      <c r="C1078" s="4">
        <f>MONTH(datos_ventas[[#This Row],[Fecha]])</f>
        <v>11</v>
      </c>
      <c r="D1078" s="4">
        <f>WEEKNUM(datos_ventas[[#This Row],[Fecha]],2)</f>
        <v>45</v>
      </c>
      <c r="E1078" t="s">
        <v>23</v>
      </c>
      <c r="F1078" t="s">
        <v>18</v>
      </c>
      <c r="G1078">
        <v>1</v>
      </c>
      <c r="H1078">
        <v>10925</v>
      </c>
      <c r="I1078">
        <v>3634</v>
      </c>
      <c r="J1078" t="s">
        <v>12</v>
      </c>
      <c r="K1078" t="str">
        <f>_xlfn.XLOOKUP(datos_ventas[[#This Row],[Ciudad]],Tabla2[Ciudades],Tabla2[Provincias],"no se encuentra")</f>
        <v>Málaga</v>
      </c>
      <c r="L1078" t="str">
        <f>_xlfn.XLOOKUP(datos_ventas[[#This Row],[Provincia]],Tabla2[Provincias],Tabla2[Comunidades],"no se encuentra")</f>
        <v>Andalucía</v>
      </c>
      <c r="M1078" t="s">
        <v>13</v>
      </c>
      <c r="N1078">
        <v>1</v>
      </c>
    </row>
    <row r="1079" spans="1:14" x14ac:dyDescent="0.25">
      <c r="A1079">
        <v>2078</v>
      </c>
      <c r="B1079" s="1">
        <v>45961</v>
      </c>
      <c r="C1079" s="4">
        <f>MONTH(datos_ventas[[#This Row],[Fecha]])</f>
        <v>10</v>
      </c>
      <c r="D1079" s="4">
        <f>WEEKNUM(datos_ventas[[#This Row],[Fecha]],2)</f>
        <v>44</v>
      </c>
      <c r="E1079" t="s">
        <v>24</v>
      </c>
      <c r="F1079" t="s">
        <v>25</v>
      </c>
      <c r="G1079">
        <v>3</v>
      </c>
      <c r="H1079">
        <v>96842</v>
      </c>
      <c r="I1079">
        <v>4059</v>
      </c>
      <c r="J1079" t="s">
        <v>22</v>
      </c>
      <c r="K1079" t="str">
        <f>_xlfn.XLOOKUP(datos_ventas[[#This Row],[Ciudad]],Tabla2[Ciudades],Tabla2[Provincias],"no se encuentra")</f>
        <v>Valencia</v>
      </c>
      <c r="L1079" t="str">
        <f>_xlfn.XLOOKUP(datos_ventas[[#This Row],[Provincia]],Tabla2[Provincias],Tabla2[Comunidades],"no se encuentra")</f>
        <v>Comunidad Valenciana</v>
      </c>
      <c r="M1079" t="s">
        <v>19</v>
      </c>
      <c r="N1079">
        <v>1</v>
      </c>
    </row>
    <row r="1080" spans="1:14" x14ac:dyDescent="0.25">
      <c r="A1080">
        <v>2079</v>
      </c>
      <c r="B1080" s="1">
        <v>45971</v>
      </c>
      <c r="C1080" s="4">
        <f>MONTH(datos_ventas[[#This Row],[Fecha]])</f>
        <v>11</v>
      </c>
      <c r="D1080" s="4">
        <f>WEEKNUM(datos_ventas[[#This Row],[Fecha]],2)</f>
        <v>46</v>
      </c>
      <c r="E1080" t="s">
        <v>20</v>
      </c>
      <c r="F1080" t="s">
        <v>21</v>
      </c>
      <c r="G1080">
        <v>4</v>
      </c>
      <c r="H1080">
        <v>64106</v>
      </c>
      <c r="I1080">
        <v>694</v>
      </c>
      <c r="J1080" t="s">
        <v>27</v>
      </c>
      <c r="K1080" t="str">
        <f>_xlfn.XLOOKUP(datos_ventas[[#This Row],[Ciudad]],Tabla2[Ciudades],Tabla2[Provincias],"no se encuentra")</f>
        <v>Sevilla</v>
      </c>
      <c r="L1080" t="str">
        <f>_xlfn.XLOOKUP(datos_ventas[[#This Row],[Provincia]],Tabla2[Provincias],Tabla2[Comunidades],"no se encuentra")</f>
        <v>Andalucía</v>
      </c>
      <c r="M1080" t="s">
        <v>13</v>
      </c>
      <c r="N1080">
        <v>4</v>
      </c>
    </row>
    <row r="1081" spans="1:14" x14ac:dyDescent="0.25">
      <c r="A1081">
        <v>2080</v>
      </c>
      <c r="B1081" s="1">
        <v>45863</v>
      </c>
      <c r="C1081" s="4">
        <f>MONTH(datos_ventas[[#This Row],[Fecha]])</f>
        <v>7</v>
      </c>
      <c r="D1081" s="4">
        <f>WEEKNUM(datos_ventas[[#This Row],[Fecha]],2)</f>
        <v>30</v>
      </c>
      <c r="E1081" t="s">
        <v>16</v>
      </c>
      <c r="F1081" t="s">
        <v>11</v>
      </c>
      <c r="G1081">
        <v>4</v>
      </c>
      <c r="H1081">
        <v>107928</v>
      </c>
      <c r="I1081">
        <v>1092</v>
      </c>
      <c r="J1081" t="s">
        <v>31</v>
      </c>
      <c r="K1081" t="str">
        <f>_xlfn.XLOOKUP(datos_ventas[[#This Row],[Ciudad]],Tabla2[Ciudades],Tabla2[Provincias],"no se encuentra")</f>
        <v>Vizcaya</v>
      </c>
      <c r="L1081" t="str">
        <f>_xlfn.XLOOKUP(datos_ventas[[#This Row],[Provincia]],Tabla2[Provincias],Tabla2[Comunidades],"no se encuentra")</f>
        <v>País Vasco</v>
      </c>
      <c r="M1081" t="s">
        <v>28</v>
      </c>
      <c r="N1081">
        <v>5</v>
      </c>
    </row>
    <row r="1082" spans="1:14" x14ac:dyDescent="0.25">
      <c r="A1082">
        <v>2081</v>
      </c>
      <c r="B1082" s="1">
        <v>45932</v>
      </c>
      <c r="C1082" s="4">
        <f>MONTH(datos_ventas[[#This Row],[Fecha]])</f>
        <v>10</v>
      </c>
      <c r="D1082" s="4">
        <f>WEEKNUM(datos_ventas[[#This Row],[Fecha]],2)</f>
        <v>40</v>
      </c>
      <c r="E1082" t="s">
        <v>17</v>
      </c>
      <c r="F1082" t="s">
        <v>18</v>
      </c>
      <c r="G1082">
        <v>2</v>
      </c>
      <c r="H1082">
        <v>22809</v>
      </c>
      <c r="I1082">
        <v>2216</v>
      </c>
      <c r="J1082" t="s">
        <v>12</v>
      </c>
      <c r="K1082" t="str">
        <f>_xlfn.XLOOKUP(datos_ventas[[#This Row],[Ciudad]],Tabla2[Ciudades],Tabla2[Provincias],"no se encuentra")</f>
        <v>Málaga</v>
      </c>
      <c r="L1082" t="str">
        <f>_xlfn.XLOOKUP(datos_ventas[[#This Row],[Provincia]],Tabla2[Provincias],Tabla2[Comunidades],"no se encuentra")</f>
        <v>Andalucía</v>
      </c>
      <c r="M1082" t="s">
        <v>13</v>
      </c>
      <c r="N1082">
        <v>1</v>
      </c>
    </row>
    <row r="1083" spans="1:14" x14ac:dyDescent="0.25">
      <c r="A1083">
        <v>2082</v>
      </c>
      <c r="B1083" s="1">
        <v>45807</v>
      </c>
      <c r="C1083" s="4">
        <f>MONTH(datos_ventas[[#This Row],[Fecha]])</f>
        <v>5</v>
      </c>
      <c r="D1083" s="4">
        <f>WEEKNUM(datos_ventas[[#This Row],[Fecha]],2)</f>
        <v>22</v>
      </c>
      <c r="E1083" t="s">
        <v>16</v>
      </c>
      <c r="F1083" t="s">
        <v>11</v>
      </c>
      <c r="G1083">
        <v>1</v>
      </c>
      <c r="H1083">
        <v>2729</v>
      </c>
      <c r="I1083">
        <v>340</v>
      </c>
      <c r="J1083" t="s">
        <v>22</v>
      </c>
      <c r="K1083" t="str">
        <f>_xlfn.XLOOKUP(datos_ventas[[#This Row],[Ciudad]],Tabla2[Ciudades],Tabla2[Provincias],"no se encuentra")</f>
        <v>Valencia</v>
      </c>
      <c r="L1083" t="str">
        <f>_xlfn.XLOOKUP(datos_ventas[[#This Row],[Provincia]],Tabla2[Provincias],Tabla2[Comunidades],"no se encuentra")</f>
        <v>Comunidad Valenciana</v>
      </c>
      <c r="M1083" t="s">
        <v>15</v>
      </c>
      <c r="N1083">
        <v>5</v>
      </c>
    </row>
    <row r="1084" spans="1:14" x14ac:dyDescent="0.25">
      <c r="A1084">
        <v>2083</v>
      </c>
      <c r="B1084" s="1">
        <v>46006</v>
      </c>
      <c r="C1084" s="4">
        <f>MONTH(datos_ventas[[#This Row],[Fecha]])</f>
        <v>12</v>
      </c>
      <c r="D1084" s="4">
        <f>WEEKNUM(datos_ventas[[#This Row],[Fecha]],2)</f>
        <v>51</v>
      </c>
      <c r="E1084" t="s">
        <v>29</v>
      </c>
      <c r="F1084" t="s">
        <v>30</v>
      </c>
      <c r="G1084">
        <v>3</v>
      </c>
      <c r="H1084">
        <v>117356</v>
      </c>
      <c r="I1084">
        <v>73</v>
      </c>
      <c r="J1084" t="s">
        <v>27</v>
      </c>
      <c r="K1084" t="str">
        <f>_xlfn.XLOOKUP(datos_ventas[[#This Row],[Ciudad]],Tabla2[Ciudades],Tabla2[Provincias],"no se encuentra")</f>
        <v>Sevilla</v>
      </c>
      <c r="L1084" t="str">
        <f>_xlfn.XLOOKUP(datos_ventas[[#This Row],[Provincia]],Tabla2[Provincias],Tabla2[Comunidades],"no se encuentra")</f>
        <v>Andalucía</v>
      </c>
      <c r="M1084" t="s">
        <v>28</v>
      </c>
      <c r="N1084">
        <v>2</v>
      </c>
    </row>
    <row r="1085" spans="1:14" x14ac:dyDescent="0.25">
      <c r="A1085">
        <v>2084</v>
      </c>
      <c r="B1085" s="1">
        <v>45838</v>
      </c>
      <c r="C1085" s="4">
        <f>MONTH(datos_ventas[[#This Row],[Fecha]])</f>
        <v>6</v>
      </c>
      <c r="D1085" s="4">
        <f>WEEKNUM(datos_ventas[[#This Row],[Fecha]],2)</f>
        <v>27</v>
      </c>
      <c r="E1085" t="s">
        <v>23</v>
      </c>
      <c r="F1085" t="s">
        <v>18</v>
      </c>
      <c r="G1085">
        <v>4</v>
      </c>
      <c r="H1085">
        <v>6328</v>
      </c>
      <c r="I1085">
        <v>3838</v>
      </c>
      <c r="J1085" t="s">
        <v>12</v>
      </c>
      <c r="K1085" t="str">
        <f>_xlfn.XLOOKUP(datos_ventas[[#This Row],[Ciudad]],Tabla2[Ciudades],Tabla2[Provincias],"no se encuentra")</f>
        <v>Málaga</v>
      </c>
      <c r="L1085" t="str">
        <f>_xlfn.XLOOKUP(datos_ventas[[#This Row],[Provincia]],Tabla2[Provincias],Tabla2[Comunidades],"no se encuentra")</f>
        <v>Andalucía</v>
      </c>
      <c r="M1085" t="s">
        <v>28</v>
      </c>
      <c r="N1085">
        <v>3</v>
      </c>
    </row>
    <row r="1086" spans="1:14" x14ac:dyDescent="0.25">
      <c r="A1086">
        <v>2085</v>
      </c>
      <c r="B1086" s="1">
        <v>45833</v>
      </c>
      <c r="C1086" s="4">
        <f>MONTH(datos_ventas[[#This Row],[Fecha]])</f>
        <v>6</v>
      </c>
      <c r="D1086" s="4">
        <f>WEEKNUM(datos_ventas[[#This Row],[Fecha]],2)</f>
        <v>26</v>
      </c>
      <c r="E1086" t="s">
        <v>24</v>
      </c>
      <c r="F1086" t="s">
        <v>25</v>
      </c>
      <c r="G1086">
        <v>5</v>
      </c>
      <c r="H1086">
        <v>99815</v>
      </c>
      <c r="I1086">
        <v>4417</v>
      </c>
      <c r="J1086" t="s">
        <v>32</v>
      </c>
      <c r="K1086" t="str">
        <f>_xlfn.XLOOKUP(datos_ventas[[#This Row],[Ciudad]],Tabla2[Ciudades],Tabla2[Provincias],"no se encuentra")</f>
        <v>Barcelona</v>
      </c>
      <c r="L1086" t="str">
        <f>_xlfn.XLOOKUP(datos_ventas[[#This Row],[Provincia]],Tabla2[Provincias],Tabla2[Comunidades],"no se encuentra")</f>
        <v>Cataluña</v>
      </c>
      <c r="M1086" t="s">
        <v>19</v>
      </c>
      <c r="N1086">
        <v>2</v>
      </c>
    </row>
    <row r="1087" spans="1:14" x14ac:dyDescent="0.25">
      <c r="A1087">
        <v>2086</v>
      </c>
      <c r="B1087" s="1">
        <v>45835</v>
      </c>
      <c r="C1087" s="4">
        <f>MONTH(datos_ventas[[#This Row],[Fecha]])</f>
        <v>6</v>
      </c>
      <c r="D1087" s="4">
        <f>WEEKNUM(datos_ventas[[#This Row],[Fecha]],2)</f>
        <v>26</v>
      </c>
      <c r="E1087" t="s">
        <v>23</v>
      </c>
      <c r="F1087" t="s">
        <v>18</v>
      </c>
      <c r="G1087">
        <v>4</v>
      </c>
      <c r="H1087">
        <v>75758</v>
      </c>
      <c r="I1087">
        <v>4182</v>
      </c>
      <c r="J1087" t="s">
        <v>14</v>
      </c>
      <c r="K1087" t="str">
        <f>_xlfn.XLOOKUP(datos_ventas[[#This Row],[Ciudad]],Tabla2[Ciudades],Tabla2[Provincias],"no se encuentra")</f>
        <v>Madrid</v>
      </c>
      <c r="L1087" t="str">
        <f>_xlfn.XLOOKUP(datos_ventas[[#This Row],[Provincia]],Tabla2[Provincias],Tabla2[Comunidades],"no se encuentra")</f>
        <v>Comunidad de Madrid</v>
      </c>
      <c r="M1087" t="s">
        <v>19</v>
      </c>
      <c r="N1087">
        <v>3</v>
      </c>
    </row>
    <row r="1088" spans="1:14" x14ac:dyDescent="0.25">
      <c r="A1088">
        <v>2087</v>
      </c>
      <c r="B1088" s="1">
        <v>45760</v>
      </c>
      <c r="C1088" s="4">
        <f>MONTH(datos_ventas[[#This Row],[Fecha]])</f>
        <v>4</v>
      </c>
      <c r="D1088" s="4">
        <f>WEEKNUM(datos_ventas[[#This Row],[Fecha]],2)</f>
        <v>15</v>
      </c>
      <c r="E1088" t="s">
        <v>26</v>
      </c>
      <c r="F1088" t="s">
        <v>18</v>
      </c>
      <c r="G1088">
        <v>3</v>
      </c>
      <c r="H1088">
        <v>37685</v>
      </c>
      <c r="I1088">
        <v>4758</v>
      </c>
      <c r="J1088" t="s">
        <v>27</v>
      </c>
      <c r="K1088" t="str">
        <f>_xlfn.XLOOKUP(datos_ventas[[#This Row],[Ciudad]],Tabla2[Ciudades],Tabla2[Provincias],"no se encuentra")</f>
        <v>Sevilla</v>
      </c>
      <c r="L1088" t="str">
        <f>_xlfn.XLOOKUP(datos_ventas[[#This Row],[Provincia]],Tabla2[Provincias],Tabla2[Comunidades],"no se encuentra")</f>
        <v>Andalucía</v>
      </c>
      <c r="M1088" t="s">
        <v>15</v>
      </c>
      <c r="N1088">
        <v>3</v>
      </c>
    </row>
    <row r="1089" spans="1:14" x14ac:dyDescent="0.25">
      <c r="A1089">
        <v>2088</v>
      </c>
      <c r="B1089" s="1">
        <v>45711</v>
      </c>
      <c r="C1089" s="4">
        <f>MONTH(datos_ventas[[#This Row],[Fecha]])</f>
        <v>2</v>
      </c>
      <c r="D1089" s="4">
        <f>WEEKNUM(datos_ventas[[#This Row],[Fecha]],2)</f>
        <v>8</v>
      </c>
      <c r="E1089" t="s">
        <v>24</v>
      </c>
      <c r="F1089" t="s">
        <v>25</v>
      </c>
      <c r="G1089">
        <v>2</v>
      </c>
      <c r="H1089">
        <v>646</v>
      </c>
      <c r="I1089">
        <v>3319</v>
      </c>
      <c r="J1089" t="s">
        <v>32</v>
      </c>
      <c r="K1089" t="str">
        <f>_xlfn.XLOOKUP(datos_ventas[[#This Row],[Ciudad]],Tabla2[Ciudades],Tabla2[Provincias],"no se encuentra")</f>
        <v>Barcelona</v>
      </c>
      <c r="L1089" t="str">
        <f>_xlfn.XLOOKUP(datos_ventas[[#This Row],[Provincia]],Tabla2[Provincias],Tabla2[Comunidades],"no se encuentra")</f>
        <v>Cataluña</v>
      </c>
      <c r="M1089" t="s">
        <v>19</v>
      </c>
      <c r="N1089">
        <v>5</v>
      </c>
    </row>
    <row r="1090" spans="1:14" x14ac:dyDescent="0.25">
      <c r="A1090">
        <v>2089</v>
      </c>
      <c r="B1090" s="1">
        <v>45866</v>
      </c>
      <c r="C1090" s="4">
        <f>MONTH(datos_ventas[[#This Row],[Fecha]])</f>
        <v>7</v>
      </c>
      <c r="D1090" s="4">
        <f>WEEKNUM(datos_ventas[[#This Row],[Fecha]],2)</f>
        <v>31</v>
      </c>
      <c r="E1090" t="s">
        <v>24</v>
      </c>
      <c r="F1090" t="s">
        <v>25</v>
      </c>
      <c r="G1090">
        <v>4</v>
      </c>
      <c r="H1090">
        <v>65409</v>
      </c>
      <c r="I1090">
        <v>4427</v>
      </c>
      <c r="J1090" t="s">
        <v>12</v>
      </c>
      <c r="K1090" t="str">
        <f>_xlfn.XLOOKUP(datos_ventas[[#This Row],[Ciudad]],Tabla2[Ciudades],Tabla2[Provincias],"no se encuentra")</f>
        <v>Málaga</v>
      </c>
      <c r="L1090" t="str">
        <f>_xlfn.XLOOKUP(datos_ventas[[#This Row],[Provincia]],Tabla2[Provincias],Tabla2[Comunidades],"no se encuentra")</f>
        <v>Andalucía</v>
      </c>
      <c r="M1090" t="s">
        <v>28</v>
      </c>
      <c r="N1090">
        <v>2</v>
      </c>
    </row>
    <row r="1091" spans="1:14" x14ac:dyDescent="0.25">
      <c r="A1091">
        <v>2090</v>
      </c>
      <c r="B1091" s="1">
        <v>45678</v>
      </c>
      <c r="C1091" s="4">
        <f>MONTH(datos_ventas[[#This Row],[Fecha]])</f>
        <v>1</v>
      </c>
      <c r="D1091" s="4">
        <f>WEEKNUM(datos_ventas[[#This Row],[Fecha]],2)</f>
        <v>4</v>
      </c>
      <c r="E1091" t="s">
        <v>26</v>
      </c>
      <c r="F1091" t="s">
        <v>18</v>
      </c>
      <c r="G1091">
        <v>4</v>
      </c>
      <c r="H1091">
        <v>6911</v>
      </c>
      <c r="I1091">
        <v>3914</v>
      </c>
      <c r="J1091" t="s">
        <v>27</v>
      </c>
      <c r="K1091" t="str">
        <f>_xlfn.XLOOKUP(datos_ventas[[#This Row],[Ciudad]],Tabla2[Ciudades],Tabla2[Provincias],"no se encuentra")</f>
        <v>Sevilla</v>
      </c>
      <c r="L1091" t="str">
        <f>_xlfn.XLOOKUP(datos_ventas[[#This Row],[Provincia]],Tabla2[Provincias],Tabla2[Comunidades],"no se encuentra")</f>
        <v>Andalucía</v>
      </c>
      <c r="M1091" t="s">
        <v>28</v>
      </c>
      <c r="N1091">
        <v>4</v>
      </c>
    </row>
    <row r="1092" spans="1:14" x14ac:dyDescent="0.25">
      <c r="A1092">
        <v>2091</v>
      </c>
      <c r="B1092" s="1">
        <v>45989</v>
      </c>
      <c r="C1092" s="4">
        <f>MONTH(datos_ventas[[#This Row],[Fecha]])</f>
        <v>11</v>
      </c>
      <c r="D1092" s="4">
        <f>WEEKNUM(datos_ventas[[#This Row],[Fecha]],2)</f>
        <v>48</v>
      </c>
      <c r="E1092" t="s">
        <v>29</v>
      </c>
      <c r="F1092" t="s">
        <v>30</v>
      </c>
      <c r="G1092">
        <v>2</v>
      </c>
      <c r="H1092">
        <v>78627</v>
      </c>
      <c r="I1092">
        <v>4795</v>
      </c>
      <c r="J1092" t="s">
        <v>32</v>
      </c>
      <c r="K1092" t="str">
        <f>_xlfn.XLOOKUP(datos_ventas[[#This Row],[Ciudad]],Tabla2[Ciudades],Tabla2[Provincias],"no se encuentra")</f>
        <v>Barcelona</v>
      </c>
      <c r="L1092" t="str">
        <f>_xlfn.XLOOKUP(datos_ventas[[#This Row],[Provincia]],Tabla2[Provincias],Tabla2[Comunidades],"no se encuentra")</f>
        <v>Cataluña</v>
      </c>
      <c r="M1092" t="s">
        <v>19</v>
      </c>
      <c r="N1092">
        <v>3</v>
      </c>
    </row>
    <row r="1093" spans="1:14" x14ac:dyDescent="0.25">
      <c r="A1093">
        <v>2092</v>
      </c>
      <c r="B1093" s="1">
        <v>45798</v>
      </c>
      <c r="C1093" s="4">
        <f>MONTH(datos_ventas[[#This Row],[Fecha]])</f>
        <v>5</v>
      </c>
      <c r="D1093" s="4">
        <f>WEEKNUM(datos_ventas[[#This Row],[Fecha]],2)</f>
        <v>21</v>
      </c>
      <c r="E1093" t="s">
        <v>10</v>
      </c>
      <c r="F1093" t="s">
        <v>11</v>
      </c>
      <c r="G1093">
        <v>2</v>
      </c>
      <c r="H1093">
        <v>81478</v>
      </c>
      <c r="I1093">
        <v>652</v>
      </c>
      <c r="J1093" t="s">
        <v>31</v>
      </c>
      <c r="K1093" t="str">
        <f>_xlfn.XLOOKUP(datos_ventas[[#This Row],[Ciudad]],Tabla2[Ciudades],Tabla2[Provincias],"no se encuentra")</f>
        <v>Vizcaya</v>
      </c>
      <c r="L1093" t="str">
        <f>_xlfn.XLOOKUP(datos_ventas[[#This Row],[Provincia]],Tabla2[Provincias],Tabla2[Comunidades],"no se encuentra")</f>
        <v>País Vasco</v>
      </c>
      <c r="M1093" t="s">
        <v>13</v>
      </c>
      <c r="N1093">
        <v>5</v>
      </c>
    </row>
    <row r="1094" spans="1:14" x14ac:dyDescent="0.25">
      <c r="A1094">
        <v>2093</v>
      </c>
      <c r="B1094" s="1">
        <v>45816</v>
      </c>
      <c r="C1094" s="4">
        <f>MONTH(datos_ventas[[#This Row],[Fecha]])</f>
        <v>6</v>
      </c>
      <c r="D1094" s="4">
        <f>WEEKNUM(datos_ventas[[#This Row],[Fecha]],2)</f>
        <v>23</v>
      </c>
      <c r="E1094" t="s">
        <v>20</v>
      </c>
      <c r="F1094" t="s">
        <v>21</v>
      </c>
      <c r="G1094">
        <v>5</v>
      </c>
      <c r="H1094">
        <v>12781</v>
      </c>
      <c r="I1094">
        <v>3808</v>
      </c>
      <c r="J1094" t="s">
        <v>31</v>
      </c>
      <c r="K1094" t="str">
        <f>_xlfn.XLOOKUP(datos_ventas[[#This Row],[Ciudad]],Tabla2[Ciudades],Tabla2[Provincias],"no se encuentra")</f>
        <v>Vizcaya</v>
      </c>
      <c r="L1094" t="str">
        <f>_xlfn.XLOOKUP(datos_ventas[[#This Row],[Provincia]],Tabla2[Provincias],Tabla2[Comunidades],"no se encuentra")</f>
        <v>País Vasco</v>
      </c>
      <c r="M1094" t="s">
        <v>15</v>
      </c>
      <c r="N1094">
        <v>2</v>
      </c>
    </row>
    <row r="1095" spans="1:14" x14ac:dyDescent="0.25">
      <c r="A1095">
        <v>2094</v>
      </c>
      <c r="B1095" s="1">
        <v>45776</v>
      </c>
      <c r="C1095" s="4">
        <f>MONTH(datos_ventas[[#This Row],[Fecha]])</f>
        <v>4</v>
      </c>
      <c r="D1095" s="4">
        <f>WEEKNUM(datos_ventas[[#This Row],[Fecha]],2)</f>
        <v>18</v>
      </c>
      <c r="E1095" t="s">
        <v>26</v>
      </c>
      <c r="F1095" t="s">
        <v>18</v>
      </c>
      <c r="G1095">
        <v>1</v>
      </c>
      <c r="H1095">
        <v>36682</v>
      </c>
      <c r="I1095">
        <v>235</v>
      </c>
      <c r="J1095" t="s">
        <v>32</v>
      </c>
      <c r="K1095" t="str">
        <f>_xlfn.XLOOKUP(datos_ventas[[#This Row],[Ciudad]],Tabla2[Ciudades],Tabla2[Provincias],"no se encuentra")</f>
        <v>Barcelona</v>
      </c>
      <c r="L1095" t="str">
        <f>_xlfn.XLOOKUP(datos_ventas[[#This Row],[Provincia]],Tabla2[Provincias],Tabla2[Comunidades],"no se encuentra")</f>
        <v>Cataluña</v>
      </c>
      <c r="M1095" t="s">
        <v>15</v>
      </c>
      <c r="N1095">
        <v>2</v>
      </c>
    </row>
    <row r="1096" spans="1:14" x14ac:dyDescent="0.25">
      <c r="A1096">
        <v>2095</v>
      </c>
      <c r="B1096" s="1">
        <v>45717</v>
      </c>
      <c r="C1096" s="4">
        <f>MONTH(datos_ventas[[#This Row],[Fecha]])</f>
        <v>3</v>
      </c>
      <c r="D1096" s="4">
        <f>WEEKNUM(datos_ventas[[#This Row],[Fecha]],2)</f>
        <v>9</v>
      </c>
      <c r="E1096" t="s">
        <v>29</v>
      </c>
      <c r="F1096" t="s">
        <v>30</v>
      </c>
      <c r="G1096">
        <v>2</v>
      </c>
      <c r="H1096">
        <v>8796</v>
      </c>
      <c r="I1096">
        <v>3372</v>
      </c>
      <c r="J1096" t="s">
        <v>32</v>
      </c>
      <c r="K1096" t="str">
        <f>_xlfn.XLOOKUP(datos_ventas[[#This Row],[Ciudad]],Tabla2[Ciudades],Tabla2[Provincias],"no se encuentra")</f>
        <v>Barcelona</v>
      </c>
      <c r="L1096" t="str">
        <f>_xlfn.XLOOKUP(datos_ventas[[#This Row],[Provincia]],Tabla2[Provincias],Tabla2[Comunidades],"no se encuentra")</f>
        <v>Cataluña</v>
      </c>
      <c r="M1096" t="s">
        <v>15</v>
      </c>
      <c r="N1096">
        <v>3</v>
      </c>
    </row>
    <row r="1097" spans="1:14" x14ac:dyDescent="0.25">
      <c r="A1097">
        <v>2096</v>
      </c>
      <c r="B1097" s="1">
        <v>45873</v>
      </c>
      <c r="C1097" s="4">
        <f>MONTH(datos_ventas[[#This Row],[Fecha]])</f>
        <v>8</v>
      </c>
      <c r="D1097" s="4">
        <f>WEEKNUM(datos_ventas[[#This Row],[Fecha]],2)</f>
        <v>32</v>
      </c>
      <c r="E1097" t="s">
        <v>20</v>
      </c>
      <c r="F1097" t="s">
        <v>21</v>
      </c>
      <c r="G1097">
        <v>1</v>
      </c>
      <c r="H1097">
        <v>83241</v>
      </c>
      <c r="I1097">
        <v>984</v>
      </c>
      <c r="J1097" t="s">
        <v>14</v>
      </c>
      <c r="K1097" t="str">
        <f>_xlfn.XLOOKUP(datos_ventas[[#This Row],[Ciudad]],Tabla2[Ciudades],Tabla2[Provincias],"no se encuentra")</f>
        <v>Madrid</v>
      </c>
      <c r="L1097" t="str">
        <f>_xlfn.XLOOKUP(datos_ventas[[#This Row],[Provincia]],Tabla2[Provincias],Tabla2[Comunidades],"no se encuentra")</f>
        <v>Comunidad de Madrid</v>
      </c>
      <c r="M1097" t="s">
        <v>19</v>
      </c>
      <c r="N1097">
        <v>3</v>
      </c>
    </row>
    <row r="1098" spans="1:14" x14ac:dyDescent="0.25">
      <c r="A1098">
        <v>2097</v>
      </c>
      <c r="B1098" s="1">
        <v>45923</v>
      </c>
      <c r="C1098" s="4">
        <f>MONTH(datos_ventas[[#This Row],[Fecha]])</f>
        <v>9</v>
      </c>
      <c r="D1098" s="4">
        <f>WEEKNUM(datos_ventas[[#This Row],[Fecha]],2)</f>
        <v>39</v>
      </c>
      <c r="E1098" t="s">
        <v>24</v>
      </c>
      <c r="F1098" t="s">
        <v>25</v>
      </c>
      <c r="G1098">
        <v>1</v>
      </c>
      <c r="H1098">
        <v>77224</v>
      </c>
      <c r="I1098">
        <v>1767</v>
      </c>
      <c r="J1098" t="s">
        <v>32</v>
      </c>
      <c r="K1098" t="str">
        <f>_xlfn.XLOOKUP(datos_ventas[[#This Row],[Ciudad]],Tabla2[Ciudades],Tabla2[Provincias],"no se encuentra")</f>
        <v>Barcelona</v>
      </c>
      <c r="L1098" t="str">
        <f>_xlfn.XLOOKUP(datos_ventas[[#This Row],[Provincia]],Tabla2[Provincias],Tabla2[Comunidades],"no se encuentra")</f>
        <v>Cataluña</v>
      </c>
      <c r="M1098" t="s">
        <v>13</v>
      </c>
      <c r="N1098">
        <v>5</v>
      </c>
    </row>
    <row r="1099" spans="1:14" x14ac:dyDescent="0.25">
      <c r="A1099">
        <v>2098</v>
      </c>
      <c r="B1099" s="1">
        <v>46014</v>
      </c>
      <c r="C1099" s="4">
        <f>MONTH(datos_ventas[[#This Row],[Fecha]])</f>
        <v>12</v>
      </c>
      <c r="D1099" s="4">
        <f>WEEKNUM(datos_ventas[[#This Row],[Fecha]],2)</f>
        <v>52</v>
      </c>
      <c r="E1099" t="s">
        <v>20</v>
      </c>
      <c r="F1099" t="s">
        <v>21</v>
      </c>
      <c r="G1099">
        <v>1</v>
      </c>
      <c r="H1099">
        <v>51752</v>
      </c>
      <c r="I1099">
        <v>3765</v>
      </c>
      <c r="J1099" t="s">
        <v>14</v>
      </c>
      <c r="K1099" t="str">
        <f>_xlfn.XLOOKUP(datos_ventas[[#This Row],[Ciudad]],Tabla2[Ciudades],Tabla2[Provincias],"no se encuentra")</f>
        <v>Madrid</v>
      </c>
      <c r="L1099" t="str">
        <f>_xlfn.XLOOKUP(datos_ventas[[#This Row],[Provincia]],Tabla2[Provincias],Tabla2[Comunidades],"no se encuentra")</f>
        <v>Comunidad de Madrid</v>
      </c>
      <c r="M1099" t="s">
        <v>13</v>
      </c>
      <c r="N1099">
        <v>1</v>
      </c>
    </row>
    <row r="1100" spans="1:14" x14ac:dyDescent="0.25">
      <c r="A1100">
        <v>2099</v>
      </c>
      <c r="B1100" s="1">
        <v>45704</v>
      </c>
      <c r="C1100" s="4">
        <f>MONTH(datos_ventas[[#This Row],[Fecha]])</f>
        <v>2</v>
      </c>
      <c r="D1100" s="4">
        <f>WEEKNUM(datos_ventas[[#This Row],[Fecha]],2)</f>
        <v>7</v>
      </c>
      <c r="E1100" t="s">
        <v>10</v>
      </c>
      <c r="F1100" t="s">
        <v>11</v>
      </c>
      <c r="G1100">
        <v>1</v>
      </c>
      <c r="H1100">
        <v>11729</v>
      </c>
      <c r="I1100">
        <v>354</v>
      </c>
      <c r="J1100" t="s">
        <v>31</v>
      </c>
      <c r="K1100" t="str">
        <f>_xlfn.XLOOKUP(datos_ventas[[#This Row],[Ciudad]],Tabla2[Ciudades],Tabla2[Provincias],"no se encuentra")</f>
        <v>Vizcaya</v>
      </c>
      <c r="L1100" t="str">
        <f>_xlfn.XLOOKUP(datos_ventas[[#This Row],[Provincia]],Tabla2[Provincias],Tabla2[Comunidades],"no se encuentra")</f>
        <v>País Vasco</v>
      </c>
      <c r="M1100" t="s">
        <v>19</v>
      </c>
      <c r="N1100">
        <v>4</v>
      </c>
    </row>
    <row r="1101" spans="1:14" x14ac:dyDescent="0.25">
      <c r="A1101">
        <v>2100</v>
      </c>
      <c r="B1101" s="1">
        <v>46010</v>
      </c>
      <c r="C1101" s="4">
        <f>MONTH(datos_ventas[[#This Row],[Fecha]])</f>
        <v>12</v>
      </c>
      <c r="D1101" s="4">
        <f>WEEKNUM(datos_ventas[[#This Row],[Fecha]],2)</f>
        <v>51</v>
      </c>
      <c r="E1101" t="s">
        <v>17</v>
      </c>
      <c r="F1101" t="s">
        <v>18</v>
      </c>
      <c r="G1101">
        <v>1</v>
      </c>
      <c r="H1101">
        <v>70965</v>
      </c>
      <c r="I1101">
        <v>3826</v>
      </c>
      <c r="J1101" t="s">
        <v>27</v>
      </c>
      <c r="K1101" t="str">
        <f>_xlfn.XLOOKUP(datos_ventas[[#This Row],[Ciudad]],Tabla2[Ciudades],Tabla2[Provincias],"no se encuentra")</f>
        <v>Sevilla</v>
      </c>
      <c r="L1101" t="str">
        <f>_xlfn.XLOOKUP(datos_ventas[[#This Row],[Provincia]],Tabla2[Provincias],Tabla2[Comunidades],"no se encuentra")</f>
        <v>Andalucía</v>
      </c>
      <c r="M1101" t="s">
        <v>28</v>
      </c>
      <c r="N1101">
        <v>4</v>
      </c>
    </row>
    <row r="1102" spans="1:14" x14ac:dyDescent="0.25">
      <c r="A1102">
        <v>2101</v>
      </c>
      <c r="B1102" s="1">
        <v>45940</v>
      </c>
      <c r="C1102" s="4">
        <f>MONTH(datos_ventas[[#This Row],[Fecha]])</f>
        <v>10</v>
      </c>
      <c r="D1102" s="4">
        <f>WEEKNUM(datos_ventas[[#This Row],[Fecha]],2)</f>
        <v>41</v>
      </c>
      <c r="E1102" t="s">
        <v>17</v>
      </c>
      <c r="F1102" t="s">
        <v>18</v>
      </c>
      <c r="G1102">
        <v>4</v>
      </c>
      <c r="H1102">
        <v>6590</v>
      </c>
      <c r="I1102">
        <v>3821</v>
      </c>
      <c r="J1102" t="s">
        <v>12</v>
      </c>
      <c r="K1102" t="str">
        <f>_xlfn.XLOOKUP(datos_ventas[[#This Row],[Ciudad]],Tabla2[Ciudades],Tabla2[Provincias],"no se encuentra")</f>
        <v>Málaga</v>
      </c>
      <c r="L1102" t="str">
        <f>_xlfn.XLOOKUP(datos_ventas[[#This Row],[Provincia]],Tabla2[Provincias],Tabla2[Comunidades],"no se encuentra")</f>
        <v>Andalucía</v>
      </c>
      <c r="M1102" t="s">
        <v>13</v>
      </c>
      <c r="N1102">
        <v>5</v>
      </c>
    </row>
    <row r="1103" spans="1:14" x14ac:dyDescent="0.25">
      <c r="A1103">
        <v>2102</v>
      </c>
      <c r="B1103" s="1">
        <v>45707</v>
      </c>
      <c r="C1103" s="4">
        <f>MONTH(datos_ventas[[#This Row],[Fecha]])</f>
        <v>2</v>
      </c>
      <c r="D1103" s="4">
        <f>WEEKNUM(datos_ventas[[#This Row],[Fecha]],2)</f>
        <v>8</v>
      </c>
      <c r="E1103" t="s">
        <v>16</v>
      </c>
      <c r="F1103" t="s">
        <v>11</v>
      </c>
      <c r="G1103">
        <v>4</v>
      </c>
      <c r="H1103">
        <v>84413</v>
      </c>
      <c r="I1103">
        <v>4168</v>
      </c>
      <c r="J1103" t="s">
        <v>31</v>
      </c>
      <c r="K1103" t="str">
        <f>_xlfn.XLOOKUP(datos_ventas[[#This Row],[Ciudad]],Tabla2[Ciudades],Tabla2[Provincias],"no se encuentra")</f>
        <v>Vizcaya</v>
      </c>
      <c r="L1103" t="str">
        <f>_xlfn.XLOOKUP(datos_ventas[[#This Row],[Provincia]],Tabla2[Provincias],Tabla2[Comunidades],"no se encuentra")</f>
        <v>País Vasco</v>
      </c>
      <c r="M1103" t="s">
        <v>15</v>
      </c>
      <c r="N1103">
        <v>1</v>
      </c>
    </row>
    <row r="1104" spans="1:14" x14ac:dyDescent="0.25">
      <c r="A1104">
        <v>2103</v>
      </c>
      <c r="B1104" s="1">
        <v>45738</v>
      </c>
      <c r="C1104" s="4">
        <f>MONTH(datos_ventas[[#This Row],[Fecha]])</f>
        <v>3</v>
      </c>
      <c r="D1104" s="4">
        <f>WEEKNUM(datos_ventas[[#This Row],[Fecha]],2)</f>
        <v>12</v>
      </c>
      <c r="E1104" t="s">
        <v>16</v>
      </c>
      <c r="F1104" t="s">
        <v>11</v>
      </c>
      <c r="G1104">
        <v>4</v>
      </c>
      <c r="H1104">
        <v>2177</v>
      </c>
      <c r="I1104">
        <v>3442</v>
      </c>
      <c r="J1104" t="s">
        <v>12</v>
      </c>
      <c r="K1104" t="str">
        <f>_xlfn.XLOOKUP(datos_ventas[[#This Row],[Ciudad]],Tabla2[Ciudades],Tabla2[Provincias],"no se encuentra")</f>
        <v>Málaga</v>
      </c>
      <c r="L1104" t="str">
        <f>_xlfn.XLOOKUP(datos_ventas[[#This Row],[Provincia]],Tabla2[Provincias],Tabla2[Comunidades],"no se encuentra")</f>
        <v>Andalucía</v>
      </c>
      <c r="M1104" t="s">
        <v>13</v>
      </c>
      <c r="N1104">
        <v>5</v>
      </c>
    </row>
    <row r="1105" spans="1:14" x14ac:dyDescent="0.25">
      <c r="A1105">
        <v>2104</v>
      </c>
      <c r="B1105" s="1">
        <v>45671</v>
      </c>
      <c r="C1105" s="4">
        <f>MONTH(datos_ventas[[#This Row],[Fecha]])</f>
        <v>1</v>
      </c>
      <c r="D1105" s="4">
        <f>WEEKNUM(datos_ventas[[#This Row],[Fecha]],2)</f>
        <v>3</v>
      </c>
      <c r="E1105" t="s">
        <v>24</v>
      </c>
      <c r="F1105" t="s">
        <v>25</v>
      </c>
      <c r="G1105">
        <v>2</v>
      </c>
      <c r="H1105">
        <v>12453</v>
      </c>
      <c r="I1105">
        <v>374</v>
      </c>
      <c r="J1105" t="s">
        <v>27</v>
      </c>
      <c r="K1105" t="str">
        <f>_xlfn.XLOOKUP(datos_ventas[[#This Row],[Ciudad]],Tabla2[Ciudades],Tabla2[Provincias],"no se encuentra")</f>
        <v>Sevilla</v>
      </c>
      <c r="L1105" t="str">
        <f>_xlfn.XLOOKUP(datos_ventas[[#This Row],[Provincia]],Tabla2[Provincias],Tabla2[Comunidades],"no se encuentra")</f>
        <v>Andalucía</v>
      </c>
      <c r="M1105" t="s">
        <v>28</v>
      </c>
      <c r="N1105">
        <v>2</v>
      </c>
    </row>
    <row r="1106" spans="1:14" x14ac:dyDescent="0.25">
      <c r="A1106">
        <v>2105</v>
      </c>
      <c r="B1106" s="1">
        <v>45970</v>
      </c>
      <c r="C1106" s="4">
        <f>MONTH(datos_ventas[[#This Row],[Fecha]])</f>
        <v>11</v>
      </c>
      <c r="D1106" s="4">
        <f>WEEKNUM(datos_ventas[[#This Row],[Fecha]],2)</f>
        <v>45</v>
      </c>
      <c r="E1106" t="s">
        <v>16</v>
      </c>
      <c r="F1106" t="s">
        <v>11</v>
      </c>
      <c r="G1106">
        <v>2</v>
      </c>
      <c r="H1106">
        <v>1267</v>
      </c>
      <c r="I1106">
        <v>2425</v>
      </c>
      <c r="J1106" t="s">
        <v>32</v>
      </c>
      <c r="K1106" t="str">
        <f>_xlfn.XLOOKUP(datos_ventas[[#This Row],[Ciudad]],Tabla2[Ciudades],Tabla2[Provincias],"no se encuentra")</f>
        <v>Barcelona</v>
      </c>
      <c r="L1106" t="str">
        <f>_xlfn.XLOOKUP(datos_ventas[[#This Row],[Provincia]],Tabla2[Provincias],Tabla2[Comunidades],"no se encuentra")</f>
        <v>Cataluña</v>
      </c>
      <c r="M1106" t="s">
        <v>19</v>
      </c>
      <c r="N1106">
        <v>2</v>
      </c>
    </row>
    <row r="1107" spans="1:14" x14ac:dyDescent="0.25">
      <c r="A1107">
        <v>2106</v>
      </c>
      <c r="B1107" s="1">
        <v>45930</v>
      </c>
      <c r="C1107" s="4">
        <f>MONTH(datos_ventas[[#This Row],[Fecha]])</f>
        <v>9</v>
      </c>
      <c r="D1107" s="4">
        <f>WEEKNUM(datos_ventas[[#This Row],[Fecha]],2)</f>
        <v>40</v>
      </c>
      <c r="E1107" t="s">
        <v>29</v>
      </c>
      <c r="F1107" t="s">
        <v>30</v>
      </c>
      <c r="G1107">
        <v>2</v>
      </c>
      <c r="H1107">
        <v>29173</v>
      </c>
      <c r="I1107">
        <v>898</v>
      </c>
      <c r="J1107" t="s">
        <v>32</v>
      </c>
      <c r="K1107" t="str">
        <f>_xlfn.XLOOKUP(datos_ventas[[#This Row],[Ciudad]],Tabla2[Ciudades],Tabla2[Provincias],"no se encuentra")</f>
        <v>Barcelona</v>
      </c>
      <c r="L1107" t="str">
        <f>_xlfn.XLOOKUP(datos_ventas[[#This Row],[Provincia]],Tabla2[Provincias],Tabla2[Comunidades],"no se encuentra")</f>
        <v>Cataluña</v>
      </c>
      <c r="M1107" t="s">
        <v>28</v>
      </c>
      <c r="N1107">
        <v>4</v>
      </c>
    </row>
    <row r="1108" spans="1:14" x14ac:dyDescent="0.25">
      <c r="A1108">
        <v>2107</v>
      </c>
      <c r="B1108" s="1">
        <v>45688</v>
      </c>
      <c r="C1108" s="4">
        <f>MONTH(datos_ventas[[#This Row],[Fecha]])</f>
        <v>1</v>
      </c>
      <c r="D1108" s="4">
        <f>WEEKNUM(datos_ventas[[#This Row],[Fecha]],2)</f>
        <v>5</v>
      </c>
      <c r="E1108" t="s">
        <v>29</v>
      </c>
      <c r="F1108" t="s">
        <v>30</v>
      </c>
      <c r="G1108">
        <v>5</v>
      </c>
      <c r="H1108">
        <v>29991</v>
      </c>
      <c r="I1108">
        <v>1781</v>
      </c>
      <c r="J1108" t="s">
        <v>14</v>
      </c>
      <c r="K1108" t="str">
        <f>_xlfn.XLOOKUP(datos_ventas[[#This Row],[Ciudad]],Tabla2[Ciudades],Tabla2[Provincias],"no se encuentra")</f>
        <v>Madrid</v>
      </c>
      <c r="L1108" t="str">
        <f>_xlfn.XLOOKUP(datos_ventas[[#This Row],[Provincia]],Tabla2[Provincias],Tabla2[Comunidades],"no se encuentra")</f>
        <v>Comunidad de Madrid</v>
      </c>
      <c r="M1108" t="s">
        <v>13</v>
      </c>
      <c r="N1108">
        <v>2</v>
      </c>
    </row>
    <row r="1109" spans="1:14" x14ac:dyDescent="0.25">
      <c r="A1109">
        <v>2108</v>
      </c>
      <c r="B1109" s="1">
        <v>45768</v>
      </c>
      <c r="C1109" s="4">
        <f>MONTH(datos_ventas[[#This Row],[Fecha]])</f>
        <v>4</v>
      </c>
      <c r="D1109" s="4">
        <f>WEEKNUM(datos_ventas[[#This Row],[Fecha]],2)</f>
        <v>17</v>
      </c>
      <c r="E1109" t="s">
        <v>16</v>
      </c>
      <c r="F1109" t="s">
        <v>11</v>
      </c>
      <c r="G1109">
        <v>1</v>
      </c>
      <c r="H1109">
        <v>92931</v>
      </c>
      <c r="I1109">
        <v>3131</v>
      </c>
      <c r="J1109" t="s">
        <v>32</v>
      </c>
      <c r="K1109" t="str">
        <f>_xlfn.XLOOKUP(datos_ventas[[#This Row],[Ciudad]],Tabla2[Ciudades],Tabla2[Provincias],"no se encuentra")</f>
        <v>Barcelona</v>
      </c>
      <c r="L1109" t="str">
        <f>_xlfn.XLOOKUP(datos_ventas[[#This Row],[Provincia]],Tabla2[Provincias],Tabla2[Comunidades],"no se encuentra")</f>
        <v>Cataluña</v>
      </c>
      <c r="M1109" t="s">
        <v>19</v>
      </c>
      <c r="N1109">
        <v>2</v>
      </c>
    </row>
    <row r="1110" spans="1:14" x14ac:dyDescent="0.25">
      <c r="A1110">
        <v>2109</v>
      </c>
      <c r="B1110" s="1">
        <v>46014</v>
      </c>
      <c r="C1110" s="4">
        <f>MONTH(datos_ventas[[#This Row],[Fecha]])</f>
        <v>12</v>
      </c>
      <c r="D1110" s="4">
        <f>WEEKNUM(datos_ventas[[#This Row],[Fecha]],2)</f>
        <v>52</v>
      </c>
      <c r="E1110" t="s">
        <v>20</v>
      </c>
      <c r="F1110" t="s">
        <v>21</v>
      </c>
      <c r="G1110">
        <v>2</v>
      </c>
      <c r="H1110">
        <v>103695</v>
      </c>
      <c r="I1110">
        <v>2312</v>
      </c>
      <c r="J1110" t="s">
        <v>31</v>
      </c>
      <c r="K1110" t="str">
        <f>_xlfn.XLOOKUP(datos_ventas[[#This Row],[Ciudad]],Tabla2[Ciudades],Tabla2[Provincias],"no se encuentra")</f>
        <v>Vizcaya</v>
      </c>
      <c r="L1110" t="str">
        <f>_xlfn.XLOOKUP(datos_ventas[[#This Row],[Provincia]],Tabla2[Provincias],Tabla2[Comunidades],"no se encuentra")</f>
        <v>País Vasco</v>
      </c>
      <c r="M1110" t="s">
        <v>15</v>
      </c>
      <c r="N1110">
        <v>5</v>
      </c>
    </row>
    <row r="1111" spans="1:14" x14ac:dyDescent="0.25">
      <c r="A1111">
        <v>2110</v>
      </c>
      <c r="B1111" s="1">
        <v>45756</v>
      </c>
      <c r="C1111" s="4">
        <f>MONTH(datos_ventas[[#This Row],[Fecha]])</f>
        <v>4</v>
      </c>
      <c r="D1111" s="4">
        <f>WEEKNUM(datos_ventas[[#This Row],[Fecha]],2)</f>
        <v>15</v>
      </c>
      <c r="E1111" t="s">
        <v>17</v>
      </c>
      <c r="F1111" t="s">
        <v>18</v>
      </c>
      <c r="G1111">
        <v>3</v>
      </c>
      <c r="H1111">
        <v>2244</v>
      </c>
      <c r="I1111">
        <v>1702</v>
      </c>
      <c r="J1111" t="s">
        <v>31</v>
      </c>
      <c r="K1111" t="str">
        <f>_xlfn.XLOOKUP(datos_ventas[[#This Row],[Ciudad]],Tabla2[Ciudades],Tabla2[Provincias],"no se encuentra")</f>
        <v>Vizcaya</v>
      </c>
      <c r="L1111" t="str">
        <f>_xlfn.XLOOKUP(datos_ventas[[#This Row],[Provincia]],Tabla2[Provincias],Tabla2[Comunidades],"no se encuentra")</f>
        <v>País Vasco</v>
      </c>
      <c r="M1111" t="s">
        <v>19</v>
      </c>
      <c r="N1111">
        <v>5</v>
      </c>
    </row>
    <row r="1112" spans="1:14" x14ac:dyDescent="0.25">
      <c r="A1112">
        <v>2111</v>
      </c>
      <c r="B1112" s="1">
        <v>45925</v>
      </c>
      <c r="C1112" s="4">
        <f>MONTH(datos_ventas[[#This Row],[Fecha]])</f>
        <v>9</v>
      </c>
      <c r="D1112" s="4">
        <f>WEEKNUM(datos_ventas[[#This Row],[Fecha]],2)</f>
        <v>39</v>
      </c>
      <c r="E1112" t="s">
        <v>10</v>
      </c>
      <c r="F1112" t="s">
        <v>11</v>
      </c>
      <c r="G1112">
        <v>4</v>
      </c>
      <c r="H1112">
        <v>82834</v>
      </c>
      <c r="I1112">
        <v>2785</v>
      </c>
      <c r="J1112" t="s">
        <v>22</v>
      </c>
      <c r="K1112" t="str">
        <f>_xlfn.XLOOKUP(datos_ventas[[#This Row],[Ciudad]],Tabla2[Ciudades],Tabla2[Provincias],"no se encuentra")</f>
        <v>Valencia</v>
      </c>
      <c r="L1112" t="str">
        <f>_xlfn.XLOOKUP(datos_ventas[[#This Row],[Provincia]],Tabla2[Provincias],Tabla2[Comunidades],"no se encuentra")</f>
        <v>Comunidad Valenciana</v>
      </c>
      <c r="M1112" t="s">
        <v>13</v>
      </c>
      <c r="N1112">
        <v>5</v>
      </c>
    </row>
    <row r="1113" spans="1:14" x14ac:dyDescent="0.25">
      <c r="A1113">
        <v>2112</v>
      </c>
      <c r="B1113" s="1">
        <v>45813</v>
      </c>
      <c r="C1113" s="4">
        <f>MONTH(datos_ventas[[#This Row],[Fecha]])</f>
        <v>6</v>
      </c>
      <c r="D1113" s="4">
        <f>WEEKNUM(datos_ventas[[#This Row],[Fecha]],2)</f>
        <v>23</v>
      </c>
      <c r="E1113" t="s">
        <v>24</v>
      </c>
      <c r="F1113" t="s">
        <v>25</v>
      </c>
      <c r="G1113">
        <v>4</v>
      </c>
      <c r="H1113">
        <v>47304</v>
      </c>
      <c r="I1113">
        <v>3533</v>
      </c>
      <c r="J1113" t="s">
        <v>27</v>
      </c>
      <c r="K1113" t="str">
        <f>_xlfn.XLOOKUP(datos_ventas[[#This Row],[Ciudad]],Tabla2[Ciudades],Tabla2[Provincias],"no se encuentra")</f>
        <v>Sevilla</v>
      </c>
      <c r="L1113" t="str">
        <f>_xlfn.XLOOKUP(datos_ventas[[#This Row],[Provincia]],Tabla2[Provincias],Tabla2[Comunidades],"no se encuentra")</f>
        <v>Andalucía</v>
      </c>
      <c r="M1113" t="s">
        <v>15</v>
      </c>
      <c r="N1113">
        <v>3</v>
      </c>
    </row>
    <row r="1114" spans="1:14" x14ac:dyDescent="0.25">
      <c r="A1114">
        <v>2113</v>
      </c>
      <c r="B1114" s="1">
        <v>45754</v>
      </c>
      <c r="C1114" s="4">
        <f>MONTH(datos_ventas[[#This Row],[Fecha]])</f>
        <v>4</v>
      </c>
      <c r="D1114" s="4">
        <f>WEEKNUM(datos_ventas[[#This Row],[Fecha]],2)</f>
        <v>15</v>
      </c>
      <c r="E1114" t="s">
        <v>16</v>
      </c>
      <c r="F1114" t="s">
        <v>11</v>
      </c>
      <c r="G1114">
        <v>4</v>
      </c>
      <c r="H1114">
        <v>64294</v>
      </c>
      <c r="I1114">
        <v>4031</v>
      </c>
      <c r="J1114" t="s">
        <v>31</v>
      </c>
      <c r="K1114" t="str">
        <f>_xlfn.XLOOKUP(datos_ventas[[#This Row],[Ciudad]],Tabla2[Ciudades],Tabla2[Provincias],"no se encuentra")</f>
        <v>Vizcaya</v>
      </c>
      <c r="L1114" t="str">
        <f>_xlfn.XLOOKUP(datos_ventas[[#This Row],[Provincia]],Tabla2[Provincias],Tabla2[Comunidades],"no se encuentra")</f>
        <v>País Vasco</v>
      </c>
      <c r="M1114" t="s">
        <v>19</v>
      </c>
      <c r="N1114">
        <v>5</v>
      </c>
    </row>
    <row r="1115" spans="1:14" x14ac:dyDescent="0.25">
      <c r="A1115">
        <v>2114</v>
      </c>
      <c r="B1115" s="1">
        <v>45952</v>
      </c>
      <c r="C1115" s="4">
        <f>MONTH(datos_ventas[[#This Row],[Fecha]])</f>
        <v>10</v>
      </c>
      <c r="D1115" s="4">
        <f>WEEKNUM(datos_ventas[[#This Row],[Fecha]],2)</f>
        <v>43</v>
      </c>
      <c r="E1115" t="s">
        <v>24</v>
      </c>
      <c r="F1115" t="s">
        <v>25</v>
      </c>
      <c r="G1115">
        <v>4</v>
      </c>
      <c r="H1115">
        <v>116453</v>
      </c>
      <c r="I1115">
        <v>1913</v>
      </c>
      <c r="J1115" t="s">
        <v>32</v>
      </c>
      <c r="K1115" t="str">
        <f>_xlfn.XLOOKUP(datos_ventas[[#This Row],[Ciudad]],Tabla2[Ciudades],Tabla2[Provincias],"no se encuentra")</f>
        <v>Barcelona</v>
      </c>
      <c r="L1115" t="str">
        <f>_xlfn.XLOOKUP(datos_ventas[[#This Row],[Provincia]],Tabla2[Provincias],Tabla2[Comunidades],"no se encuentra")</f>
        <v>Cataluña</v>
      </c>
      <c r="M1115" t="s">
        <v>13</v>
      </c>
      <c r="N1115">
        <v>5</v>
      </c>
    </row>
    <row r="1116" spans="1:14" x14ac:dyDescent="0.25">
      <c r="A1116">
        <v>2115</v>
      </c>
      <c r="B1116" s="1">
        <v>45698</v>
      </c>
      <c r="C1116" s="4">
        <f>MONTH(datos_ventas[[#This Row],[Fecha]])</f>
        <v>2</v>
      </c>
      <c r="D1116" s="4">
        <f>WEEKNUM(datos_ventas[[#This Row],[Fecha]],2)</f>
        <v>7</v>
      </c>
      <c r="E1116" t="s">
        <v>17</v>
      </c>
      <c r="F1116" t="s">
        <v>18</v>
      </c>
      <c r="G1116">
        <v>1</v>
      </c>
      <c r="H1116">
        <v>72149</v>
      </c>
      <c r="I1116">
        <v>965</v>
      </c>
      <c r="J1116" t="s">
        <v>31</v>
      </c>
      <c r="K1116" t="str">
        <f>_xlfn.XLOOKUP(datos_ventas[[#This Row],[Ciudad]],Tabla2[Ciudades],Tabla2[Provincias],"no se encuentra")</f>
        <v>Vizcaya</v>
      </c>
      <c r="L1116" t="str">
        <f>_xlfn.XLOOKUP(datos_ventas[[#This Row],[Provincia]],Tabla2[Provincias],Tabla2[Comunidades],"no se encuentra")</f>
        <v>País Vasco</v>
      </c>
      <c r="M1116" t="s">
        <v>19</v>
      </c>
      <c r="N1116">
        <v>3</v>
      </c>
    </row>
    <row r="1117" spans="1:14" x14ac:dyDescent="0.25">
      <c r="A1117">
        <v>2116</v>
      </c>
      <c r="B1117" s="1">
        <v>45932</v>
      </c>
      <c r="C1117" s="4">
        <f>MONTH(datos_ventas[[#This Row],[Fecha]])</f>
        <v>10</v>
      </c>
      <c r="D1117" s="4">
        <f>WEEKNUM(datos_ventas[[#This Row],[Fecha]],2)</f>
        <v>40</v>
      </c>
      <c r="E1117" t="s">
        <v>16</v>
      </c>
      <c r="F1117" t="s">
        <v>11</v>
      </c>
      <c r="G1117">
        <v>5</v>
      </c>
      <c r="H1117">
        <v>68635</v>
      </c>
      <c r="I1117">
        <v>3589</v>
      </c>
      <c r="J1117" t="s">
        <v>27</v>
      </c>
      <c r="K1117" t="str">
        <f>_xlfn.XLOOKUP(datos_ventas[[#This Row],[Ciudad]],Tabla2[Ciudades],Tabla2[Provincias],"no se encuentra")</f>
        <v>Sevilla</v>
      </c>
      <c r="L1117" t="str">
        <f>_xlfn.XLOOKUP(datos_ventas[[#This Row],[Provincia]],Tabla2[Provincias],Tabla2[Comunidades],"no se encuentra")</f>
        <v>Andalucía</v>
      </c>
      <c r="M1117" t="s">
        <v>15</v>
      </c>
      <c r="N1117">
        <v>2</v>
      </c>
    </row>
    <row r="1118" spans="1:14" x14ac:dyDescent="0.25">
      <c r="A1118">
        <v>2117</v>
      </c>
      <c r="B1118" s="1">
        <v>46006</v>
      </c>
      <c r="C1118" s="4">
        <f>MONTH(datos_ventas[[#This Row],[Fecha]])</f>
        <v>12</v>
      </c>
      <c r="D1118" s="4">
        <f>WEEKNUM(datos_ventas[[#This Row],[Fecha]],2)</f>
        <v>51</v>
      </c>
      <c r="E1118" t="s">
        <v>24</v>
      </c>
      <c r="F1118" t="s">
        <v>25</v>
      </c>
      <c r="G1118">
        <v>4</v>
      </c>
      <c r="H1118">
        <v>3357</v>
      </c>
      <c r="I1118">
        <v>3644</v>
      </c>
      <c r="J1118" t="s">
        <v>14</v>
      </c>
      <c r="K1118" t="str">
        <f>_xlfn.XLOOKUP(datos_ventas[[#This Row],[Ciudad]],Tabla2[Ciudades],Tabla2[Provincias],"no se encuentra")</f>
        <v>Madrid</v>
      </c>
      <c r="L1118" t="str">
        <f>_xlfn.XLOOKUP(datos_ventas[[#This Row],[Provincia]],Tabla2[Provincias],Tabla2[Comunidades],"no se encuentra")</f>
        <v>Comunidad de Madrid</v>
      </c>
      <c r="M1118" t="s">
        <v>19</v>
      </c>
      <c r="N1118">
        <v>5</v>
      </c>
    </row>
    <row r="1119" spans="1:14" x14ac:dyDescent="0.25">
      <c r="A1119">
        <v>2118</v>
      </c>
      <c r="B1119" s="1">
        <v>45806</v>
      </c>
      <c r="C1119" s="4">
        <f>MONTH(datos_ventas[[#This Row],[Fecha]])</f>
        <v>5</v>
      </c>
      <c r="D1119" s="4">
        <f>WEEKNUM(datos_ventas[[#This Row],[Fecha]],2)</f>
        <v>22</v>
      </c>
      <c r="E1119" t="s">
        <v>29</v>
      </c>
      <c r="F1119" t="s">
        <v>30</v>
      </c>
      <c r="G1119">
        <v>5</v>
      </c>
      <c r="H1119">
        <v>29817</v>
      </c>
      <c r="I1119">
        <v>1948</v>
      </c>
      <c r="J1119" t="s">
        <v>31</v>
      </c>
      <c r="K1119" t="str">
        <f>_xlfn.XLOOKUP(datos_ventas[[#This Row],[Ciudad]],Tabla2[Ciudades],Tabla2[Provincias],"no se encuentra")</f>
        <v>Vizcaya</v>
      </c>
      <c r="L1119" t="str">
        <f>_xlfn.XLOOKUP(datos_ventas[[#This Row],[Provincia]],Tabla2[Provincias],Tabla2[Comunidades],"no se encuentra")</f>
        <v>País Vasco</v>
      </c>
      <c r="M1119" t="s">
        <v>28</v>
      </c>
      <c r="N1119">
        <v>3</v>
      </c>
    </row>
    <row r="1120" spans="1:14" x14ac:dyDescent="0.25">
      <c r="A1120">
        <v>2119</v>
      </c>
      <c r="B1120" s="1">
        <v>45989</v>
      </c>
      <c r="C1120" s="4">
        <f>MONTH(datos_ventas[[#This Row],[Fecha]])</f>
        <v>11</v>
      </c>
      <c r="D1120" s="4">
        <f>WEEKNUM(datos_ventas[[#This Row],[Fecha]],2)</f>
        <v>48</v>
      </c>
      <c r="E1120" t="s">
        <v>24</v>
      </c>
      <c r="F1120" t="s">
        <v>25</v>
      </c>
      <c r="G1120">
        <v>1</v>
      </c>
      <c r="H1120">
        <v>78914</v>
      </c>
      <c r="I1120">
        <v>1788</v>
      </c>
      <c r="J1120" t="s">
        <v>14</v>
      </c>
      <c r="K1120" t="str">
        <f>_xlfn.XLOOKUP(datos_ventas[[#This Row],[Ciudad]],Tabla2[Ciudades],Tabla2[Provincias],"no se encuentra")</f>
        <v>Madrid</v>
      </c>
      <c r="L1120" t="str">
        <f>_xlfn.XLOOKUP(datos_ventas[[#This Row],[Provincia]],Tabla2[Provincias],Tabla2[Comunidades],"no se encuentra")</f>
        <v>Comunidad de Madrid</v>
      </c>
      <c r="M1120" t="s">
        <v>15</v>
      </c>
      <c r="N1120">
        <v>4</v>
      </c>
    </row>
    <row r="1121" spans="1:14" x14ac:dyDescent="0.25">
      <c r="A1121">
        <v>2120</v>
      </c>
      <c r="B1121" s="1">
        <v>45824</v>
      </c>
      <c r="C1121" s="4">
        <f>MONTH(datos_ventas[[#This Row],[Fecha]])</f>
        <v>6</v>
      </c>
      <c r="D1121" s="4">
        <f>WEEKNUM(datos_ventas[[#This Row],[Fecha]],2)</f>
        <v>25</v>
      </c>
      <c r="E1121" t="s">
        <v>26</v>
      </c>
      <c r="F1121" t="s">
        <v>18</v>
      </c>
      <c r="G1121">
        <v>1</v>
      </c>
      <c r="H1121">
        <v>30359</v>
      </c>
      <c r="I1121">
        <v>3352</v>
      </c>
      <c r="J1121" t="s">
        <v>12</v>
      </c>
      <c r="K1121" t="str">
        <f>_xlfn.XLOOKUP(datos_ventas[[#This Row],[Ciudad]],Tabla2[Ciudades],Tabla2[Provincias],"no se encuentra")</f>
        <v>Málaga</v>
      </c>
      <c r="L1121" t="str">
        <f>_xlfn.XLOOKUP(datos_ventas[[#This Row],[Provincia]],Tabla2[Provincias],Tabla2[Comunidades],"no se encuentra")</f>
        <v>Andalucía</v>
      </c>
      <c r="M1121" t="s">
        <v>28</v>
      </c>
      <c r="N1121">
        <v>3</v>
      </c>
    </row>
    <row r="1122" spans="1:14" x14ac:dyDescent="0.25">
      <c r="A1122">
        <v>2121</v>
      </c>
      <c r="B1122" s="1">
        <v>45735</v>
      </c>
      <c r="C1122" s="4">
        <f>MONTH(datos_ventas[[#This Row],[Fecha]])</f>
        <v>3</v>
      </c>
      <c r="D1122" s="4">
        <f>WEEKNUM(datos_ventas[[#This Row],[Fecha]],2)</f>
        <v>12</v>
      </c>
      <c r="E1122" t="s">
        <v>16</v>
      </c>
      <c r="F1122" t="s">
        <v>11</v>
      </c>
      <c r="G1122">
        <v>3</v>
      </c>
      <c r="H1122">
        <v>61545</v>
      </c>
      <c r="I1122">
        <v>2366</v>
      </c>
      <c r="J1122" t="s">
        <v>32</v>
      </c>
      <c r="K1122" t="str">
        <f>_xlfn.XLOOKUP(datos_ventas[[#This Row],[Ciudad]],Tabla2[Ciudades],Tabla2[Provincias],"no se encuentra")</f>
        <v>Barcelona</v>
      </c>
      <c r="L1122" t="str">
        <f>_xlfn.XLOOKUP(datos_ventas[[#This Row],[Provincia]],Tabla2[Provincias],Tabla2[Comunidades],"no se encuentra")</f>
        <v>Cataluña</v>
      </c>
      <c r="M1122" t="s">
        <v>28</v>
      </c>
      <c r="N1122">
        <v>5</v>
      </c>
    </row>
    <row r="1123" spans="1:14" x14ac:dyDescent="0.25">
      <c r="A1123">
        <v>2122</v>
      </c>
      <c r="B1123" s="1">
        <v>45956</v>
      </c>
      <c r="C1123" s="4">
        <f>MONTH(datos_ventas[[#This Row],[Fecha]])</f>
        <v>10</v>
      </c>
      <c r="D1123" s="4">
        <f>WEEKNUM(datos_ventas[[#This Row],[Fecha]],2)</f>
        <v>43</v>
      </c>
      <c r="E1123" t="s">
        <v>10</v>
      </c>
      <c r="F1123" t="s">
        <v>11</v>
      </c>
      <c r="G1123">
        <v>5</v>
      </c>
      <c r="H1123">
        <v>19699</v>
      </c>
      <c r="I1123">
        <v>211</v>
      </c>
      <c r="J1123" t="s">
        <v>14</v>
      </c>
      <c r="K1123" t="str">
        <f>_xlfn.XLOOKUP(datos_ventas[[#This Row],[Ciudad]],Tabla2[Ciudades],Tabla2[Provincias],"no se encuentra")</f>
        <v>Madrid</v>
      </c>
      <c r="L1123" t="str">
        <f>_xlfn.XLOOKUP(datos_ventas[[#This Row],[Provincia]],Tabla2[Provincias],Tabla2[Comunidades],"no se encuentra")</f>
        <v>Comunidad de Madrid</v>
      </c>
      <c r="M1123" t="s">
        <v>13</v>
      </c>
      <c r="N1123">
        <v>4</v>
      </c>
    </row>
    <row r="1124" spans="1:14" x14ac:dyDescent="0.25">
      <c r="A1124">
        <v>2123</v>
      </c>
      <c r="B1124" s="1">
        <v>45760</v>
      </c>
      <c r="C1124" s="4">
        <f>MONTH(datos_ventas[[#This Row],[Fecha]])</f>
        <v>4</v>
      </c>
      <c r="D1124" s="4">
        <f>WEEKNUM(datos_ventas[[#This Row],[Fecha]],2)</f>
        <v>15</v>
      </c>
      <c r="E1124" t="s">
        <v>20</v>
      </c>
      <c r="F1124" t="s">
        <v>21</v>
      </c>
      <c r="G1124">
        <v>4</v>
      </c>
      <c r="H1124">
        <v>57556</v>
      </c>
      <c r="I1124">
        <v>3313</v>
      </c>
      <c r="J1124" t="s">
        <v>14</v>
      </c>
      <c r="K1124" t="str">
        <f>_xlfn.XLOOKUP(datos_ventas[[#This Row],[Ciudad]],Tabla2[Ciudades],Tabla2[Provincias],"no se encuentra")</f>
        <v>Madrid</v>
      </c>
      <c r="L1124" t="str">
        <f>_xlfn.XLOOKUP(datos_ventas[[#This Row],[Provincia]],Tabla2[Provincias],Tabla2[Comunidades],"no se encuentra")</f>
        <v>Comunidad de Madrid</v>
      </c>
      <c r="M1124" t="s">
        <v>19</v>
      </c>
      <c r="N1124">
        <v>3</v>
      </c>
    </row>
    <row r="1125" spans="1:14" x14ac:dyDescent="0.25">
      <c r="A1125">
        <v>2124</v>
      </c>
      <c r="B1125" s="1">
        <v>45802</v>
      </c>
      <c r="C1125" s="4">
        <f>MONTH(datos_ventas[[#This Row],[Fecha]])</f>
        <v>5</v>
      </c>
      <c r="D1125" s="4">
        <f>WEEKNUM(datos_ventas[[#This Row],[Fecha]],2)</f>
        <v>21</v>
      </c>
      <c r="E1125" t="s">
        <v>29</v>
      </c>
      <c r="F1125" t="s">
        <v>30</v>
      </c>
      <c r="G1125">
        <v>4</v>
      </c>
      <c r="H1125">
        <v>91838</v>
      </c>
      <c r="I1125">
        <v>4497</v>
      </c>
      <c r="J1125" t="s">
        <v>32</v>
      </c>
      <c r="K1125" t="str">
        <f>_xlfn.XLOOKUP(datos_ventas[[#This Row],[Ciudad]],Tabla2[Ciudades],Tabla2[Provincias],"no se encuentra")</f>
        <v>Barcelona</v>
      </c>
      <c r="L1125" t="str">
        <f>_xlfn.XLOOKUP(datos_ventas[[#This Row],[Provincia]],Tabla2[Provincias],Tabla2[Comunidades],"no se encuentra")</f>
        <v>Cataluña</v>
      </c>
      <c r="M1125" t="s">
        <v>13</v>
      </c>
      <c r="N1125">
        <v>4</v>
      </c>
    </row>
    <row r="1126" spans="1:14" x14ac:dyDescent="0.25">
      <c r="A1126">
        <v>2125</v>
      </c>
      <c r="B1126" s="1">
        <v>45749</v>
      </c>
      <c r="C1126" s="4">
        <f>MONTH(datos_ventas[[#This Row],[Fecha]])</f>
        <v>4</v>
      </c>
      <c r="D1126" s="4">
        <f>WEEKNUM(datos_ventas[[#This Row],[Fecha]],2)</f>
        <v>14</v>
      </c>
      <c r="E1126" t="s">
        <v>26</v>
      </c>
      <c r="F1126" t="s">
        <v>18</v>
      </c>
      <c r="G1126">
        <v>4</v>
      </c>
      <c r="H1126">
        <v>56762</v>
      </c>
      <c r="I1126">
        <v>881</v>
      </c>
      <c r="J1126" t="s">
        <v>22</v>
      </c>
      <c r="K1126" t="str">
        <f>_xlfn.XLOOKUP(datos_ventas[[#This Row],[Ciudad]],Tabla2[Ciudades],Tabla2[Provincias],"no se encuentra")</f>
        <v>Valencia</v>
      </c>
      <c r="L1126" t="str">
        <f>_xlfn.XLOOKUP(datos_ventas[[#This Row],[Provincia]],Tabla2[Provincias],Tabla2[Comunidades],"no se encuentra")</f>
        <v>Comunidad Valenciana</v>
      </c>
      <c r="M1126" t="s">
        <v>13</v>
      </c>
      <c r="N1126">
        <v>5</v>
      </c>
    </row>
    <row r="1127" spans="1:14" x14ac:dyDescent="0.25">
      <c r="A1127">
        <v>2126</v>
      </c>
      <c r="B1127" s="1">
        <v>45711</v>
      </c>
      <c r="C1127" s="4">
        <f>MONTH(datos_ventas[[#This Row],[Fecha]])</f>
        <v>2</v>
      </c>
      <c r="D1127" s="4">
        <f>WEEKNUM(datos_ventas[[#This Row],[Fecha]],2)</f>
        <v>8</v>
      </c>
      <c r="E1127" t="s">
        <v>17</v>
      </c>
      <c r="F1127" t="s">
        <v>18</v>
      </c>
      <c r="G1127">
        <v>4</v>
      </c>
      <c r="H1127">
        <v>2097</v>
      </c>
      <c r="I1127">
        <v>4826</v>
      </c>
      <c r="J1127" t="s">
        <v>32</v>
      </c>
      <c r="K1127" t="str">
        <f>_xlfn.XLOOKUP(datos_ventas[[#This Row],[Ciudad]],Tabla2[Ciudades],Tabla2[Provincias],"no se encuentra")</f>
        <v>Barcelona</v>
      </c>
      <c r="L1127" t="str">
        <f>_xlfn.XLOOKUP(datos_ventas[[#This Row],[Provincia]],Tabla2[Provincias],Tabla2[Comunidades],"no se encuentra")</f>
        <v>Cataluña</v>
      </c>
      <c r="M1127" t="s">
        <v>13</v>
      </c>
      <c r="N1127">
        <v>4</v>
      </c>
    </row>
    <row r="1128" spans="1:14" x14ac:dyDescent="0.25">
      <c r="A1128">
        <v>2127</v>
      </c>
      <c r="B1128" s="1">
        <v>45849</v>
      </c>
      <c r="C1128" s="4">
        <f>MONTH(datos_ventas[[#This Row],[Fecha]])</f>
        <v>7</v>
      </c>
      <c r="D1128" s="4">
        <f>WEEKNUM(datos_ventas[[#This Row],[Fecha]],2)</f>
        <v>28</v>
      </c>
      <c r="E1128" t="s">
        <v>26</v>
      </c>
      <c r="F1128" t="s">
        <v>18</v>
      </c>
      <c r="G1128">
        <v>2</v>
      </c>
      <c r="H1128">
        <v>110044</v>
      </c>
      <c r="I1128">
        <v>2075</v>
      </c>
      <c r="J1128" t="s">
        <v>14</v>
      </c>
      <c r="K1128" t="str">
        <f>_xlfn.XLOOKUP(datos_ventas[[#This Row],[Ciudad]],Tabla2[Ciudades],Tabla2[Provincias],"no se encuentra")</f>
        <v>Madrid</v>
      </c>
      <c r="L1128" t="str">
        <f>_xlfn.XLOOKUP(datos_ventas[[#This Row],[Provincia]],Tabla2[Provincias],Tabla2[Comunidades],"no se encuentra")</f>
        <v>Comunidad de Madrid</v>
      </c>
      <c r="M1128" t="s">
        <v>13</v>
      </c>
      <c r="N1128">
        <v>1</v>
      </c>
    </row>
    <row r="1129" spans="1:14" x14ac:dyDescent="0.25">
      <c r="A1129">
        <v>2128</v>
      </c>
      <c r="B1129" s="1">
        <v>45998</v>
      </c>
      <c r="C1129" s="4">
        <f>MONTH(datos_ventas[[#This Row],[Fecha]])</f>
        <v>12</v>
      </c>
      <c r="D1129" s="4">
        <f>WEEKNUM(datos_ventas[[#This Row],[Fecha]],2)</f>
        <v>49</v>
      </c>
      <c r="E1129" t="s">
        <v>24</v>
      </c>
      <c r="F1129" t="s">
        <v>25</v>
      </c>
      <c r="G1129">
        <v>3</v>
      </c>
      <c r="H1129">
        <v>37669</v>
      </c>
      <c r="I1129">
        <v>2737</v>
      </c>
      <c r="J1129" t="s">
        <v>31</v>
      </c>
      <c r="K1129" t="str">
        <f>_xlfn.XLOOKUP(datos_ventas[[#This Row],[Ciudad]],Tabla2[Ciudades],Tabla2[Provincias],"no se encuentra")</f>
        <v>Vizcaya</v>
      </c>
      <c r="L1129" t="str">
        <f>_xlfn.XLOOKUP(datos_ventas[[#This Row],[Provincia]],Tabla2[Provincias],Tabla2[Comunidades],"no se encuentra")</f>
        <v>País Vasco</v>
      </c>
      <c r="M1129" t="s">
        <v>28</v>
      </c>
      <c r="N1129">
        <v>2</v>
      </c>
    </row>
    <row r="1130" spans="1:14" x14ac:dyDescent="0.25">
      <c r="A1130">
        <v>2129</v>
      </c>
      <c r="B1130" s="1">
        <v>45766</v>
      </c>
      <c r="C1130" s="4">
        <f>MONTH(datos_ventas[[#This Row],[Fecha]])</f>
        <v>4</v>
      </c>
      <c r="D1130" s="4">
        <f>WEEKNUM(datos_ventas[[#This Row],[Fecha]],2)</f>
        <v>16</v>
      </c>
      <c r="E1130" t="s">
        <v>20</v>
      </c>
      <c r="F1130" t="s">
        <v>21</v>
      </c>
      <c r="G1130">
        <v>5</v>
      </c>
      <c r="H1130">
        <v>4779</v>
      </c>
      <c r="I1130">
        <v>1664</v>
      </c>
      <c r="J1130" t="s">
        <v>14</v>
      </c>
      <c r="K1130" t="str">
        <f>_xlfn.XLOOKUP(datos_ventas[[#This Row],[Ciudad]],Tabla2[Ciudades],Tabla2[Provincias],"no se encuentra")</f>
        <v>Madrid</v>
      </c>
      <c r="L1130" t="str">
        <f>_xlfn.XLOOKUP(datos_ventas[[#This Row],[Provincia]],Tabla2[Provincias],Tabla2[Comunidades],"no se encuentra")</f>
        <v>Comunidad de Madrid</v>
      </c>
      <c r="M1130" t="s">
        <v>28</v>
      </c>
      <c r="N1130">
        <v>1</v>
      </c>
    </row>
    <row r="1131" spans="1:14" x14ac:dyDescent="0.25">
      <c r="A1131">
        <v>2130</v>
      </c>
      <c r="B1131" s="1">
        <v>46013</v>
      </c>
      <c r="C1131" s="4">
        <f>MONTH(datos_ventas[[#This Row],[Fecha]])</f>
        <v>12</v>
      </c>
      <c r="D1131" s="4">
        <f>WEEKNUM(datos_ventas[[#This Row],[Fecha]],2)</f>
        <v>52</v>
      </c>
      <c r="E1131" t="s">
        <v>16</v>
      </c>
      <c r="F1131" t="s">
        <v>11</v>
      </c>
      <c r="G1131">
        <v>3</v>
      </c>
      <c r="H1131">
        <v>32112</v>
      </c>
      <c r="I1131">
        <v>4282</v>
      </c>
      <c r="J1131" t="s">
        <v>27</v>
      </c>
      <c r="K1131" t="str">
        <f>_xlfn.XLOOKUP(datos_ventas[[#This Row],[Ciudad]],Tabla2[Ciudades],Tabla2[Provincias],"no se encuentra")</f>
        <v>Sevilla</v>
      </c>
      <c r="L1131" t="str">
        <f>_xlfn.XLOOKUP(datos_ventas[[#This Row],[Provincia]],Tabla2[Provincias],Tabla2[Comunidades],"no se encuentra")</f>
        <v>Andalucía</v>
      </c>
      <c r="M1131" t="s">
        <v>15</v>
      </c>
      <c r="N1131">
        <v>1</v>
      </c>
    </row>
    <row r="1132" spans="1:14" x14ac:dyDescent="0.25">
      <c r="A1132">
        <v>2131</v>
      </c>
      <c r="B1132" s="1">
        <v>45857</v>
      </c>
      <c r="C1132" s="4">
        <f>MONTH(datos_ventas[[#This Row],[Fecha]])</f>
        <v>7</v>
      </c>
      <c r="D1132" s="4">
        <f>WEEKNUM(datos_ventas[[#This Row],[Fecha]],2)</f>
        <v>29</v>
      </c>
      <c r="E1132" t="s">
        <v>26</v>
      </c>
      <c r="F1132" t="s">
        <v>18</v>
      </c>
      <c r="G1132">
        <v>4</v>
      </c>
      <c r="H1132">
        <v>32952</v>
      </c>
      <c r="I1132">
        <v>528</v>
      </c>
      <c r="J1132" t="s">
        <v>31</v>
      </c>
      <c r="K1132" t="str">
        <f>_xlfn.XLOOKUP(datos_ventas[[#This Row],[Ciudad]],Tabla2[Ciudades],Tabla2[Provincias],"no se encuentra")</f>
        <v>Vizcaya</v>
      </c>
      <c r="L1132" t="str">
        <f>_xlfn.XLOOKUP(datos_ventas[[#This Row],[Provincia]],Tabla2[Provincias],Tabla2[Comunidades],"no se encuentra")</f>
        <v>País Vasco</v>
      </c>
      <c r="M1132" t="s">
        <v>19</v>
      </c>
      <c r="N1132">
        <v>3</v>
      </c>
    </row>
    <row r="1133" spans="1:14" x14ac:dyDescent="0.25">
      <c r="A1133">
        <v>2132</v>
      </c>
      <c r="B1133" s="1">
        <v>45666</v>
      </c>
      <c r="C1133" s="4">
        <f>MONTH(datos_ventas[[#This Row],[Fecha]])</f>
        <v>1</v>
      </c>
      <c r="D1133" s="4">
        <f>WEEKNUM(datos_ventas[[#This Row],[Fecha]],2)</f>
        <v>2</v>
      </c>
      <c r="E1133" t="s">
        <v>17</v>
      </c>
      <c r="F1133" t="s">
        <v>18</v>
      </c>
      <c r="G1133">
        <v>5</v>
      </c>
      <c r="H1133">
        <v>74118</v>
      </c>
      <c r="I1133">
        <v>3977</v>
      </c>
      <c r="J1133" t="s">
        <v>12</v>
      </c>
      <c r="K1133" t="str">
        <f>_xlfn.XLOOKUP(datos_ventas[[#This Row],[Ciudad]],Tabla2[Ciudades],Tabla2[Provincias],"no se encuentra")</f>
        <v>Málaga</v>
      </c>
      <c r="L1133" t="str">
        <f>_xlfn.XLOOKUP(datos_ventas[[#This Row],[Provincia]],Tabla2[Provincias],Tabla2[Comunidades],"no se encuentra")</f>
        <v>Andalucía</v>
      </c>
      <c r="M1133" t="s">
        <v>13</v>
      </c>
      <c r="N1133">
        <v>1</v>
      </c>
    </row>
    <row r="1134" spans="1:14" x14ac:dyDescent="0.25">
      <c r="A1134">
        <v>2133</v>
      </c>
      <c r="B1134" s="1">
        <v>45826</v>
      </c>
      <c r="C1134" s="4">
        <f>MONTH(datos_ventas[[#This Row],[Fecha]])</f>
        <v>6</v>
      </c>
      <c r="D1134" s="4">
        <f>WEEKNUM(datos_ventas[[#This Row],[Fecha]],2)</f>
        <v>25</v>
      </c>
      <c r="E1134" t="s">
        <v>16</v>
      </c>
      <c r="F1134" t="s">
        <v>11</v>
      </c>
      <c r="G1134">
        <v>2</v>
      </c>
      <c r="H1134">
        <v>114634</v>
      </c>
      <c r="I1134">
        <v>3717</v>
      </c>
      <c r="J1134" t="s">
        <v>32</v>
      </c>
      <c r="K1134" t="str">
        <f>_xlfn.XLOOKUP(datos_ventas[[#This Row],[Ciudad]],Tabla2[Ciudades],Tabla2[Provincias],"no se encuentra")</f>
        <v>Barcelona</v>
      </c>
      <c r="L1134" t="str">
        <f>_xlfn.XLOOKUP(datos_ventas[[#This Row],[Provincia]],Tabla2[Provincias],Tabla2[Comunidades],"no se encuentra")</f>
        <v>Cataluña</v>
      </c>
      <c r="M1134" t="s">
        <v>15</v>
      </c>
      <c r="N1134">
        <v>5</v>
      </c>
    </row>
    <row r="1135" spans="1:14" x14ac:dyDescent="0.25">
      <c r="A1135">
        <v>2134</v>
      </c>
      <c r="B1135" s="1">
        <v>45744</v>
      </c>
      <c r="C1135" s="4">
        <f>MONTH(datos_ventas[[#This Row],[Fecha]])</f>
        <v>3</v>
      </c>
      <c r="D1135" s="4">
        <f>WEEKNUM(datos_ventas[[#This Row],[Fecha]],2)</f>
        <v>13</v>
      </c>
      <c r="E1135" t="s">
        <v>26</v>
      </c>
      <c r="F1135" t="s">
        <v>18</v>
      </c>
      <c r="G1135">
        <v>3</v>
      </c>
      <c r="H1135">
        <v>32904</v>
      </c>
      <c r="I1135">
        <v>2625</v>
      </c>
      <c r="J1135" t="s">
        <v>14</v>
      </c>
      <c r="K1135" t="str">
        <f>_xlfn.XLOOKUP(datos_ventas[[#This Row],[Ciudad]],Tabla2[Ciudades],Tabla2[Provincias],"no se encuentra")</f>
        <v>Madrid</v>
      </c>
      <c r="L1135" t="str">
        <f>_xlfn.XLOOKUP(datos_ventas[[#This Row],[Provincia]],Tabla2[Provincias],Tabla2[Comunidades],"no se encuentra")</f>
        <v>Comunidad de Madrid</v>
      </c>
      <c r="M1135" t="s">
        <v>19</v>
      </c>
      <c r="N1135">
        <v>4</v>
      </c>
    </row>
    <row r="1136" spans="1:14" x14ac:dyDescent="0.25">
      <c r="A1136">
        <v>2135</v>
      </c>
      <c r="B1136" s="1">
        <v>45861</v>
      </c>
      <c r="C1136" s="4">
        <f>MONTH(datos_ventas[[#This Row],[Fecha]])</f>
        <v>7</v>
      </c>
      <c r="D1136" s="4">
        <f>WEEKNUM(datos_ventas[[#This Row],[Fecha]],2)</f>
        <v>30</v>
      </c>
      <c r="E1136" t="s">
        <v>26</v>
      </c>
      <c r="F1136" t="s">
        <v>18</v>
      </c>
      <c r="G1136">
        <v>3</v>
      </c>
      <c r="H1136">
        <v>68308</v>
      </c>
      <c r="I1136">
        <v>4303</v>
      </c>
      <c r="J1136" t="s">
        <v>14</v>
      </c>
      <c r="K1136" t="str">
        <f>_xlfn.XLOOKUP(datos_ventas[[#This Row],[Ciudad]],Tabla2[Ciudades],Tabla2[Provincias],"no se encuentra")</f>
        <v>Madrid</v>
      </c>
      <c r="L1136" t="str">
        <f>_xlfn.XLOOKUP(datos_ventas[[#This Row],[Provincia]],Tabla2[Provincias],Tabla2[Comunidades],"no se encuentra")</f>
        <v>Comunidad de Madrid</v>
      </c>
      <c r="M1136" t="s">
        <v>28</v>
      </c>
      <c r="N1136">
        <v>1</v>
      </c>
    </row>
    <row r="1137" spans="1:14" x14ac:dyDescent="0.25">
      <c r="A1137">
        <v>2136</v>
      </c>
      <c r="B1137" s="1">
        <v>46018</v>
      </c>
      <c r="C1137" s="4">
        <f>MONTH(datos_ventas[[#This Row],[Fecha]])</f>
        <v>12</v>
      </c>
      <c r="D1137" s="4">
        <f>WEEKNUM(datos_ventas[[#This Row],[Fecha]],2)</f>
        <v>52</v>
      </c>
      <c r="E1137" t="s">
        <v>17</v>
      </c>
      <c r="F1137" t="s">
        <v>18</v>
      </c>
      <c r="G1137">
        <v>2</v>
      </c>
      <c r="H1137">
        <v>77755</v>
      </c>
      <c r="I1137">
        <v>2507</v>
      </c>
      <c r="J1137" t="s">
        <v>14</v>
      </c>
      <c r="K1137" t="str">
        <f>_xlfn.XLOOKUP(datos_ventas[[#This Row],[Ciudad]],Tabla2[Ciudades],Tabla2[Provincias],"no se encuentra")</f>
        <v>Madrid</v>
      </c>
      <c r="L1137" t="str">
        <f>_xlfn.XLOOKUP(datos_ventas[[#This Row],[Provincia]],Tabla2[Provincias],Tabla2[Comunidades],"no se encuentra")</f>
        <v>Comunidad de Madrid</v>
      </c>
      <c r="M1137" t="s">
        <v>28</v>
      </c>
      <c r="N1137">
        <v>1</v>
      </c>
    </row>
    <row r="1138" spans="1:14" x14ac:dyDescent="0.25">
      <c r="A1138">
        <v>2137</v>
      </c>
      <c r="B1138" s="1">
        <v>45970</v>
      </c>
      <c r="C1138" s="4">
        <f>MONTH(datos_ventas[[#This Row],[Fecha]])</f>
        <v>11</v>
      </c>
      <c r="D1138" s="4">
        <f>WEEKNUM(datos_ventas[[#This Row],[Fecha]],2)</f>
        <v>45</v>
      </c>
      <c r="E1138" t="s">
        <v>24</v>
      </c>
      <c r="F1138" t="s">
        <v>25</v>
      </c>
      <c r="G1138">
        <v>2</v>
      </c>
      <c r="H1138">
        <v>73848</v>
      </c>
      <c r="I1138">
        <v>2635</v>
      </c>
      <c r="J1138" t="s">
        <v>27</v>
      </c>
      <c r="K1138" t="str">
        <f>_xlfn.XLOOKUP(datos_ventas[[#This Row],[Ciudad]],Tabla2[Ciudades],Tabla2[Provincias],"no se encuentra")</f>
        <v>Sevilla</v>
      </c>
      <c r="L1138" t="str">
        <f>_xlfn.XLOOKUP(datos_ventas[[#This Row],[Provincia]],Tabla2[Provincias],Tabla2[Comunidades],"no se encuentra")</f>
        <v>Andalucía</v>
      </c>
      <c r="M1138" t="s">
        <v>15</v>
      </c>
      <c r="N1138">
        <v>5</v>
      </c>
    </row>
    <row r="1139" spans="1:14" x14ac:dyDescent="0.25">
      <c r="A1139">
        <v>2138</v>
      </c>
      <c r="B1139" s="1">
        <v>45858</v>
      </c>
      <c r="C1139" s="4">
        <f>MONTH(datos_ventas[[#This Row],[Fecha]])</f>
        <v>7</v>
      </c>
      <c r="D1139" s="4">
        <f>WEEKNUM(datos_ventas[[#This Row],[Fecha]],2)</f>
        <v>29</v>
      </c>
      <c r="E1139" t="s">
        <v>17</v>
      </c>
      <c r="F1139" t="s">
        <v>18</v>
      </c>
      <c r="G1139">
        <v>5</v>
      </c>
      <c r="H1139">
        <v>90324</v>
      </c>
      <c r="I1139">
        <v>4661</v>
      </c>
      <c r="J1139" t="s">
        <v>14</v>
      </c>
      <c r="K1139" t="str">
        <f>_xlfn.XLOOKUP(datos_ventas[[#This Row],[Ciudad]],Tabla2[Ciudades],Tabla2[Provincias],"no se encuentra")</f>
        <v>Madrid</v>
      </c>
      <c r="L1139" t="str">
        <f>_xlfn.XLOOKUP(datos_ventas[[#This Row],[Provincia]],Tabla2[Provincias],Tabla2[Comunidades],"no se encuentra")</f>
        <v>Comunidad de Madrid</v>
      </c>
      <c r="M1139" t="s">
        <v>19</v>
      </c>
      <c r="N1139">
        <v>3</v>
      </c>
    </row>
    <row r="1140" spans="1:14" x14ac:dyDescent="0.25">
      <c r="A1140">
        <v>2139</v>
      </c>
      <c r="B1140" s="1">
        <v>45817</v>
      </c>
      <c r="C1140" s="4">
        <f>MONTH(datos_ventas[[#This Row],[Fecha]])</f>
        <v>6</v>
      </c>
      <c r="D1140" s="4">
        <f>WEEKNUM(datos_ventas[[#This Row],[Fecha]],2)</f>
        <v>24</v>
      </c>
      <c r="E1140" t="s">
        <v>16</v>
      </c>
      <c r="F1140" t="s">
        <v>11</v>
      </c>
      <c r="G1140">
        <v>3</v>
      </c>
      <c r="H1140">
        <v>26253</v>
      </c>
      <c r="I1140">
        <v>494</v>
      </c>
      <c r="J1140" t="s">
        <v>12</v>
      </c>
      <c r="K1140" t="str">
        <f>_xlfn.XLOOKUP(datos_ventas[[#This Row],[Ciudad]],Tabla2[Ciudades],Tabla2[Provincias],"no se encuentra")</f>
        <v>Málaga</v>
      </c>
      <c r="L1140" t="str">
        <f>_xlfn.XLOOKUP(datos_ventas[[#This Row],[Provincia]],Tabla2[Provincias],Tabla2[Comunidades],"no se encuentra")</f>
        <v>Andalucía</v>
      </c>
      <c r="M1140" t="s">
        <v>28</v>
      </c>
      <c r="N1140">
        <v>2</v>
      </c>
    </row>
    <row r="1141" spans="1:14" x14ac:dyDescent="0.25">
      <c r="A1141">
        <v>2140</v>
      </c>
      <c r="B1141" s="1">
        <v>45694</v>
      </c>
      <c r="C1141" s="4">
        <f>MONTH(datos_ventas[[#This Row],[Fecha]])</f>
        <v>2</v>
      </c>
      <c r="D1141" s="4">
        <f>WEEKNUM(datos_ventas[[#This Row],[Fecha]],2)</f>
        <v>6</v>
      </c>
      <c r="E1141" t="s">
        <v>16</v>
      </c>
      <c r="F1141" t="s">
        <v>11</v>
      </c>
      <c r="G1141">
        <v>3</v>
      </c>
      <c r="H1141">
        <v>13378</v>
      </c>
      <c r="I1141">
        <v>2583</v>
      </c>
      <c r="J1141" t="s">
        <v>31</v>
      </c>
      <c r="K1141" t="str">
        <f>_xlfn.XLOOKUP(datos_ventas[[#This Row],[Ciudad]],Tabla2[Ciudades],Tabla2[Provincias],"no se encuentra")</f>
        <v>Vizcaya</v>
      </c>
      <c r="L1141" t="str">
        <f>_xlfn.XLOOKUP(datos_ventas[[#This Row],[Provincia]],Tabla2[Provincias],Tabla2[Comunidades],"no se encuentra")</f>
        <v>País Vasco</v>
      </c>
      <c r="M1141" t="s">
        <v>28</v>
      </c>
      <c r="N1141">
        <v>2</v>
      </c>
    </row>
    <row r="1142" spans="1:14" x14ac:dyDescent="0.25">
      <c r="A1142">
        <v>2141</v>
      </c>
      <c r="B1142" s="1">
        <v>45914</v>
      </c>
      <c r="C1142" s="4">
        <f>MONTH(datos_ventas[[#This Row],[Fecha]])</f>
        <v>9</v>
      </c>
      <c r="D1142" s="4">
        <f>WEEKNUM(datos_ventas[[#This Row],[Fecha]],2)</f>
        <v>37</v>
      </c>
      <c r="E1142" t="s">
        <v>24</v>
      </c>
      <c r="F1142" t="s">
        <v>25</v>
      </c>
      <c r="G1142">
        <v>5</v>
      </c>
      <c r="H1142">
        <v>28428</v>
      </c>
      <c r="I1142">
        <v>2873</v>
      </c>
      <c r="J1142" t="s">
        <v>27</v>
      </c>
      <c r="K1142" t="str">
        <f>_xlfn.XLOOKUP(datos_ventas[[#This Row],[Ciudad]],Tabla2[Ciudades],Tabla2[Provincias],"no se encuentra")</f>
        <v>Sevilla</v>
      </c>
      <c r="L1142" t="str">
        <f>_xlfn.XLOOKUP(datos_ventas[[#This Row],[Provincia]],Tabla2[Provincias],Tabla2[Comunidades],"no se encuentra")</f>
        <v>Andalucía</v>
      </c>
      <c r="M1142" t="s">
        <v>19</v>
      </c>
      <c r="N1142">
        <v>4</v>
      </c>
    </row>
    <row r="1143" spans="1:14" x14ac:dyDescent="0.25">
      <c r="A1143">
        <v>2142</v>
      </c>
      <c r="B1143" s="1">
        <v>45716</v>
      </c>
      <c r="C1143" s="4">
        <f>MONTH(datos_ventas[[#This Row],[Fecha]])</f>
        <v>2</v>
      </c>
      <c r="D1143" s="4">
        <f>WEEKNUM(datos_ventas[[#This Row],[Fecha]],2)</f>
        <v>9</v>
      </c>
      <c r="E1143" t="s">
        <v>23</v>
      </c>
      <c r="F1143" t="s">
        <v>18</v>
      </c>
      <c r="G1143">
        <v>4</v>
      </c>
      <c r="H1143">
        <v>2754</v>
      </c>
      <c r="I1143">
        <v>1797</v>
      </c>
      <c r="J1143" t="s">
        <v>32</v>
      </c>
      <c r="K1143" t="str">
        <f>_xlfn.XLOOKUP(datos_ventas[[#This Row],[Ciudad]],Tabla2[Ciudades],Tabla2[Provincias],"no se encuentra")</f>
        <v>Barcelona</v>
      </c>
      <c r="L1143" t="str">
        <f>_xlfn.XLOOKUP(datos_ventas[[#This Row],[Provincia]],Tabla2[Provincias],Tabla2[Comunidades],"no se encuentra")</f>
        <v>Cataluña</v>
      </c>
      <c r="M1143" t="s">
        <v>13</v>
      </c>
      <c r="N1143">
        <v>2</v>
      </c>
    </row>
    <row r="1144" spans="1:14" x14ac:dyDescent="0.25">
      <c r="A1144">
        <v>2143</v>
      </c>
      <c r="B1144" s="1">
        <v>45788</v>
      </c>
      <c r="C1144" s="4">
        <f>MONTH(datos_ventas[[#This Row],[Fecha]])</f>
        <v>5</v>
      </c>
      <c r="D1144" s="4">
        <f>WEEKNUM(datos_ventas[[#This Row],[Fecha]],2)</f>
        <v>19</v>
      </c>
      <c r="E1144" t="s">
        <v>20</v>
      </c>
      <c r="F1144" t="s">
        <v>21</v>
      </c>
      <c r="G1144">
        <v>5</v>
      </c>
      <c r="H1144">
        <v>93908</v>
      </c>
      <c r="I1144">
        <v>1251</v>
      </c>
      <c r="J1144" t="s">
        <v>27</v>
      </c>
      <c r="K1144" t="str">
        <f>_xlfn.XLOOKUP(datos_ventas[[#This Row],[Ciudad]],Tabla2[Ciudades],Tabla2[Provincias],"no se encuentra")</f>
        <v>Sevilla</v>
      </c>
      <c r="L1144" t="str">
        <f>_xlfn.XLOOKUP(datos_ventas[[#This Row],[Provincia]],Tabla2[Provincias],Tabla2[Comunidades],"no se encuentra")</f>
        <v>Andalucía</v>
      </c>
      <c r="M1144" t="s">
        <v>19</v>
      </c>
      <c r="N1144">
        <v>3</v>
      </c>
    </row>
    <row r="1145" spans="1:14" x14ac:dyDescent="0.25">
      <c r="A1145">
        <v>2144</v>
      </c>
      <c r="B1145" s="1">
        <v>45778</v>
      </c>
      <c r="C1145" s="4">
        <f>MONTH(datos_ventas[[#This Row],[Fecha]])</f>
        <v>5</v>
      </c>
      <c r="D1145" s="4">
        <f>WEEKNUM(datos_ventas[[#This Row],[Fecha]],2)</f>
        <v>18</v>
      </c>
      <c r="E1145" t="s">
        <v>17</v>
      </c>
      <c r="F1145" t="s">
        <v>18</v>
      </c>
      <c r="G1145">
        <v>1</v>
      </c>
      <c r="H1145">
        <v>116555</v>
      </c>
      <c r="I1145">
        <v>1858</v>
      </c>
      <c r="J1145" t="s">
        <v>22</v>
      </c>
      <c r="K1145" t="str">
        <f>_xlfn.XLOOKUP(datos_ventas[[#This Row],[Ciudad]],Tabla2[Ciudades],Tabla2[Provincias],"no se encuentra")</f>
        <v>Valencia</v>
      </c>
      <c r="L1145" t="str">
        <f>_xlfn.XLOOKUP(datos_ventas[[#This Row],[Provincia]],Tabla2[Provincias],Tabla2[Comunidades],"no se encuentra")</f>
        <v>Comunidad Valenciana</v>
      </c>
      <c r="M1145" t="s">
        <v>28</v>
      </c>
      <c r="N1145">
        <v>3</v>
      </c>
    </row>
    <row r="1146" spans="1:14" x14ac:dyDescent="0.25">
      <c r="A1146">
        <v>2145</v>
      </c>
      <c r="B1146" s="1">
        <v>45672</v>
      </c>
      <c r="C1146" s="4">
        <f>MONTH(datos_ventas[[#This Row],[Fecha]])</f>
        <v>1</v>
      </c>
      <c r="D1146" s="4">
        <f>WEEKNUM(datos_ventas[[#This Row],[Fecha]],2)</f>
        <v>3</v>
      </c>
      <c r="E1146" t="s">
        <v>26</v>
      </c>
      <c r="F1146" t="s">
        <v>18</v>
      </c>
      <c r="G1146">
        <v>1</v>
      </c>
      <c r="H1146">
        <v>82886</v>
      </c>
      <c r="I1146">
        <v>2051</v>
      </c>
      <c r="J1146" t="s">
        <v>27</v>
      </c>
      <c r="K1146" t="str">
        <f>_xlfn.XLOOKUP(datos_ventas[[#This Row],[Ciudad]],Tabla2[Ciudades],Tabla2[Provincias],"no se encuentra")</f>
        <v>Sevilla</v>
      </c>
      <c r="L1146" t="str">
        <f>_xlfn.XLOOKUP(datos_ventas[[#This Row],[Provincia]],Tabla2[Provincias],Tabla2[Comunidades],"no se encuentra")</f>
        <v>Andalucía</v>
      </c>
      <c r="M1146" t="s">
        <v>15</v>
      </c>
      <c r="N1146">
        <v>1</v>
      </c>
    </row>
    <row r="1147" spans="1:14" x14ac:dyDescent="0.25">
      <c r="A1147">
        <v>2146</v>
      </c>
      <c r="B1147" s="1">
        <v>45899</v>
      </c>
      <c r="C1147" s="4">
        <f>MONTH(datos_ventas[[#This Row],[Fecha]])</f>
        <v>8</v>
      </c>
      <c r="D1147" s="4">
        <f>WEEKNUM(datos_ventas[[#This Row],[Fecha]],2)</f>
        <v>35</v>
      </c>
      <c r="E1147" t="s">
        <v>23</v>
      </c>
      <c r="F1147" t="s">
        <v>18</v>
      </c>
      <c r="G1147">
        <v>1</v>
      </c>
      <c r="H1147">
        <v>97962</v>
      </c>
      <c r="I1147">
        <v>1964</v>
      </c>
      <c r="J1147" t="s">
        <v>32</v>
      </c>
      <c r="K1147" t="str">
        <f>_xlfn.XLOOKUP(datos_ventas[[#This Row],[Ciudad]],Tabla2[Ciudades],Tabla2[Provincias],"no se encuentra")</f>
        <v>Barcelona</v>
      </c>
      <c r="L1147" t="str">
        <f>_xlfn.XLOOKUP(datos_ventas[[#This Row],[Provincia]],Tabla2[Provincias],Tabla2[Comunidades],"no se encuentra")</f>
        <v>Cataluña</v>
      </c>
      <c r="M1147" t="s">
        <v>19</v>
      </c>
      <c r="N1147">
        <v>4</v>
      </c>
    </row>
    <row r="1148" spans="1:14" x14ac:dyDescent="0.25">
      <c r="A1148">
        <v>2147</v>
      </c>
      <c r="B1148" s="1">
        <v>45848</v>
      </c>
      <c r="C1148" s="4">
        <f>MONTH(datos_ventas[[#This Row],[Fecha]])</f>
        <v>7</v>
      </c>
      <c r="D1148" s="4">
        <f>WEEKNUM(datos_ventas[[#This Row],[Fecha]],2)</f>
        <v>28</v>
      </c>
      <c r="E1148" t="s">
        <v>10</v>
      </c>
      <c r="F1148" t="s">
        <v>11</v>
      </c>
      <c r="G1148">
        <v>1</v>
      </c>
      <c r="H1148">
        <v>52569</v>
      </c>
      <c r="I1148">
        <v>400</v>
      </c>
      <c r="J1148" t="s">
        <v>27</v>
      </c>
      <c r="K1148" t="str">
        <f>_xlfn.XLOOKUP(datos_ventas[[#This Row],[Ciudad]],Tabla2[Ciudades],Tabla2[Provincias],"no se encuentra")</f>
        <v>Sevilla</v>
      </c>
      <c r="L1148" t="str">
        <f>_xlfn.XLOOKUP(datos_ventas[[#This Row],[Provincia]],Tabla2[Provincias],Tabla2[Comunidades],"no se encuentra")</f>
        <v>Andalucía</v>
      </c>
      <c r="M1148" t="s">
        <v>13</v>
      </c>
      <c r="N1148">
        <v>2</v>
      </c>
    </row>
    <row r="1149" spans="1:14" x14ac:dyDescent="0.25">
      <c r="A1149">
        <v>2148</v>
      </c>
      <c r="B1149" s="1">
        <v>45840</v>
      </c>
      <c r="C1149" s="4">
        <f>MONTH(datos_ventas[[#This Row],[Fecha]])</f>
        <v>7</v>
      </c>
      <c r="D1149" s="4">
        <f>WEEKNUM(datos_ventas[[#This Row],[Fecha]],2)</f>
        <v>27</v>
      </c>
      <c r="E1149" t="s">
        <v>26</v>
      </c>
      <c r="F1149" t="s">
        <v>18</v>
      </c>
      <c r="G1149">
        <v>3</v>
      </c>
      <c r="H1149">
        <v>53867</v>
      </c>
      <c r="I1149">
        <v>367</v>
      </c>
      <c r="J1149" t="s">
        <v>12</v>
      </c>
      <c r="K1149" t="str">
        <f>_xlfn.XLOOKUP(datos_ventas[[#This Row],[Ciudad]],Tabla2[Ciudades],Tabla2[Provincias],"no se encuentra")</f>
        <v>Málaga</v>
      </c>
      <c r="L1149" t="str">
        <f>_xlfn.XLOOKUP(datos_ventas[[#This Row],[Provincia]],Tabla2[Provincias],Tabla2[Comunidades],"no se encuentra")</f>
        <v>Andalucía</v>
      </c>
      <c r="M1149" t="s">
        <v>13</v>
      </c>
      <c r="N1149">
        <v>1</v>
      </c>
    </row>
    <row r="1150" spans="1:14" x14ac:dyDescent="0.25">
      <c r="A1150">
        <v>2149</v>
      </c>
      <c r="B1150" s="1">
        <v>45995</v>
      </c>
      <c r="C1150" s="4">
        <f>MONTH(datos_ventas[[#This Row],[Fecha]])</f>
        <v>12</v>
      </c>
      <c r="D1150" s="4">
        <f>WEEKNUM(datos_ventas[[#This Row],[Fecha]],2)</f>
        <v>49</v>
      </c>
      <c r="E1150" t="s">
        <v>29</v>
      </c>
      <c r="F1150" t="s">
        <v>30</v>
      </c>
      <c r="G1150">
        <v>1</v>
      </c>
      <c r="H1150">
        <v>109486</v>
      </c>
      <c r="I1150">
        <v>4162</v>
      </c>
      <c r="J1150" t="s">
        <v>27</v>
      </c>
      <c r="K1150" t="str">
        <f>_xlfn.XLOOKUP(datos_ventas[[#This Row],[Ciudad]],Tabla2[Ciudades],Tabla2[Provincias],"no se encuentra")</f>
        <v>Sevilla</v>
      </c>
      <c r="L1150" t="str">
        <f>_xlfn.XLOOKUP(datos_ventas[[#This Row],[Provincia]],Tabla2[Provincias],Tabla2[Comunidades],"no se encuentra")</f>
        <v>Andalucía</v>
      </c>
      <c r="M1150" t="s">
        <v>15</v>
      </c>
      <c r="N1150">
        <v>3</v>
      </c>
    </row>
    <row r="1151" spans="1:14" x14ac:dyDescent="0.25">
      <c r="A1151">
        <v>2150</v>
      </c>
      <c r="B1151" s="1">
        <v>45915</v>
      </c>
      <c r="C1151" s="4">
        <f>MONTH(datos_ventas[[#This Row],[Fecha]])</f>
        <v>9</v>
      </c>
      <c r="D1151" s="4">
        <f>WEEKNUM(datos_ventas[[#This Row],[Fecha]],2)</f>
        <v>38</v>
      </c>
      <c r="E1151" t="s">
        <v>20</v>
      </c>
      <c r="F1151" t="s">
        <v>21</v>
      </c>
      <c r="G1151">
        <v>2</v>
      </c>
      <c r="H1151">
        <v>69091</v>
      </c>
      <c r="I1151">
        <v>4129</v>
      </c>
      <c r="J1151" t="s">
        <v>27</v>
      </c>
      <c r="K1151" t="str">
        <f>_xlfn.XLOOKUP(datos_ventas[[#This Row],[Ciudad]],Tabla2[Ciudades],Tabla2[Provincias],"no se encuentra")</f>
        <v>Sevilla</v>
      </c>
      <c r="L1151" t="str">
        <f>_xlfn.XLOOKUP(datos_ventas[[#This Row],[Provincia]],Tabla2[Provincias],Tabla2[Comunidades],"no se encuentra")</f>
        <v>Andalucía</v>
      </c>
      <c r="M1151" t="s">
        <v>15</v>
      </c>
      <c r="N1151">
        <v>1</v>
      </c>
    </row>
    <row r="1152" spans="1:14" x14ac:dyDescent="0.25">
      <c r="A1152">
        <v>2151</v>
      </c>
      <c r="B1152" s="1">
        <v>45963</v>
      </c>
      <c r="C1152" s="4">
        <f>MONTH(datos_ventas[[#This Row],[Fecha]])</f>
        <v>11</v>
      </c>
      <c r="D1152" s="4">
        <f>WEEKNUM(datos_ventas[[#This Row],[Fecha]],2)</f>
        <v>44</v>
      </c>
      <c r="E1152" t="s">
        <v>26</v>
      </c>
      <c r="F1152" t="s">
        <v>18</v>
      </c>
      <c r="G1152">
        <v>5</v>
      </c>
      <c r="H1152">
        <v>25843</v>
      </c>
      <c r="I1152">
        <v>2381</v>
      </c>
      <c r="J1152" t="s">
        <v>32</v>
      </c>
      <c r="K1152" t="str">
        <f>_xlfn.XLOOKUP(datos_ventas[[#This Row],[Ciudad]],Tabla2[Ciudades],Tabla2[Provincias],"no se encuentra")</f>
        <v>Barcelona</v>
      </c>
      <c r="L1152" t="str">
        <f>_xlfn.XLOOKUP(datos_ventas[[#This Row],[Provincia]],Tabla2[Provincias],Tabla2[Comunidades],"no se encuentra")</f>
        <v>Cataluña</v>
      </c>
      <c r="M1152" t="s">
        <v>19</v>
      </c>
      <c r="N1152">
        <v>2</v>
      </c>
    </row>
    <row r="1153" spans="1:14" x14ac:dyDescent="0.25">
      <c r="A1153">
        <v>2152</v>
      </c>
      <c r="B1153" s="1">
        <v>45866</v>
      </c>
      <c r="C1153" s="4">
        <f>MONTH(datos_ventas[[#This Row],[Fecha]])</f>
        <v>7</v>
      </c>
      <c r="D1153" s="4">
        <f>WEEKNUM(datos_ventas[[#This Row],[Fecha]],2)</f>
        <v>31</v>
      </c>
      <c r="E1153" t="s">
        <v>17</v>
      </c>
      <c r="F1153" t="s">
        <v>18</v>
      </c>
      <c r="G1153">
        <v>5</v>
      </c>
      <c r="H1153">
        <v>115072</v>
      </c>
      <c r="I1153">
        <v>607</v>
      </c>
      <c r="J1153" t="s">
        <v>31</v>
      </c>
      <c r="K1153" t="str">
        <f>_xlfn.XLOOKUP(datos_ventas[[#This Row],[Ciudad]],Tabla2[Ciudades],Tabla2[Provincias],"no se encuentra")</f>
        <v>Vizcaya</v>
      </c>
      <c r="L1153" t="str">
        <f>_xlfn.XLOOKUP(datos_ventas[[#This Row],[Provincia]],Tabla2[Provincias],Tabla2[Comunidades],"no se encuentra")</f>
        <v>País Vasco</v>
      </c>
      <c r="M1153" t="s">
        <v>13</v>
      </c>
      <c r="N1153">
        <v>3</v>
      </c>
    </row>
    <row r="1154" spans="1:14" x14ac:dyDescent="0.25">
      <c r="A1154">
        <v>2153</v>
      </c>
      <c r="B1154" s="1">
        <v>45776</v>
      </c>
      <c r="C1154" s="4">
        <f>MONTH(datos_ventas[[#This Row],[Fecha]])</f>
        <v>4</v>
      </c>
      <c r="D1154" s="4">
        <f>WEEKNUM(datos_ventas[[#This Row],[Fecha]],2)</f>
        <v>18</v>
      </c>
      <c r="E1154" t="s">
        <v>24</v>
      </c>
      <c r="F1154" t="s">
        <v>25</v>
      </c>
      <c r="G1154">
        <v>5</v>
      </c>
      <c r="H1154">
        <v>90194</v>
      </c>
      <c r="I1154">
        <v>1524</v>
      </c>
      <c r="J1154" t="s">
        <v>12</v>
      </c>
      <c r="K1154" t="str">
        <f>_xlfn.XLOOKUP(datos_ventas[[#This Row],[Ciudad]],Tabla2[Ciudades],Tabla2[Provincias],"no se encuentra")</f>
        <v>Málaga</v>
      </c>
      <c r="L1154" t="str">
        <f>_xlfn.XLOOKUP(datos_ventas[[#This Row],[Provincia]],Tabla2[Provincias],Tabla2[Comunidades],"no se encuentra")</f>
        <v>Andalucía</v>
      </c>
      <c r="M1154" t="s">
        <v>13</v>
      </c>
      <c r="N1154">
        <v>3</v>
      </c>
    </row>
    <row r="1155" spans="1:14" x14ac:dyDescent="0.25">
      <c r="A1155">
        <v>2154</v>
      </c>
      <c r="B1155" s="1">
        <v>45962</v>
      </c>
      <c r="C1155" s="4">
        <f>MONTH(datos_ventas[[#This Row],[Fecha]])</f>
        <v>11</v>
      </c>
      <c r="D1155" s="4">
        <f>WEEKNUM(datos_ventas[[#This Row],[Fecha]],2)</f>
        <v>44</v>
      </c>
      <c r="E1155" t="s">
        <v>24</v>
      </c>
      <c r="F1155" t="s">
        <v>25</v>
      </c>
      <c r="G1155">
        <v>2</v>
      </c>
      <c r="H1155">
        <v>89589</v>
      </c>
      <c r="I1155">
        <v>2627</v>
      </c>
      <c r="J1155" t="s">
        <v>14</v>
      </c>
      <c r="K1155" t="str">
        <f>_xlfn.XLOOKUP(datos_ventas[[#This Row],[Ciudad]],Tabla2[Ciudades],Tabla2[Provincias],"no se encuentra")</f>
        <v>Madrid</v>
      </c>
      <c r="L1155" t="str">
        <f>_xlfn.XLOOKUP(datos_ventas[[#This Row],[Provincia]],Tabla2[Provincias],Tabla2[Comunidades],"no se encuentra")</f>
        <v>Comunidad de Madrid</v>
      </c>
      <c r="M1155" t="s">
        <v>13</v>
      </c>
      <c r="N1155">
        <v>4</v>
      </c>
    </row>
    <row r="1156" spans="1:14" x14ac:dyDescent="0.25">
      <c r="A1156">
        <v>2155</v>
      </c>
      <c r="B1156" s="1">
        <v>45964</v>
      </c>
      <c r="C1156" s="4">
        <f>MONTH(datos_ventas[[#This Row],[Fecha]])</f>
        <v>11</v>
      </c>
      <c r="D1156" s="4">
        <f>WEEKNUM(datos_ventas[[#This Row],[Fecha]],2)</f>
        <v>45</v>
      </c>
      <c r="E1156" t="s">
        <v>16</v>
      </c>
      <c r="F1156" t="s">
        <v>11</v>
      </c>
      <c r="G1156">
        <v>2</v>
      </c>
      <c r="H1156">
        <v>13437</v>
      </c>
      <c r="I1156">
        <v>4858</v>
      </c>
      <c r="J1156" t="s">
        <v>14</v>
      </c>
      <c r="K1156" t="str">
        <f>_xlfn.XLOOKUP(datos_ventas[[#This Row],[Ciudad]],Tabla2[Ciudades],Tabla2[Provincias],"no se encuentra")</f>
        <v>Madrid</v>
      </c>
      <c r="L1156" t="str">
        <f>_xlfn.XLOOKUP(datos_ventas[[#This Row],[Provincia]],Tabla2[Provincias],Tabla2[Comunidades],"no se encuentra")</f>
        <v>Comunidad de Madrid</v>
      </c>
      <c r="M1156" t="s">
        <v>15</v>
      </c>
      <c r="N1156">
        <v>1</v>
      </c>
    </row>
    <row r="1157" spans="1:14" x14ac:dyDescent="0.25">
      <c r="A1157">
        <v>2156</v>
      </c>
      <c r="B1157" s="1">
        <v>45930</v>
      </c>
      <c r="C1157" s="4">
        <f>MONTH(datos_ventas[[#This Row],[Fecha]])</f>
        <v>9</v>
      </c>
      <c r="D1157" s="4">
        <f>WEEKNUM(datos_ventas[[#This Row],[Fecha]],2)</f>
        <v>40</v>
      </c>
      <c r="E1157" t="s">
        <v>23</v>
      </c>
      <c r="F1157" t="s">
        <v>18</v>
      </c>
      <c r="G1157">
        <v>3</v>
      </c>
      <c r="H1157">
        <v>116912</v>
      </c>
      <c r="I1157">
        <v>3657</v>
      </c>
      <c r="J1157" t="s">
        <v>27</v>
      </c>
      <c r="K1157" t="str">
        <f>_xlfn.XLOOKUP(datos_ventas[[#This Row],[Ciudad]],Tabla2[Ciudades],Tabla2[Provincias],"no se encuentra")</f>
        <v>Sevilla</v>
      </c>
      <c r="L1157" t="str">
        <f>_xlfn.XLOOKUP(datos_ventas[[#This Row],[Provincia]],Tabla2[Provincias],Tabla2[Comunidades],"no se encuentra")</f>
        <v>Andalucía</v>
      </c>
      <c r="M1157" t="s">
        <v>15</v>
      </c>
      <c r="N1157">
        <v>5</v>
      </c>
    </row>
    <row r="1158" spans="1:14" x14ac:dyDescent="0.25">
      <c r="A1158">
        <v>2157</v>
      </c>
      <c r="B1158" s="1">
        <v>45786</v>
      </c>
      <c r="C1158" s="4">
        <f>MONTH(datos_ventas[[#This Row],[Fecha]])</f>
        <v>5</v>
      </c>
      <c r="D1158" s="4">
        <f>WEEKNUM(datos_ventas[[#This Row],[Fecha]],2)</f>
        <v>19</v>
      </c>
      <c r="E1158" t="s">
        <v>16</v>
      </c>
      <c r="F1158" t="s">
        <v>11</v>
      </c>
      <c r="G1158">
        <v>2</v>
      </c>
      <c r="H1158">
        <v>104509</v>
      </c>
      <c r="I1158">
        <v>1022</v>
      </c>
      <c r="J1158" t="s">
        <v>12</v>
      </c>
      <c r="K1158" t="str">
        <f>_xlfn.XLOOKUP(datos_ventas[[#This Row],[Ciudad]],Tabla2[Ciudades],Tabla2[Provincias],"no se encuentra")</f>
        <v>Málaga</v>
      </c>
      <c r="L1158" t="str">
        <f>_xlfn.XLOOKUP(datos_ventas[[#This Row],[Provincia]],Tabla2[Provincias],Tabla2[Comunidades],"no se encuentra")</f>
        <v>Andalucía</v>
      </c>
      <c r="M1158" t="s">
        <v>19</v>
      </c>
      <c r="N1158">
        <v>2</v>
      </c>
    </row>
    <row r="1159" spans="1:14" x14ac:dyDescent="0.25">
      <c r="A1159">
        <v>2158</v>
      </c>
      <c r="B1159" s="1">
        <v>45899</v>
      </c>
      <c r="C1159" s="4">
        <f>MONTH(datos_ventas[[#This Row],[Fecha]])</f>
        <v>8</v>
      </c>
      <c r="D1159" s="4">
        <f>WEEKNUM(datos_ventas[[#This Row],[Fecha]],2)</f>
        <v>35</v>
      </c>
      <c r="E1159" t="s">
        <v>26</v>
      </c>
      <c r="F1159" t="s">
        <v>18</v>
      </c>
      <c r="G1159">
        <v>5</v>
      </c>
      <c r="H1159">
        <v>13485</v>
      </c>
      <c r="I1159">
        <v>2677</v>
      </c>
      <c r="J1159" t="s">
        <v>12</v>
      </c>
      <c r="K1159" t="str">
        <f>_xlfn.XLOOKUP(datos_ventas[[#This Row],[Ciudad]],Tabla2[Ciudades],Tabla2[Provincias],"no se encuentra")</f>
        <v>Málaga</v>
      </c>
      <c r="L1159" t="str">
        <f>_xlfn.XLOOKUP(datos_ventas[[#This Row],[Provincia]],Tabla2[Provincias],Tabla2[Comunidades],"no se encuentra")</f>
        <v>Andalucía</v>
      </c>
      <c r="M1159" t="s">
        <v>19</v>
      </c>
      <c r="N1159">
        <v>3</v>
      </c>
    </row>
    <row r="1160" spans="1:14" x14ac:dyDescent="0.25">
      <c r="A1160">
        <v>2159</v>
      </c>
      <c r="B1160" s="1">
        <v>45729</v>
      </c>
      <c r="C1160" s="4">
        <f>MONTH(datos_ventas[[#This Row],[Fecha]])</f>
        <v>3</v>
      </c>
      <c r="D1160" s="4">
        <f>WEEKNUM(datos_ventas[[#This Row],[Fecha]],2)</f>
        <v>11</v>
      </c>
      <c r="E1160" t="s">
        <v>16</v>
      </c>
      <c r="F1160" t="s">
        <v>11</v>
      </c>
      <c r="G1160">
        <v>5</v>
      </c>
      <c r="H1160">
        <v>119388</v>
      </c>
      <c r="I1160">
        <v>688</v>
      </c>
      <c r="J1160" t="s">
        <v>32</v>
      </c>
      <c r="K1160" t="str">
        <f>_xlfn.XLOOKUP(datos_ventas[[#This Row],[Ciudad]],Tabla2[Ciudades],Tabla2[Provincias],"no se encuentra")</f>
        <v>Barcelona</v>
      </c>
      <c r="L1160" t="str">
        <f>_xlfn.XLOOKUP(datos_ventas[[#This Row],[Provincia]],Tabla2[Provincias],Tabla2[Comunidades],"no se encuentra")</f>
        <v>Cataluña</v>
      </c>
      <c r="M1160" t="s">
        <v>15</v>
      </c>
      <c r="N1160">
        <v>3</v>
      </c>
    </row>
    <row r="1161" spans="1:14" x14ac:dyDescent="0.25">
      <c r="A1161">
        <v>2160</v>
      </c>
      <c r="B1161" s="1">
        <v>45967</v>
      </c>
      <c r="C1161" s="4">
        <f>MONTH(datos_ventas[[#This Row],[Fecha]])</f>
        <v>11</v>
      </c>
      <c r="D1161" s="4">
        <f>WEEKNUM(datos_ventas[[#This Row],[Fecha]],2)</f>
        <v>45</v>
      </c>
      <c r="E1161" t="s">
        <v>10</v>
      </c>
      <c r="F1161" t="s">
        <v>11</v>
      </c>
      <c r="G1161">
        <v>5</v>
      </c>
      <c r="H1161">
        <v>111309</v>
      </c>
      <c r="I1161">
        <v>963</v>
      </c>
      <c r="J1161" t="s">
        <v>14</v>
      </c>
      <c r="K1161" t="str">
        <f>_xlfn.XLOOKUP(datos_ventas[[#This Row],[Ciudad]],Tabla2[Ciudades],Tabla2[Provincias],"no se encuentra")</f>
        <v>Madrid</v>
      </c>
      <c r="L1161" t="str">
        <f>_xlfn.XLOOKUP(datos_ventas[[#This Row],[Provincia]],Tabla2[Provincias],Tabla2[Comunidades],"no se encuentra")</f>
        <v>Comunidad de Madrid</v>
      </c>
      <c r="M1161" t="s">
        <v>28</v>
      </c>
      <c r="N1161">
        <v>4</v>
      </c>
    </row>
    <row r="1162" spans="1:14" x14ac:dyDescent="0.25">
      <c r="A1162">
        <v>2161</v>
      </c>
      <c r="B1162" s="1">
        <v>45794</v>
      </c>
      <c r="C1162" s="4">
        <f>MONTH(datos_ventas[[#This Row],[Fecha]])</f>
        <v>5</v>
      </c>
      <c r="D1162" s="4">
        <f>WEEKNUM(datos_ventas[[#This Row],[Fecha]],2)</f>
        <v>20</v>
      </c>
      <c r="E1162" t="s">
        <v>24</v>
      </c>
      <c r="F1162" t="s">
        <v>25</v>
      </c>
      <c r="G1162">
        <v>1</v>
      </c>
      <c r="H1162">
        <v>78024</v>
      </c>
      <c r="I1162">
        <v>3173</v>
      </c>
      <c r="J1162" t="s">
        <v>27</v>
      </c>
      <c r="K1162" t="str">
        <f>_xlfn.XLOOKUP(datos_ventas[[#This Row],[Ciudad]],Tabla2[Ciudades],Tabla2[Provincias],"no se encuentra")</f>
        <v>Sevilla</v>
      </c>
      <c r="L1162" t="str">
        <f>_xlfn.XLOOKUP(datos_ventas[[#This Row],[Provincia]],Tabla2[Provincias],Tabla2[Comunidades],"no se encuentra")</f>
        <v>Andalucía</v>
      </c>
      <c r="M1162" t="s">
        <v>28</v>
      </c>
      <c r="N1162">
        <v>3</v>
      </c>
    </row>
    <row r="1163" spans="1:14" x14ac:dyDescent="0.25">
      <c r="A1163">
        <v>2162</v>
      </c>
      <c r="B1163" s="1">
        <v>45872</v>
      </c>
      <c r="C1163" s="4">
        <f>MONTH(datos_ventas[[#This Row],[Fecha]])</f>
        <v>8</v>
      </c>
      <c r="D1163" s="4">
        <f>WEEKNUM(datos_ventas[[#This Row],[Fecha]],2)</f>
        <v>31</v>
      </c>
      <c r="E1163" t="s">
        <v>24</v>
      </c>
      <c r="F1163" t="s">
        <v>25</v>
      </c>
      <c r="G1163">
        <v>2</v>
      </c>
      <c r="H1163">
        <v>42981</v>
      </c>
      <c r="I1163">
        <v>1056</v>
      </c>
      <c r="J1163" t="s">
        <v>27</v>
      </c>
      <c r="K1163" t="str">
        <f>_xlfn.XLOOKUP(datos_ventas[[#This Row],[Ciudad]],Tabla2[Ciudades],Tabla2[Provincias],"no se encuentra")</f>
        <v>Sevilla</v>
      </c>
      <c r="L1163" t="str">
        <f>_xlfn.XLOOKUP(datos_ventas[[#This Row],[Provincia]],Tabla2[Provincias],Tabla2[Comunidades],"no se encuentra")</f>
        <v>Andalucía</v>
      </c>
      <c r="M1163" t="s">
        <v>13</v>
      </c>
      <c r="N1163">
        <v>2</v>
      </c>
    </row>
    <row r="1164" spans="1:14" x14ac:dyDescent="0.25">
      <c r="A1164">
        <v>2163</v>
      </c>
      <c r="B1164" s="1">
        <v>45987</v>
      </c>
      <c r="C1164" s="4">
        <f>MONTH(datos_ventas[[#This Row],[Fecha]])</f>
        <v>11</v>
      </c>
      <c r="D1164" s="4">
        <f>WEEKNUM(datos_ventas[[#This Row],[Fecha]],2)</f>
        <v>48</v>
      </c>
      <c r="E1164" t="s">
        <v>24</v>
      </c>
      <c r="F1164" t="s">
        <v>25</v>
      </c>
      <c r="G1164">
        <v>4</v>
      </c>
      <c r="H1164">
        <v>10799</v>
      </c>
      <c r="I1164">
        <v>1348</v>
      </c>
      <c r="J1164" t="s">
        <v>27</v>
      </c>
      <c r="K1164" t="str">
        <f>_xlfn.XLOOKUP(datos_ventas[[#This Row],[Ciudad]],Tabla2[Ciudades],Tabla2[Provincias],"no se encuentra")</f>
        <v>Sevilla</v>
      </c>
      <c r="L1164" t="str">
        <f>_xlfn.XLOOKUP(datos_ventas[[#This Row],[Provincia]],Tabla2[Provincias],Tabla2[Comunidades],"no se encuentra")</f>
        <v>Andalucía</v>
      </c>
      <c r="M1164" t="s">
        <v>13</v>
      </c>
      <c r="N1164">
        <v>3</v>
      </c>
    </row>
    <row r="1165" spans="1:14" x14ac:dyDescent="0.25">
      <c r="A1165">
        <v>2164</v>
      </c>
      <c r="B1165" s="1">
        <v>45909</v>
      </c>
      <c r="C1165" s="4">
        <f>MONTH(datos_ventas[[#This Row],[Fecha]])</f>
        <v>9</v>
      </c>
      <c r="D1165" s="4">
        <f>WEEKNUM(datos_ventas[[#This Row],[Fecha]],2)</f>
        <v>37</v>
      </c>
      <c r="E1165" t="s">
        <v>16</v>
      </c>
      <c r="F1165" t="s">
        <v>11</v>
      </c>
      <c r="G1165">
        <v>1</v>
      </c>
      <c r="H1165">
        <v>85203</v>
      </c>
      <c r="I1165">
        <v>2961</v>
      </c>
      <c r="J1165" t="s">
        <v>27</v>
      </c>
      <c r="K1165" t="str">
        <f>_xlfn.XLOOKUP(datos_ventas[[#This Row],[Ciudad]],Tabla2[Ciudades],Tabla2[Provincias],"no se encuentra")</f>
        <v>Sevilla</v>
      </c>
      <c r="L1165" t="str">
        <f>_xlfn.XLOOKUP(datos_ventas[[#This Row],[Provincia]],Tabla2[Provincias],Tabla2[Comunidades],"no se encuentra")</f>
        <v>Andalucía</v>
      </c>
      <c r="M1165" t="s">
        <v>28</v>
      </c>
      <c r="N1165">
        <v>2</v>
      </c>
    </row>
    <row r="1166" spans="1:14" x14ac:dyDescent="0.25">
      <c r="A1166">
        <v>2165</v>
      </c>
      <c r="B1166" s="1">
        <v>45931</v>
      </c>
      <c r="C1166" s="4">
        <f>MONTH(datos_ventas[[#This Row],[Fecha]])</f>
        <v>10</v>
      </c>
      <c r="D1166" s="4">
        <f>WEEKNUM(datos_ventas[[#This Row],[Fecha]],2)</f>
        <v>40</v>
      </c>
      <c r="E1166" t="s">
        <v>20</v>
      </c>
      <c r="F1166" t="s">
        <v>21</v>
      </c>
      <c r="G1166">
        <v>1</v>
      </c>
      <c r="H1166">
        <v>15982</v>
      </c>
      <c r="I1166">
        <v>1687</v>
      </c>
      <c r="J1166" t="s">
        <v>31</v>
      </c>
      <c r="K1166" t="str">
        <f>_xlfn.XLOOKUP(datos_ventas[[#This Row],[Ciudad]],Tabla2[Ciudades],Tabla2[Provincias],"no se encuentra")</f>
        <v>Vizcaya</v>
      </c>
      <c r="L1166" t="str">
        <f>_xlfn.XLOOKUP(datos_ventas[[#This Row],[Provincia]],Tabla2[Provincias],Tabla2[Comunidades],"no se encuentra")</f>
        <v>País Vasco</v>
      </c>
      <c r="M1166" t="s">
        <v>13</v>
      </c>
      <c r="N1166">
        <v>2</v>
      </c>
    </row>
    <row r="1167" spans="1:14" x14ac:dyDescent="0.25">
      <c r="A1167">
        <v>2166</v>
      </c>
      <c r="B1167" s="1">
        <v>46019</v>
      </c>
      <c r="C1167" s="4">
        <f>MONTH(datos_ventas[[#This Row],[Fecha]])</f>
        <v>12</v>
      </c>
      <c r="D1167" s="4">
        <f>WEEKNUM(datos_ventas[[#This Row],[Fecha]],2)</f>
        <v>52</v>
      </c>
      <c r="E1167" t="s">
        <v>24</v>
      </c>
      <c r="F1167" t="s">
        <v>25</v>
      </c>
      <c r="G1167">
        <v>1</v>
      </c>
      <c r="H1167">
        <v>90574</v>
      </c>
      <c r="I1167">
        <v>3584</v>
      </c>
      <c r="J1167" t="s">
        <v>14</v>
      </c>
      <c r="K1167" t="str">
        <f>_xlfn.XLOOKUP(datos_ventas[[#This Row],[Ciudad]],Tabla2[Ciudades],Tabla2[Provincias],"no se encuentra")</f>
        <v>Madrid</v>
      </c>
      <c r="L1167" t="str">
        <f>_xlfn.XLOOKUP(datos_ventas[[#This Row],[Provincia]],Tabla2[Provincias],Tabla2[Comunidades],"no se encuentra")</f>
        <v>Comunidad de Madrid</v>
      </c>
      <c r="M1167" t="s">
        <v>28</v>
      </c>
      <c r="N1167">
        <v>2</v>
      </c>
    </row>
    <row r="1168" spans="1:14" x14ac:dyDescent="0.25">
      <c r="A1168">
        <v>2167</v>
      </c>
      <c r="B1168" s="1">
        <v>45705</v>
      </c>
      <c r="C1168" s="4">
        <f>MONTH(datos_ventas[[#This Row],[Fecha]])</f>
        <v>2</v>
      </c>
      <c r="D1168" s="4">
        <f>WEEKNUM(datos_ventas[[#This Row],[Fecha]],2)</f>
        <v>8</v>
      </c>
      <c r="E1168" t="s">
        <v>26</v>
      </c>
      <c r="F1168" t="s">
        <v>18</v>
      </c>
      <c r="G1168">
        <v>3</v>
      </c>
      <c r="H1168">
        <v>10712</v>
      </c>
      <c r="I1168">
        <v>2165</v>
      </c>
      <c r="J1168" t="s">
        <v>12</v>
      </c>
      <c r="K1168" t="str">
        <f>_xlfn.XLOOKUP(datos_ventas[[#This Row],[Ciudad]],Tabla2[Ciudades],Tabla2[Provincias],"no se encuentra")</f>
        <v>Málaga</v>
      </c>
      <c r="L1168" t="str">
        <f>_xlfn.XLOOKUP(datos_ventas[[#This Row],[Provincia]],Tabla2[Provincias],Tabla2[Comunidades],"no se encuentra")</f>
        <v>Andalucía</v>
      </c>
      <c r="M1168" t="s">
        <v>28</v>
      </c>
      <c r="N1168">
        <v>2</v>
      </c>
    </row>
    <row r="1169" spans="1:14" x14ac:dyDescent="0.25">
      <c r="A1169">
        <v>2168</v>
      </c>
      <c r="B1169" s="1">
        <v>45882</v>
      </c>
      <c r="C1169" s="4">
        <f>MONTH(datos_ventas[[#This Row],[Fecha]])</f>
        <v>8</v>
      </c>
      <c r="D1169" s="4">
        <f>WEEKNUM(datos_ventas[[#This Row],[Fecha]],2)</f>
        <v>33</v>
      </c>
      <c r="E1169" t="s">
        <v>10</v>
      </c>
      <c r="F1169" t="s">
        <v>11</v>
      </c>
      <c r="G1169">
        <v>4</v>
      </c>
      <c r="H1169">
        <v>52921</v>
      </c>
      <c r="I1169">
        <v>2457</v>
      </c>
      <c r="J1169" t="s">
        <v>27</v>
      </c>
      <c r="K1169" t="str">
        <f>_xlfn.XLOOKUP(datos_ventas[[#This Row],[Ciudad]],Tabla2[Ciudades],Tabla2[Provincias],"no se encuentra")</f>
        <v>Sevilla</v>
      </c>
      <c r="L1169" t="str">
        <f>_xlfn.XLOOKUP(datos_ventas[[#This Row],[Provincia]],Tabla2[Provincias],Tabla2[Comunidades],"no se encuentra")</f>
        <v>Andalucía</v>
      </c>
      <c r="M1169" t="s">
        <v>13</v>
      </c>
      <c r="N1169">
        <v>4</v>
      </c>
    </row>
    <row r="1170" spans="1:14" x14ac:dyDescent="0.25">
      <c r="A1170">
        <v>2169</v>
      </c>
      <c r="B1170" s="1">
        <v>45664</v>
      </c>
      <c r="C1170" s="4">
        <f>MONTH(datos_ventas[[#This Row],[Fecha]])</f>
        <v>1</v>
      </c>
      <c r="D1170" s="4">
        <f>WEEKNUM(datos_ventas[[#This Row],[Fecha]],2)</f>
        <v>2</v>
      </c>
      <c r="E1170" t="s">
        <v>16</v>
      </c>
      <c r="F1170" t="s">
        <v>11</v>
      </c>
      <c r="G1170">
        <v>3</v>
      </c>
      <c r="H1170">
        <v>110973</v>
      </c>
      <c r="I1170">
        <v>2621</v>
      </c>
      <c r="J1170" t="s">
        <v>14</v>
      </c>
      <c r="K1170" t="str">
        <f>_xlfn.XLOOKUP(datos_ventas[[#This Row],[Ciudad]],Tabla2[Ciudades],Tabla2[Provincias],"no se encuentra")</f>
        <v>Madrid</v>
      </c>
      <c r="L1170" t="str">
        <f>_xlfn.XLOOKUP(datos_ventas[[#This Row],[Provincia]],Tabla2[Provincias],Tabla2[Comunidades],"no se encuentra")</f>
        <v>Comunidad de Madrid</v>
      </c>
      <c r="M1170" t="s">
        <v>19</v>
      </c>
      <c r="N1170">
        <v>2</v>
      </c>
    </row>
    <row r="1171" spans="1:14" x14ac:dyDescent="0.25">
      <c r="A1171">
        <v>2170</v>
      </c>
      <c r="B1171" s="1">
        <v>45847</v>
      </c>
      <c r="C1171" s="4">
        <f>MONTH(datos_ventas[[#This Row],[Fecha]])</f>
        <v>7</v>
      </c>
      <c r="D1171" s="4">
        <f>WEEKNUM(datos_ventas[[#This Row],[Fecha]],2)</f>
        <v>28</v>
      </c>
      <c r="E1171" t="s">
        <v>29</v>
      </c>
      <c r="F1171" t="s">
        <v>30</v>
      </c>
      <c r="G1171">
        <v>5</v>
      </c>
      <c r="H1171">
        <v>26896</v>
      </c>
      <c r="I1171">
        <v>2938</v>
      </c>
      <c r="J1171" t="s">
        <v>27</v>
      </c>
      <c r="K1171" t="str">
        <f>_xlfn.XLOOKUP(datos_ventas[[#This Row],[Ciudad]],Tabla2[Ciudades],Tabla2[Provincias],"no se encuentra")</f>
        <v>Sevilla</v>
      </c>
      <c r="L1171" t="str">
        <f>_xlfn.XLOOKUP(datos_ventas[[#This Row],[Provincia]],Tabla2[Provincias],Tabla2[Comunidades],"no se encuentra")</f>
        <v>Andalucía</v>
      </c>
      <c r="M1171" t="s">
        <v>28</v>
      </c>
      <c r="N1171">
        <v>4</v>
      </c>
    </row>
    <row r="1172" spans="1:14" x14ac:dyDescent="0.25">
      <c r="A1172">
        <v>2171</v>
      </c>
      <c r="B1172" s="1">
        <v>45912</v>
      </c>
      <c r="C1172" s="4">
        <f>MONTH(datos_ventas[[#This Row],[Fecha]])</f>
        <v>9</v>
      </c>
      <c r="D1172" s="4">
        <f>WEEKNUM(datos_ventas[[#This Row],[Fecha]],2)</f>
        <v>37</v>
      </c>
      <c r="E1172" t="s">
        <v>29</v>
      </c>
      <c r="F1172" t="s">
        <v>30</v>
      </c>
      <c r="G1172">
        <v>5</v>
      </c>
      <c r="H1172">
        <v>58232</v>
      </c>
      <c r="I1172">
        <v>4143</v>
      </c>
      <c r="J1172" t="s">
        <v>12</v>
      </c>
      <c r="K1172" t="str">
        <f>_xlfn.XLOOKUP(datos_ventas[[#This Row],[Ciudad]],Tabla2[Ciudades],Tabla2[Provincias],"no se encuentra")</f>
        <v>Málaga</v>
      </c>
      <c r="L1172" t="str">
        <f>_xlfn.XLOOKUP(datos_ventas[[#This Row],[Provincia]],Tabla2[Provincias],Tabla2[Comunidades],"no se encuentra")</f>
        <v>Andalucía</v>
      </c>
      <c r="M1172" t="s">
        <v>28</v>
      </c>
      <c r="N1172">
        <v>2</v>
      </c>
    </row>
    <row r="1173" spans="1:14" x14ac:dyDescent="0.25">
      <c r="A1173">
        <v>2172</v>
      </c>
      <c r="B1173" s="1">
        <v>45767</v>
      </c>
      <c r="C1173" s="4">
        <f>MONTH(datos_ventas[[#This Row],[Fecha]])</f>
        <v>4</v>
      </c>
      <c r="D1173" s="4">
        <f>WEEKNUM(datos_ventas[[#This Row],[Fecha]],2)</f>
        <v>16</v>
      </c>
      <c r="E1173" t="s">
        <v>26</v>
      </c>
      <c r="F1173" t="s">
        <v>18</v>
      </c>
      <c r="G1173">
        <v>2</v>
      </c>
      <c r="H1173">
        <v>81323</v>
      </c>
      <c r="I1173">
        <v>4349</v>
      </c>
      <c r="J1173" t="s">
        <v>12</v>
      </c>
      <c r="K1173" t="str">
        <f>_xlfn.XLOOKUP(datos_ventas[[#This Row],[Ciudad]],Tabla2[Ciudades],Tabla2[Provincias],"no se encuentra")</f>
        <v>Málaga</v>
      </c>
      <c r="L1173" t="str">
        <f>_xlfn.XLOOKUP(datos_ventas[[#This Row],[Provincia]],Tabla2[Provincias],Tabla2[Comunidades],"no se encuentra")</f>
        <v>Andalucía</v>
      </c>
      <c r="M1173" t="s">
        <v>19</v>
      </c>
      <c r="N1173">
        <v>1</v>
      </c>
    </row>
    <row r="1174" spans="1:14" x14ac:dyDescent="0.25">
      <c r="A1174">
        <v>2173</v>
      </c>
      <c r="B1174" s="1">
        <v>45701</v>
      </c>
      <c r="C1174" s="4">
        <f>MONTH(datos_ventas[[#This Row],[Fecha]])</f>
        <v>2</v>
      </c>
      <c r="D1174" s="4">
        <f>WEEKNUM(datos_ventas[[#This Row],[Fecha]],2)</f>
        <v>7</v>
      </c>
      <c r="E1174" t="s">
        <v>20</v>
      </c>
      <c r="F1174" t="s">
        <v>21</v>
      </c>
      <c r="G1174">
        <v>5</v>
      </c>
      <c r="H1174">
        <v>18702</v>
      </c>
      <c r="I1174">
        <v>1787</v>
      </c>
      <c r="J1174" t="s">
        <v>22</v>
      </c>
      <c r="K1174" t="str">
        <f>_xlfn.XLOOKUP(datos_ventas[[#This Row],[Ciudad]],Tabla2[Ciudades],Tabla2[Provincias],"no se encuentra")</f>
        <v>Valencia</v>
      </c>
      <c r="L1174" t="str">
        <f>_xlfn.XLOOKUP(datos_ventas[[#This Row],[Provincia]],Tabla2[Provincias],Tabla2[Comunidades],"no se encuentra")</f>
        <v>Comunidad Valenciana</v>
      </c>
      <c r="M1174" t="s">
        <v>13</v>
      </c>
      <c r="N1174">
        <v>4</v>
      </c>
    </row>
    <row r="1175" spans="1:14" x14ac:dyDescent="0.25">
      <c r="A1175">
        <v>2174</v>
      </c>
      <c r="B1175" s="1">
        <v>45951</v>
      </c>
      <c r="C1175" s="4">
        <f>MONTH(datos_ventas[[#This Row],[Fecha]])</f>
        <v>10</v>
      </c>
      <c r="D1175" s="4">
        <f>WEEKNUM(datos_ventas[[#This Row],[Fecha]],2)</f>
        <v>43</v>
      </c>
      <c r="E1175" t="s">
        <v>29</v>
      </c>
      <c r="F1175" t="s">
        <v>30</v>
      </c>
      <c r="G1175">
        <v>5</v>
      </c>
      <c r="H1175">
        <v>29357</v>
      </c>
      <c r="I1175">
        <v>735</v>
      </c>
      <c r="J1175" t="s">
        <v>32</v>
      </c>
      <c r="K1175" t="str">
        <f>_xlfn.XLOOKUP(datos_ventas[[#This Row],[Ciudad]],Tabla2[Ciudades],Tabla2[Provincias],"no se encuentra")</f>
        <v>Barcelona</v>
      </c>
      <c r="L1175" t="str">
        <f>_xlfn.XLOOKUP(datos_ventas[[#This Row],[Provincia]],Tabla2[Provincias],Tabla2[Comunidades],"no se encuentra")</f>
        <v>Cataluña</v>
      </c>
      <c r="M1175" t="s">
        <v>28</v>
      </c>
      <c r="N1175">
        <v>2</v>
      </c>
    </row>
    <row r="1176" spans="1:14" x14ac:dyDescent="0.25">
      <c r="A1176">
        <v>2175</v>
      </c>
      <c r="B1176" s="1">
        <v>45906</v>
      </c>
      <c r="C1176" s="4">
        <f>MONTH(datos_ventas[[#This Row],[Fecha]])</f>
        <v>9</v>
      </c>
      <c r="D1176" s="4">
        <f>WEEKNUM(datos_ventas[[#This Row],[Fecha]],2)</f>
        <v>36</v>
      </c>
      <c r="E1176" t="s">
        <v>24</v>
      </c>
      <c r="F1176" t="s">
        <v>25</v>
      </c>
      <c r="G1176">
        <v>4</v>
      </c>
      <c r="H1176">
        <v>20306</v>
      </c>
      <c r="I1176">
        <v>4754</v>
      </c>
      <c r="J1176" t="s">
        <v>31</v>
      </c>
      <c r="K1176" t="str">
        <f>_xlfn.XLOOKUP(datos_ventas[[#This Row],[Ciudad]],Tabla2[Ciudades],Tabla2[Provincias],"no se encuentra")</f>
        <v>Vizcaya</v>
      </c>
      <c r="L1176" t="str">
        <f>_xlfn.XLOOKUP(datos_ventas[[#This Row],[Provincia]],Tabla2[Provincias],Tabla2[Comunidades],"no se encuentra")</f>
        <v>País Vasco</v>
      </c>
      <c r="M1176" t="s">
        <v>19</v>
      </c>
      <c r="N1176">
        <v>5</v>
      </c>
    </row>
    <row r="1177" spans="1:14" x14ac:dyDescent="0.25">
      <c r="A1177">
        <v>2176</v>
      </c>
      <c r="B1177" s="1">
        <v>45845</v>
      </c>
      <c r="C1177" s="4">
        <f>MONTH(datos_ventas[[#This Row],[Fecha]])</f>
        <v>7</v>
      </c>
      <c r="D1177" s="4">
        <f>WEEKNUM(datos_ventas[[#This Row],[Fecha]],2)</f>
        <v>28</v>
      </c>
      <c r="E1177" t="s">
        <v>10</v>
      </c>
      <c r="F1177" t="s">
        <v>11</v>
      </c>
      <c r="G1177">
        <v>2</v>
      </c>
      <c r="H1177">
        <v>115158</v>
      </c>
      <c r="I1177">
        <v>564</v>
      </c>
      <c r="J1177" t="s">
        <v>22</v>
      </c>
      <c r="K1177" t="str">
        <f>_xlfn.XLOOKUP(datos_ventas[[#This Row],[Ciudad]],Tabla2[Ciudades],Tabla2[Provincias],"no se encuentra")</f>
        <v>Valencia</v>
      </c>
      <c r="L1177" t="str">
        <f>_xlfn.XLOOKUP(datos_ventas[[#This Row],[Provincia]],Tabla2[Provincias],Tabla2[Comunidades],"no se encuentra")</f>
        <v>Comunidad Valenciana</v>
      </c>
      <c r="M1177" t="s">
        <v>19</v>
      </c>
      <c r="N1177">
        <v>5</v>
      </c>
    </row>
    <row r="1178" spans="1:14" x14ac:dyDescent="0.25">
      <c r="A1178">
        <v>2177</v>
      </c>
      <c r="B1178" s="1">
        <v>45821</v>
      </c>
      <c r="C1178" s="4">
        <f>MONTH(datos_ventas[[#This Row],[Fecha]])</f>
        <v>6</v>
      </c>
      <c r="D1178" s="4">
        <f>WEEKNUM(datos_ventas[[#This Row],[Fecha]],2)</f>
        <v>24</v>
      </c>
      <c r="E1178" t="s">
        <v>17</v>
      </c>
      <c r="F1178" t="s">
        <v>18</v>
      </c>
      <c r="G1178">
        <v>1</v>
      </c>
      <c r="H1178">
        <v>50701</v>
      </c>
      <c r="I1178">
        <v>3592</v>
      </c>
      <c r="J1178" t="s">
        <v>22</v>
      </c>
      <c r="K1178" t="str">
        <f>_xlfn.XLOOKUP(datos_ventas[[#This Row],[Ciudad]],Tabla2[Ciudades],Tabla2[Provincias],"no se encuentra")</f>
        <v>Valencia</v>
      </c>
      <c r="L1178" t="str">
        <f>_xlfn.XLOOKUP(datos_ventas[[#This Row],[Provincia]],Tabla2[Provincias],Tabla2[Comunidades],"no se encuentra")</f>
        <v>Comunidad Valenciana</v>
      </c>
      <c r="M1178" t="s">
        <v>19</v>
      </c>
      <c r="N1178">
        <v>4</v>
      </c>
    </row>
    <row r="1179" spans="1:14" x14ac:dyDescent="0.25">
      <c r="A1179">
        <v>2178</v>
      </c>
      <c r="B1179" s="1">
        <v>45672</v>
      </c>
      <c r="C1179" s="4">
        <f>MONTH(datos_ventas[[#This Row],[Fecha]])</f>
        <v>1</v>
      </c>
      <c r="D1179" s="4">
        <f>WEEKNUM(datos_ventas[[#This Row],[Fecha]],2)</f>
        <v>3</v>
      </c>
      <c r="E1179" t="s">
        <v>23</v>
      </c>
      <c r="F1179" t="s">
        <v>18</v>
      </c>
      <c r="G1179">
        <v>4</v>
      </c>
      <c r="H1179">
        <v>8352</v>
      </c>
      <c r="I1179">
        <v>1402</v>
      </c>
      <c r="J1179" t="s">
        <v>12</v>
      </c>
      <c r="K1179" t="str">
        <f>_xlfn.XLOOKUP(datos_ventas[[#This Row],[Ciudad]],Tabla2[Ciudades],Tabla2[Provincias],"no se encuentra")</f>
        <v>Málaga</v>
      </c>
      <c r="L1179" t="str">
        <f>_xlfn.XLOOKUP(datos_ventas[[#This Row],[Provincia]],Tabla2[Provincias],Tabla2[Comunidades],"no se encuentra")</f>
        <v>Andalucía</v>
      </c>
      <c r="M1179" t="s">
        <v>28</v>
      </c>
      <c r="N1179">
        <v>4</v>
      </c>
    </row>
    <row r="1180" spans="1:14" x14ac:dyDescent="0.25">
      <c r="A1180">
        <v>2179</v>
      </c>
      <c r="B1180" s="1">
        <v>46017</v>
      </c>
      <c r="C1180" s="4">
        <f>MONTH(datos_ventas[[#This Row],[Fecha]])</f>
        <v>12</v>
      </c>
      <c r="D1180" s="4">
        <f>WEEKNUM(datos_ventas[[#This Row],[Fecha]],2)</f>
        <v>52</v>
      </c>
      <c r="E1180" t="s">
        <v>24</v>
      </c>
      <c r="F1180" t="s">
        <v>25</v>
      </c>
      <c r="G1180">
        <v>4</v>
      </c>
      <c r="H1180">
        <v>55178</v>
      </c>
      <c r="I1180">
        <v>2385</v>
      </c>
      <c r="J1180" t="s">
        <v>31</v>
      </c>
      <c r="K1180" t="str">
        <f>_xlfn.XLOOKUP(datos_ventas[[#This Row],[Ciudad]],Tabla2[Ciudades],Tabla2[Provincias],"no se encuentra")</f>
        <v>Vizcaya</v>
      </c>
      <c r="L1180" t="str">
        <f>_xlfn.XLOOKUP(datos_ventas[[#This Row],[Provincia]],Tabla2[Provincias],Tabla2[Comunidades],"no se encuentra")</f>
        <v>País Vasco</v>
      </c>
      <c r="M1180" t="s">
        <v>28</v>
      </c>
      <c r="N1180">
        <v>2</v>
      </c>
    </row>
    <row r="1181" spans="1:14" x14ac:dyDescent="0.25">
      <c r="A1181">
        <v>2180</v>
      </c>
      <c r="B1181" s="1">
        <v>45860</v>
      </c>
      <c r="C1181" s="4">
        <f>MONTH(datos_ventas[[#This Row],[Fecha]])</f>
        <v>7</v>
      </c>
      <c r="D1181" s="4">
        <f>WEEKNUM(datos_ventas[[#This Row],[Fecha]],2)</f>
        <v>30</v>
      </c>
      <c r="E1181" t="s">
        <v>16</v>
      </c>
      <c r="F1181" t="s">
        <v>11</v>
      </c>
      <c r="G1181">
        <v>4</v>
      </c>
      <c r="H1181">
        <v>59877</v>
      </c>
      <c r="I1181">
        <v>3941</v>
      </c>
      <c r="J1181" t="s">
        <v>32</v>
      </c>
      <c r="K1181" t="str">
        <f>_xlfn.XLOOKUP(datos_ventas[[#This Row],[Ciudad]],Tabla2[Ciudades],Tabla2[Provincias],"no se encuentra")</f>
        <v>Barcelona</v>
      </c>
      <c r="L1181" t="str">
        <f>_xlfn.XLOOKUP(datos_ventas[[#This Row],[Provincia]],Tabla2[Provincias],Tabla2[Comunidades],"no se encuentra")</f>
        <v>Cataluña</v>
      </c>
      <c r="M1181" t="s">
        <v>28</v>
      </c>
      <c r="N1181">
        <v>1</v>
      </c>
    </row>
    <row r="1182" spans="1:14" x14ac:dyDescent="0.25">
      <c r="A1182">
        <v>2181</v>
      </c>
      <c r="B1182" s="1">
        <v>45995</v>
      </c>
      <c r="C1182" s="4">
        <f>MONTH(datos_ventas[[#This Row],[Fecha]])</f>
        <v>12</v>
      </c>
      <c r="D1182" s="4">
        <f>WEEKNUM(datos_ventas[[#This Row],[Fecha]],2)</f>
        <v>49</v>
      </c>
      <c r="E1182" t="s">
        <v>20</v>
      </c>
      <c r="F1182" t="s">
        <v>21</v>
      </c>
      <c r="G1182">
        <v>4</v>
      </c>
      <c r="H1182">
        <v>90819</v>
      </c>
      <c r="I1182">
        <v>1718</v>
      </c>
      <c r="J1182" t="s">
        <v>32</v>
      </c>
      <c r="K1182" t="str">
        <f>_xlfn.XLOOKUP(datos_ventas[[#This Row],[Ciudad]],Tabla2[Ciudades],Tabla2[Provincias],"no se encuentra")</f>
        <v>Barcelona</v>
      </c>
      <c r="L1182" t="str">
        <f>_xlfn.XLOOKUP(datos_ventas[[#This Row],[Provincia]],Tabla2[Provincias],Tabla2[Comunidades],"no se encuentra")</f>
        <v>Cataluña</v>
      </c>
      <c r="M1182" t="s">
        <v>15</v>
      </c>
      <c r="N1182">
        <v>5</v>
      </c>
    </row>
    <row r="1183" spans="1:14" x14ac:dyDescent="0.25">
      <c r="A1183">
        <v>2182</v>
      </c>
      <c r="B1183" s="1">
        <v>45965</v>
      </c>
      <c r="C1183" s="4">
        <f>MONTH(datos_ventas[[#This Row],[Fecha]])</f>
        <v>11</v>
      </c>
      <c r="D1183" s="4">
        <f>WEEKNUM(datos_ventas[[#This Row],[Fecha]],2)</f>
        <v>45</v>
      </c>
      <c r="E1183" t="s">
        <v>26</v>
      </c>
      <c r="F1183" t="s">
        <v>18</v>
      </c>
      <c r="G1183">
        <v>4</v>
      </c>
      <c r="H1183">
        <v>44442</v>
      </c>
      <c r="I1183">
        <v>4982</v>
      </c>
      <c r="J1183" t="s">
        <v>27</v>
      </c>
      <c r="K1183" t="str">
        <f>_xlfn.XLOOKUP(datos_ventas[[#This Row],[Ciudad]],Tabla2[Ciudades],Tabla2[Provincias],"no se encuentra")</f>
        <v>Sevilla</v>
      </c>
      <c r="L1183" t="str">
        <f>_xlfn.XLOOKUP(datos_ventas[[#This Row],[Provincia]],Tabla2[Provincias],Tabla2[Comunidades],"no se encuentra")</f>
        <v>Andalucía</v>
      </c>
      <c r="M1183" t="s">
        <v>13</v>
      </c>
      <c r="N1183">
        <v>1</v>
      </c>
    </row>
    <row r="1184" spans="1:14" x14ac:dyDescent="0.25">
      <c r="A1184">
        <v>2183</v>
      </c>
      <c r="B1184" s="1">
        <v>45838</v>
      </c>
      <c r="C1184" s="4">
        <f>MONTH(datos_ventas[[#This Row],[Fecha]])</f>
        <v>6</v>
      </c>
      <c r="D1184" s="4">
        <f>WEEKNUM(datos_ventas[[#This Row],[Fecha]],2)</f>
        <v>27</v>
      </c>
      <c r="E1184" t="s">
        <v>10</v>
      </c>
      <c r="F1184" t="s">
        <v>11</v>
      </c>
      <c r="G1184">
        <v>4</v>
      </c>
      <c r="H1184">
        <v>36734</v>
      </c>
      <c r="I1184">
        <v>1286</v>
      </c>
      <c r="J1184" t="s">
        <v>31</v>
      </c>
      <c r="K1184" t="str">
        <f>_xlfn.XLOOKUP(datos_ventas[[#This Row],[Ciudad]],Tabla2[Ciudades],Tabla2[Provincias],"no se encuentra")</f>
        <v>Vizcaya</v>
      </c>
      <c r="L1184" t="str">
        <f>_xlfn.XLOOKUP(datos_ventas[[#This Row],[Provincia]],Tabla2[Provincias],Tabla2[Comunidades],"no se encuentra")</f>
        <v>País Vasco</v>
      </c>
      <c r="M1184" t="s">
        <v>15</v>
      </c>
      <c r="N1184">
        <v>3</v>
      </c>
    </row>
    <row r="1185" spans="1:14" x14ac:dyDescent="0.25">
      <c r="A1185">
        <v>2184</v>
      </c>
      <c r="B1185" s="1">
        <v>45871</v>
      </c>
      <c r="C1185" s="4">
        <f>MONTH(datos_ventas[[#This Row],[Fecha]])</f>
        <v>8</v>
      </c>
      <c r="D1185" s="4">
        <f>WEEKNUM(datos_ventas[[#This Row],[Fecha]],2)</f>
        <v>31</v>
      </c>
      <c r="E1185" t="s">
        <v>24</v>
      </c>
      <c r="F1185" t="s">
        <v>25</v>
      </c>
      <c r="G1185">
        <v>5</v>
      </c>
      <c r="H1185">
        <v>33132</v>
      </c>
      <c r="I1185">
        <v>145</v>
      </c>
      <c r="J1185" t="s">
        <v>12</v>
      </c>
      <c r="K1185" t="str">
        <f>_xlfn.XLOOKUP(datos_ventas[[#This Row],[Ciudad]],Tabla2[Ciudades],Tabla2[Provincias],"no se encuentra")</f>
        <v>Málaga</v>
      </c>
      <c r="L1185" t="str">
        <f>_xlfn.XLOOKUP(datos_ventas[[#This Row],[Provincia]],Tabla2[Provincias],Tabla2[Comunidades],"no se encuentra")</f>
        <v>Andalucía</v>
      </c>
      <c r="M1185" t="s">
        <v>13</v>
      </c>
      <c r="N1185">
        <v>2</v>
      </c>
    </row>
    <row r="1186" spans="1:14" x14ac:dyDescent="0.25">
      <c r="A1186">
        <v>2185</v>
      </c>
      <c r="B1186" s="1">
        <v>45814</v>
      </c>
      <c r="C1186" s="4">
        <f>MONTH(datos_ventas[[#This Row],[Fecha]])</f>
        <v>6</v>
      </c>
      <c r="D1186" s="4">
        <f>WEEKNUM(datos_ventas[[#This Row],[Fecha]],2)</f>
        <v>23</v>
      </c>
      <c r="E1186" t="s">
        <v>24</v>
      </c>
      <c r="F1186" t="s">
        <v>25</v>
      </c>
      <c r="G1186">
        <v>1</v>
      </c>
      <c r="H1186">
        <v>14473</v>
      </c>
      <c r="I1186">
        <v>240</v>
      </c>
      <c r="J1186" t="s">
        <v>32</v>
      </c>
      <c r="K1186" t="str">
        <f>_xlfn.XLOOKUP(datos_ventas[[#This Row],[Ciudad]],Tabla2[Ciudades],Tabla2[Provincias],"no se encuentra")</f>
        <v>Barcelona</v>
      </c>
      <c r="L1186" t="str">
        <f>_xlfn.XLOOKUP(datos_ventas[[#This Row],[Provincia]],Tabla2[Provincias],Tabla2[Comunidades],"no se encuentra")</f>
        <v>Cataluña</v>
      </c>
      <c r="M1186" t="s">
        <v>19</v>
      </c>
      <c r="N1186">
        <v>4</v>
      </c>
    </row>
    <row r="1187" spans="1:14" x14ac:dyDescent="0.25">
      <c r="A1187">
        <v>2186</v>
      </c>
      <c r="B1187" s="1">
        <v>45749</v>
      </c>
      <c r="C1187" s="4">
        <f>MONTH(datos_ventas[[#This Row],[Fecha]])</f>
        <v>4</v>
      </c>
      <c r="D1187" s="4">
        <f>WEEKNUM(datos_ventas[[#This Row],[Fecha]],2)</f>
        <v>14</v>
      </c>
      <c r="E1187" t="s">
        <v>26</v>
      </c>
      <c r="F1187" t="s">
        <v>18</v>
      </c>
      <c r="G1187">
        <v>5</v>
      </c>
      <c r="H1187">
        <v>57857</v>
      </c>
      <c r="I1187">
        <v>4068</v>
      </c>
      <c r="J1187" t="s">
        <v>32</v>
      </c>
      <c r="K1187" t="str">
        <f>_xlfn.XLOOKUP(datos_ventas[[#This Row],[Ciudad]],Tabla2[Ciudades],Tabla2[Provincias],"no se encuentra")</f>
        <v>Barcelona</v>
      </c>
      <c r="L1187" t="str">
        <f>_xlfn.XLOOKUP(datos_ventas[[#This Row],[Provincia]],Tabla2[Provincias],Tabla2[Comunidades],"no se encuentra")</f>
        <v>Cataluña</v>
      </c>
      <c r="M1187" t="s">
        <v>15</v>
      </c>
      <c r="N1187">
        <v>5</v>
      </c>
    </row>
    <row r="1188" spans="1:14" x14ac:dyDescent="0.25">
      <c r="A1188">
        <v>2187</v>
      </c>
      <c r="B1188" s="1">
        <v>45679</v>
      </c>
      <c r="C1188" s="4">
        <f>MONTH(datos_ventas[[#This Row],[Fecha]])</f>
        <v>1</v>
      </c>
      <c r="D1188" s="4">
        <f>WEEKNUM(datos_ventas[[#This Row],[Fecha]],2)</f>
        <v>4</v>
      </c>
      <c r="E1188" t="s">
        <v>17</v>
      </c>
      <c r="F1188" t="s">
        <v>18</v>
      </c>
      <c r="G1188">
        <v>5</v>
      </c>
      <c r="H1188">
        <v>81197</v>
      </c>
      <c r="I1188">
        <v>4229</v>
      </c>
      <c r="J1188" t="s">
        <v>31</v>
      </c>
      <c r="K1188" t="str">
        <f>_xlfn.XLOOKUP(datos_ventas[[#This Row],[Ciudad]],Tabla2[Ciudades],Tabla2[Provincias],"no se encuentra")</f>
        <v>Vizcaya</v>
      </c>
      <c r="L1188" t="str">
        <f>_xlfn.XLOOKUP(datos_ventas[[#This Row],[Provincia]],Tabla2[Provincias],Tabla2[Comunidades],"no se encuentra")</f>
        <v>País Vasco</v>
      </c>
      <c r="M1188" t="s">
        <v>28</v>
      </c>
      <c r="N1188">
        <v>2</v>
      </c>
    </row>
    <row r="1189" spans="1:14" x14ac:dyDescent="0.25">
      <c r="A1189">
        <v>2188</v>
      </c>
      <c r="B1189" s="1">
        <v>45825</v>
      </c>
      <c r="C1189" s="4">
        <f>MONTH(datos_ventas[[#This Row],[Fecha]])</f>
        <v>6</v>
      </c>
      <c r="D1189" s="4">
        <f>WEEKNUM(datos_ventas[[#This Row],[Fecha]],2)</f>
        <v>25</v>
      </c>
      <c r="E1189" t="s">
        <v>26</v>
      </c>
      <c r="F1189" t="s">
        <v>18</v>
      </c>
      <c r="G1189">
        <v>4</v>
      </c>
      <c r="H1189">
        <v>43861</v>
      </c>
      <c r="I1189">
        <v>3148</v>
      </c>
      <c r="J1189" t="s">
        <v>22</v>
      </c>
      <c r="K1189" t="str">
        <f>_xlfn.XLOOKUP(datos_ventas[[#This Row],[Ciudad]],Tabla2[Ciudades],Tabla2[Provincias],"no se encuentra")</f>
        <v>Valencia</v>
      </c>
      <c r="L1189" t="str">
        <f>_xlfn.XLOOKUP(datos_ventas[[#This Row],[Provincia]],Tabla2[Provincias],Tabla2[Comunidades],"no se encuentra")</f>
        <v>Comunidad Valenciana</v>
      </c>
      <c r="M1189" t="s">
        <v>19</v>
      </c>
      <c r="N1189">
        <v>5</v>
      </c>
    </row>
    <row r="1190" spans="1:14" x14ac:dyDescent="0.25">
      <c r="A1190">
        <v>2189</v>
      </c>
      <c r="B1190" s="1">
        <v>45766</v>
      </c>
      <c r="C1190" s="4">
        <f>MONTH(datos_ventas[[#This Row],[Fecha]])</f>
        <v>4</v>
      </c>
      <c r="D1190" s="4">
        <f>WEEKNUM(datos_ventas[[#This Row],[Fecha]],2)</f>
        <v>16</v>
      </c>
      <c r="E1190" t="s">
        <v>17</v>
      </c>
      <c r="F1190" t="s">
        <v>18</v>
      </c>
      <c r="G1190">
        <v>1</v>
      </c>
      <c r="H1190">
        <v>83346</v>
      </c>
      <c r="I1190">
        <v>4376</v>
      </c>
      <c r="J1190" t="s">
        <v>32</v>
      </c>
      <c r="K1190" t="str">
        <f>_xlfn.XLOOKUP(datos_ventas[[#This Row],[Ciudad]],Tabla2[Ciudades],Tabla2[Provincias],"no se encuentra")</f>
        <v>Barcelona</v>
      </c>
      <c r="L1190" t="str">
        <f>_xlfn.XLOOKUP(datos_ventas[[#This Row],[Provincia]],Tabla2[Provincias],Tabla2[Comunidades],"no se encuentra")</f>
        <v>Cataluña</v>
      </c>
      <c r="M1190" t="s">
        <v>15</v>
      </c>
      <c r="N1190">
        <v>2</v>
      </c>
    </row>
    <row r="1191" spans="1:14" x14ac:dyDescent="0.25">
      <c r="A1191">
        <v>2190</v>
      </c>
      <c r="B1191" s="1">
        <v>45759</v>
      </c>
      <c r="C1191" s="4">
        <f>MONTH(datos_ventas[[#This Row],[Fecha]])</f>
        <v>4</v>
      </c>
      <c r="D1191" s="4">
        <f>WEEKNUM(datos_ventas[[#This Row],[Fecha]],2)</f>
        <v>15</v>
      </c>
      <c r="E1191" t="s">
        <v>10</v>
      </c>
      <c r="F1191" t="s">
        <v>11</v>
      </c>
      <c r="G1191">
        <v>4</v>
      </c>
      <c r="H1191">
        <v>10729</v>
      </c>
      <c r="I1191">
        <v>2534</v>
      </c>
      <c r="J1191" t="s">
        <v>22</v>
      </c>
      <c r="K1191" t="str">
        <f>_xlfn.XLOOKUP(datos_ventas[[#This Row],[Ciudad]],Tabla2[Ciudades],Tabla2[Provincias],"no se encuentra")</f>
        <v>Valencia</v>
      </c>
      <c r="L1191" t="str">
        <f>_xlfn.XLOOKUP(datos_ventas[[#This Row],[Provincia]],Tabla2[Provincias],Tabla2[Comunidades],"no se encuentra")</f>
        <v>Comunidad Valenciana</v>
      </c>
      <c r="M1191" t="s">
        <v>19</v>
      </c>
      <c r="N1191">
        <v>3</v>
      </c>
    </row>
    <row r="1192" spans="1:14" x14ac:dyDescent="0.25">
      <c r="A1192">
        <v>2191</v>
      </c>
      <c r="B1192" s="1">
        <v>45991</v>
      </c>
      <c r="C1192" s="4">
        <f>MONTH(datos_ventas[[#This Row],[Fecha]])</f>
        <v>11</v>
      </c>
      <c r="D1192" s="4">
        <f>WEEKNUM(datos_ventas[[#This Row],[Fecha]],2)</f>
        <v>48</v>
      </c>
      <c r="E1192" t="s">
        <v>26</v>
      </c>
      <c r="F1192" t="s">
        <v>18</v>
      </c>
      <c r="G1192">
        <v>3</v>
      </c>
      <c r="H1192">
        <v>80238</v>
      </c>
      <c r="I1192">
        <v>2013</v>
      </c>
      <c r="J1192" t="s">
        <v>12</v>
      </c>
      <c r="K1192" t="str">
        <f>_xlfn.XLOOKUP(datos_ventas[[#This Row],[Ciudad]],Tabla2[Ciudades],Tabla2[Provincias],"no se encuentra")</f>
        <v>Málaga</v>
      </c>
      <c r="L1192" t="str">
        <f>_xlfn.XLOOKUP(datos_ventas[[#This Row],[Provincia]],Tabla2[Provincias],Tabla2[Comunidades],"no se encuentra")</f>
        <v>Andalucía</v>
      </c>
      <c r="M1192" t="s">
        <v>28</v>
      </c>
      <c r="N1192">
        <v>3</v>
      </c>
    </row>
    <row r="1193" spans="1:14" x14ac:dyDescent="0.25">
      <c r="A1193">
        <v>2192</v>
      </c>
      <c r="B1193" s="1">
        <v>45970</v>
      </c>
      <c r="C1193" s="4">
        <f>MONTH(datos_ventas[[#This Row],[Fecha]])</f>
        <v>11</v>
      </c>
      <c r="D1193" s="4">
        <f>WEEKNUM(datos_ventas[[#This Row],[Fecha]],2)</f>
        <v>45</v>
      </c>
      <c r="E1193" t="s">
        <v>29</v>
      </c>
      <c r="F1193" t="s">
        <v>30</v>
      </c>
      <c r="G1193">
        <v>1</v>
      </c>
      <c r="H1193">
        <v>103313</v>
      </c>
      <c r="I1193">
        <v>1956</v>
      </c>
      <c r="J1193" t="s">
        <v>32</v>
      </c>
      <c r="K1193" t="str">
        <f>_xlfn.XLOOKUP(datos_ventas[[#This Row],[Ciudad]],Tabla2[Ciudades],Tabla2[Provincias],"no se encuentra")</f>
        <v>Barcelona</v>
      </c>
      <c r="L1193" t="str">
        <f>_xlfn.XLOOKUP(datos_ventas[[#This Row],[Provincia]],Tabla2[Provincias],Tabla2[Comunidades],"no se encuentra")</f>
        <v>Cataluña</v>
      </c>
      <c r="M1193" t="s">
        <v>19</v>
      </c>
      <c r="N1193">
        <v>3</v>
      </c>
    </row>
    <row r="1194" spans="1:14" x14ac:dyDescent="0.25">
      <c r="A1194">
        <v>2193</v>
      </c>
      <c r="B1194" s="1">
        <v>45964</v>
      </c>
      <c r="C1194" s="4">
        <f>MONTH(datos_ventas[[#This Row],[Fecha]])</f>
        <v>11</v>
      </c>
      <c r="D1194" s="4">
        <f>WEEKNUM(datos_ventas[[#This Row],[Fecha]],2)</f>
        <v>45</v>
      </c>
      <c r="E1194" t="s">
        <v>24</v>
      </c>
      <c r="F1194" t="s">
        <v>25</v>
      </c>
      <c r="G1194">
        <v>4</v>
      </c>
      <c r="H1194">
        <v>53157</v>
      </c>
      <c r="I1194">
        <v>2913</v>
      </c>
      <c r="J1194" t="s">
        <v>27</v>
      </c>
      <c r="K1194" t="str">
        <f>_xlfn.XLOOKUP(datos_ventas[[#This Row],[Ciudad]],Tabla2[Ciudades],Tabla2[Provincias],"no se encuentra")</f>
        <v>Sevilla</v>
      </c>
      <c r="L1194" t="str">
        <f>_xlfn.XLOOKUP(datos_ventas[[#This Row],[Provincia]],Tabla2[Provincias],Tabla2[Comunidades],"no se encuentra")</f>
        <v>Andalucía</v>
      </c>
      <c r="M1194" t="s">
        <v>13</v>
      </c>
      <c r="N1194">
        <v>5</v>
      </c>
    </row>
    <row r="1195" spans="1:14" x14ac:dyDescent="0.25">
      <c r="A1195">
        <v>2194</v>
      </c>
      <c r="B1195" s="1">
        <v>45665</v>
      </c>
      <c r="C1195" s="4">
        <f>MONTH(datos_ventas[[#This Row],[Fecha]])</f>
        <v>1</v>
      </c>
      <c r="D1195" s="4">
        <f>WEEKNUM(datos_ventas[[#This Row],[Fecha]],2)</f>
        <v>2</v>
      </c>
      <c r="E1195" t="s">
        <v>29</v>
      </c>
      <c r="F1195" t="s">
        <v>30</v>
      </c>
      <c r="G1195">
        <v>1</v>
      </c>
      <c r="H1195">
        <v>67412</v>
      </c>
      <c r="I1195">
        <v>313</v>
      </c>
      <c r="J1195" t="s">
        <v>27</v>
      </c>
      <c r="K1195" t="str">
        <f>_xlfn.XLOOKUP(datos_ventas[[#This Row],[Ciudad]],Tabla2[Ciudades],Tabla2[Provincias],"no se encuentra")</f>
        <v>Sevilla</v>
      </c>
      <c r="L1195" t="str">
        <f>_xlfn.XLOOKUP(datos_ventas[[#This Row],[Provincia]],Tabla2[Provincias],Tabla2[Comunidades],"no se encuentra")</f>
        <v>Andalucía</v>
      </c>
      <c r="M1195" t="s">
        <v>15</v>
      </c>
      <c r="N1195">
        <v>4</v>
      </c>
    </row>
    <row r="1196" spans="1:14" x14ac:dyDescent="0.25">
      <c r="A1196">
        <v>2195</v>
      </c>
      <c r="B1196" s="1">
        <v>45669</v>
      </c>
      <c r="C1196" s="4">
        <f>MONTH(datos_ventas[[#This Row],[Fecha]])</f>
        <v>1</v>
      </c>
      <c r="D1196" s="4">
        <f>WEEKNUM(datos_ventas[[#This Row],[Fecha]],2)</f>
        <v>2</v>
      </c>
      <c r="E1196" t="s">
        <v>26</v>
      </c>
      <c r="F1196" t="s">
        <v>18</v>
      </c>
      <c r="G1196">
        <v>3</v>
      </c>
      <c r="H1196">
        <v>81572</v>
      </c>
      <c r="I1196">
        <v>2371</v>
      </c>
      <c r="J1196" t="s">
        <v>31</v>
      </c>
      <c r="K1196" t="str">
        <f>_xlfn.XLOOKUP(datos_ventas[[#This Row],[Ciudad]],Tabla2[Ciudades],Tabla2[Provincias],"no se encuentra")</f>
        <v>Vizcaya</v>
      </c>
      <c r="L1196" t="str">
        <f>_xlfn.XLOOKUP(datos_ventas[[#This Row],[Provincia]],Tabla2[Provincias],Tabla2[Comunidades],"no se encuentra")</f>
        <v>País Vasco</v>
      </c>
      <c r="M1196" t="s">
        <v>28</v>
      </c>
      <c r="N1196">
        <v>1</v>
      </c>
    </row>
    <row r="1197" spans="1:14" x14ac:dyDescent="0.25">
      <c r="A1197">
        <v>2196</v>
      </c>
      <c r="B1197" s="1">
        <v>45665</v>
      </c>
      <c r="C1197" s="4">
        <f>MONTH(datos_ventas[[#This Row],[Fecha]])</f>
        <v>1</v>
      </c>
      <c r="D1197" s="4">
        <f>WEEKNUM(datos_ventas[[#This Row],[Fecha]],2)</f>
        <v>2</v>
      </c>
      <c r="E1197" t="s">
        <v>16</v>
      </c>
      <c r="F1197" t="s">
        <v>11</v>
      </c>
      <c r="G1197">
        <v>4</v>
      </c>
      <c r="H1197">
        <v>83037</v>
      </c>
      <c r="I1197">
        <v>373</v>
      </c>
      <c r="J1197" t="s">
        <v>27</v>
      </c>
      <c r="K1197" t="str">
        <f>_xlfn.XLOOKUP(datos_ventas[[#This Row],[Ciudad]],Tabla2[Ciudades],Tabla2[Provincias],"no se encuentra")</f>
        <v>Sevilla</v>
      </c>
      <c r="L1197" t="str">
        <f>_xlfn.XLOOKUP(datos_ventas[[#This Row],[Provincia]],Tabla2[Provincias],Tabla2[Comunidades],"no se encuentra")</f>
        <v>Andalucía</v>
      </c>
      <c r="M1197" t="s">
        <v>13</v>
      </c>
      <c r="N1197">
        <v>1</v>
      </c>
    </row>
    <row r="1198" spans="1:14" x14ac:dyDescent="0.25">
      <c r="A1198">
        <v>2197</v>
      </c>
      <c r="B1198" s="1">
        <v>45920</v>
      </c>
      <c r="C1198" s="4">
        <f>MONTH(datos_ventas[[#This Row],[Fecha]])</f>
        <v>9</v>
      </c>
      <c r="D1198" s="4">
        <f>WEEKNUM(datos_ventas[[#This Row],[Fecha]],2)</f>
        <v>38</v>
      </c>
      <c r="E1198" t="s">
        <v>10</v>
      </c>
      <c r="F1198" t="s">
        <v>11</v>
      </c>
      <c r="G1198">
        <v>2</v>
      </c>
      <c r="H1198">
        <v>34433</v>
      </c>
      <c r="I1198">
        <v>233</v>
      </c>
      <c r="J1198" t="s">
        <v>12</v>
      </c>
      <c r="K1198" t="str">
        <f>_xlfn.XLOOKUP(datos_ventas[[#This Row],[Ciudad]],Tabla2[Ciudades],Tabla2[Provincias],"no se encuentra")</f>
        <v>Málaga</v>
      </c>
      <c r="L1198" t="str">
        <f>_xlfn.XLOOKUP(datos_ventas[[#This Row],[Provincia]],Tabla2[Provincias],Tabla2[Comunidades],"no se encuentra")</f>
        <v>Andalucía</v>
      </c>
      <c r="M1198" t="s">
        <v>13</v>
      </c>
      <c r="N1198">
        <v>5</v>
      </c>
    </row>
    <row r="1199" spans="1:14" x14ac:dyDescent="0.25">
      <c r="A1199">
        <v>2198</v>
      </c>
      <c r="B1199" s="1">
        <v>45932</v>
      </c>
      <c r="C1199" s="4">
        <f>MONTH(datos_ventas[[#This Row],[Fecha]])</f>
        <v>10</v>
      </c>
      <c r="D1199" s="4">
        <f>WEEKNUM(datos_ventas[[#This Row],[Fecha]],2)</f>
        <v>40</v>
      </c>
      <c r="E1199" t="s">
        <v>24</v>
      </c>
      <c r="F1199" t="s">
        <v>25</v>
      </c>
      <c r="G1199">
        <v>4</v>
      </c>
      <c r="H1199">
        <v>75101</v>
      </c>
      <c r="I1199">
        <v>3965</v>
      </c>
      <c r="J1199" t="s">
        <v>12</v>
      </c>
      <c r="K1199" t="str">
        <f>_xlfn.XLOOKUP(datos_ventas[[#This Row],[Ciudad]],Tabla2[Ciudades],Tabla2[Provincias],"no se encuentra")</f>
        <v>Málaga</v>
      </c>
      <c r="L1199" t="str">
        <f>_xlfn.XLOOKUP(datos_ventas[[#This Row],[Provincia]],Tabla2[Provincias],Tabla2[Comunidades],"no se encuentra")</f>
        <v>Andalucía</v>
      </c>
      <c r="M1199" t="s">
        <v>19</v>
      </c>
      <c r="N1199">
        <v>1</v>
      </c>
    </row>
    <row r="1200" spans="1:14" x14ac:dyDescent="0.25">
      <c r="A1200">
        <v>2199</v>
      </c>
      <c r="B1200" s="1">
        <v>45747</v>
      </c>
      <c r="C1200" s="4">
        <f>MONTH(datos_ventas[[#This Row],[Fecha]])</f>
        <v>3</v>
      </c>
      <c r="D1200" s="4">
        <f>WEEKNUM(datos_ventas[[#This Row],[Fecha]],2)</f>
        <v>14</v>
      </c>
      <c r="E1200" t="s">
        <v>26</v>
      </c>
      <c r="F1200" t="s">
        <v>18</v>
      </c>
      <c r="G1200">
        <v>2</v>
      </c>
      <c r="H1200">
        <v>73922</v>
      </c>
      <c r="I1200">
        <v>4283</v>
      </c>
      <c r="J1200" t="s">
        <v>14</v>
      </c>
      <c r="K1200" t="str">
        <f>_xlfn.XLOOKUP(datos_ventas[[#This Row],[Ciudad]],Tabla2[Ciudades],Tabla2[Provincias],"no se encuentra")</f>
        <v>Madrid</v>
      </c>
      <c r="L1200" t="str">
        <f>_xlfn.XLOOKUP(datos_ventas[[#This Row],[Provincia]],Tabla2[Provincias],Tabla2[Comunidades],"no se encuentra")</f>
        <v>Comunidad de Madrid</v>
      </c>
      <c r="M1200" t="s">
        <v>19</v>
      </c>
      <c r="N1200">
        <v>5</v>
      </c>
    </row>
    <row r="1201" spans="1:14" x14ac:dyDescent="0.25">
      <c r="A1201">
        <v>2200</v>
      </c>
      <c r="B1201" s="1">
        <v>45855</v>
      </c>
      <c r="C1201" s="4">
        <f>MONTH(datos_ventas[[#This Row],[Fecha]])</f>
        <v>7</v>
      </c>
      <c r="D1201" s="4">
        <f>WEEKNUM(datos_ventas[[#This Row],[Fecha]],2)</f>
        <v>29</v>
      </c>
      <c r="E1201" t="s">
        <v>20</v>
      </c>
      <c r="F1201" t="s">
        <v>21</v>
      </c>
      <c r="G1201">
        <v>1</v>
      </c>
      <c r="H1201">
        <v>85811</v>
      </c>
      <c r="I1201">
        <v>2701</v>
      </c>
      <c r="J1201" t="s">
        <v>32</v>
      </c>
      <c r="K1201" t="str">
        <f>_xlfn.XLOOKUP(datos_ventas[[#This Row],[Ciudad]],Tabla2[Ciudades],Tabla2[Provincias],"no se encuentra")</f>
        <v>Barcelona</v>
      </c>
      <c r="L1201" t="str">
        <f>_xlfn.XLOOKUP(datos_ventas[[#This Row],[Provincia]],Tabla2[Provincias],Tabla2[Comunidades],"no se encuentra")</f>
        <v>Cataluña</v>
      </c>
      <c r="M1201" t="s">
        <v>15</v>
      </c>
      <c r="N1201">
        <v>1</v>
      </c>
    </row>
    <row r="1202" spans="1:14" x14ac:dyDescent="0.25">
      <c r="A1202">
        <v>2201</v>
      </c>
      <c r="B1202" s="1">
        <v>46018</v>
      </c>
      <c r="C1202" s="4">
        <f>MONTH(datos_ventas[[#This Row],[Fecha]])</f>
        <v>12</v>
      </c>
      <c r="D1202" s="4">
        <f>WEEKNUM(datos_ventas[[#This Row],[Fecha]],2)</f>
        <v>52</v>
      </c>
      <c r="E1202" t="s">
        <v>20</v>
      </c>
      <c r="F1202" t="s">
        <v>21</v>
      </c>
      <c r="G1202">
        <v>5</v>
      </c>
      <c r="H1202">
        <v>58729</v>
      </c>
      <c r="I1202">
        <v>2759</v>
      </c>
      <c r="J1202" t="s">
        <v>31</v>
      </c>
      <c r="K1202" t="str">
        <f>_xlfn.XLOOKUP(datos_ventas[[#This Row],[Ciudad]],Tabla2[Ciudades],Tabla2[Provincias],"no se encuentra")</f>
        <v>Vizcaya</v>
      </c>
      <c r="L1202" t="str">
        <f>_xlfn.XLOOKUP(datos_ventas[[#This Row],[Provincia]],Tabla2[Provincias],Tabla2[Comunidades],"no se encuentra")</f>
        <v>País Vasco</v>
      </c>
      <c r="M1202" t="s">
        <v>15</v>
      </c>
      <c r="N1202">
        <v>2</v>
      </c>
    </row>
    <row r="1203" spans="1:14" x14ac:dyDescent="0.25">
      <c r="A1203">
        <v>2202</v>
      </c>
      <c r="B1203" s="1">
        <v>45860</v>
      </c>
      <c r="C1203" s="4">
        <f>MONTH(datos_ventas[[#This Row],[Fecha]])</f>
        <v>7</v>
      </c>
      <c r="D1203" s="4">
        <f>WEEKNUM(datos_ventas[[#This Row],[Fecha]],2)</f>
        <v>30</v>
      </c>
      <c r="E1203" t="s">
        <v>23</v>
      </c>
      <c r="F1203" t="s">
        <v>18</v>
      </c>
      <c r="G1203">
        <v>3</v>
      </c>
      <c r="H1203">
        <v>60761</v>
      </c>
      <c r="I1203">
        <v>1389</v>
      </c>
      <c r="J1203" t="s">
        <v>12</v>
      </c>
      <c r="K1203" t="str">
        <f>_xlfn.XLOOKUP(datos_ventas[[#This Row],[Ciudad]],Tabla2[Ciudades],Tabla2[Provincias],"no se encuentra")</f>
        <v>Málaga</v>
      </c>
      <c r="L1203" t="str">
        <f>_xlfn.XLOOKUP(datos_ventas[[#This Row],[Provincia]],Tabla2[Provincias],Tabla2[Comunidades],"no se encuentra")</f>
        <v>Andalucía</v>
      </c>
      <c r="M1203" t="s">
        <v>19</v>
      </c>
      <c r="N1203">
        <v>1</v>
      </c>
    </row>
    <row r="1204" spans="1:14" x14ac:dyDescent="0.25">
      <c r="A1204">
        <v>2203</v>
      </c>
      <c r="B1204" s="1">
        <v>45746</v>
      </c>
      <c r="C1204" s="4">
        <f>MONTH(datos_ventas[[#This Row],[Fecha]])</f>
        <v>3</v>
      </c>
      <c r="D1204" s="4">
        <f>WEEKNUM(datos_ventas[[#This Row],[Fecha]],2)</f>
        <v>13</v>
      </c>
      <c r="E1204" t="s">
        <v>10</v>
      </c>
      <c r="F1204" t="s">
        <v>11</v>
      </c>
      <c r="G1204">
        <v>1</v>
      </c>
      <c r="H1204">
        <v>62055</v>
      </c>
      <c r="I1204">
        <v>2878</v>
      </c>
      <c r="J1204" t="s">
        <v>32</v>
      </c>
      <c r="K1204" t="str">
        <f>_xlfn.XLOOKUP(datos_ventas[[#This Row],[Ciudad]],Tabla2[Ciudades],Tabla2[Provincias],"no se encuentra")</f>
        <v>Barcelona</v>
      </c>
      <c r="L1204" t="str">
        <f>_xlfn.XLOOKUP(datos_ventas[[#This Row],[Provincia]],Tabla2[Provincias],Tabla2[Comunidades],"no se encuentra")</f>
        <v>Cataluña</v>
      </c>
      <c r="M1204" t="s">
        <v>15</v>
      </c>
      <c r="N1204">
        <v>5</v>
      </c>
    </row>
    <row r="1205" spans="1:14" x14ac:dyDescent="0.25">
      <c r="A1205">
        <v>2204</v>
      </c>
      <c r="B1205" s="1">
        <v>45687</v>
      </c>
      <c r="C1205" s="4">
        <f>MONTH(datos_ventas[[#This Row],[Fecha]])</f>
        <v>1</v>
      </c>
      <c r="D1205" s="4">
        <f>WEEKNUM(datos_ventas[[#This Row],[Fecha]],2)</f>
        <v>5</v>
      </c>
      <c r="E1205" t="s">
        <v>16</v>
      </c>
      <c r="F1205" t="s">
        <v>11</v>
      </c>
      <c r="G1205">
        <v>2</v>
      </c>
      <c r="H1205">
        <v>62557</v>
      </c>
      <c r="I1205">
        <v>3197</v>
      </c>
      <c r="J1205" t="s">
        <v>12</v>
      </c>
      <c r="K1205" t="str">
        <f>_xlfn.XLOOKUP(datos_ventas[[#This Row],[Ciudad]],Tabla2[Ciudades],Tabla2[Provincias],"no se encuentra")</f>
        <v>Málaga</v>
      </c>
      <c r="L1205" t="str">
        <f>_xlfn.XLOOKUP(datos_ventas[[#This Row],[Provincia]],Tabla2[Provincias],Tabla2[Comunidades],"no se encuentra")</f>
        <v>Andalucía</v>
      </c>
      <c r="M1205" t="s">
        <v>28</v>
      </c>
      <c r="N1205">
        <v>4</v>
      </c>
    </row>
    <row r="1206" spans="1:14" x14ac:dyDescent="0.25">
      <c r="A1206">
        <v>2205</v>
      </c>
      <c r="B1206" s="1">
        <v>45761</v>
      </c>
      <c r="C1206" s="4">
        <f>MONTH(datos_ventas[[#This Row],[Fecha]])</f>
        <v>4</v>
      </c>
      <c r="D1206" s="4">
        <f>WEEKNUM(datos_ventas[[#This Row],[Fecha]],2)</f>
        <v>16</v>
      </c>
      <c r="E1206" t="s">
        <v>17</v>
      </c>
      <c r="F1206" t="s">
        <v>18</v>
      </c>
      <c r="G1206">
        <v>1</v>
      </c>
      <c r="H1206">
        <v>43997</v>
      </c>
      <c r="I1206">
        <v>2623</v>
      </c>
      <c r="J1206" t="s">
        <v>22</v>
      </c>
      <c r="K1206" t="str">
        <f>_xlfn.XLOOKUP(datos_ventas[[#This Row],[Ciudad]],Tabla2[Ciudades],Tabla2[Provincias],"no se encuentra")</f>
        <v>Valencia</v>
      </c>
      <c r="L1206" t="str">
        <f>_xlfn.XLOOKUP(datos_ventas[[#This Row],[Provincia]],Tabla2[Provincias],Tabla2[Comunidades],"no se encuentra")</f>
        <v>Comunidad Valenciana</v>
      </c>
      <c r="M1206" t="s">
        <v>13</v>
      </c>
      <c r="N1206">
        <v>1</v>
      </c>
    </row>
    <row r="1207" spans="1:14" x14ac:dyDescent="0.25">
      <c r="A1207">
        <v>2206</v>
      </c>
      <c r="B1207" s="1">
        <v>45955</v>
      </c>
      <c r="C1207" s="4">
        <f>MONTH(datos_ventas[[#This Row],[Fecha]])</f>
        <v>10</v>
      </c>
      <c r="D1207" s="4">
        <f>WEEKNUM(datos_ventas[[#This Row],[Fecha]],2)</f>
        <v>43</v>
      </c>
      <c r="E1207" t="s">
        <v>24</v>
      </c>
      <c r="F1207" t="s">
        <v>25</v>
      </c>
      <c r="G1207">
        <v>4</v>
      </c>
      <c r="H1207">
        <v>57372</v>
      </c>
      <c r="I1207">
        <v>1487</v>
      </c>
      <c r="J1207" t="s">
        <v>22</v>
      </c>
      <c r="K1207" t="str">
        <f>_xlfn.XLOOKUP(datos_ventas[[#This Row],[Ciudad]],Tabla2[Ciudades],Tabla2[Provincias],"no se encuentra")</f>
        <v>Valencia</v>
      </c>
      <c r="L1207" t="str">
        <f>_xlfn.XLOOKUP(datos_ventas[[#This Row],[Provincia]],Tabla2[Provincias],Tabla2[Comunidades],"no se encuentra")</f>
        <v>Comunidad Valenciana</v>
      </c>
      <c r="M1207" t="s">
        <v>13</v>
      </c>
      <c r="N1207">
        <v>4</v>
      </c>
    </row>
    <row r="1208" spans="1:14" x14ac:dyDescent="0.25">
      <c r="A1208">
        <v>2207</v>
      </c>
      <c r="B1208" s="1">
        <v>45969</v>
      </c>
      <c r="C1208" s="4">
        <f>MONTH(datos_ventas[[#This Row],[Fecha]])</f>
        <v>11</v>
      </c>
      <c r="D1208" s="4">
        <f>WEEKNUM(datos_ventas[[#This Row],[Fecha]],2)</f>
        <v>45</v>
      </c>
      <c r="E1208" t="s">
        <v>17</v>
      </c>
      <c r="F1208" t="s">
        <v>18</v>
      </c>
      <c r="G1208">
        <v>3</v>
      </c>
      <c r="H1208">
        <v>45595</v>
      </c>
      <c r="I1208">
        <v>671</v>
      </c>
      <c r="J1208" t="s">
        <v>22</v>
      </c>
      <c r="K1208" t="str">
        <f>_xlfn.XLOOKUP(datos_ventas[[#This Row],[Ciudad]],Tabla2[Ciudades],Tabla2[Provincias],"no se encuentra")</f>
        <v>Valencia</v>
      </c>
      <c r="L1208" t="str">
        <f>_xlfn.XLOOKUP(datos_ventas[[#This Row],[Provincia]],Tabla2[Provincias],Tabla2[Comunidades],"no se encuentra")</f>
        <v>Comunidad Valenciana</v>
      </c>
      <c r="M1208" t="s">
        <v>13</v>
      </c>
      <c r="N1208">
        <v>4</v>
      </c>
    </row>
    <row r="1209" spans="1:14" x14ac:dyDescent="0.25">
      <c r="A1209">
        <v>2208</v>
      </c>
      <c r="B1209" s="1">
        <v>45933</v>
      </c>
      <c r="C1209" s="4">
        <f>MONTH(datos_ventas[[#This Row],[Fecha]])</f>
        <v>10</v>
      </c>
      <c r="D1209" s="4">
        <f>WEEKNUM(datos_ventas[[#This Row],[Fecha]],2)</f>
        <v>40</v>
      </c>
      <c r="E1209" t="s">
        <v>29</v>
      </c>
      <c r="F1209" t="s">
        <v>30</v>
      </c>
      <c r="G1209">
        <v>2</v>
      </c>
      <c r="H1209">
        <v>114116</v>
      </c>
      <c r="I1209">
        <v>2851</v>
      </c>
      <c r="J1209" t="s">
        <v>32</v>
      </c>
      <c r="K1209" t="str">
        <f>_xlfn.XLOOKUP(datos_ventas[[#This Row],[Ciudad]],Tabla2[Ciudades],Tabla2[Provincias],"no se encuentra")</f>
        <v>Barcelona</v>
      </c>
      <c r="L1209" t="str">
        <f>_xlfn.XLOOKUP(datos_ventas[[#This Row],[Provincia]],Tabla2[Provincias],Tabla2[Comunidades],"no se encuentra")</f>
        <v>Cataluña</v>
      </c>
      <c r="M1209" t="s">
        <v>15</v>
      </c>
      <c r="N1209">
        <v>5</v>
      </c>
    </row>
    <row r="1210" spans="1:14" x14ac:dyDescent="0.25">
      <c r="A1210">
        <v>2209</v>
      </c>
      <c r="B1210" s="1">
        <v>45782</v>
      </c>
      <c r="C1210" s="4">
        <f>MONTH(datos_ventas[[#This Row],[Fecha]])</f>
        <v>5</v>
      </c>
      <c r="D1210" s="4">
        <f>WEEKNUM(datos_ventas[[#This Row],[Fecha]],2)</f>
        <v>19</v>
      </c>
      <c r="E1210" t="s">
        <v>26</v>
      </c>
      <c r="F1210" t="s">
        <v>18</v>
      </c>
      <c r="G1210">
        <v>3</v>
      </c>
      <c r="H1210">
        <v>65497</v>
      </c>
      <c r="I1210">
        <v>481</v>
      </c>
      <c r="J1210" t="s">
        <v>22</v>
      </c>
      <c r="K1210" t="str">
        <f>_xlfn.XLOOKUP(datos_ventas[[#This Row],[Ciudad]],Tabla2[Ciudades],Tabla2[Provincias],"no se encuentra")</f>
        <v>Valencia</v>
      </c>
      <c r="L1210" t="str">
        <f>_xlfn.XLOOKUP(datos_ventas[[#This Row],[Provincia]],Tabla2[Provincias],Tabla2[Comunidades],"no se encuentra")</f>
        <v>Comunidad Valenciana</v>
      </c>
      <c r="M1210" t="s">
        <v>28</v>
      </c>
      <c r="N1210">
        <v>2</v>
      </c>
    </row>
    <row r="1211" spans="1:14" x14ac:dyDescent="0.25">
      <c r="A1211">
        <v>2210</v>
      </c>
      <c r="B1211" s="1">
        <v>45902</v>
      </c>
      <c r="C1211" s="4">
        <f>MONTH(datos_ventas[[#This Row],[Fecha]])</f>
        <v>9</v>
      </c>
      <c r="D1211" s="4">
        <f>WEEKNUM(datos_ventas[[#This Row],[Fecha]],2)</f>
        <v>36</v>
      </c>
      <c r="E1211" t="s">
        <v>29</v>
      </c>
      <c r="F1211" t="s">
        <v>30</v>
      </c>
      <c r="G1211">
        <v>2</v>
      </c>
      <c r="H1211">
        <v>82088</v>
      </c>
      <c r="I1211">
        <v>392</v>
      </c>
      <c r="J1211" t="s">
        <v>27</v>
      </c>
      <c r="K1211" t="str">
        <f>_xlfn.XLOOKUP(datos_ventas[[#This Row],[Ciudad]],Tabla2[Ciudades],Tabla2[Provincias],"no se encuentra")</f>
        <v>Sevilla</v>
      </c>
      <c r="L1211" t="str">
        <f>_xlfn.XLOOKUP(datos_ventas[[#This Row],[Provincia]],Tabla2[Provincias],Tabla2[Comunidades],"no se encuentra")</f>
        <v>Andalucía</v>
      </c>
      <c r="M1211" t="s">
        <v>28</v>
      </c>
      <c r="N1211">
        <v>2</v>
      </c>
    </row>
    <row r="1212" spans="1:14" x14ac:dyDescent="0.25">
      <c r="A1212">
        <v>2211</v>
      </c>
      <c r="B1212" s="1">
        <v>45991</v>
      </c>
      <c r="C1212" s="4">
        <f>MONTH(datos_ventas[[#This Row],[Fecha]])</f>
        <v>11</v>
      </c>
      <c r="D1212" s="4">
        <f>WEEKNUM(datos_ventas[[#This Row],[Fecha]],2)</f>
        <v>48</v>
      </c>
      <c r="E1212" t="s">
        <v>17</v>
      </c>
      <c r="F1212" t="s">
        <v>18</v>
      </c>
      <c r="G1212">
        <v>2</v>
      </c>
      <c r="H1212">
        <v>55782</v>
      </c>
      <c r="I1212">
        <v>3141</v>
      </c>
      <c r="J1212" t="s">
        <v>27</v>
      </c>
      <c r="K1212" t="str">
        <f>_xlfn.XLOOKUP(datos_ventas[[#This Row],[Ciudad]],Tabla2[Ciudades],Tabla2[Provincias],"no se encuentra")</f>
        <v>Sevilla</v>
      </c>
      <c r="L1212" t="str">
        <f>_xlfn.XLOOKUP(datos_ventas[[#This Row],[Provincia]],Tabla2[Provincias],Tabla2[Comunidades],"no se encuentra")</f>
        <v>Andalucía</v>
      </c>
      <c r="M1212" t="s">
        <v>13</v>
      </c>
      <c r="N1212">
        <v>1</v>
      </c>
    </row>
    <row r="1213" spans="1:14" x14ac:dyDescent="0.25">
      <c r="A1213">
        <v>2212</v>
      </c>
      <c r="B1213" s="1">
        <v>45814</v>
      </c>
      <c r="C1213" s="4">
        <f>MONTH(datos_ventas[[#This Row],[Fecha]])</f>
        <v>6</v>
      </c>
      <c r="D1213" s="4">
        <f>WEEKNUM(datos_ventas[[#This Row],[Fecha]],2)</f>
        <v>23</v>
      </c>
      <c r="E1213" t="s">
        <v>29</v>
      </c>
      <c r="F1213" t="s">
        <v>30</v>
      </c>
      <c r="G1213">
        <v>5</v>
      </c>
      <c r="H1213">
        <v>8763</v>
      </c>
      <c r="I1213">
        <v>668</v>
      </c>
      <c r="J1213" t="s">
        <v>22</v>
      </c>
      <c r="K1213" t="str">
        <f>_xlfn.XLOOKUP(datos_ventas[[#This Row],[Ciudad]],Tabla2[Ciudades],Tabla2[Provincias],"no se encuentra")</f>
        <v>Valencia</v>
      </c>
      <c r="L1213" t="str">
        <f>_xlfn.XLOOKUP(datos_ventas[[#This Row],[Provincia]],Tabla2[Provincias],Tabla2[Comunidades],"no se encuentra")</f>
        <v>Comunidad Valenciana</v>
      </c>
      <c r="M1213" t="s">
        <v>19</v>
      </c>
      <c r="N1213">
        <v>1</v>
      </c>
    </row>
    <row r="1214" spans="1:14" x14ac:dyDescent="0.25">
      <c r="A1214">
        <v>2213</v>
      </c>
      <c r="B1214" s="1">
        <v>45791</v>
      </c>
      <c r="C1214" s="4">
        <f>MONTH(datos_ventas[[#This Row],[Fecha]])</f>
        <v>5</v>
      </c>
      <c r="D1214" s="4">
        <f>WEEKNUM(datos_ventas[[#This Row],[Fecha]],2)</f>
        <v>20</v>
      </c>
      <c r="E1214" t="s">
        <v>16</v>
      </c>
      <c r="F1214" t="s">
        <v>11</v>
      </c>
      <c r="G1214">
        <v>2</v>
      </c>
      <c r="H1214">
        <v>86171</v>
      </c>
      <c r="I1214">
        <v>1904</v>
      </c>
      <c r="J1214" t="s">
        <v>27</v>
      </c>
      <c r="K1214" t="str">
        <f>_xlfn.XLOOKUP(datos_ventas[[#This Row],[Ciudad]],Tabla2[Ciudades],Tabla2[Provincias],"no se encuentra")</f>
        <v>Sevilla</v>
      </c>
      <c r="L1214" t="str">
        <f>_xlfn.XLOOKUP(datos_ventas[[#This Row],[Provincia]],Tabla2[Provincias],Tabla2[Comunidades],"no se encuentra")</f>
        <v>Andalucía</v>
      </c>
      <c r="M1214" t="s">
        <v>13</v>
      </c>
      <c r="N1214">
        <v>5</v>
      </c>
    </row>
    <row r="1215" spans="1:14" x14ac:dyDescent="0.25">
      <c r="A1215">
        <v>2214</v>
      </c>
      <c r="B1215" s="1">
        <v>45825</v>
      </c>
      <c r="C1215" s="4">
        <f>MONTH(datos_ventas[[#This Row],[Fecha]])</f>
        <v>6</v>
      </c>
      <c r="D1215" s="4">
        <f>WEEKNUM(datos_ventas[[#This Row],[Fecha]],2)</f>
        <v>25</v>
      </c>
      <c r="E1215" t="s">
        <v>26</v>
      </c>
      <c r="F1215" t="s">
        <v>18</v>
      </c>
      <c r="G1215">
        <v>2</v>
      </c>
      <c r="H1215">
        <v>110786</v>
      </c>
      <c r="I1215">
        <v>2934</v>
      </c>
      <c r="J1215" t="s">
        <v>22</v>
      </c>
      <c r="K1215" t="str">
        <f>_xlfn.XLOOKUP(datos_ventas[[#This Row],[Ciudad]],Tabla2[Ciudades],Tabla2[Provincias],"no se encuentra")</f>
        <v>Valencia</v>
      </c>
      <c r="L1215" t="str">
        <f>_xlfn.XLOOKUP(datos_ventas[[#This Row],[Provincia]],Tabla2[Provincias],Tabla2[Comunidades],"no se encuentra")</f>
        <v>Comunidad Valenciana</v>
      </c>
      <c r="M1215" t="s">
        <v>15</v>
      </c>
      <c r="N1215">
        <v>3</v>
      </c>
    </row>
    <row r="1216" spans="1:14" x14ac:dyDescent="0.25">
      <c r="A1216">
        <v>2215</v>
      </c>
      <c r="B1216" s="1">
        <v>45665</v>
      </c>
      <c r="C1216" s="4">
        <f>MONTH(datos_ventas[[#This Row],[Fecha]])</f>
        <v>1</v>
      </c>
      <c r="D1216" s="4">
        <f>WEEKNUM(datos_ventas[[#This Row],[Fecha]],2)</f>
        <v>2</v>
      </c>
      <c r="E1216" t="s">
        <v>23</v>
      </c>
      <c r="F1216" t="s">
        <v>18</v>
      </c>
      <c r="G1216">
        <v>1</v>
      </c>
      <c r="H1216">
        <v>111448</v>
      </c>
      <c r="I1216">
        <v>161</v>
      </c>
      <c r="J1216" t="s">
        <v>22</v>
      </c>
      <c r="K1216" t="str">
        <f>_xlfn.XLOOKUP(datos_ventas[[#This Row],[Ciudad]],Tabla2[Ciudades],Tabla2[Provincias],"no se encuentra")</f>
        <v>Valencia</v>
      </c>
      <c r="L1216" t="str">
        <f>_xlfn.XLOOKUP(datos_ventas[[#This Row],[Provincia]],Tabla2[Provincias],Tabla2[Comunidades],"no se encuentra")</f>
        <v>Comunidad Valenciana</v>
      </c>
      <c r="M1216" t="s">
        <v>28</v>
      </c>
      <c r="N1216">
        <v>1</v>
      </c>
    </row>
    <row r="1217" spans="1:14" x14ac:dyDescent="0.25">
      <c r="A1217">
        <v>2216</v>
      </c>
      <c r="B1217" s="1">
        <v>45710</v>
      </c>
      <c r="C1217" s="4">
        <f>MONTH(datos_ventas[[#This Row],[Fecha]])</f>
        <v>2</v>
      </c>
      <c r="D1217" s="4">
        <f>WEEKNUM(datos_ventas[[#This Row],[Fecha]],2)</f>
        <v>8</v>
      </c>
      <c r="E1217" t="s">
        <v>23</v>
      </c>
      <c r="F1217" t="s">
        <v>18</v>
      </c>
      <c r="G1217">
        <v>5</v>
      </c>
      <c r="H1217">
        <v>84365</v>
      </c>
      <c r="I1217">
        <v>3857</v>
      </c>
      <c r="J1217" t="s">
        <v>32</v>
      </c>
      <c r="K1217" t="str">
        <f>_xlfn.XLOOKUP(datos_ventas[[#This Row],[Ciudad]],Tabla2[Ciudades],Tabla2[Provincias],"no se encuentra")</f>
        <v>Barcelona</v>
      </c>
      <c r="L1217" t="str">
        <f>_xlfn.XLOOKUP(datos_ventas[[#This Row],[Provincia]],Tabla2[Provincias],Tabla2[Comunidades],"no se encuentra")</f>
        <v>Cataluña</v>
      </c>
      <c r="M1217" t="s">
        <v>13</v>
      </c>
      <c r="N1217">
        <v>4</v>
      </c>
    </row>
    <row r="1218" spans="1:14" x14ac:dyDescent="0.25">
      <c r="A1218">
        <v>2217</v>
      </c>
      <c r="B1218" s="1">
        <v>45693</v>
      </c>
      <c r="C1218" s="4">
        <f>MONTH(datos_ventas[[#This Row],[Fecha]])</f>
        <v>2</v>
      </c>
      <c r="D1218" s="4">
        <f>WEEKNUM(datos_ventas[[#This Row],[Fecha]],2)</f>
        <v>6</v>
      </c>
      <c r="E1218" t="s">
        <v>23</v>
      </c>
      <c r="F1218" t="s">
        <v>18</v>
      </c>
      <c r="G1218">
        <v>1</v>
      </c>
      <c r="H1218">
        <v>102544</v>
      </c>
      <c r="I1218">
        <v>1146</v>
      </c>
      <c r="J1218" t="s">
        <v>27</v>
      </c>
      <c r="K1218" t="str">
        <f>_xlfn.XLOOKUP(datos_ventas[[#This Row],[Ciudad]],Tabla2[Ciudades],Tabla2[Provincias],"no se encuentra")</f>
        <v>Sevilla</v>
      </c>
      <c r="L1218" t="str">
        <f>_xlfn.XLOOKUP(datos_ventas[[#This Row],[Provincia]],Tabla2[Provincias],Tabla2[Comunidades],"no se encuentra")</f>
        <v>Andalucía</v>
      </c>
      <c r="M1218" t="s">
        <v>13</v>
      </c>
      <c r="N1218">
        <v>3</v>
      </c>
    </row>
    <row r="1219" spans="1:14" x14ac:dyDescent="0.25">
      <c r="A1219">
        <v>2218</v>
      </c>
      <c r="B1219" s="1">
        <v>45928</v>
      </c>
      <c r="C1219" s="4">
        <f>MONTH(datos_ventas[[#This Row],[Fecha]])</f>
        <v>9</v>
      </c>
      <c r="D1219" s="4">
        <f>WEEKNUM(datos_ventas[[#This Row],[Fecha]],2)</f>
        <v>39</v>
      </c>
      <c r="E1219" t="s">
        <v>10</v>
      </c>
      <c r="F1219" t="s">
        <v>11</v>
      </c>
      <c r="G1219">
        <v>2</v>
      </c>
      <c r="H1219">
        <v>107326</v>
      </c>
      <c r="I1219">
        <v>4762</v>
      </c>
      <c r="J1219" t="s">
        <v>14</v>
      </c>
      <c r="K1219" t="str">
        <f>_xlfn.XLOOKUP(datos_ventas[[#This Row],[Ciudad]],Tabla2[Ciudades],Tabla2[Provincias],"no se encuentra")</f>
        <v>Madrid</v>
      </c>
      <c r="L1219" t="str">
        <f>_xlfn.XLOOKUP(datos_ventas[[#This Row],[Provincia]],Tabla2[Provincias],Tabla2[Comunidades],"no se encuentra")</f>
        <v>Comunidad de Madrid</v>
      </c>
      <c r="M1219" t="s">
        <v>13</v>
      </c>
      <c r="N1219">
        <v>4</v>
      </c>
    </row>
    <row r="1220" spans="1:14" x14ac:dyDescent="0.25">
      <c r="A1220">
        <v>2219</v>
      </c>
      <c r="B1220" s="1">
        <v>45920</v>
      </c>
      <c r="C1220" s="4">
        <f>MONTH(datos_ventas[[#This Row],[Fecha]])</f>
        <v>9</v>
      </c>
      <c r="D1220" s="4">
        <f>WEEKNUM(datos_ventas[[#This Row],[Fecha]],2)</f>
        <v>38</v>
      </c>
      <c r="E1220" t="s">
        <v>23</v>
      </c>
      <c r="F1220" t="s">
        <v>18</v>
      </c>
      <c r="G1220">
        <v>5</v>
      </c>
      <c r="H1220">
        <v>119327</v>
      </c>
      <c r="I1220">
        <v>661</v>
      </c>
      <c r="J1220" t="s">
        <v>32</v>
      </c>
      <c r="K1220" t="str">
        <f>_xlfn.XLOOKUP(datos_ventas[[#This Row],[Ciudad]],Tabla2[Ciudades],Tabla2[Provincias],"no se encuentra")</f>
        <v>Barcelona</v>
      </c>
      <c r="L1220" t="str">
        <f>_xlfn.XLOOKUP(datos_ventas[[#This Row],[Provincia]],Tabla2[Provincias],Tabla2[Comunidades],"no se encuentra")</f>
        <v>Cataluña</v>
      </c>
      <c r="M1220" t="s">
        <v>28</v>
      </c>
      <c r="N1220">
        <v>1</v>
      </c>
    </row>
    <row r="1221" spans="1:14" x14ac:dyDescent="0.25">
      <c r="A1221">
        <v>2220</v>
      </c>
      <c r="B1221" s="1">
        <v>45852</v>
      </c>
      <c r="C1221" s="4">
        <f>MONTH(datos_ventas[[#This Row],[Fecha]])</f>
        <v>7</v>
      </c>
      <c r="D1221" s="4">
        <f>WEEKNUM(datos_ventas[[#This Row],[Fecha]],2)</f>
        <v>29</v>
      </c>
      <c r="E1221" t="s">
        <v>10</v>
      </c>
      <c r="F1221" t="s">
        <v>11</v>
      </c>
      <c r="G1221">
        <v>5</v>
      </c>
      <c r="H1221">
        <v>59158</v>
      </c>
      <c r="I1221">
        <v>1912</v>
      </c>
      <c r="J1221" t="s">
        <v>14</v>
      </c>
      <c r="K1221" t="str">
        <f>_xlfn.XLOOKUP(datos_ventas[[#This Row],[Ciudad]],Tabla2[Ciudades],Tabla2[Provincias],"no se encuentra")</f>
        <v>Madrid</v>
      </c>
      <c r="L1221" t="str">
        <f>_xlfn.XLOOKUP(datos_ventas[[#This Row],[Provincia]],Tabla2[Provincias],Tabla2[Comunidades],"no se encuentra")</f>
        <v>Comunidad de Madrid</v>
      </c>
      <c r="M1221" t="s">
        <v>19</v>
      </c>
      <c r="N1221">
        <v>1</v>
      </c>
    </row>
    <row r="1222" spans="1:14" x14ac:dyDescent="0.25">
      <c r="A1222">
        <v>2221</v>
      </c>
      <c r="B1222" s="1">
        <v>45832</v>
      </c>
      <c r="C1222" s="4">
        <f>MONTH(datos_ventas[[#This Row],[Fecha]])</f>
        <v>6</v>
      </c>
      <c r="D1222" s="4">
        <f>WEEKNUM(datos_ventas[[#This Row],[Fecha]],2)</f>
        <v>26</v>
      </c>
      <c r="E1222" t="s">
        <v>10</v>
      </c>
      <c r="F1222" t="s">
        <v>11</v>
      </c>
      <c r="G1222">
        <v>3</v>
      </c>
      <c r="H1222">
        <v>78543</v>
      </c>
      <c r="I1222">
        <v>2422</v>
      </c>
      <c r="J1222" t="s">
        <v>12</v>
      </c>
      <c r="K1222" t="str">
        <f>_xlfn.XLOOKUP(datos_ventas[[#This Row],[Ciudad]],Tabla2[Ciudades],Tabla2[Provincias],"no se encuentra")</f>
        <v>Málaga</v>
      </c>
      <c r="L1222" t="str">
        <f>_xlfn.XLOOKUP(datos_ventas[[#This Row],[Provincia]],Tabla2[Provincias],Tabla2[Comunidades],"no se encuentra")</f>
        <v>Andalucía</v>
      </c>
      <c r="M1222" t="s">
        <v>19</v>
      </c>
      <c r="N1222">
        <v>4</v>
      </c>
    </row>
    <row r="1223" spans="1:14" x14ac:dyDescent="0.25">
      <c r="A1223">
        <v>2222</v>
      </c>
      <c r="B1223" s="1">
        <v>45918</v>
      </c>
      <c r="C1223" s="4">
        <f>MONTH(datos_ventas[[#This Row],[Fecha]])</f>
        <v>9</v>
      </c>
      <c r="D1223" s="4">
        <f>WEEKNUM(datos_ventas[[#This Row],[Fecha]],2)</f>
        <v>38</v>
      </c>
      <c r="E1223" t="s">
        <v>16</v>
      </c>
      <c r="F1223" t="s">
        <v>11</v>
      </c>
      <c r="G1223">
        <v>5</v>
      </c>
      <c r="H1223">
        <v>116916</v>
      </c>
      <c r="I1223">
        <v>4648</v>
      </c>
      <c r="J1223" t="s">
        <v>32</v>
      </c>
      <c r="K1223" t="str">
        <f>_xlfn.XLOOKUP(datos_ventas[[#This Row],[Ciudad]],Tabla2[Ciudades],Tabla2[Provincias],"no se encuentra")</f>
        <v>Barcelona</v>
      </c>
      <c r="L1223" t="str">
        <f>_xlfn.XLOOKUP(datos_ventas[[#This Row],[Provincia]],Tabla2[Provincias],Tabla2[Comunidades],"no se encuentra")</f>
        <v>Cataluña</v>
      </c>
      <c r="M1223" t="s">
        <v>13</v>
      </c>
      <c r="N1223">
        <v>5</v>
      </c>
    </row>
    <row r="1224" spans="1:14" x14ac:dyDescent="0.25">
      <c r="A1224">
        <v>2223</v>
      </c>
      <c r="B1224" s="1">
        <v>46015</v>
      </c>
      <c r="C1224" s="4">
        <f>MONTH(datos_ventas[[#This Row],[Fecha]])</f>
        <v>12</v>
      </c>
      <c r="D1224" s="4">
        <f>WEEKNUM(datos_ventas[[#This Row],[Fecha]],2)</f>
        <v>52</v>
      </c>
      <c r="E1224" t="s">
        <v>20</v>
      </c>
      <c r="F1224" t="s">
        <v>21</v>
      </c>
      <c r="G1224">
        <v>5</v>
      </c>
      <c r="H1224">
        <v>66457</v>
      </c>
      <c r="I1224">
        <v>4168</v>
      </c>
      <c r="J1224" t="s">
        <v>31</v>
      </c>
      <c r="K1224" t="str">
        <f>_xlfn.XLOOKUP(datos_ventas[[#This Row],[Ciudad]],Tabla2[Ciudades],Tabla2[Provincias],"no se encuentra")</f>
        <v>Vizcaya</v>
      </c>
      <c r="L1224" t="str">
        <f>_xlfn.XLOOKUP(datos_ventas[[#This Row],[Provincia]],Tabla2[Provincias],Tabla2[Comunidades],"no se encuentra")</f>
        <v>País Vasco</v>
      </c>
      <c r="M1224" t="s">
        <v>13</v>
      </c>
      <c r="N1224">
        <v>4</v>
      </c>
    </row>
    <row r="1225" spans="1:14" x14ac:dyDescent="0.25">
      <c r="A1225">
        <v>2224</v>
      </c>
      <c r="B1225" s="1">
        <v>45690</v>
      </c>
      <c r="C1225" s="4">
        <f>MONTH(datos_ventas[[#This Row],[Fecha]])</f>
        <v>2</v>
      </c>
      <c r="D1225" s="4">
        <f>WEEKNUM(datos_ventas[[#This Row],[Fecha]],2)</f>
        <v>5</v>
      </c>
      <c r="E1225" t="s">
        <v>20</v>
      </c>
      <c r="F1225" t="s">
        <v>21</v>
      </c>
      <c r="G1225">
        <v>3</v>
      </c>
      <c r="H1225">
        <v>32351</v>
      </c>
      <c r="I1225">
        <v>1976</v>
      </c>
      <c r="J1225" t="s">
        <v>31</v>
      </c>
      <c r="K1225" t="str">
        <f>_xlfn.XLOOKUP(datos_ventas[[#This Row],[Ciudad]],Tabla2[Ciudades],Tabla2[Provincias],"no se encuentra")</f>
        <v>Vizcaya</v>
      </c>
      <c r="L1225" t="str">
        <f>_xlfn.XLOOKUP(datos_ventas[[#This Row],[Provincia]],Tabla2[Provincias],Tabla2[Comunidades],"no se encuentra")</f>
        <v>País Vasco</v>
      </c>
      <c r="M1225" t="s">
        <v>13</v>
      </c>
      <c r="N1225">
        <v>1</v>
      </c>
    </row>
    <row r="1226" spans="1:14" x14ac:dyDescent="0.25">
      <c r="A1226">
        <v>2225</v>
      </c>
      <c r="B1226" s="1">
        <v>45730</v>
      </c>
      <c r="C1226" s="4">
        <f>MONTH(datos_ventas[[#This Row],[Fecha]])</f>
        <v>3</v>
      </c>
      <c r="D1226" s="4">
        <f>WEEKNUM(datos_ventas[[#This Row],[Fecha]],2)</f>
        <v>11</v>
      </c>
      <c r="E1226" t="s">
        <v>26</v>
      </c>
      <c r="F1226" t="s">
        <v>18</v>
      </c>
      <c r="G1226">
        <v>1</v>
      </c>
      <c r="H1226">
        <v>106175</v>
      </c>
      <c r="I1226">
        <v>998</v>
      </c>
      <c r="J1226" t="s">
        <v>14</v>
      </c>
      <c r="K1226" t="str">
        <f>_xlfn.XLOOKUP(datos_ventas[[#This Row],[Ciudad]],Tabla2[Ciudades],Tabla2[Provincias],"no se encuentra")</f>
        <v>Madrid</v>
      </c>
      <c r="L1226" t="str">
        <f>_xlfn.XLOOKUP(datos_ventas[[#This Row],[Provincia]],Tabla2[Provincias],Tabla2[Comunidades],"no se encuentra")</f>
        <v>Comunidad de Madrid</v>
      </c>
      <c r="M1226" t="s">
        <v>15</v>
      </c>
      <c r="N1226">
        <v>5</v>
      </c>
    </row>
    <row r="1227" spans="1:14" x14ac:dyDescent="0.25">
      <c r="A1227">
        <v>2226</v>
      </c>
      <c r="B1227" s="1">
        <v>45769</v>
      </c>
      <c r="C1227" s="4">
        <f>MONTH(datos_ventas[[#This Row],[Fecha]])</f>
        <v>4</v>
      </c>
      <c r="D1227" s="4">
        <f>WEEKNUM(datos_ventas[[#This Row],[Fecha]],2)</f>
        <v>17</v>
      </c>
      <c r="E1227" t="s">
        <v>20</v>
      </c>
      <c r="F1227" t="s">
        <v>21</v>
      </c>
      <c r="G1227">
        <v>1</v>
      </c>
      <c r="H1227">
        <v>78162</v>
      </c>
      <c r="I1227">
        <v>1459</v>
      </c>
      <c r="J1227" t="s">
        <v>14</v>
      </c>
      <c r="K1227" t="str">
        <f>_xlfn.XLOOKUP(datos_ventas[[#This Row],[Ciudad]],Tabla2[Ciudades],Tabla2[Provincias],"no se encuentra")</f>
        <v>Madrid</v>
      </c>
      <c r="L1227" t="str">
        <f>_xlfn.XLOOKUP(datos_ventas[[#This Row],[Provincia]],Tabla2[Provincias],Tabla2[Comunidades],"no se encuentra")</f>
        <v>Comunidad de Madrid</v>
      </c>
      <c r="M1227" t="s">
        <v>13</v>
      </c>
      <c r="N1227">
        <v>3</v>
      </c>
    </row>
    <row r="1228" spans="1:14" x14ac:dyDescent="0.25">
      <c r="A1228">
        <v>2227</v>
      </c>
      <c r="B1228" s="1">
        <v>45830</v>
      </c>
      <c r="C1228" s="4">
        <f>MONTH(datos_ventas[[#This Row],[Fecha]])</f>
        <v>6</v>
      </c>
      <c r="D1228" s="4">
        <f>WEEKNUM(datos_ventas[[#This Row],[Fecha]],2)</f>
        <v>25</v>
      </c>
      <c r="E1228" t="s">
        <v>29</v>
      </c>
      <c r="F1228" t="s">
        <v>30</v>
      </c>
      <c r="G1228">
        <v>5</v>
      </c>
      <c r="H1228">
        <v>112238</v>
      </c>
      <c r="I1228">
        <v>3805</v>
      </c>
      <c r="J1228" t="s">
        <v>12</v>
      </c>
      <c r="K1228" t="str">
        <f>_xlfn.XLOOKUP(datos_ventas[[#This Row],[Ciudad]],Tabla2[Ciudades],Tabla2[Provincias],"no se encuentra")</f>
        <v>Málaga</v>
      </c>
      <c r="L1228" t="str">
        <f>_xlfn.XLOOKUP(datos_ventas[[#This Row],[Provincia]],Tabla2[Provincias],Tabla2[Comunidades],"no se encuentra")</f>
        <v>Andalucía</v>
      </c>
      <c r="M1228" t="s">
        <v>19</v>
      </c>
      <c r="N1228">
        <v>2</v>
      </c>
    </row>
    <row r="1229" spans="1:14" x14ac:dyDescent="0.25">
      <c r="A1229">
        <v>2228</v>
      </c>
      <c r="B1229" s="1">
        <v>45827</v>
      </c>
      <c r="C1229" s="4">
        <f>MONTH(datos_ventas[[#This Row],[Fecha]])</f>
        <v>6</v>
      </c>
      <c r="D1229" s="4">
        <f>WEEKNUM(datos_ventas[[#This Row],[Fecha]],2)</f>
        <v>25</v>
      </c>
      <c r="E1229" t="s">
        <v>16</v>
      </c>
      <c r="F1229" t="s">
        <v>11</v>
      </c>
      <c r="G1229">
        <v>2</v>
      </c>
      <c r="H1229">
        <v>101715</v>
      </c>
      <c r="I1229">
        <v>848</v>
      </c>
      <c r="J1229" t="s">
        <v>14</v>
      </c>
      <c r="K1229" t="str">
        <f>_xlfn.XLOOKUP(datos_ventas[[#This Row],[Ciudad]],Tabla2[Ciudades],Tabla2[Provincias],"no se encuentra")</f>
        <v>Madrid</v>
      </c>
      <c r="L1229" t="str">
        <f>_xlfn.XLOOKUP(datos_ventas[[#This Row],[Provincia]],Tabla2[Provincias],Tabla2[Comunidades],"no se encuentra")</f>
        <v>Comunidad de Madrid</v>
      </c>
      <c r="M1229" t="s">
        <v>28</v>
      </c>
      <c r="N1229">
        <v>4</v>
      </c>
    </row>
    <row r="1230" spans="1:14" x14ac:dyDescent="0.25">
      <c r="A1230">
        <v>2229</v>
      </c>
      <c r="B1230" s="1">
        <v>45905</v>
      </c>
      <c r="C1230" s="4">
        <f>MONTH(datos_ventas[[#This Row],[Fecha]])</f>
        <v>9</v>
      </c>
      <c r="D1230" s="4">
        <f>WEEKNUM(datos_ventas[[#This Row],[Fecha]],2)</f>
        <v>36</v>
      </c>
      <c r="E1230" t="s">
        <v>16</v>
      </c>
      <c r="F1230" t="s">
        <v>11</v>
      </c>
      <c r="G1230">
        <v>3</v>
      </c>
      <c r="H1230">
        <v>70183</v>
      </c>
      <c r="I1230">
        <v>783</v>
      </c>
      <c r="J1230" t="s">
        <v>27</v>
      </c>
      <c r="K1230" t="str">
        <f>_xlfn.XLOOKUP(datos_ventas[[#This Row],[Ciudad]],Tabla2[Ciudades],Tabla2[Provincias],"no se encuentra")</f>
        <v>Sevilla</v>
      </c>
      <c r="L1230" t="str">
        <f>_xlfn.XLOOKUP(datos_ventas[[#This Row],[Provincia]],Tabla2[Provincias],Tabla2[Comunidades],"no se encuentra")</f>
        <v>Andalucía</v>
      </c>
      <c r="M1230" t="s">
        <v>19</v>
      </c>
      <c r="N1230">
        <v>1</v>
      </c>
    </row>
    <row r="1231" spans="1:14" x14ac:dyDescent="0.25">
      <c r="A1231">
        <v>2230</v>
      </c>
      <c r="B1231" s="1">
        <v>45944</v>
      </c>
      <c r="C1231" s="4">
        <f>MONTH(datos_ventas[[#This Row],[Fecha]])</f>
        <v>10</v>
      </c>
      <c r="D1231" s="4">
        <f>WEEKNUM(datos_ventas[[#This Row],[Fecha]],2)</f>
        <v>42</v>
      </c>
      <c r="E1231" t="s">
        <v>23</v>
      </c>
      <c r="F1231" t="s">
        <v>18</v>
      </c>
      <c r="G1231">
        <v>5</v>
      </c>
      <c r="H1231">
        <v>94296</v>
      </c>
      <c r="I1231">
        <v>4397</v>
      </c>
      <c r="J1231" t="s">
        <v>22</v>
      </c>
      <c r="K1231" t="str">
        <f>_xlfn.XLOOKUP(datos_ventas[[#This Row],[Ciudad]],Tabla2[Ciudades],Tabla2[Provincias],"no se encuentra")</f>
        <v>Valencia</v>
      </c>
      <c r="L1231" t="str">
        <f>_xlfn.XLOOKUP(datos_ventas[[#This Row],[Provincia]],Tabla2[Provincias],Tabla2[Comunidades],"no se encuentra")</f>
        <v>Comunidad Valenciana</v>
      </c>
      <c r="M1231" t="s">
        <v>15</v>
      </c>
      <c r="N1231">
        <v>2</v>
      </c>
    </row>
    <row r="1232" spans="1:14" x14ac:dyDescent="0.25">
      <c r="A1232">
        <v>2231</v>
      </c>
      <c r="B1232" s="1">
        <v>45860</v>
      </c>
      <c r="C1232" s="4">
        <f>MONTH(datos_ventas[[#This Row],[Fecha]])</f>
        <v>7</v>
      </c>
      <c r="D1232" s="4">
        <f>WEEKNUM(datos_ventas[[#This Row],[Fecha]],2)</f>
        <v>30</v>
      </c>
      <c r="E1232" t="s">
        <v>29</v>
      </c>
      <c r="F1232" t="s">
        <v>30</v>
      </c>
      <c r="G1232">
        <v>1</v>
      </c>
      <c r="H1232">
        <v>117297</v>
      </c>
      <c r="I1232">
        <v>3531</v>
      </c>
      <c r="J1232" t="s">
        <v>27</v>
      </c>
      <c r="K1232" t="str">
        <f>_xlfn.XLOOKUP(datos_ventas[[#This Row],[Ciudad]],Tabla2[Ciudades],Tabla2[Provincias],"no se encuentra")</f>
        <v>Sevilla</v>
      </c>
      <c r="L1232" t="str">
        <f>_xlfn.XLOOKUP(datos_ventas[[#This Row],[Provincia]],Tabla2[Provincias],Tabla2[Comunidades],"no se encuentra")</f>
        <v>Andalucía</v>
      </c>
      <c r="M1232" t="s">
        <v>13</v>
      </c>
      <c r="N1232">
        <v>5</v>
      </c>
    </row>
    <row r="1233" spans="1:14" x14ac:dyDescent="0.25">
      <c r="A1233">
        <v>2232</v>
      </c>
      <c r="B1233" s="1">
        <v>45961</v>
      </c>
      <c r="C1233" s="4">
        <f>MONTH(datos_ventas[[#This Row],[Fecha]])</f>
        <v>10</v>
      </c>
      <c r="D1233" s="4">
        <f>WEEKNUM(datos_ventas[[#This Row],[Fecha]],2)</f>
        <v>44</v>
      </c>
      <c r="E1233" t="s">
        <v>17</v>
      </c>
      <c r="F1233" t="s">
        <v>18</v>
      </c>
      <c r="G1233">
        <v>3</v>
      </c>
      <c r="H1233">
        <v>111644</v>
      </c>
      <c r="I1233">
        <v>1693</v>
      </c>
      <c r="J1233" t="s">
        <v>22</v>
      </c>
      <c r="K1233" t="str">
        <f>_xlfn.XLOOKUP(datos_ventas[[#This Row],[Ciudad]],Tabla2[Ciudades],Tabla2[Provincias],"no se encuentra")</f>
        <v>Valencia</v>
      </c>
      <c r="L1233" t="str">
        <f>_xlfn.XLOOKUP(datos_ventas[[#This Row],[Provincia]],Tabla2[Provincias],Tabla2[Comunidades],"no se encuentra")</f>
        <v>Comunidad Valenciana</v>
      </c>
      <c r="M1233" t="s">
        <v>15</v>
      </c>
      <c r="N1233">
        <v>5</v>
      </c>
    </row>
    <row r="1234" spans="1:14" x14ac:dyDescent="0.25">
      <c r="A1234">
        <v>2233</v>
      </c>
      <c r="B1234" s="1">
        <v>45978</v>
      </c>
      <c r="C1234" s="4">
        <f>MONTH(datos_ventas[[#This Row],[Fecha]])</f>
        <v>11</v>
      </c>
      <c r="D1234" s="4">
        <f>WEEKNUM(datos_ventas[[#This Row],[Fecha]],2)</f>
        <v>47</v>
      </c>
      <c r="E1234" t="s">
        <v>26</v>
      </c>
      <c r="F1234" t="s">
        <v>18</v>
      </c>
      <c r="G1234">
        <v>4</v>
      </c>
      <c r="H1234">
        <v>44397</v>
      </c>
      <c r="I1234">
        <v>414</v>
      </c>
      <c r="J1234" t="s">
        <v>22</v>
      </c>
      <c r="K1234" t="str">
        <f>_xlfn.XLOOKUP(datos_ventas[[#This Row],[Ciudad]],Tabla2[Ciudades],Tabla2[Provincias],"no se encuentra")</f>
        <v>Valencia</v>
      </c>
      <c r="L1234" t="str">
        <f>_xlfn.XLOOKUP(datos_ventas[[#This Row],[Provincia]],Tabla2[Provincias],Tabla2[Comunidades],"no se encuentra")</f>
        <v>Comunidad Valenciana</v>
      </c>
      <c r="M1234" t="s">
        <v>13</v>
      </c>
      <c r="N1234">
        <v>2</v>
      </c>
    </row>
    <row r="1235" spans="1:14" x14ac:dyDescent="0.25">
      <c r="A1235">
        <v>2234</v>
      </c>
      <c r="B1235" s="1">
        <v>45877</v>
      </c>
      <c r="C1235" s="4">
        <f>MONTH(datos_ventas[[#This Row],[Fecha]])</f>
        <v>8</v>
      </c>
      <c r="D1235" s="4">
        <f>WEEKNUM(datos_ventas[[#This Row],[Fecha]],2)</f>
        <v>32</v>
      </c>
      <c r="E1235" t="s">
        <v>26</v>
      </c>
      <c r="F1235" t="s">
        <v>18</v>
      </c>
      <c r="G1235">
        <v>5</v>
      </c>
      <c r="H1235">
        <v>100448</v>
      </c>
      <c r="I1235">
        <v>1291</v>
      </c>
      <c r="J1235" t="s">
        <v>27</v>
      </c>
      <c r="K1235" t="str">
        <f>_xlfn.XLOOKUP(datos_ventas[[#This Row],[Ciudad]],Tabla2[Ciudades],Tabla2[Provincias],"no se encuentra")</f>
        <v>Sevilla</v>
      </c>
      <c r="L1235" t="str">
        <f>_xlfn.XLOOKUP(datos_ventas[[#This Row],[Provincia]],Tabla2[Provincias],Tabla2[Comunidades],"no se encuentra")</f>
        <v>Andalucía</v>
      </c>
      <c r="M1235" t="s">
        <v>15</v>
      </c>
      <c r="N1235">
        <v>3</v>
      </c>
    </row>
    <row r="1236" spans="1:14" x14ac:dyDescent="0.25">
      <c r="A1236">
        <v>2235</v>
      </c>
      <c r="B1236" s="1">
        <v>45835</v>
      </c>
      <c r="C1236" s="4">
        <f>MONTH(datos_ventas[[#This Row],[Fecha]])</f>
        <v>6</v>
      </c>
      <c r="D1236" s="4">
        <f>WEEKNUM(datos_ventas[[#This Row],[Fecha]],2)</f>
        <v>26</v>
      </c>
      <c r="E1236" t="s">
        <v>17</v>
      </c>
      <c r="F1236" t="s">
        <v>18</v>
      </c>
      <c r="G1236">
        <v>4</v>
      </c>
      <c r="H1236">
        <v>111892</v>
      </c>
      <c r="I1236">
        <v>4954</v>
      </c>
      <c r="J1236" t="s">
        <v>12</v>
      </c>
      <c r="K1236" t="str">
        <f>_xlfn.XLOOKUP(datos_ventas[[#This Row],[Ciudad]],Tabla2[Ciudades],Tabla2[Provincias],"no se encuentra")</f>
        <v>Málaga</v>
      </c>
      <c r="L1236" t="str">
        <f>_xlfn.XLOOKUP(datos_ventas[[#This Row],[Provincia]],Tabla2[Provincias],Tabla2[Comunidades],"no se encuentra")</f>
        <v>Andalucía</v>
      </c>
      <c r="M1236" t="s">
        <v>13</v>
      </c>
      <c r="N1236">
        <v>3</v>
      </c>
    </row>
    <row r="1237" spans="1:14" x14ac:dyDescent="0.25">
      <c r="A1237">
        <v>2236</v>
      </c>
      <c r="B1237" s="1">
        <v>45980</v>
      </c>
      <c r="C1237" s="4">
        <f>MONTH(datos_ventas[[#This Row],[Fecha]])</f>
        <v>11</v>
      </c>
      <c r="D1237" s="4">
        <f>WEEKNUM(datos_ventas[[#This Row],[Fecha]],2)</f>
        <v>47</v>
      </c>
      <c r="E1237" t="s">
        <v>24</v>
      </c>
      <c r="F1237" t="s">
        <v>25</v>
      </c>
      <c r="G1237">
        <v>4</v>
      </c>
      <c r="H1237">
        <v>43199</v>
      </c>
      <c r="I1237">
        <v>2816</v>
      </c>
      <c r="J1237" t="s">
        <v>32</v>
      </c>
      <c r="K1237" t="str">
        <f>_xlfn.XLOOKUP(datos_ventas[[#This Row],[Ciudad]],Tabla2[Ciudades],Tabla2[Provincias],"no se encuentra")</f>
        <v>Barcelona</v>
      </c>
      <c r="L1237" t="str">
        <f>_xlfn.XLOOKUP(datos_ventas[[#This Row],[Provincia]],Tabla2[Provincias],Tabla2[Comunidades],"no se encuentra")</f>
        <v>Cataluña</v>
      </c>
      <c r="M1237" t="s">
        <v>13</v>
      </c>
      <c r="N1237">
        <v>1</v>
      </c>
    </row>
    <row r="1238" spans="1:14" x14ac:dyDescent="0.25">
      <c r="A1238">
        <v>2237</v>
      </c>
      <c r="B1238" s="1">
        <v>45710</v>
      </c>
      <c r="C1238" s="4">
        <f>MONTH(datos_ventas[[#This Row],[Fecha]])</f>
        <v>2</v>
      </c>
      <c r="D1238" s="4">
        <f>WEEKNUM(datos_ventas[[#This Row],[Fecha]],2)</f>
        <v>8</v>
      </c>
      <c r="E1238" t="s">
        <v>10</v>
      </c>
      <c r="F1238" t="s">
        <v>11</v>
      </c>
      <c r="G1238">
        <v>3</v>
      </c>
      <c r="H1238">
        <v>27366</v>
      </c>
      <c r="I1238">
        <v>4835</v>
      </c>
      <c r="J1238" t="s">
        <v>22</v>
      </c>
      <c r="K1238" t="str">
        <f>_xlfn.XLOOKUP(datos_ventas[[#This Row],[Ciudad]],Tabla2[Ciudades],Tabla2[Provincias],"no se encuentra")</f>
        <v>Valencia</v>
      </c>
      <c r="L1238" t="str">
        <f>_xlfn.XLOOKUP(datos_ventas[[#This Row],[Provincia]],Tabla2[Provincias],Tabla2[Comunidades],"no se encuentra")</f>
        <v>Comunidad Valenciana</v>
      </c>
      <c r="M1238" t="s">
        <v>13</v>
      </c>
      <c r="N1238">
        <v>1</v>
      </c>
    </row>
    <row r="1239" spans="1:14" x14ac:dyDescent="0.25">
      <c r="A1239">
        <v>2238</v>
      </c>
      <c r="B1239" s="1">
        <v>45988</v>
      </c>
      <c r="C1239" s="4">
        <f>MONTH(datos_ventas[[#This Row],[Fecha]])</f>
        <v>11</v>
      </c>
      <c r="D1239" s="4">
        <f>WEEKNUM(datos_ventas[[#This Row],[Fecha]],2)</f>
        <v>48</v>
      </c>
      <c r="E1239" t="s">
        <v>24</v>
      </c>
      <c r="F1239" t="s">
        <v>25</v>
      </c>
      <c r="G1239">
        <v>4</v>
      </c>
      <c r="H1239">
        <v>18083</v>
      </c>
      <c r="I1239">
        <v>293</v>
      </c>
      <c r="J1239" t="s">
        <v>12</v>
      </c>
      <c r="K1239" t="str">
        <f>_xlfn.XLOOKUP(datos_ventas[[#This Row],[Ciudad]],Tabla2[Ciudades],Tabla2[Provincias],"no se encuentra")</f>
        <v>Málaga</v>
      </c>
      <c r="L1239" t="str">
        <f>_xlfn.XLOOKUP(datos_ventas[[#This Row],[Provincia]],Tabla2[Provincias],Tabla2[Comunidades],"no se encuentra")</f>
        <v>Andalucía</v>
      </c>
      <c r="M1239" t="s">
        <v>15</v>
      </c>
      <c r="N1239">
        <v>4</v>
      </c>
    </row>
    <row r="1240" spans="1:14" x14ac:dyDescent="0.25">
      <c r="A1240">
        <v>2239</v>
      </c>
      <c r="B1240" s="1">
        <v>45737</v>
      </c>
      <c r="C1240" s="4">
        <f>MONTH(datos_ventas[[#This Row],[Fecha]])</f>
        <v>3</v>
      </c>
      <c r="D1240" s="4">
        <f>WEEKNUM(datos_ventas[[#This Row],[Fecha]],2)</f>
        <v>12</v>
      </c>
      <c r="E1240" t="s">
        <v>24</v>
      </c>
      <c r="F1240" t="s">
        <v>25</v>
      </c>
      <c r="G1240">
        <v>3</v>
      </c>
      <c r="H1240">
        <v>102617</v>
      </c>
      <c r="I1240">
        <v>3408</v>
      </c>
      <c r="J1240" t="s">
        <v>32</v>
      </c>
      <c r="K1240" t="str">
        <f>_xlfn.XLOOKUP(datos_ventas[[#This Row],[Ciudad]],Tabla2[Ciudades],Tabla2[Provincias],"no se encuentra")</f>
        <v>Barcelona</v>
      </c>
      <c r="L1240" t="str">
        <f>_xlfn.XLOOKUP(datos_ventas[[#This Row],[Provincia]],Tabla2[Provincias],Tabla2[Comunidades],"no se encuentra")</f>
        <v>Cataluña</v>
      </c>
      <c r="M1240" t="s">
        <v>19</v>
      </c>
      <c r="N1240">
        <v>5</v>
      </c>
    </row>
    <row r="1241" spans="1:14" x14ac:dyDescent="0.25">
      <c r="A1241">
        <v>2240</v>
      </c>
      <c r="B1241" s="1">
        <v>45884</v>
      </c>
      <c r="C1241" s="4">
        <f>MONTH(datos_ventas[[#This Row],[Fecha]])</f>
        <v>8</v>
      </c>
      <c r="D1241" s="4">
        <f>WEEKNUM(datos_ventas[[#This Row],[Fecha]],2)</f>
        <v>33</v>
      </c>
      <c r="E1241" t="s">
        <v>23</v>
      </c>
      <c r="F1241" t="s">
        <v>18</v>
      </c>
      <c r="G1241">
        <v>1</v>
      </c>
      <c r="H1241">
        <v>13083</v>
      </c>
      <c r="I1241">
        <v>1705</v>
      </c>
      <c r="J1241" t="s">
        <v>12</v>
      </c>
      <c r="K1241" t="str">
        <f>_xlfn.XLOOKUP(datos_ventas[[#This Row],[Ciudad]],Tabla2[Ciudades],Tabla2[Provincias],"no se encuentra")</f>
        <v>Málaga</v>
      </c>
      <c r="L1241" t="str">
        <f>_xlfn.XLOOKUP(datos_ventas[[#This Row],[Provincia]],Tabla2[Provincias],Tabla2[Comunidades],"no se encuentra")</f>
        <v>Andalucía</v>
      </c>
      <c r="M1241" t="s">
        <v>19</v>
      </c>
      <c r="N1241">
        <v>2</v>
      </c>
    </row>
    <row r="1242" spans="1:14" x14ac:dyDescent="0.25">
      <c r="A1242">
        <v>2241</v>
      </c>
      <c r="B1242" s="1">
        <v>45963</v>
      </c>
      <c r="C1242" s="4">
        <f>MONTH(datos_ventas[[#This Row],[Fecha]])</f>
        <v>11</v>
      </c>
      <c r="D1242" s="4">
        <f>WEEKNUM(datos_ventas[[#This Row],[Fecha]],2)</f>
        <v>44</v>
      </c>
      <c r="E1242" t="s">
        <v>23</v>
      </c>
      <c r="F1242" t="s">
        <v>18</v>
      </c>
      <c r="G1242">
        <v>1</v>
      </c>
      <c r="H1242">
        <v>32131</v>
      </c>
      <c r="I1242">
        <v>3531</v>
      </c>
      <c r="J1242" t="s">
        <v>31</v>
      </c>
      <c r="K1242" t="str">
        <f>_xlfn.XLOOKUP(datos_ventas[[#This Row],[Ciudad]],Tabla2[Ciudades],Tabla2[Provincias],"no se encuentra")</f>
        <v>Vizcaya</v>
      </c>
      <c r="L1242" t="str">
        <f>_xlfn.XLOOKUP(datos_ventas[[#This Row],[Provincia]],Tabla2[Provincias],Tabla2[Comunidades],"no se encuentra")</f>
        <v>País Vasco</v>
      </c>
      <c r="M1242" t="s">
        <v>15</v>
      </c>
      <c r="N1242">
        <v>3</v>
      </c>
    </row>
    <row r="1243" spans="1:14" x14ac:dyDescent="0.25">
      <c r="A1243">
        <v>2242</v>
      </c>
      <c r="B1243" s="1">
        <v>45839</v>
      </c>
      <c r="C1243" s="4">
        <f>MONTH(datos_ventas[[#This Row],[Fecha]])</f>
        <v>7</v>
      </c>
      <c r="D1243" s="4">
        <f>WEEKNUM(datos_ventas[[#This Row],[Fecha]],2)</f>
        <v>27</v>
      </c>
      <c r="E1243" t="s">
        <v>10</v>
      </c>
      <c r="F1243" t="s">
        <v>11</v>
      </c>
      <c r="G1243">
        <v>4</v>
      </c>
      <c r="H1243">
        <v>10748</v>
      </c>
      <c r="I1243">
        <v>2042</v>
      </c>
      <c r="J1243" t="s">
        <v>32</v>
      </c>
      <c r="K1243" t="str">
        <f>_xlfn.XLOOKUP(datos_ventas[[#This Row],[Ciudad]],Tabla2[Ciudades],Tabla2[Provincias],"no se encuentra")</f>
        <v>Barcelona</v>
      </c>
      <c r="L1243" t="str">
        <f>_xlfn.XLOOKUP(datos_ventas[[#This Row],[Provincia]],Tabla2[Provincias],Tabla2[Comunidades],"no se encuentra")</f>
        <v>Cataluña</v>
      </c>
      <c r="M1243" t="s">
        <v>19</v>
      </c>
      <c r="N1243">
        <v>1</v>
      </c>
    </row>
    <row r="1244" spans="1:14" x14ac:dyDescent="0.25">
      <c r="A1244">
        <v>2243</v>
      </c>
      <c r="B1244" s="1">
        <v>45659</v>
      </c>
      <c r="C1244" s="4">
        <f>MONTH(datos_ventas[[#This Row],[Fecha]])</f>
        <v>1</v>
      </c>
      <c r="D1244" s="4">
        <f>WEEKNUM(datos_ventas[[#This Row],[Fecha]],2)</f>
        <v>1</v>
      </c>
      <c r="E1244" t="s">
        <v>23</v>
      </c>
      <c r="F1244" t="s">
        <v>18</v>
      </c>
      <c r="G1244">
        <v>5</v>
      </c>
      <c r="H1244">
        <v>104135</v>
      </c>
      <c r="I1244">
        <v>3268</v>
      </c>
      <c r="J1244" t="s">
        <v>31</v>
      </c>
      <c r="K1244" t="str">
        <f>_xlfn.XLOOKUP(datos_ventas[[#This Row],[Ciudad]],Tabla2[Ciudades],Tabla2[Provincias],"no se encuentra")</f>
        <v>Vizcaya</v>
      </c>
      <c r="L1244" t="str">
        <f>_xlfn.XLOOKUP(datos_ventas[[#This Row],[Provincia]],Tabla2[Provincias],Tabla2[Comunidades],"no se encuentra")</f>
        <v>País Vasco</v>
      </c>
      <c r="M1244" t="s">
        <v>28</v>
      </c>
      <c r="N1244">
        <v>1</v>
      </c>
    </row>
    <row r="1245" spans="1:14" x14ac:dyDescent="0.25">
      <c r="A1245">
        <v>2244</v>
      </c>
      <c r="B1245" s="1">
        <v>45800</v>
      </c>
      <c r="C1245" s="4">
        <f>MONTH(datos_ventas[[#This Row],[Fecha]])</f>
        <v>5</v>
      </c>
      <c r="D1245" s="4">
        <f>WEEKNUM(datos_ventas[[#This Row],[Fecha]],2)</f>
        <v>21</v>
      </c>
      <c r="E1245" t="s">
        <v>10</v>
      </c>
      <c r="F1245" t="s">
        <v>11</v>
      </c>
      <c r="G1245">
        <v>5</v>
      </c>
      <c r="H1245">
        <v>45977</v>
      </c>
      <c r="I1245">
        <v>4904</v>
      </c>
      <c r="J1245" t="s">
        <v>32</v>
      </c>
      <c r="K1245" t="str">
        <f>_xlfn.XLOOKUP(datos_ventas[[#This Row],[Ciudad]],Tabla2[Ciudades],Tabla2[Provincias],"no se encuentra")</f>
        <v>Barcelona</v>
      </c>
      <c r="L1245" t="str">
        <f>_xlfn.XLOOKUP(datos_ventas[[#This Row],[Provincia]],Tabla2[Provincias],Tabla2[Comunidades],"no se encuentra")</f>
        <v>Cataluña</v>
      </c>
      <c r="M1245" t="s">
        <v>28</v>
      </c>
      <c r="N1245">
        <v>4</v>
      </c>
    </row>
    <row r="1246" spans="1:14" x14ac:dyDescent="0.25">
      <c r="A1246">
        <v>2245</v>
      </c>
      <c r="B1246" s="1">
        <v>45887</v>
      </c>
      <c r="C1246" s="4">
        <f>MONTH(datos_ventas[[#This Row],[Fecha]])</f>
        <v>8</v>
      </c>
      <c r="D1246" s="4">
        <f>WEEKNUM(datos_ventas[[#This Row],[Fecha]],2)</f>
        <v>34</v>
      </c>
      <c r="E1246" t="s">
        <v>17</v>
      </c>
      <c r="F1246" t="s">
        <v>18</v>
      </c>
      <c r="G1246">
        <v>3</v>
      </c>
      <c r="H1246">
        <v>2122</v>
      </c>
      <c r="I1246">
        <v>469</v>
      </c>
      <c r="J1246" t="s">
        <v>14</v>
      </c>
      <c r="K1246" t="str">
        <f>_xlfn.XLOOKUP(datos_ventas[[#This Row],[Ciudad]],Tabla2[Ciudades],Tabla2[Provincias],"no se encuentra")</f>
        <v>Madrid</v>
      </c>
      <c r="L1246" t="str">
        <f>_xlfn.XLOOKUP(datos_ventas[[#This Row],[Provincia]],Tabla2[Provincias],Tabla2[Comunidades],"no se encuentra")</f>
        <v>Comunidad de Madrid</v>
      </c>
      <c r="M1246" t="s">
        <v>28</v>
      </c>
      <c r="N1246">
        <v>2</v>
      </c>
    </row>
    <row r="1247" spans="1:14" x14ac:dyDescent="0.25">
      <c r="A1247">
        <v>2246</v>
      </c>
      <c r="B1247" s="1">
        <v>45709</v>
      </c>
      <c r="C1247" s="4">
        <f>MONTH(datos_ventas[[#This Row],[Fecha]])</f>
        <v>2</v>
      </c>
      <c r="D1247" s="4">
        <f>WEEKNUM(datos_ventas[[#This Row],[Fecha]],2)</f>
        <v>8</v>
      </c>
      <c r="E1247" t="s">
        <v>26</v>
      </c>
      <c r="F1247" t="s">
        <v>18</v>
      </c>
      <c r="G1247">
        <v>5</v>
      </c>
      <c r="H1247">
        <v>70836</v>
      </c>
      <c r="I1247">
        <v>3753</v>
      </c>
      <c r="J1247" t="s">
        <v>27</v>
      </c>
      <c r="K1247" t="str">
        <f>_xlfn.XLOOKUP(datos_ventas[[#This Row],[Ciudad]],Tabla2[Ciudades],Tabla2[Provincias],"no se encuentra")</f>
        <v>Sevilla</v>
      </c>
      <c r="L1247" t="str">
        <f>_xlfn.XLOOKUP(datos_ventas[[#This Row],[Provincia]],Tabla2[Provincias],Tabla2[Comunidades],"no se encuentra")</f>
        <v>Andalucía</v>
      </c>
      <c r="M1247" t="s">
        <v>15</v>
      </c>
      <c r="N1247">
        <v>4</v>
      </c>
    </row>
    <row r="1248" spans="1:14" x14ac:dyDescent="0.25">
      <c r="A1248">
        <v>2247</v>
      </c>
      <c r="B1248" s="1">
        <v>45690</v>
      </c>
      <c r="C1248" s="4">
        <f>MONTH(datos_ventas[[#This Row],[Fecha]])</f>
        <v>2</v>
      </c>
      <c r="D1248" s="4">
        <f>WEEKNUM(datos_ventas[[#This Row],[Fecha]],2)</f>
        <v>5</v>
      </c>
      <c r="E1248" t="s">
        <v>16</v>
      </c>
      <c r="F1248" t="s">
        <v>11</v>
      </c>
      <c r="G1248">
        <v>3</v>
      </c>
      <c r="H1248">
        <v>103515</v>
      </c>
      <c r="I1248">
        <v>264</v>
      </c>
      <c r="J1248" t="s">
        <v>31</v>
      </c>
      <c r="K1248" t="str">
        <f>_xlfn.XLOOKUP(datos_ventas[[#This Row],[Ciudad]],Tabla2[Ciudades],Tabla2[Provincias],"no se encuentra")</f>
        <v>Vizcaya</v>
      </c>
      <c r="L1248" t="str">
        <f>_xlfn.XLOOKUP(datos_ventas[[#This Row],[Provincia]],Tabla2[Provincias],Tabla2[Comunidades],"no se encuentra")</f>
        <v>País Vasco</v>
      </c>
      <c r="M1248" t="s">
        <v>28</v>
      </c>
      <c r="N1248">
        <v>5</v>
      </c>
    </row>
    <row r="1249" spans="1:14" x14ac:dyDescent="0.25">
      <c r="A1249">
        <v>2248</v>
      </c>
      <c r="B1249" s="1">
        <v>45691</v>
      </c>
      <c r="C1249" s="4">
        <f>MONTH(datos_ventas[[#This Row],[Fecha]])</f>
        <v>2</v>
      </c>
      <c r="D1249" s="4">
        <f>WEEKNUM(datos_ventas[[#This Row],[Fecha]],2)</f>
        <v>6</v>
      </c>
      <c r="E1249" t="s">
        <v>24</v>
      </c>
      <c r="F1249" t="s">
        <v>25</v>
      </c>
      <c r="G1249">
        <v>2</v>
      </c>
      <c r="H1249">
        <v>119887</v>
      </c>
      <c r="I1249">
        <v>3789</v>
      </c>
      <c r="J1249" t="s">
        <v>22</v>
      </c>
      <c r="K1249" t="str">
        <f>_xlfn.XLOOKUP(datos_ventas[[#This Row],[Ciudad]],Tabla2[Ciudades],Tabla2[Provincias],"no se encuentra")</f>
        <v>Valencia</v>
      </c>
      <c r="L1249" t="str">
        <f>_xlfn.XLOOKUP(datos_ventas[[#This Row],[Provincia]],Tabla2[Provincias],Tabla2[Comunidades],"no se encuentra")</f>
        <v>Comunidad Valenciana</v>
      </c>
      <c r="M1249" t="s">
        <v>13</v>
      </c>
      <c r="N1249">
        <v>2</v>
      </c>
    </row>
    <row r="1250" spans="1:14" x14ac:dyDescent="0.25">
      <c r="A1250">
        <v>2249</v>
      </c>
      <c r="B1250" s="1">
        <v>45891</v>
      </c>
      <c r="C1250" s="4">
        <f>MONTH(datos_ventas[[#This Row],[Fecha]])</f>
        <v>8</v>
      </c>
      <c r="D1250" s="4">
        <f>WEEKNUM(datos_ventas[[#This Row],[Fecha]],2)</f>
        <v>34</v>
      </c>
      <c r="E1250" t="s">
        <v>24</v>
      </c>
      <c r="F1250" t="s">
        <v>25</v>
      </c>
      <c r="G1250">
        <v>1</v>
      </c>
      <c r="H1250">
        <v>76604</v>
      </c>
      <c r="I1250">
        <v>3713</v>
      </c>
      <c r="J1250" t="s">
        <v>32</v>
      </c>
      <c r="K1250" t="str">
        <f>_xlfn.XLOOKUP(datos_ventas[[#This Row],[Ciudad]],Tabla2[Ciudades],Tabla2[Provincias],"no se encuentra")</f>
        <v>Barcelona</v>
      </c>
      <c r="L1250" t="str">
        <f>_xlfn.XLOOKUP(datos_ventas[[#This Row],[Provincia]],Tabla2[Provincias],Tabla2[Comunidades],"no se encuentra")</f>
        <v>Cataluña</v>
      </c>
      <c r="M1250" t="s">
        <v>28</v>
      </c>
      <c r="N1250">
        <v>3</v>
      </c>
    </row>
    <row r="1251" spans="1:14" x14ac:dyDescent="0.25">
      <c r="A1251">
        <v>2250</v>
      </c>
      <c r="B1251" s="1">
        <v>45845</v>
      </c>
      <c r="C1251" s="4">
        <f>MONTH(datos_ventas[[#This Row],[Fecha]])</f>
        <v>7</v>
      </c>
      <c r="D1251" s="4">
        <f>WEEKNUM(datos_ventas[[#This Row],[Fecha]],2)</f>
        <v>28</v>
      </c>
      <c r="E1251" t="s">
        <v>29</v>
      </c>
      <c r="F1251" t="s">
        <v>30</v>
      </c>
      <c r="G1251">
        <v>2</v>
      </c>
      <c r="H1251">
        <v>107003</v>
      </c>
      <c r="I1251">
        <v>4936</v>
      </c>
      <c r="J1251" t="s">
        <v>32</v>
      </c>
      <c r="K1251" t="str">
        <f>_xlfn.XLOOKUP(datos_ventas[[#This Row],[Ciudad]],Tabla2[Ciudades],Tabla2[Provincias],"no se encuentra")</f>
        <v>Barcelona</v>
      </c>
      <c r="L1251" t="str">
        <f>_xlfn.XLOOKUP(datos_ventas[[#This Row],[Provincia]],Tabla2[Provincias],Tabla2[Comunidades],"no se encuentra")</f>
        <v>Cataluña</v>
      </c>
      <c r="M1251" t="s">
        <v>15</v>
      </c>
      <c r="N1251">
        <v>3</v>
      </c>
    </row>
    <row r="1252" spans="1:14" x14ac:dyDescent="0.25">
      <c r="A1252">
        <v>2251</v>
      </c>
      <c r="B1252" s="1">
        <v>45661</v>
      </c>
      <c r="C1252" s="4">
        <f>MONTH(datos_ventas[[#This Row],[Fecha]])</f>
        <v>1</v>
      </c>
      <c r="D1252" s="4">
        <f>WEEKNUM(datos_ventas[[#This Row],[Fecha]],2)</f>
        <v>1</v>
      </c>
      <c r="E1252" t="s">
        <v>16</v>
      </c>
      <c r="F1252" t="s">
        <v>11</v>
      </c>
      <c r="G1252">
        <v>4</v>
      </c>
      <c r="H1252">
        <v>74872</v>
      </c>
      <c r="I1252">
        <v>503</v>
      </c>
      <c r="J1252" t="s">
        <v>22</v>
      </c>
      <c r="K1252" t="str">
        <f>_xlfn.XLOOKUP(datos_ventas[[#This Row],[Ciudad]],Tabla2[Ciudades],Tabla2[Provincias],"no se encuentra")</f>
        <v>Valencia</v>
      </c>
      <c r="L1252" t="str">
        <f>_xlfn.XLOOKUP(datos_ventas[[#This Row],[Provincia]],Tabla2[Provincias],Tabla2[Comunidades],"no se encuentra")</f>
        <v>Comunidad Valenciana</v>
      </c>
      <c r="M1252" t="s">
        <v>28</v>
      </c>
      <c r="N1252">
        <v>2</v>
      </c>
    </row>
    <row r="1253" spans="1:14" x14ac:dyDescent="0.25">
      <c r="A1253">
        <v>2252</v>
      </c>
      <c r="B1253" s="1">
        <v>45726</v>
      </c>
      <c r="C1253" s="4">
        <f>MONTH(datos_ventas[[#This Row],[Fecha]])</f>
        <v>3</v>
      </c>
      <c r="D1253" s="4">
        <f>WEEKNUM(datos_ventas[[#This Row],[Fecha]],2)</f>
        <v>11</v>
      </c>
      <c r="E1253" t="s">
        <v>16</v>
      </c>
      <c r="F1253" t="s">
        <v>11</v>
      </c>
      <c r="G1253">
        <v>3</v>
      </c>
      <c r="H1253">
        <v>84766</v>
      </c>
      <c r="I1253">
        <v>1717</v>
      </c>
      <c r="J1253" t="s">
        <v>14</v>
      </c>
      <c r="K1253" t="str">
        <f>_xlfn.XLOOKUP(datos_ventas[[#This Row],[Ciudad]],Tabla2[Ciudades],Tabla2[Provincias],"no se encuentra")</f>
        <v>Madrid</v>
      </c>
      <c r="L1253" t="str">
        <f>_xlfn.XLOOKUP(datos_ventas[[#This Row],[Provincia]],Tabla2[Provincias],Tabla2[Comunidades],"no se encuentra")</f>
        <v>Comunidad de Madrid</v>
      </c>
      <c r="M1253" t="s">
        <v>19</v>
      </c>
      <c r="N1253">
        <v>1</v>
      </c>
    </row>
    <row r="1254" spans="1:14" x14ac:dyDescent="0.25">
      <c r="A1254">
        <v>2253</v>
      </c>
      <c r="B1254" s="1">
        <v>45726</v>
      </c>
      <c r="C1254" s="4">
        <f>MONTH(datos_ventas[[#This Row],[Fecha]])</f>
        <v>3</v>
      </c>
      <c r="D1254" s="4">
        <f>WEEKNUM(datos_ventas[[#This Row],[Fecha]],2)</f>
        <v>11</v>
      </c>
      <c r="E1254" t="s">
        <v>20</v>
      </c>
      <c r="F1254" t="s">
        <v>21</v>
      </c>
      <c r="G1254">
        <v>5</v>
      </c>
      <c r="H1254">
        <v>78692</v>
      </c>
      <c r="I1254">
        <v>1324</v>
      </c>
      <c r="J1254" t="s">
        <v>22</v>
      </c>
      <c r="K1254" t="str">
        <f>_xlfn.XLOOKUP(datos_ventas[[#This Row],[Ciudad]],Tabla2[Ciudades],Tabla2[Provincias],"no se encuentra")</f>
        <v>Valencia</v>
      </c>
      <c r="L1254" t="str">
        <f>_xlfn.XLOOKUP(datos_ventas[[#This Row],[Provincia]],Tabla2[Provincias],Tabla2[Comunidades],"no se encuentra")</f>
        <v>Comunidad Valenciana</v>
      </c>
      <c r="M1254" t="s">
        <v>28</v>
      </c>
      <c r="N1254">
        <v>2</v>
      </c>
    </row>
    <row r="1255" spans="1:14" x14ac:dyDescent="0.25">
      <c r="A1255">
        <v>2254</v>
      </c>
      <c r="B1255" s="1">
        <v>45971</v>
      </c>
      <c r="C1255" s="4">
        <f>MONTH(datos_ventas[[#This Row],[Fecha]])</f>
        <v>11</v>
      </c>
      <c r="D1255" s="4">
        <f>WEEKNUM(datos_ventas[[#This Row],[Fecha]],2)</f>
        <v>46</v>
      </c>
      <c r="E1255" t="s">
        <v>29</v>
      </c>
      <c r="F1255" t="s">
        <v>30</v>
      </c>
      <c r="G1255">
        <v>3</v>
      </c>
      <c r="H1255">
        <v>86894</v>
      </c>
      <c r="I1255">
        <v>3426</v>
      </c>
      <c r="J1255" t="s">
        <v>31</v>
      </c>
      <c r="K1255" t="str">
        <f>_xlfn.XLOOKUP(datos_ventas[[#This Row],[Ciudad]],Tabla2[Ciudades],Tabla2[Provincias],"no se encuentra")</f>
        <v>Vizcaya</v>
      </c>
      <c r="L1255" t="str">
        <f>_xlfn.XLOOKUP(datos_ventas[[#This Row],[Provincia]],Tabla2[Provincias],Tabla2[Comunidades],"no se encuentra")</f>
        <v>País Vasco</v>
      </c>
      <c r="M1255" t="s">
        <v>13</v>
      </c>
      <c r="N1255">
        <v>3</v>
      </c>
    </row>
    <row r="1256" spans="1:14" x14ac:dyDescent="0.25">
      <c r="A1256">
        <v>2255</v>
      </c>
      <c r="B1256" s="1">
        <v>45904</v>
      </c>
      <c r="C1256" s="4">
        <f>MONTH(datos_ventas[[#This Row],[Fecha]])</f>
        <v>9</v>
      </c>
      <c r="D1256" s="4">
        <f>WEEKNUM(datos_ventas[[#This Row],[Fecha]],2)</f>
        <v>36</v>
      </c>
      <c r="E1256" t="s">
        <v>10</v>
      </c>
      <c r="F1256" t="s">
        <v>11</v>
      </c>
      <c r="G1256">
        <v>5</v>
      </c>
      <c r="H1256">
        <v>6398</v>
      </c>
      <c r="I1256">
        <v>2485</v>
      </c>
      <c r="J1256" t="s">
        <v>12</v>
      </c>
      <c r="K1256" t="str">
        <f>_xlfn.XLOOKUP(datos_ventas[[#This Row],[Ciudad]],Tabla2[Ciudades],Tabla2[Provincias],"no se encuentra")</f>
        <v>Málaga</v>
      </c>
      <c r="L1256" t="str">
        <f>_xlfn.XLOOKUP(datos_ventas[[#This Row],[Provincia]],Tabla2[Provincias],Tabla2[Comunidades],"no se encuentra")</f>
        <v>Andalucía</v>
      </c>
      <c r="M1256" t="s">
        <v>28</v>
      </c>
      <c r="N1256">
        <v>5</v>
      </c>
    </row>
    <row r="1257" spans="1:14" x14ac:dyDescent="0.25">
      <c r="A1257">
        <v>2256</v>
      </c>
      <c r="B1257" s="1">
        <v>45910</v>
      </c>
      <c r="C1257" s="4">
        <f>MONTH(datos_ventas[[#This Row],[Fecha]])</f>
        <v>9</v>
      </c>
      <c r="D1257" s="4">
        <f>WEEKNUM(datos_ventas[[#This Row],[Fecha]],2)</f>
        <v>37</v>
      </c>
      <c r="E1257" t="s">
        <v>10</v>
      </c>
      <c r="F1257" t="s">
        <v>11</v>
      </c>
      <c r="G1257">
        <v>5</v>
      </c>
      <c r="H1257">
        <v>13334</v>
      </c>
      <c r="I1257">
        <v>681</v>
      </c>
      <c r="J1257" t="s">
        <v>12</v>
      </c>
      <c r="K1257" t="str">
        <f>_xlfn.XLOOKUP(datos_ventas[[#This Row],[Ciudad]],Tabla2[Ciudades],Tabla2[Provincias],"no se encuentra")</f>
        <v>Málaga</v>
      </c>
      <c r="L1257" t="str">
        <f>_xlfn.XLOOKUP(datos_ventas[[#This Row],[Provincia]],Tabla2[Provincias],Tabla2[Comunidades],"no se encuentra")</f>
        <v>Andalucía</v>
      </c>
      <c r="M1257" t="s">
        <v>13</v>
      </c>
      <c r="N1257">
        <v>2</v>
      </c>
    </row>
    <row r="1258" spans="1:14" x14ac:dyDescent="0.25">
      <c r="A1258">
        <v>2257</v>
      </c>
      <c r="B1258" s="1">
        <v>45743</v>
      </c>
      <c r="C1258" s="4">
        <f>MONTH(datos_ventas[[#This Row],[Fecha]])</f>
        <v>3</v>
      </c>
      <c r="D1258" s="4">
        <f>WEEKNUM(datos_ventas[[#This Row],[Fecha]],2)</f>
        <v>13</v>
      </c>
      <c r="E1258" t="s">
        <v>10</v>
      </c>
      <c r="F1258" t="s">
        <v>11</v>
      </c>
      <c r="G1258">
        <v>3</v>
      </c>
      <c r="H1258">
        <v>5399</v>
      </c>
      <c r="I1258">
        <v>1866</v>
      </c>
      <c r="J1258" t="s">
        <v>32</v>
      </c>
      <c r="K1258" t="str">
        <f>_xlfn.XLOOKUP(datos_ventas[[#This Row],[Ciudad]],Tabla2[Ciudades],Tabla2[Provincias],"no se encuentra")</f>
        <v>Barcelona</v>
      </c>
      <c r="L1258" t="str">
        <f>_xlfn.XLOOKUP(datos_ventas[[#This Row],[Provincia]],Tabla2[Provincias],Tabla2[Comunidades],"no se encuentra")</f>
        <v>Cataluña</v>
      </c>
      <c r="M1258" t="s">
        <v>19</v>
      </c>
      <c r="N1258">
        <v>1</v>
      </c>
    </row>
    <row r="1259" spans="1:14" x14ac:dyDescent="0.25">
      <c r="A1259">
        <v>2258</v>
      </c>
      <c r="B1259" s="1">
        <v>45966</v>
      </c>
      <c r="C1259" s="4">
        <f>MONTH(datos_ventas[[#This Row],[Fecha]])</f>
        <v>11</v>
      </c>
      <c r="D1259" s="4">
        <f>WEEKNUM(datos_ventas[[#This Row],[Fecha]],2)</f>
        <v>45</v>
      </c>
      <c r="E1259" t="s">
        <v>10</v>
      </c>
      <c r="F1259" t="s">
        <v>11</v>
      </c>
      <c r="G1259">
        <v>2</v>
      </c>
      <c r="H1259">
        <v>2375</v>
      </c>
      <c r="I1259">
        <v>4948</v>
      </c>
      <c r="J1259" t="s">
        <v>32</v>
      </c>
      <c r="K1259" t="str">
        <f>_xlfn.XLOOKUP(datos_ventas[[#This Row],[Ciudad]],Tabla2[Ciudades],Tabla2[Provincias],"no se encuentra")</f>
        <v>Barcelona</v>
      </c>
      <c r="L1259" t="str">
        <f>_xlfn.XLOOKUP(datos_ventas[[#This Row],[Provincia]],Tabla2[Provincias],Tabla2[Comunidades],"no se encuentra")</f>
        <v>Cataluña</v>
      </c>
      <c r="M1259" t="s">
        <v>13</v>
      </c>
      <c r="N1259">
        <v>5</v>
      </c>
    </row>
    <row r="1260" spans="1:14" x14ac:dyDescent="0.25">
      <c r="A1260">
        <v>2259</v>
      </c>
      <c r="B1260" s="1">
        <v>45904</v>
      </c>
      <c r="C1260" s="4">
        <f>MONTH(datos_ventas[[#This Row],[Fecha]])</f>
        <v>9</v>
      </c>
      <c r="D1260" s="4">
        <f>WEEKNUM(datos_ventas[[#This Row],[Fecha]],2)</f>
        <v>36</v>
      </c>
      <c r="E1260" t="s">
        <v>23</v>
      </c>
      <c r="F1260" t="s">
        <v>18</v>
      </c>
      <c r="G1260">
        <v>4</v>
      </c>
      <c r="H1260">
        <v>52919</v>
      </c>
      <c r="I1260">
        <v>1036</v>
      </c>
      <c r="J1260" t="s">
        <v>31</v>
      </c>
      <c r="K1260" t="str">
        <f>_xlfn.XLOOKUP(datos_ventas[[#This Row],[Ciudad]],Tabla2[Ciudades],Tabla2[Provincias],"no se encuentra")</f>
        <v>Vizcaya</v>
      </c>
      <c r="L1260" t="str">
        <f>_xlfn.XLOOKUP(datos_ventas[[#This Row],[Provincia]],Tabla2[Provincias],Tabla2[Comunidades],"no se encuentra")</f>
        <v>País Vasco</v>
      </c>
      <c r="M1260" t="s">
        <v>19</v>
      </c>
      <c r="N1260">
        <v>1</v>
      </c>
    </row>
    <row r="1261" spans="1:14" x14ac:dyDescent="0.25">
      <c r="A1261">
        <v>2260</v>
      </c>
      <c r="B1261" s="1">
        <v>45824</v>
      </c>
      <c r="C1261" s="4">
        <f>MONTH(datos_ventas[[#This Row],[Fecha]])</f>
        <v>6</v>
      </c>
      <c r="D1261" s="4">
        <f>WEEKNUM(datos_ventas[[#This Row],[Fecha]],2)</f>
        <v>25</v>
      </c>
      <c r="E1261" t="s">
        <v>26</v>
      </c>
      <c r="F1261" t="s">
        <v>18</v>
      </c>
      <c r="G1261">
        <v>4</v>
      </c>
      <c r="H1261">
        <v>454</v>
      </c>
      <c r="I1261">
        <v>1101</v>
      </c>
      <c r="J1261" t="s">
        <v>22</v>
      </c>
      <c r="K1261" t="str">
        <f>_xlfn.XLOOKUP(datos_ventas[[#This Row],[Ciudad]],Tabla2[Ciudades],Tabla2[Provincias],"no se encuentra")</f>
        <v>Valencia</v>
      </c>
      <c r="L1261" t="str">
        <f>_xlfn.XLOOKUP(datos_ventas[[#This Row],[Provincia]],Tabla2[Provincias],Tabla2[Comunidades],"no se encuentra")</f>
        <v>Comunidad Valenciana</v>
      </c>
      <c r="M1261" t="s">
        <v>19</v>
      </c>
      <c r="N1261">
        <v>4</v>
      </c>
    </row>
    <row r="1262" spans="1:14" x14ac:dyDescent="0.25">
      <c r="A1262">
        <v>2261</v>
      </c>
      <c r="B1262" s="1">
        <v>45913</v>
      </c>
      <c r="C1262" s="4">
        <f>MONTH(datos_ventas[[#This Row],[Fecha]])</f>
        <v>9</v>
      </c>
      <c r="D1262" s="4">
        <f>WEEKNUM(datos_ventas[[#This Row],[Fecha]],2)</f>
        <v>37</v>
      </c>
      <c r="E1262" t="s">
        <v>17</v>
      </c>
      <c r="F1262" t="s">
        <v>18</v>
      </c>
      <c r="G1262">
        <v>4</v>
      </c>
      <c r="H1262">
        <v>46131</v>
      </c>
      <c r="I1262">
        <v>1838</v>
      </c>
      <c r="J1262" t="s">
        <v>12</v>
      </c>
      <c r="K1262" t="str">
        <f>_xlfn.XLOOKUP(datos_ventas[[#This Row],[Ciudad]],Tabla2[Ciudades],Tabla2[Provincias],"no se encuentra")</f>
        <v>Málaga</v>
      </c>
      <c r="L1262" t="str">
        <f>_xlfn.XLOOKUP(datos_ventas[[#This Row],[Provincia]],Tabla2[Provincias],Tabla2[Comunidades],"no se encuentra")</f>
        <v>Andalucía</v>
      </c>
      <c r="M1262" t="s">
        <v>15</v>
      </c>
      <c r="N1262">
        <v>1</v>
      </c>
    </row>
    <row r="1263" spans="1:14" x14ac:dyDescent="0.25">
      <c r="A1263">
        <v>2262</v>
      </c>
      <c r="B1263" s="1">
        <v>45911</v>
      </c>
      <c r="C1263" s="4">
        <f>MONTH(datos_ventas[[#This Row],[Fecha]])</f>
        <v>9</v>
      </c>
      <c r="D1263" s="4">
        <f>WEEKNUM(datos_ventas[[#This Row],[Fecha]],2)</f>
        <v>37</v>
      </c>
      <c r="E1263" t="s">
        <v>16</v>
      </c>
      <c r="F1263" t="s">
        <v>11</v>
      </c>
      <c r="G1263">
        <v>3</v>
      </c>
      <c r="H1263">
        <v>111318</v>
      </c>
      <c r="I1263">
        <v>948</v>
      </c>
      <c r="J1263" t="s">
        <v>14</v>
      </c>
      <c r="K1263" t="str">
        <f>_xlfn.XLOOKUP(datos_ventas[[#This Row],[Ciudad]],Tabla2[Ciudades],Tabla2[Provincias],"no se encuentra")</f>
        <v>Madrid</v>
      </c>
      <c r="L1263" t="str">
        <f>_xlfn.XLOOKUP(datos_ventas[[#This Row],[Provincia]],Tabla2[Provincias],Tabla2[Comunidades],"no se encuentra")</f>
        <v>Comunidad de Madrid</v>
      </c>
      <c r="M1263" t="s">
        <v>13</v>
      </c>
      <c r="N1263">
        <v>1</v>
      </c>
    </row>
    <row r="1264" spans="1:14" x14ac:dyDescent="0.25">
      <c r="A1264">
        <v>2263</v>
      </c>
      <c r="B1264" s="1">
        <v>45868</v>
      </c>
      <c r="C1264" s="4">
        <f>MONTH(datos_ventas[[#This Row],[Fecha]])</f>
        <v>7</v>
      </c>
      <c r="D1264" s="4">
        <f>WEEKNUM(datos_ventas[[#This Row],[Fecha]],2)</f>
        <v>31</v>
      </c>
      <c r="E1264" t="s">
        <v>23</v>
      </c>
      <c r="F1264" t="s">
        <v>18</v>
      </c>
      <c r="G1264">
        <v>5</v>
      </c>
      <c r="H1264">
        <v>31159</v>
      </c>
      <c r="I1264">
        <v>3183</v>
      </c>
      <c r="J1264" t="s">
        <v>14</v>
      </c>
      <c r="K1264" t="str">
        <f>_xlfn.XLOOKUP(datos_ventas[[#This Row],[Ciudad]],Tabla2[Ciudades],Tabla2[Provincias],"no se encuentra")</f>
        <v>Madrid</v>
      </c>
      <c r="L1264" t="str">
        <f>_xlfn.XLOOKUP(datos_ventas[[#This Row],[Provincia]],Tabla2[Provincias],Tabla2[Comunidades],"no se encuentra")</f>
        <v>Comunidad de Madrid</v>
      </c>
      <c r="M1264" t="s">
        <v>19</v>
      </c>
      <c r="N1264">
        <v>4</v>
      </c>
    </row>
    <row r="1265" spans="1:14" x14ac:dyDescent="0.25">
      <c r="A1265">
        <v>2264</v>
      </c>
      <c r="B1265" s="1">
        <v>45702</v>
      </c>
      <c r="C1265" s="4">
        <f>MONTH(datos_ventas[[#This Row],[Fecha]])</f>
        <v>2</v>
      </c>
      <c r="D1265" s="4">
        <f>WEEKNUM(datos_ventas[[#This Row],[Fecha]],2)</f>
        <v>7</v>
      </c>
      <c r="E1265" t="s">
        <v>26</v>
      </c>
      <c r="F1265" t="s">
        <v>18</v>
      </c>
      <c r="G1265">
        <v>2</v>
      </c>
      <c r="H1265">
        <v>72182</v>
      </c>
      <c r="I1265">
        <v>1063</v>
      </c>
      <c r="J1265" t="s">
        <v>32</v>
      </c>
      <c r="K1265" t="str">
        <f>_xlfn.XLOOKUP(datos_ventas[[#This Row],[Ciudad]],Tabla2[Ciudades],Tabla2[Provincias],"no se encuentra")</f>
        <v>Barcelona</v>
      </c>
      <c r="L1265" t="str">
        <f>_xlfn.XLOOKUP(datos_ventas[[#This Row],[Provincia]],Tabla2[Provincias],Tabla2[Comunidades],"no se encuentra")</f>
        <v>Cataluña</v>
      </c>
      <c r="M1265" t="s">
        <v>19</v>
      </c>
      <c r="N1265">
        <v>2</v>
      </c>
    </row>
    <row r="1266" spans="1:14" x14ac:dyDescent="0.25">
      <c r="A1266">
        <v>2265</v>
      </c>
      <c r="B1266" s="1">
        <v>45719</v>
      </c>
      <c r="C1266" s="4">
        <f>MONTH(datos_ventas[[#This Row],[Fecha]])</f>
        <v>3</v>
      </c>
      <c r="D1266" s="4">
        <f>WEEKNUM(datos_ventas[[#This Row],[Fecha]],2)</f>
        <v>10</v>
      </c>
      <c r="E1266" t="s">
        <v>26</v>
      </c>
      <c r="F1266" t="s">
        <v>18</v>
      </c>
      <c r="G1266">
        <v>2</v>
      </c>
      <c r="H1266">
        <v>4767</v>
      </c>
      <c r="I1266">
        <v>4324</v>
      </c>
      <c r="J1266" t="s">
        <v>32</v>
      </c>
      <c r="K1266" t="str">
        <f>_xlfn.XLOOKUP(datos_ventas[[#This Row],[Ciudad]],Tabla2[Ciudades],Tabla2[Provincias],"no se encuentra")</f>
        <v>Barcelona</v>
      </c>
      <c r="L1266" t="str">
        <f>_xlfn.XLOOKUP(datos_ventas[[#This Row],[Provincia]],Tabla2[Provincias],Tabla2[Comunidades],"no se encuentra")</f>
        <v>Cataluña</v>
      </c>
      <c r="M1266" t="s">
        <v>19</v>
      </c>
      <c r="N1266">
        <v>4</v>
      </c>
    </row>
    <row r="1267" spans="1:14" x14ac:dyDescent="0.25">
      <c r="A1267">
        <v>2266</v>
      </c>
      <c r="B1267" s="1">
        <v>45935</v>
      </c>
      <c r="C1267" s="4">
        <f>MONTH(datos_ventas[[#This Row],[Fecha]])</f>
        <v>10</v>
      </c>
      <c r="D1267" s="4">
        <f>WEEKNUM(datos_ventas[[#This Row],[Fecha]],2)</f>
        <v>40</v>
      </c>
      <c r="E1267" t="s">
        <v>16</v>
      </c>
      <c r="F1267" t="s">
        <v>11</v>
      </c>
      <c r="G1267">
        <v>2</v>
      </c>
      <c r="H1267">
        <v>4057</v>
      </c>
      <c r="I1267">
        <v>3634</v>
      </c>
      <c r="J1267" t="s">
        <v>31</v>
      </c>
      <c r="K1267" t="str">
        <f>_xlfn.XLOOKUP(datos_ventas[[#This Row],[Ciudad]],Tabla2[Ciudades],Tabla2[Provincias],"no se encuentra")</f>
        <v>Vizcaya</v>
      </c>
      <c r="L1267" t="str">
        <f>_xlfn.XLOOKUP(datos_ventas[[#This Row],[Provincia]],Tabla2[Provincias],Tabla2[Comunidades],"no se encuentra")</f>
        <v>País Vasco</v>
      </c>
      <c r="M1267" t="s">
        <v>15</v>
      </c>
      <c r="N1267">
        <v>2</v>
      </c>
    </row>
    <row r="1268" spans="1:14" x14ac:dyDescent="0.25">
      <c r="A1268">
        <v>2267</v>
      </c>
      <c r="B1268" s="1">
        <v>45747</v>
      </c>
      <c r="C1268" s="4">
        <f>MONTH(datos_ventas[[#This Row],[Fecha]])</f>
        <v>3</v>
      </c>
      <c r="D1268" s="4">
        <f>WEEKNUM(datos_ventas[[#This Row],[Fecha]],2)</f>
        <v>14</v>
      </c>
      <c r="E1268" t="s">
        <v>16</v>
      </c>
      <c r="F1268" t="s">
        <v>11</v>
      </c>
      <c r="G1268">
        <v>1</v>
      </c>
      <c r="H1268">
        <v>99997</v>
      </c>
      <c r="I1268">
        <v>117</v>
      </c>
      <c r="J1268" t="s">
        <v>12</v>
      </c>
      <c r="K1268" t="str">
        <f>_xlfn.XLOOKUP(datos_ventas[[#This Row],[Ciudad]],Tabla2[Ciudades],Tabla2[Provincias],"no se encuentra")</f>
        <v>Málaga</v>
      </c>
      <c r="L1268" t="str">
        <f>_xlfn.XLOOKUP(datos_ventas[[#This Row],[Provincia]],Tabla2[Provincias],Tabla2[Comunidades],"no se encuentra")</f>
        <v>Andalucía</v>
      </c>
      <c r="M1268" t="s">
        <v>19</v>
      </c>
      <c r="N1268">
        <v>5</v>
      </c>
    </row>
    <row r="1269" spans="1:14" x14ac:dyDescent="0.25">
      <c r="A1269">
        <v>2268</v>
      </c>
      <c r="B1269" s="1">
        <v>45966</v>
      </c>
      <c r="C1269" s="4">
        <f>MONTH(datos_ventas[[#This Row],[Fecha]])</f>
        <v>11</v>
      </c>
      <c r="D1269" s="4">
        <f>WEEKNUM(datos_ventas[[#This Row],[Fecha]],2)</f>
        <v>45</v>
      </c>
      <c r="E1269" t="s">
        <v>10</v>
      </c>
      <c r="F1269" t="s">
        <v>11</v>
      </c>
      <c r="G1269">
        <v>2</v>
      </c>
      <c r="H1269">
        <v>96941</v>
      </c>
      <c r="I1269">
        <v>1212</v>
      </c>
      <c r="J1269" t="s">
        <v>14</v>
      </c>
      <c r="K1269" t="str">
        <f>_xlfn.XLOOKUP(datos_ventas[[#This Row],[Ciudad]],Tabla2[Ciudades],Tabla2[Provincias],"no se encuentra")</f>
        <v>Madrid</v>
      </c>
      <c r="L1269" t="str">
        <f>_xlfn.XLOOKUP(datos_ventas[[#This Row],[Provincia]],Tabla2[Provincias],Tabla2[Comunidades],"no se encuentra")</f>
        <v>Comunidad de Madrid</v>
      </c>
      <c r="M1269" t="s">
        <v>13</v>
      </c>
      <c r="N1269">
        <v>4</v>
      </c>
    </row>
    <row r="1270" spans="1:14" x14ac:dyDescent="0.25">
      <c r="A1270">
        <v>2269</v>
      </c>
      <c r="B1270" s="1">
        <v>45972</v>
      </c>
      <c r="C1270" s="4">
        <f>MONTH(datos_ventas[[#This Row],[Fecha]])</f>
        <v>11</v>
      </c>
      <c r="D1270" s="4">
        <f>WEEKNUM(datos_ventas[[#This Row],[Fecha]],2)</f>
        <v>46</v>
      </c>
      <c r="E1270" t="s">
        <v>17</v>
      </c>
      <c r="F1270" t="s">
        <v>18</v>
      </c>
      <c r="G1270">
        <v>3</v>
      </c>
      <c r="H1270">
        <v>68392</v>
      </c>
      <c r="I1270">
        <v>465</v>
      </c>
      <c r="J1270" t="s">
        <v>27</v>
      </c>
      <c r="K1270" t="str">
        <f>_xlfn.XLOOKUP(datos_ventas[[#This Row],[Ciudad]],Tabla2[Ciudades],Tabla2[Provincias],"no se encuentra")</f>
        <v>Sevilla</v>
      </c>
      <c r="L1270" t="str">
        <f>_xlfn.XLOOKUP(datos_ventas[[#This Row],[Provincia]],Tabla2[Provincias],Tabla2[Comunidades],"no se encuentra")</f>
        <v>Andalucía</v>
      </c>
      <c r="M1270" t="s">
        <v>15</v>
      </c>
      <c r="N1270">
        <v>3</v>
      </c>
    </row>
    <row r="1271" spans="1:14" x14ac:dyDescent="0.25">
      <c r="A1271">
        <v>2270</v>
      </c>
      <c r="B1271" s="1">
        <v>45789</v>
      </c>
      <c r="C1271" s="4">
        <f>MONTH(datos_ventas[[#This Row],[Fecha]])</f>
        <v>5</v>
      </c>
      <c r="D1271" s="4">
        <f>WEEKNUM(datos_ventas[[#This Row],[Fecha]],2)</f>
        <v>20</v>
      </c>
      <c r="E1271" t="s">
        <v>23</v>
      </c>
      <c r="F1271" t="s">
        <v>18</v>
      </c>
      <c r="G1271">
        <v>2</v>
      </c>
      <c r="H1271">
        <v>92513</v>
      </c>
      <c r="I1271">
        <v>2042</v>
      </c>
      <c r="J1271" t="s">
        <v>14</v>
      </c>
      <c r="K1271" t="str">
        <f>_xlfn.XLOOKUP(datos_ventas[[#This Row],[Ciudad]],Tabla2[Ciudades],Tabla2[Provincias],"no se encuentra")</f>
        <v>Madrid</v>
      </c>
      <c r="L1271" t="str">
        <f>_xlfn.XLOOKUP(datos_ventas[[#This Row],[Provincia]],Tabla2[Provincias],Tabla2[Comunidades],"no se encuentra")</f>
        <v>Comunidad de Madrid</v>
      </c>
      <c r="M1271" t="s">
        <v>15</v>
      </c>
      <c r="N1271">
        <v>1</v>
      </c>
    </row>
    <row r="1272" spans="1:14" x14ac:dyDescent="0.25">
      <c r="A1272">
        <v>2271</v>
      </c>
      <c r="B1272" s="1">
        <v>45822</v>
      </c>
      <c r="C1272" s="4">
        <f>MONTH(datos_ventas[[#This Row],[Fecha]])</f>
        <v>6</v>
      </c>
      <c r="D1272" s="4">
        <f>WEEKNUM(datos_ventas[[#This Row],[Fecha]],2)</f>
        <v>24</v>
      </c>
      <c r="E1272" t="s">
        <v>23</v>
      </c>
      <c r="F1272" t="s">
        <v>18</v>
      </c>
      <c r="G1272">
        <v>5</v>
      </c>
      <c r="H1272">
        <v>69306</v>
      </c>
      <c r="I1272">
        <v>3663</v>
      </c>
      <c r="J1272" t="s">
        <v>14</v>
      </c>
      <c r="K1272" t="str">
        <f>_xlfn.XLOOKUP(datos_ventas[[#This Row],[Ciudad]],Tabla2[Ciudades],Tabla2[Provincias],"no se encuentra")</f>
        <v>Madrid</v>
      </c>
      <c r="L1272" t="str">
        <f>_xlfn.XLOOKUP(datos_ventas[[#This Row],[Provincia]],Tabla2[Provincias],Tabla2[Comunidades],"no se encuentra")</f>
        <v>Comunidad de Madrid</v>
      </c>
      <c r="M1272" t="s">
        <v>13</v>
      </c>
      <c r="N1272">
        <v>3</v>
      </c>
    </row>
    <row r="1273" spans="1:14" x14ac:dyDescent="0.25">
      <c r="A1273">
        <v>2272</v>
      </c>
      <c r="B1273" s="1">
        <v>45883</v>
      </c>
      <c r="C1273" s="4">
        <f>MONTH(datos_ventas[[#This Row],[Fecha]])</f>
        <v>8</v>
      </c>
      <c r="D1273" s="4">
        <f>WEEKNUM(datos_ventas[[#This Row],[Fecha]],2)</f>
        <v>33</v>
      </c>
      <c r="E1273" t="s">
        <v>10</v>
      </c>
      <c r="F1273" t="s">
        <v>11</v>
      </c>
      <c r="G1273">
        <v>1</v>
      </c>
      <c r="H1273">
        <v>67838</v>
      </c>
      <c r="I1273">
        <v>4863</v>
      </c>
      <c r="J1273" t="s">
        <v>22</v>
      </c>
      <c r="K1273" t="str">
        <f>_xlfn.XLOOKUP(datos_ventas[[#This Row],[Ciudad]],Tabla2[Ciudades],Tabla2[Provincias],"no se encuentra")</f>
        <v>Valencia</v>
      </c>
      <c r="L1273" t="str">
        <f>_xlfn.XLOOKUP(datos_ventas[[#This Row],[Provincia]],Tabla2[Provincias],Tabla2[Comunidades],"no se encuentra")</f>
        <v>Comunidad Valenciana</v>
      </c>
      <c r="M1273" t="s">
        <v>15</v>
      </c>
      <c r="N1273">
        <v>5</v>
      </c>
    </row>
    <row r="1274" spans="1:14" x14ac:dyDescent="0.25">
      <c r="A1274">
        <v>2273</v>
      </c>
      <c r="B1274" s="1">
        <v>45955</v>
      </c>
      <c r="C1274" s="4">
        <f>MONTH(datos_ventas[[#This Row],[Fecha]])</f>
        <v>10</v>
      </c>
      <c r="D1274" s="4">
        <f>WEEKNUM(datos_ventas[[#This Row],[Fecha]],2)</f>
        <v>43</v>
      </c>
      <c r="E1274" t="s">
        <v>23</v>
      </c>
      <c r="F1274" t="s">
        <v>18</v>
      </c>
      <c r="G1274">
        <v>1</v>
      </c>
      <c r="H1274">
        <v>59869</v>
      </c>
      <c r="I1274">
        <v>4064</v>
      </c>
      <c r="J1274" t="s">
        <v>31</v>
      </c>
      <c r="K1274" t="str">
        <f>_xlfn.XLOOKUP(datos_ventas[[#This Row],[Ciudad]],Tabla2[Ciudades],Tabla2[Provincias],"no se encuentra")</f>
        <v>Vizcaya</v>
      </c>
      <c r="L1274" t="str">
        <f>_xlfn.XLOOKUP(datos_ventas[[#This Row],[Provincia]],Tabla2[Provincias],Tabla2[Comunidades],"no se encuentra")</f>
        <v>País Vasco</v>
      </c>
      <c r="M1274" t="s">
        <v>28</v>
      </c>
      <c r="N1274">
        <v>4</v>
      </c>
    </row>
    <row r="1275" spans="1:14" x14ac:dyDescent="0.25">
      <c r="A1275">
        <v>2274</v>
      </c>
      <c r="B1275" s="1">
        <v>45716</v>
      </c>
      <c r="C1275" s="4">
        <f>MONTH(datos_ventas[[#This Row],[Fecha]])</f>
        <v>2</v>
      </c>
      <c r="D1275" s="4">
        <f>WEEKNUM(datos_ventas[[#This Row],[Fecha]],2)</f>
        <v>9</v>
      </c>
      <c r="E1275" t="s">
        <v>29</v>
      </c>
      <c r="F1275" t="s">
        <v>30</v>
      </c>
      <c r="G1275">
        <v>4</v>
      </c>
      <c r="H1275">
        <v>38922</v>
      </c>
      <c r="I1275">
        <v>4029</v>
      </c>
      <c r="J1275" t="s">
        <v>14</v>
      </c>
      <c r="K1275" t="str">
        <f>_xlfn.XLOOKUP(datos_ventas[[#This Row],[Ciudad]],Tabla2[Ciudades],Tabla2[Provincias],"no se encuentra")</f>
        <v>Madrid</v>
      </c>
      <c r="L1275" t="str">
        <f>_xlfn.XLOOKUP(datos_ventas[[#This Row],[Provincia]],Tabla2[Provincias],Tabla2[Comunidades],"no se encuentra")</f>
        <v>Comunidad de Madrid</v>
      </c>
      <c r="M1275" t="s">
        <v>13</v>
      </c>
      <c r="N1275">
        <v>2</v>
      </c>
    </row>
    <row r="1276" spans="1:14" x14ac:dyDescent="0.25">
      <c r="A1276">
        <v>2275</v>
      </c>
      <c r="B1276" s="1">
        <v>45787</v>
      </c>
      <c r="C1276" s="4">
        <f>MONTH(datos_ventas[[#This Row],[Fecha]])</f>
        <v>5</v>
      </c>
      <c r="D1276" s="4">
        <f>WEEKNUM(datos_ventas[[#This Row],[Fecha]],2)</f>
        <v>19</v>
      </c>
      <c r="E1276" t="s">
        <v>17</v>
      </c>
      <c r="F1276" t="s">
        <v>18</v>
      </c>
      <c r="G1276">
        <v>4</v>
      </c>
      <c r="H1276">
        <v>74799</v>
      </c>
      <c r="I1276">
        <v>4088</v>
      </c>
      <c r="J1276" t="s">
        <v>32</v>
      </c>
      <c r="K1276" t="str">
        <f>_xlfn.XLOOKUP(datos_ventas[[#This Row],[Ciudad]],Tabla2[Ciudades],Tabla2[Provincias],"no se encuentra")</f>
        <v>Barcelona</v>
      </c>
      <c r="L1276" t="str">
        <f>_xlfn.XLOOKUP(datos_ventas[[#This Row],[Provincia]],Tabla2[Provincias],Tabla2[Comunidades],"no se encuentra")</f>
        <v>Cataluña</v>
      </c>
      <c r="M1276" t="s">
        <v>19</v>
      </c>
      <c r="N1276">
        <v>4</v>
      </c>
    </row>
    <row r="1277" spans="1:14" x14ac:dyDescent="0.25">
      <c r="A1277">
        <v>2276</v>
      </c>
      <c r="B1277" s="1">
        <v>45911</v>
      </c>
      <c r="C1277" s="4">
        <f>MONTH(datos_ventas[[#This Row],[Fecha]])</f>
        <v>9</v>
      </c>
      <c r="D1277" s="4">
        <f>WEEKNUM(datos_ventas[[#This Row],[Fecha]],2)</f>
        <v>37</v>
      </c>
      <c r="E1277" t="s">
        <v>23</v>
      </c>
      <c r="F1277" t="s">
        <v>18</v>
      </c>
      <c r="G1277">
        <v>4</v>
      </c>
      <c r="H1277">
        <v>79264</v>
      </c>
      <c r="I1277">
        <v>3293</v>
      </c>
      <c r="J1277" t="s">
        <v>32</v>
      </c>
      <c r="K1277" t="str">
        <f>_xlfn.XLOOKUP(datos_ventas[[#This Row],[Ciudad]],Tabla2[Ciudades],Tabla2[Provincias],"no se encuentra")</f>
        <v>Barcelona</v>
      </c>
      <c r="L1277" t="str">
        <f>_xlfn.XLOOKUP(datos_ventas[[#This Row],[Provincia]],Tabla2[Provincias],Tabla2[Comunidades],"no se encuentra")</f>
        <v>Cataluña</v>
      </c>
      <c r="M1277" t="s">
        <v>13</v>
      </c>
      <c r="N1277">
        <v>5</v>
      </c>
    </row>
    <row r="1278" spans="1:14" x14ac:dyDescent="0.25">
      <c r="A1278">
        <v>2277</v>
      </c>
      <c r="B1278" s="1">
        <v>45783</v>
      </c>
      <c r="C1278" s="4">
        <f>MONTH(datos_ventas[[#This Row],[Fecha]])</f>
        <v>5</v>
      </c>
      <c r="D1278" s="4">
        <f>WEEKNUM(datos_ventas[[#This Row],[Fecha]],2)</f>
        <v>19</v>
      </c>
      <c r="E1278" t="s">
        <v>10</v>
      </c>
      <c r="F1278" t="s">
        <v>11</v>
      </c>
      <c r="G1278">
        <v>2</v>
      </c>
      <c r="H1278">
        <v>36063</v>
      </c>
      <c r="I1278">
        <v>1296</v>
      </c>
      <c r="J1278" t="s">
        <v>14</v>
      </c>
      <c r="K1278" t="str">
        <f>_xlfn.XLOOKUP(datos_ventas[[#This Row],[Ciudad]],Tabla2[Ciudades],Tabla2[Provincias],"no se encuentra")</f>
        <v>Madrid</v>
      </c>
      <c r="L1278" t="str">
        <f>_xlfn.XLOOKUP(datos_ventas[[#This Row],[Provincia]],Tabla2[Provincias],Tabla2[Comunidades],"no se encuentra")</f>
        <v>Comunidad de Madrid</v>
      </c>
      <c r="M1278" t="s">
        <v>28</v>
      </c>
      <c r="N1278">
        <v>5</v>
      </c>
    </row>
    <row r="1279" spans="1:14" x14ac:dyDescent="0.25">
      <c r="A1279">
        <v>2278</v>
      </c>
      <c r="B1279" s="1">
        <v>45678</v>
      </c>
      <c r="C1279" s="4">
        <f>MONTH(datos_ventas[[#This Row],[Fecha]])</f>
        <v>1</v>
      </c>
      <c r="D1279" s="4">
        <f>WEEKNUM(datos_ventas[[#This Row],[Fecha]],2)</f>
        <v>4</v>
      </c>
      <c r="E1279" t="s">
        <v>17</v>
      </c>
      <c r="F1279" t="s">
        <v>18</v>
      </c>
      <c r="G1279">
        <v>5</v>
      </c>
      <c r="H1279">
        <v>23567</v>
      </c>
      <c r="I1279">
        <v>1295</v>
      </c>
      <c r="J1279" t="s">
        <v>27</v>
      </c>
      <c r="K1279" t="str">
        <f>_xlfn.XLOOKUP(datos_ventas[[#This Row],[Ciudad]],Tabla2[Ciudades],Tabla2[Provincias],"no se encuentra")</f>
        <v>Sevilla</v>
      </c>
      <c r="L1279" t="str">
        <f>_xlfn.XLOOKUP(datos_ventas[[#This Row],[Provincia]],Tabla2[Provincias],Tabla2[Comunidades],"no se encuentra")</f>
        <v>Andalucía</v>
      </c>
      <c r="M1279" t="s">
        <v>13</v>
      </c>
      <c r="N1279">
        <v>5</v>
      </c>
    </row>
    <row r="1280" spans="1:14" x14ac:dyDescent="0.25">
      <c r="A1280">
        <v>2279</v>
      </c>
      <c r="B1280" s="1">
        <v>45767</v>
      </c>
      <c r="C1280" s="4">
        <f>MONTH(datos_ventas[[#This Row],[Fecha]])</f>
        <v>4</v>
      </c>
      <c r="D1280" s="4">
        <f>WEEKNUM(datos_ventas[[#This Row],[Fecha]],2)</f>
        <v>16</v>
      </c>
      <c r="E1280" t="s">
        <v>24</v>
      </c>
      <c r="F1280" t="s">
        <v>25</v>
      </c>
      <c r="G1280">
        <v>1</v>
      </c>
      <c r="H1280">
        <v>53668</v>
      </c>
      <c r="I1280">
        <v>2853</v>
      </c>
      <c r="J1280" t="s">
        <v>22</v>
      </c>
      <c r="K1280" t="str">
        <f>_xlfn.XLOOKUP(datos_ventas[[#This Row],[Ciudad]],Tabla2[Ciudades],Tabla2[Provincias],"no se encuentra")</f>
        <v>Valencia</v>
      </c>
      <c r="L1280" t="str">
        <f>_xlfn.XLOOKUP(datos_ventas[[#This Row],[Provincia]],Tabla2[Provincias],Tabla2[Comunidades],"no se encuentra")</f>
        <v>Comunidad Valenciana</v>
      </c>
      <c r="M1280" t="s">
        <v>28</v>
      </c>
      <c r="N1280">
        <v>1</v>
      </c>
    </row>
    <row r="1281" spans="1:14" x14ac:dyDescent="0.25">
      <c r="A1281">
        <v>2280</v>
      </c>
      <c r="B1281" s="1">
        <v>45982</v>
      </c>
      <c r="C1281" s="4">
        <f>MONTH(datos_ventas[[#This Row],[Fecha]])</f>
        <v>11</v>
      </c>
      <c r="D1281" s="4">
        <f>WEEKNUM(datos_ventas[[#This Row],[Fecha]],2)</f>
        <v>47</v>
      </c>
      <c r="E1281" t="s">
        <v>29</v>
      </c>
      <c r="F1281" t="s">
        <v>30</v>
      </c>
      <c r="G1281">
        <v>5</v>
      </c>
      <c r="H1281">
        <v>82099</v>
      </c>
      <c r="I1281">
        <v>1423</v>
      </c>
      <c r="J1281" t="s">
        <v>12</v>
      </c>
      <c r="K1281" t="str">
        <f>_xlfn.XLOOKUP(datos_ventas[[#This Row],[Ciudad]],Tabla2[Ciudades],Tabla2[Provincias],"no se encuentra")</f>
        <v>Málaga</v>
      </c>
      <c r="L1281" t="str">
        <f>_xlfn.XLOOKUP(datos_ventas[[#This Row],[Provincia]],Tabla2[Provincias],Tabla2[Comunidades],"no se encuentra")</f>
        <v>Andalucía</v>
      </c>
      <c r="M1281" t="s">
        <v>19</v>
      </c>
      <c r="N1281">
        <v>4</v>
      </c>
    </row>
    <row r="1282" spans="1:14" x14ac:dyDescent="0.25">
      <c r="A1282">
        <v>2281</v>
      </c>
      <c r="B1282" s="1">
        <v>45737</v>
      </c>
      <c r="C1282" s="4">
        <f>MONTH(datos_ventas[[#This Row],[Fecha]])</f>
        <v>3</v>
      </c>
      <c r="D1282" s="4">
        <f>WEEKNUM(datos_ventas[[#This Row],[Fecha]],2)</f>
        <v>12</v>
      </c>
      <c r="E1282" t="s">
        <v>16</v>
      </c>
      <c r="F1282" t="s">
        <v>11</v>
      </c>
      <c r="G1282">
        <v>2</v>
      </c>
      <c r="H1282">
        <v>89611</v>
      </c>
      <c r="I1282">
        <v>2428</v>
      </c>
      <c r="J1282" t="s">
        <v>27</v>
      </c>
      <c r="K1282" t="str">
        <f>_xlfn.XLOOKUP(datos_ventas[[#This Row],[Ciudad]],Tabla2[Ciudades],Tabla2[Provincias],"no se encuentra")</f>
        <v>Sevilla</v>
      </c>
      <c r="L1282" t="str">
        <f>_xlfn.XLOOKUP(datos_ventas[[#This Row],[Provincia]],Tabla2[Provincias],Tabla2[Comunidades],"no se encuentra")</f>
        <v>Andalucía</v>
      </c>
      <c r="M1282" t="s">
        <v>15</v>
      </c>
      <c r="N1282">
        <v>1</v>
      </c>
    </row>
    <row r="1283" spans="1:14" x14ac:dyDescent="0.25">
      <c r="A1283">
        <v>2282</v>
      </c>
      <c r="B1283" s="1">
        <v>45724</v>
      </c>
      <c r="C1283" s="4">
        <f>MONTH(datos_ventas[[#This Row],[Fecha]])</f>
        <v>3</v>
      </c>
      <c r="D1283" s="4">
        <f>WEEKNUM(datos_ventas[[#This Row],[Fecha]],2)</f>
        <v>10</v>
      </c>
      <c r="E1283" t="s">
        <v>23</v>
      </c>
      <c r="F1283" t="s">
        <v>18</v>
      </c>
      <c r="G1283">
        <v>3</v>
      </c>
      <c r="H1283">
        <v>38854</v>
      </c>
      <c r="I1283">
        <v>3037</v>
      </c>
      <c r="J1283" t="s">
        <v>12</v>
      </c>
      <c r="K1283" t="str">
        <f>_xlfn.XLOOKUP(datos_ventas[[#This Row],[Ciudad]],Tabla2[Ciudades],Tabla2[Provincias],"no se encuentra")</f>
        <v>Málaga</v>
      </c>
      <c r="L1283" t="str">
        <f>_xlfn.XLOOKUP(datos_ventas[[#This Row],[Provincia]],Tabla2[Provincias],Tabla2[Comunidades],"no se encuentra")</f>
        <v>Andalucía</v>
      </c>
      <c r="M1283" t="s">
        <v>19</v>
      </c>
      <c r="N1283">
        <v>4</v>
      </c>
    </row>
    <row r="1284" spans="1:14" x14ac:dyDescent="0.25">
      <c r="A1284">
        <v>2283</v>
      </c>
      <c r="B1284" s="1">
        <v>46001</v>
      </c>
      <c r="C1284" s="4">
        <f>MONTH(datos_ventas[[#This Row],[Fecha]])</f>
        <v>12</v>
      </c>
      <c r="D1284" s="4">
        <f>WEEKNUM(datos_ventas[[#This Row],[Fecha]],2)</f>
        <v>50</v>
      </c>
      <c r="E1284" t="s">
        <v>26</v>
      </c>
      <c r="F1284" t="s">
        <v>18</v>
      </c>
      <c r="G1284">
        <v>5</v>
      </c>
      <c r="H1284">
        <v>119001</v>
      </c>
      <c r="I1284">
        <v>2948</v>
      </c>
      <c r="J1284" t="s">
        <v>32</v>
      </c>
      <c r="K1284" t="str">
        <f>_xlfn.XLOOKUP(datos_ventas[[#This Row],[Ciudad]],Tabla2[Ciudades],Tabla2[Provincias],"no se encuentra")</f>
        <v>Barcelona</v>
      </c>
      <c r="L1284" t="str">
        <f>_xlfn.XLOOKUP(datos_ventas[[#This Row],[Provincia]],Tabla2[Provincias],Tabla2[Comunidades],"no se encuentra")</f>
        <v>Cataluña</v>
      </c>
      <c r="M1284" t="s">
        <v>19</v>
      </c>
      <c r="N1284">
        <v>1</v>
      </c>
    </row>
    <row r="1285" spans="1:14" x14ac:dyDescent="0.25">
      <c r="A1285">
        <v>2284</v>
      </c>
      <c r="B1285" s="1">
        <v>46003</v>
      </c>
      <c r="C1285" s="4">
        <f>MONTH(datos_ventas[[#This Row],[Fecha]])</f>
        <v>12</v>
      </c>
      <c r="D1285" s="4">
        <f>WEEKNUM(datos_ventas[[#This Row],[Fecha]],2)</f>
        <v>50</v>
      </c>
      <c r="E1285" t="s">
        <v>20</v>
      </c>
      <c r="F1285" t="s">
        <v>21</v>
      </c>
      <c r="G1285">
        <v>5</v>
      </c>
      <c r="H1285">
        <v>75645</v>
      </c>
      <c r="I1285">
        <v>3203</v>
      </c>
      <c r="J1285" t="s">
        <v>14</v>
      </c>
      <c r="K1285" t="str">
        <f>_xlfn.XLOOKUP(datos_ventas[[#This Row],[Ciudad]],Tabla2[Ciudades],Tabla2[Provincias],"no se encuentra")</f>
        <v>Madrid</v>
      </c>
      <c r="L1285" t="str">
        <f>_xlfn.XLOOKUP(datos_ventas[[#This Row],[Provincia]],Tabla2[Provincias],Tabla2[Comunidades],"no se encuentra")</f>
        <v>Comunidad de Madrid</v>
      </c>
      <c r="M1285" t="s">
        <v>19</v>
      </c>
      <c r="N1285">
        <v>5</v>
      </c>
    </row>
    <row r="1286" spans="1:14" x14ac:dyDescent="0.25">
      <c r="A1286">
        <v>2285</v>
      </c>
      <c r="B1286" s="1">
        <v>45659</v>
      </c>
      <c r="C1286" s="4">
        <f>MONTH(datos_ventas[[#This Row],[Fecha]])</f>
        <v>1</v>
      </c>
      <c r="D1286" s="4">
        <f>WEEKNUM(datos_ventas[[#This Row],[Fecha]],2)</f>
        <v>1</v>
      </c>
      <c r="E1286" t="s">
        <v>16</v>
      </c>
      <c r="F1286" t="s">
        <v>11</v>
      </c>
      <c r="G1286">
        <v>5</v>
      </c>
      <c r="H1286">
        <v>61055</v>
      </c>
      <c r="I1286">
        <v>4365</v>
      </c>
      <c r="J1286" t="s">
        <v>31</v>
      </c>
      <c r="K1286" t="str">
        <f>_xlfn.XLOOKUP(datos_ventas[[#This Row],[Ciudad]],Tabla2[Ciudades],Tabla2[Provincias],"no se encuentra")</f>
        <v>Vizcaya</v>
      </c>
      <c r="L1286" t="str">
        <f>_xlfn.XLOOKUP(datos_ventas[[#This Row],[Provincia]],Tabla2[Provincias],Tabla2[Comunidades],"no se encuentra")</f>
        <v>País Vasco</v>
      </c>
      <c r="M1286" t="s">
        <v>28</v>
      </c>
      <c r="N1286">
        <v>3</v>
      </c>
    </row>
    <row r="1287" spans="1:14" x14ac:dyDescent="0.25">
      <c r="A1287">
        <v>2286</v>
      </c>
      <c r="B1287" s="1">
        <v>45874</v>
      </c>
      <c r="C1287" s="4">
        <f>MONTH(datos_ventas[[#This Row],[Fecha]])</f>
        <v>8</v>
      </c>
      <c r="D1287" s="4">
        <f>WEEKNUM(datos_ventas[[#This Row],[Fecha]],2)</f>
        <v>32</v>
      </c>
      <c r="E1287" t="s">
        <v>26</v>
      </c>
      <c r="F1287" t="s">
        <v>18</v>
      </c>
      <c r="G1287">
        <v>3</v>
      </c>
      <c r="H1287">
        <v>41718</v>
      </c>
      <c r="I1287">
        <v>4397</v>
      </c>
      <c r="J1287" t="s">
        <v>27</v>
      </c>
      <c r="K1287" t="str">
        <f>_xlfn.XLOOKUP(datos_ventas[[#This Row],[Ciudad]],Tabla2[Ciudades],Tabla2[Provincias],"no se encuentra")</f>
        <v>Sevilla</v>
      </c>
      <c r="L1287" t="str">
        <f>_xlfn.XLOOKUP(datos_ventas[[#This Row],[Provincia]],Tabla2[Provincias],Tabla2[Comunidades],"no se encuentra")</f>
        <v>Andalucía</v>
      </c>
      <c r="M1287" t="s">
        <v>15</v>
      </c>
      <c r="N1287">
        <v>4</v>
      </c>
    </row>
    <row r="1288" spans="1:14" x14ac:dyDescent="0.25">
      <c r="A1288">
        <v>2287</v>
      </c>
      <c r="B1288" s="1">
        <v>45928</v>
      </c>
      <c r="C1288" s="4">
        <f>MONTH(datos_ventas[[#This Row],[Fecha]])</f>
        <v>9</v>
      </c>
      <c r="D1288" s="4">
        <f>WEEKNUM(datos_ventas[[#This Row],[Fecha]],2)</f>
        <v>39</v>
      </c>
      <c r="E1288" t="s">
        <v>23</v>
      </c>
      <c r="F1288" t="s">
        <v>18</v>
      </c>
      <c r="G1288">
        <v>4</v>
      </c>
      <c r="H1288">
        <v>25501</v>
      </c>
      <c r="I1288">
        <v>4719</v>
      </c>
      <c r="J1288" t="s">
        <v>14</v>
      </c>
      <c r="K1288" t="str">
        <f>_xlfn.XLOOKUP(datos_ventas[[#This Row],[Ciudad]],Tabla2[Ciudades],Tabla2[Provincias],"no se encuentra")</f>
        <v>Madrid</v>
      </c>
      <c r="L1288" t="str">
        <f>_xlfn.XLOOKUP(datos_ventas[[#This Row],[Provincia]],Tabla2[Provincias],Tabla2[Comunidades],"no se encuentra")</f>
        <v>Comunidad de Madrid</v>
      </c>
      <c r="M1288" t="s">
        <v>15</v>
      </c>
      <c r="N1288">
        <v>1</v>
      </c>
    </row>
    <row r="1289" spans="1:14" x14ac:dyDescent="0.25">
      <c r="A1289">
        <v>2288</v>
      </c>
      <c r="B1289" s="1">
        <v>45750</v>
      </c>
      <c r="C1289" s="4">
        <f>MONTH(datos_ventas[[#This Row],[Fecha]])</f>
        <v>4</v>
      </c>
      <c r="D1289" s="4">
        <f>WEEKNUM(datos_ventas[[#This Row],[Fecha]],2)</f>
        <v>14</v>
      </c>
      <c r="E1289" t="s">
        <v>17</v>
      </c>
      <c r="F1289" t="s">
        <v>18</v>
      </c>
      <c r="G1289">
        <v>2</v>
      </c>
      <c r="H1289">
        <v>6639</v>
      </c>
      <c r="I1289">
        <v>3115</v>
      </c>
      <c r="J1289" t="s">
        <v>12</v>
      </c>
      <c r="K1289" t="str">
        <f>_xlfn.XLOOKUP(datos_ventas[[#This Row],[Ciudad]],Tabla2[Ciudades],Tabla2[Provincias],"no se encuentra")</f>
        <v>Málaga</v>
      </c>
      <c r="L1289" t="str">
        <f>_xlfn.XLOOKUP(datos_ventas[[#This Row],[Provincia]],Tabla2[Provincias],Tabla2[Comunidades],"no se encuentra")</f>
        <v>Andalucía</v>
      </c>
      <c r="M1289" t="s">
        <v>19</v>
      </c>
      <c r="N1289">
        <v>4</v>
      </c>
    </row>
    <row r="1290" spans="1:14" x14ac:dyDescent="0.25">
      <c r="A1290">
        <v>2289</v>
      </c>
      <c r="B1290" s="1">
        <v>45767</v>
      </c>
      <c r="C1290" s="4">
        <f>MONTH(datos_ventas[[#This Row],[Fecha]])</f>
        <v>4</v>
      </c>
      <c r="D1290" s="4">
        <f>WEEKNUM(datos_ventas[[#This Row],[Fecha]],2)</f>
        <v>16</v>
      </c>
      <c r="E1290" t="s">
        <v>20</v>
      </c>
      <c r="F1290" t="s">
        <v>21</v>
      </c>
      <c r="G1290">
        <v>4</v>
      </c>
      <c r="H1290">
        <v>62271</v>
      </c>
      <c r="I1290">
        <v>932</v>
      </c>
      <c r="J1290" t="s">
        <v>22</v>
      </c>
      <c r="K1290" t="str">
        <f>_xlfn.XLOOKUP(datos_ventas[[#This Row],[Ciudad]],Tabla2[Ciudades],Tabla2[Provincias],"no se encuentra")</f>
        <v>Valencia</v>
      </c>
      <c r="L1290" t="str">
        <f>_xlfn.XLOOKUP(datos_ventas[[#This Row],[Provincia]],Tabla2[Provincias],Tabla2[Comunidades],"no se encuentra")</f>
        <v>Comunidad Valenciana</v>
      </c>
      <c r="M1290" t="s">
        <v>15</v>
      </c>
      <c r="N1290">
        <v>5</v>
      </c>
    </row>
    <row r="1291" spans="1:14" x14ac:dyDescent="0.25">
      <c r="A1291">
        <v>2290</v>
      </c>
      <c r="B1291" s="1">
        <v>45905</v>
      </c>
      <c r="C1291" s="4">
        <f>MONTH(datos_ventas[[#This Row],[Fecha]])</f>
        <v>9</v>
      </c>
      <c r="D1291" s="4">
        <f>WEEKNUM(datos_ventas[[#This Row],[Fecha]],2)</f>
        <v>36</v>
      </c>
      <c r="E1291" t="s">
        <v>20</v>
      </c>
      <c r="F1291" t="s">
        <v>21</v>
      </c>
      <c r="G1291">
        <v>3</v>
      </c>
      <c r="H1291">
        <v>29076</v>
      </c>
      <c r="I1291">
        <v>250</v>
      </c>
      <c r="J1291" t="s">
        <v>22</v>
      </c>
      <c r="K1291" t="str">
        <f>_xlfn.XLOOKUP(datos_ventas[[#This Row],[Ciudad]],Tabla2[Ciudades],Tabla2[Provincias],"no se encuentra")</f>
        <v>Valencia</v>
      </c>
      <c r="L1291" t="str">
        <f>_xlfn.XLOOKUP(datos_ventas[[#This Row],[Provincia]],Tabla2[Provincias],Tabla2[Comunidades],"no se encuentra")</f>
        <v>Comunidad Valenciana</v>
      </c>
      <c r="M1291" t="s">
        <v>15</v>
      </c>
      <c r="N1291">
        <v>1</v>
      </c>
    </row>
    <row r="1292" spans="1:14" x14ac:dyDescent="0.25">
      <c r="A1292">
        <v>2291</v>
      </c>
      <c r="B1292" s="1">
        <v>45921</v>
      </c>
      <c r="C1292" s="4">
        <f>MONTH(datos_ventas[[#This Row],[Fecha]])</f>
        <v>9</v>
      </c>
      <c r="D1292" s="4">
        <f>WEEKNUM(datos_ventas[[#This Row],[Fecha]],2)</f>
        <v>38</v>
      </c>
      <c r="E1292" t="s">
        <v>10</v>
      </c>
      <c r="F1292" t="s">
        <v>11</v>
      </c>
      <c r="G1292">
        <v>3</v>
      </c>
      <c r="H1292">
        <v>101177</v>
      </c>
      <c r="I1292">
        <v>1847</v>
      </c>
      <c r="J1292" t="s">
        <v>22</v>
      </c>
      <c r="K1292" t="str">
        <f>_xlfn.XLOOKUP(datos_ventas[[#This Row],[Ciudad]],Tabla2[Ciudades],Tabla2[Provincias],"no se encuentra")</f>
        <v>Valencia</v>
      </c>
      <c r="L1292" t="str">
        <f>_xlfn.XLOOKUP(datos_ventas[[#This Row],[Provincia]],Tabla2[Provincias],Tabla2[Comunidades],"no se encuentra")</f>
        <v>Comunidad Valenciana</v>
      </c>
      <c r="M1292" t="s">
        <v>19</v>
      </c>
      <c r="N1292">
        <v>4</v>
      </c>
    </row>
    <row r="1293" spans="1:14" x14ac:dyDescent="0.25">
      <c r="A1293">
        <v>2292</v>
      </c>
      <c r="B1293" s="1">
        <v>45890</v>
      </c>
      <c r="C1293" s="4">
        <f>MONTH(datos_ventas[[#This Row],[Fecha]])</f>
        <v>8</v>
      </c>
      <c r="D1293" s="4">
        <f>WEEKNUM(datos_ventas[[#This Row],[Fecha]],2)</f>
        <v>34</v>
      </c>
      <c r="E1293" t="s">
        <v>20</v>
      </c>
      <c r="F1293" t="s">
        <v>21</v>
      </c>
      <c r="G1293">
        <v>3</v>
      </c>
      <c r="H1293">
        <v>96597</v>
      </c>
      <c r="I1293">
        <v>4495</v>
      </c>
      <c r="J1293" t="s">
        <v>32</v>
      </c>
      <c r="K1293" t="str">
        <f>_xlfn.XLOOKUP(datos_ventas[[#This Row],[Ciudad]],Tabla2[Ciudades],Tabla2[Provincias],"no se encuentra")</f>
        <v>Barcelona</v>
      </c>
      <c r="L1293" t="str">
        <f>_xlfn.XLOOKUP(datos_ventas[[#This Row],[Provincia]],Tabla2[Provincias],Tabla2[Comunidades],"no se encuentra")</f>
        <v>Cataluña</v>
      </c>
      <c r="M1293" t="s">
        <v>28</v>
      </c>
      <c r="N1293">
        <v>4</v>
      </c>
    </row>
    <row r="1294" spans="1:14" x14ac:dyDescent="0.25">
      <c r="A1294">
        <v>2293</v>
      </c>
      <c r="B1294" s="1">
        <v>45917</v>
      </c>
      <c r="C1294" s="4">
        <f>MONTH(datos_ventas[[#This Row],[Fecha]])</f>
        <v>9</v>
      </c>
      <c r="D1294" s="4">
        <f>WEEKNUM(datos_ventas[[#This Row],[Fecha]],2)</f>
        <v>38</v>
      </c>
      <c r="E1294" t="s">
        <v>24</v>
      </c>
      <c r="F1294" t="s">
        <v>25</v>
      </c>
      <c r="G1294">
        <v>5</v>
      </c>
      <c r="H1294">
        <v>14395</v>
      </c>
      <c r="I1294">
        <v>1176</v>
      </c>
      <c r="J1294" t="s">
        <v>14</v>
      </c>
      <c r="K1294" t="str">
        <f>_xlfn.XLOOKUP(datos_ventas[[#This Row],[Ciudad]],Tabla2[Ciudades],Tabla2[Provincias],"no se encuentra")</f>
        <v>Madrid</v>
      </c>
      <c r="L1294" t="str">
        <f>_xlfn.XLOOKUP(datos_ventas[[#This Row],[Provincia]],Tabla2[Provincias],Tabla2[Comunidades],"no se encuentra")</f>
        <v>Comunidad de Madrid</v>
      </c>
      <c r="M1294" t="s">
        <v>15</v>
      </c>
      <c r="N1294">
        <v>5</v>
      </c>
    </row>
    <row r="1295" spans="1:14" x14ac:dyDescent="0.25">
      <c r="A1295">
        <v>2294</v>
      </c>
      <c r="B1295" s="1">
        <v>45942</v>
      </c>
      <c r="C1295" s="4">
        <f>MONTH(datos_ventas[[#This Row],[Fecha]])</f>
        <v>10</v>
      </c>
      <c r="D1295" s="4">
        <f>WEEKNUM(datos_ventas[[#This Row],[Fecha]],2)</f>
        <v>41</v>
      </c>
      <c r="E1295" t="s">
        <v>29</v>
      </c>
      <c r="F1295" t="s">
        <v>30</v>
      </c>
      <c r="G1295">
        <v>5</v>
      </c>
      <c r="H1295">
        <v>2507</v>
      </c>
      <c r="I1295">
        <v>1864</v>
      </c>
      <c r="J1295" t="s">
        <v>22</v>
      </c>
      <c r="K1295" t="str">
        <f>_xlfn.XLOOKUP(datos_ventas[[#This Row],[Ciudad]],Tabla2[Ciudades],Tabla2[Provincias],"no se encuentra")</f>
        <v>Valencia</v>
      </c>
      <c r="L1295" t="str">
        <f>_xlfn.XLOOKUP(datos_ventas[[#This Row],[Provincia]],Tabla2[Provincias],Tabla2[Comunidades],"no se encuentra")</f>
        <v>Comunidad Valenciana</v>
      </c>
      <c r="M1295" t="s">
        <v>19</v>
      </c>
      <c r="N1295">
        <v>3</v>
      </c>
    </row>
    <row r="1296" spans="1:14" x14ac:dyDescent="0.25">
      <c r="A1296">
        <v>2295</v>
      </c>
      <c r="B1296" s="1">
        <v>45874</v>
      </c>
      <c r="C1296" s="4">
        <f>MONTH(datos_ventas[[#This Row],[Fecha]])</f>
        <v>8</v>
      </c>
      <c r="D1296" s="4">
        <f>WEEKNUM(datos_ventas[[#This Row],[Fecha]],2)</f>
        <v>32</v>
      </c>
      <c r="E1296" t="s">
        <v>16</v>
      </c>
      <c r="F1296" t="s">
        <v>11</v>
      </c>
      <c r="G1296">
        <v>2</v>
      </c>
      <c r="H1296">
        <v>69585</v>
      </c>
      <c r="I1296">
        <v>119</v>
      </c>
      <c r="J1296" t="s">
        <v>12</v>
      </c>
      <c r="K1296" t="str">
        <f>_xlfn.XLOOKUP(datos_ventas[[#This Row],[Ciudad]],Tabla2[Ciudades],Tabla2[Provincias],"no se encuentra")</f>
        <v>Málaga</v>
      </c>
      <c r="L1296" t="str">
        <f>_xlfn.XLOOKUP(datos_ventas[[#This Row],[Provincia]],Tabla2[Provincias],Tabla2[Comunidades],"no se encuentra")</f>
        <v>Andalucía</v>
      </c>
      <c r="M1296" t="s">
        <v>15</v>
      </c>
      <c r="N1296">
        <v>2</v>
      </c>
    </row>
    <row r="1297" spans="1:14" x14ac:dyDescent="0.25">
      <c r="A1297">
        <v>2296</v>
      </c>
      <c r="B1297" s="1">
        <v>45998</v>
      </c>
      <c r="C1297" s="4">
        <f>MONTH(datos_ventas[[#This Row],[Fecha]])</f>
        <v>12</v>
      </c>
      <c r="D1297" s="4">
        <f>WEEKNUM(datos_ventas[[#This Row],[Fecha]],2)</f>
        <v>49</v>
      </c>
      <c r="E1297" t="s">
        <v>23</v>
      </c>
      <c r="F1297" t="s">
        <v>18</v>
      </c>
      <c r="G1297">
        <v>3</v>
      </c>
      <c r="H1297">
        <v>69314</v>
      </c>
      <c r="I1297">
        <v>1065</v>
      </c>
      <c r="J1297" t="s">
        <v>31</v>
      </c>
      <c r="K1297" t="str">
        <f>_xlfn.XLOOKUP(datos_ventas[[#This Row],[Ciudad]],Tabla2[Ciudades],Tabla2[Provincias],"no se encuentra")</f>
        <v>Vizcaya</v>
      </c>
      <c r="L1297" t="str">
        <f>_xlfn.XLOOKUP(datos_ventas[[#This Row],[Provincia]],Tabla2[Provincias],Tabla2[Comunidades],"no se encuentra")</f>
        <v>País Vasco</v>
      </c>
      <c r="M1297" t="s">
        <v>28</v>
      </c>
      <c r="N1297">
        <v>3</v>
      </c>
    </row>
    <row r="1298" spans="1:14" x14ac:dyDescent="0.25">
      <c r="A1298">
        <v>2297</v>
      </c>
      <c r="B1298" s="1">
        <v>45811</v>
      </c>
      <c r="C1298" s="4">
        <f>MONTH(datos_ventas[[#This Row],[Fecha]])</f>
        <v>6</v>
      </c>
      <c r="D1298" s="4">
        <f>WEEKNUM(datos_ventas[[#This Row],[Fecha]],2)</f>
        <v>23</v>
      </c>
      <c r="E1298" t="s">
        <v>20</v>
      </c>
      <c r="F1298" t="s">
        <v>21</v>
      </c>
      <c r="G1298">
        <v>4</v>
      </c>
      <c r="H1298">
        <v>105917</v>
      </c>
      <c r="I1298">
        <v>3549</v>
      </c>
      <c r="J1298" t="s">
        <v>12</v>
      </c>
      <c r="K1298" t="str">
        <f>_xlfn.XLOOKUP(datos_ventas[[#This Row],[Ciudad]],Tabla2[Ciudades],Tabla2[Provincias],"no se encuentra")</f>
        <v>Málaga</v>
      </c>
      <c r="L1298" t="str">
        <f>_xlfn.XLOOKUP(datos_ventas[[#This Row],[Provincia]],Tabla2[Provincias],Tabla2[Comunidades],"no se encuentra")</f>
        <v>Andalucía</v>
      </c>
      <c r="M1298" t="s">
        <v>19</v>
      </c>
      <c r="N1298">
        <v>4</v>
      </c>
    </row>
    <row r="1299" spans="1:14" x14ac:dyDescent="0.25">
      <c r="A1299">
        <v>2298</v>
      </c>
      <c r="B1299" s="1">
        <v>45873</v>
      </c>
      <c r="C1299" s="4">
        <f>MONTH(datos_ventas[[#This Row],[Fecha]])</f>
        <v>8</v>
      </c>
      <c r="D1299" s="4">
        <f>WEEKNUM(datos_ventas[[#This Row],[Fecha]],2)</f>
        <v>32</v>
      </c>
      <c r="E1299" t="s">
        <v>20</v>
      </c>
      <c r="F1299" t="s">
        <v>21</v>
      </c>
      <c r="G1299">
        <v>1</v>
      </c>
      <c r="H1299">
        <v>62849</v>
      </c>
      <c r="I1299">
        <v>1743</v>
      </c>
      <c r="J1299" t="s">
        <v>12</v>
      </c>
      <c r="K1299" t="str">
        <f>_xlfn.XLOOKUP(datos_ventas[[#This Row],[Ciudad]],Tabla2[Ciudades],Tabla2[Provincias],"no se encuentra")</f>
        <v>Málaga</v>
      </c>
      <c r="L1299" t="str">
        <f>_xlfn.XLOOKUP(datos_ventas[[#This Row],[Provincia]],Tabla2[Provincias],Tabla2[Comunidades],"no se encuentra")</f>
        <v>Andalucía</v>
      </c>
      <c r="M1299" t="s">
        <v>15</v>
      </c>
      <c r="N1299">
        <v>3</v>
      </c>
    </row>
    <row r="1300" spans="1:14" x14ac:dyDescent="0.25">
      <c r="A1300">
        <v>2299</v>
      </c>
      <c r="B1300" s="1">
        <v>45889</v>
      </c>
      <c r="C1300" s="4">
        <f>MONTH(datos_ventas[[#This Row],[Fecha]])</f>
        <v>8</v>
      </c>
      <c r="D1300" s="4">
        <f>WEEKNUM(datos_ventas[[#This Row],[Fecha]],2)</f>
        <v>34</v>
      </c>
      <c r="E1300" t="s">
        <v>23</v>
      </c>
      <c r="F1300" t="s">
        <v>18</v>
      </c>
      <c r="G1300">
        <v>5</v>
      </c>
      <c r="H1300">
        <v>73343</v>
      </c>
      <c r="I1300">
        <v>3638</v>
      </c>
      <c r="J1300" t="s">
        <v>14</v>
      </c>
      <c r="K1300" t="str">
        <f>_xlfn.XLOOKUP(datos_ventas[[#This Row],[Ciudad]],Tabla2[Ciudades],Tabla2[Provincias],"no se encuentra")</f>
        <v>Madrid</v>
      </c>
      <c r="L1300" t="str">
        <f>_xlfn.XLOOKUP(datos_ventas[[#This Row],[Provincia]],Tabla2[Provincias],Tabla2[Comunidades],"no se encuentra")</f>
        <v>Comunidad de Madrid</v>
      </c>
      <c r="M1300" t="s">
        <v>28</v>
      </c>
      <c r="N1300">
        <v>5</v>
      </c>
    </row>
    <row r="1301" spans="1:14" x14ac:dyDescent="0.25">
      <c r="A1301">
        <v>2300</v>
      </c>
      <c r="B1301" s="1">
        <v>45971</v>
      </c>
      <c r="C1301" s="4">
        <f>MONTH(datos_ventas[[#This Row],[Fecha]])</f>
        <v>11</v>
      </c>
      <c r="D1301" s="4">
        <f>WEEKNUM(datos_ventas[[#This Row],[Fecha]],2)</f>
        <v>46</v>
      </c>
      <c r="E1301" t="s">
        <v>24</v>
      </c>
      <c r="F1301" t="s">
        <v>25</v>
      </c>
      <c r="G1301">
        <v>2</v>
      </c>
      <c r="H1301">
        <v>14841</v>
      </c>
      <c r="I1301">
        <v>1468</v>
      </c>
      <c r="J1301" t="s">
        <v>22</v>
      </c>
      <c r="K1301" t="str">
        <f>_xlfn.XLOOKUP(datos_ventas[[#This Row],[Ciudad]],Tabla2[Ciudades],Tabla2[Provincias],"no se encuentra")</f>
        <v>Valencia</v>
      </c>
      <c r="L1301" t="str">
        <f>_xlfn.XLOOKUP(datos_ventas[[#This Row],[Provincia]],Tabla2[Provincias],Tabla2[Comunidades],"no se encuentra")</f>
        <v>Comunidad Valenciana</v>
      </c>
      <c r="M1301" t="s">
        <v>28</v>
      </c>
      <c r="N1301">
        <v>2</v>
      </c>
    </row>
    <row r="1302" spans="1:14" x14ac:dyDescent="0.25">
      <c r="A1302">
        <v>2301</v>
      </c>
      <c r="B1302" s="1">
        <v>45964</v>
      </c>
      <c r="C1302" s="4">
        <f>MONTH(datos_ventas[[#This Row],[Fecha]])</f>
        <v>11</v>
      </c>
      <c r="D1302" s="4">
        <f>WEEKNUM(datos_ventas[[#This Row],[Fecha]],2)</f>
        <v>45</v>
      </c>
      <c r="E1302" t="s">
        <v>23</v>
      </c>
      <c r="F1302" t="s">
        <v>18</v>
      </c>
      <c r="G1302">
        <v>4</v>
      </c>
      <c r="H1302">
        <v>37235</v>
      </c>
      <c r="I1302">
        <v>3138</v>
      </c>
      <c r="J1302" t="s">
        <v>27</v>
      </c>
      <c r="K1302" t="str">
        <f>_xlfn.XLOOKUP(datos_ventas[[#This Row],[Ciudad]],Tabla2[Ciudades],Tabla2[Provincias],"no se encuentra")</f>
        <v>Sevilla</v>
      </c>
      <c r="L1302" t="str">
        <f>_xlfn.XLOOKUP(datos_ventas[[#This Row],[Provincia]],Tabla2[Provincias],Tabla2[Comunidades],"no se encuentra")</f>
        <v>Andalucía</v>
      </c>
      <c r="M1302" t="s">
        <v>19</v>
      </c>
      <c r="N1302">
        <v>1</v>
      </c>
    </row>
    <row r="1303" spans="1:14" x14ac:dyDescent="0.25">
      <c r="A1303">
        <v>2302</v>
      </c>
      <c r="B1303" s="1">
        <v>45734</v>
      </c>
      <c r="C1303" s="4">
        <f>MONTH(datos_ventas[[#This Row],[Fecha]])</f>
        <v>3</v>
      </c>
      <c r="D1303" s="4">
        <f>WEEKNUM(datos_ventas[[#This Row],[Fecha]],2)</f>
        <v>12</v>
      </c>
      <c r="E1303" t="s">
        <v>24</v>
      </c>
      <c r="F1303" t="s">
        <v>25</v>
      </c>
      <c r="G1303">
        <v>4</v>
      </c>
      <c r="H1303">
        <v>98151</v>
      </c>
      <c r="I1303">
        <v>2063</v>
      </c>
      <c r="J1303" t="s">
        <v>32</v>
      </c>
      <c r="K1303" t="str">
        <f>_xlfn.XLOOKUP(datos_ventas[[#This Row],[Ciudad]],Tabla2[Ciudades],Tabla2[Provincias],"no se encuentra")</f>
        <v>Barcelona</v>
      </c>
      <c r="L1303" t="str">
        <f>_xlfn.XLOOKUP(datos_ventas[[#This Row],[Provincia]],Tabla2[Provincias],Tabla2[Comunidades],"no se encuentra")</f>
        <v>Cataluña</v>
      </c>
      <c r="M1303" t="s">
        <v>15</v>
      </c>
      <c r="N1303">
        <v>5</v>
      </c>
    </row>
    <row r="1304" spans="1:14" x14ac:dyDescent="0.25">
      <c r="A1304">
        <v>2303</v>
      </c>
      <c r="B1304" s="1">
        <v>45823</v>
      </c>
      <c r="C1304" s="4">
        <f>MONTH(datos_ventas[[#This Row],[Fecha]])</f>
        <v>6</v>
      </c>
      <c r="D1304" s="4">
        <f>WEEKNUM(datos_ventas[[#This Row],[Fecha]],2)</f>
        <v>24</v>
      </c>
      <c r="E1304" t="s">
        <v>26</v>
      </c>
      <c r="F1304" t="s">
        <v>18</v>
      </c>
      <c r="G1304">
        <v>3</v>
      </c>
      <c r="H1304">
        <v>67689</v>
      </c>
      <c r="I1304">
        <v>1875</v>
      </c>
      <c r="J1304" t="s">
        <v>31</v>
      </c>
      <c r="K1304" t="str">
        <f>_xlfn.XLOOKUP(datos_ventas[[#This Row],[Ciudad]],Tabla2[Ciudades],Tabla2[Provincias],"no se encuentra")</f>
        <v>Vizcaya</v>
      </c>
      <c r="L1304" t="str">
        <f>_xlfn.XLOOKUP(datos_ventas[[#This Row],[Provincia]],Tabla2[Provincias],Tabla2[Comunidades],"no se encuentra")</f>
        <v>País Vasco</v>
      </c>
      <c r="M1304" t="s">
        <v>15</v>
      </c>
      <c r="N1304">
        <v>1</v>
      </c>
    </row>
    <row r="1305" spans="1:14" x14ac:dyDescent="0.25">
      <c r="A1305">
        <v>2304</v>
      </c>
      <c r="B1305" s="1">
        <v>45660</v>
      </c>
      <c r="C1305" s="4">
        <f>MONTH(datos_ventas[[#This Row],[Fecha]])</f>
        <v>1</v>
      </c>
      <c r="D1305" s="4">
        <f>WEEKNUM(datos_ventas[[#This Row],[Fecha]],2)</f>
        <v>1</v>
      </c>
      <c r="E1305" t="s">
        <v>10</v>
      </c>
      <c r="F1305" t="s">
        <v>11</v>
      </c>
      <c r="G1305">
        <v>3</v>
      </c>
      <c r="H1305">
        <v>43985</v>
      </c>
      <c r="I1305">
        <v>708</v>
      </c>
      <c r="J1305" t="s">
        <v>31</v>
      </c>
      <c r="K1305" t="str">
        <f>_xlfn.XLOOKUP(datos_ventas[[#This Row],[Ciudad]],Tabla2[Ciudades],Tabla2[Provincias],"no se encuentra")</f>
        <v>Vizcaya</v>
      </c>
      <c r="L1305" t="str">
        <f>_xlfn.XLOOKUP(datos_ventas[[#This Row],[Provincia]],Tabla2[Provincias],Tabla2[Comunidades],"no se encuentra")</f>
        <v>País Vasco</v>
      </c>
      <c r="M1305" t="s">
        <v>19</v>
      </c>
      <c r="N1305">
        <v>4</v>
      </c>
    </row>
    <row r="1306" spans="1:14" x14ac:dyDescent="0.25">
      <c r="A1306">
        <v>2305</v>
      </c>
      <c r="B1306" s="1">
        <v>45878</v>
      </c>
      <c r="C1306" s="4">
        <f>MONTH(datos_ventas[[#This Row],[Fecha]])</f>
        <v>8</v>
      </c>
      <c r="D1306" s="4">
        <f>WEEKNUM(datos_ventas[[#This Row],[Fecha]],2)</f>
        <v>32</v>
      </c>
      <c r="E1306" t="s">
        <v>29</v>
      </c>
      <c r="F1306" t="s">
        <v>30</v>
      </c>
      <c r="G1306">
        <v>4</v>
      </c>
      <c r="H1306">
        <v>26487</v>
      </c>
      <c r="I1306">
        <v>3769</v>
      </c>
      <c r="J1306" t="s">
        <v>32</v>
      </c>
      <c r="K1306" t="str">
        <f>_xlfn.XLOOKUP(datos_ventas[[#This Row],[Ciudad]],Tabla2[Ciudades],Tabla2[Provincias],"no se encuentra")</f>
        <v>Barcelona</v>
      </c>
      <c r="L1306" t="str">
        <f>_xlfn.XLOOKUP(datos_ventas[[#This Row],[Provincia]],Tabla2[Provincias],Tabla2[Comunidades],"no se encuentra")</f>
        <v>Cataluña</v>
      </c>
      <c r="M1306" t="s">
        <v>13</v>
      </c>
      <c r="N1306">
        <v>3</v>
      </c>
    </row>
    <row r="1307" spans="1:14" x14ac:dyDescent="0.25">
      <c r="A1307">
        <v>2306</v>
      </c>
      <c r="B1307" s="1">
        <v>45681</v>
      </c>
      <c r="C1307" s="4">
        <f>MONTH(datos_ventas[[#This Row],[Fecha]])</f>
        <v>1</v>
      </c>
      <c r="D1307" s="4">
        <f>WEEKNUM(datos_ventas[[#This Row],[Fecha]],2)</f>
        <v>4</v>
      </c>
      <c r="E1307" t="s">
        <v>16</v>
      </c>
      <c r="F1307" t="s">
        <v>11</v>
      </c>
      <c r="G1307">
        <v>3</v>
      </c>
      <c r="H1307">
        <v>75189</v>
      </c>
      <c r="I1307">
        <v>137</v>
      </c>
      <c r="J1307" t="s">
        <v>31</v>
      </c>
      <c r="K1307" t="str">
        <f>_xlfn.XLOOKUP(datos_ventas[[#This Row],[Ciudad]],Tabla2[Ciudades],Tabla2[Provincias],"no se encuentra")</f>
        <v>Vizcaya</v>
      </c>
      <c r="L1307" t="str">
        <f>_xlfn.XLOOKUP(datos_ventas[[#This Row],[Provincia]],Tabla2[Provincias],Tabla2[Comunidades],"no se encuentra")</f>
        <v>País Vasco</v>
      </c>
      <c r="M1307" t="s">
        <v>15</v>
      </c>
      <c r="N1307">
        <v>2</v>
      </c>
    </row>
    <row r="1308" spans="1:14" x14ac:dyDescent="0.25">
      <c r="A1308">
        <v>2307</v>
      </c>
      <c r="B1308" s="1">
        <v>45698</v>
      </c>
      <c r="C1308" s="4">
        <f>MONTH(datos_ventas[[#This Row],[Fecha]])</f>
        <v>2</v>
      </c>
      <c r="D1308" s="4">
        <f>WEEKNUM(datos_ventas[[#This Row],[Fecha]],2)</f>
        <v>7</v>
      </c>
      <c r="E1308" t="s">
        <v>24</v>
      </c>
      <c r="F1308" t="s">
        <v>25</v>
      </c>
      <c r="G1308">
        <v>3</v>
      </c>
      <c r="H1308">
        <v>90563</v>
      </c>
      <c r="I1308">
        <v>3061</v>
      </c>
      <c r="J1308" t="s">
        <v>14</v>
      </c>
      <c r="K1308" t="str">
        <f>_xlfn.XLOOKUP(datos_ventas[[#This Row],[Ciudad]],Tabla2[Ciudades],Tabla2[Provincias],"no se encuentra")</f>
        <v>Madrid</v>
      </c>
      <c r="L1308" t="str">
        <f>_xlfn.XLOOKUP(datos_ventas[[#This Row],[Provincia]],Tabla2[Provincias],Tabla2[Comunidades],"no se encuentra")</f>
        <v>Comunidad de Madrid</v>
      </c>
      <c r="M1308" t="s">
        <v>28</v>
      </c>
      <c r="N1308">
        <v>4</v>
      </c>
    </row>
    <row r="1309" spans="1:14" x14ac:dyDescent="0.25">
      <c r="A1309">
        <v>2308</v>
      </c>
      <c r="B1309" s="1">
        <v>45741</v>
      </c>
      <c r="C1309" s="4">
        <f>MONTH(datos_ventas[[#This Row],[Fecha]])</f>
        <v>3</v>
      </c>
      <c r="D1309" s="4">
        <f>WEEKNUM(datos_ventas[[#This Row],[Fecha]],2)</f>
        <v>13</v>
      </c>
      <c r="E1309" t="s">
        <v>16</v>
      </c>
      <c r="F1309" t="s">
        <v>11</v>
      </c>
      <c r="G1309">
        <v>3</v>
      </c>
      <c r="H1309">
        <v>51289</v>
      </c>
      <c r="I1309">
        <v>996</v>
      </c>
      <c r="J1309" t="s">
        <v>12</v>
      </c>
      <c r="K1309" t="str">
        <f>_xlfn.XLOOKUP(datos_ventas[[#This Row],[Ciudad]],Tabla2[Ciudades],Tabla2[Provincias],"no se encuentra")</f>
        <v>Málaga</v>
      </c>
      <c r="L1309" t="str">
        <f>_xlfn.XLOOKUP(datos_ventas[[#This Row],[Provincia]],Tabla2[Provincias],Tabla2[Comunidades],"no se encuentra")</f>
        <v>Andalucía</v>
      </c>
      <c r="M1309" t="s">
        <v>19</v>
      </c>
      <c r="N1309">
        <v>5</v>
      </c>
    </row>
    <row r="1310" spans="1:14" x14ac:dyDescent="0.25">
      <c r="A1310">
        <v>2309</v>
      </c>
      <c r="B1310" s="1">
        <v>45711</v>
      </c>
      <c r="C1310" s="4">
        <f>MONTH(datos_ventas[[#This Row],[Fecha]])</f>
        <v>2</v>
      </c>
      <c r="D1310" s="4">
        <f>WEEKNUM(datos_ventas[[#This Row],[Fecha]],2)</f>
        <v>8</v>
      </c>
      <c r="E1310" t="s">
        <v>16</v>
      </c>
      <c r="F1310" t="s">
        <v>11</v>
      </c>
      <c r="G1310">
        <v>1</v>
      </c>
      <c r="H1310">
        <v>60203</v>
      </c>
      <c r="I1310">
        <v>4749</v>
      </c>
      <c r="J1310" t="s">
        <v>12</v>
      </c>
      <c r="K1310" t="str">
        <f>_xlfn.XLOOKUP(datos_ventas[[#This Row],[Ciudad]],Tabla2[Ciudades],Tabla2[Provincias],"no se encuentra")</f>
        <v>Málaga</v>
      </c>
      <c r="L1310" t="str">
        <f>_xlfn.XLOOKUP(datos_ventas[[#This Row],[Provincia]],Tabla2[Provincias],Tabla2[Comunidades],"no se encuentra")</f>
        <v>Andalucía</v>
      </c>
      <c r="M1310" t="s">
        <v>15</v>
      </c>
      <c r="N1310">
        <v>2</v>
      </c>
    </row>
    <row r="1311" spans="1:14" x14ac:dyDescent="0.25">
      <c r="A1311">
        <v>2310</v>
      </c>
      <c r="B1311" s="1">
        <v>45800</v>
      </c>
      <c r="C1311" s="4">
        <f>MONTH(datos_ventas[[#This Row],[Fecha]])</f>
        <v>5</v>
      </c>
      <c r="D1311" s="4">
        <f>WEEKNUM(datos_ventas[[#This Row],[Fecha]],2)</f>
        <v>21</v>
      </c>
      <c r="E1311" t="s">
        <v>23</v>
      </c>
      <c r="F1311" t="s">
        <v>18</v>
      </c>
      <c r="G1311">
        <v>3</v>
      </c>
      <c r="H1311">
        <v>44024</v>
      </c>
      <c r="I1311">
        <v>3643</v>
      </c>
      <c r="J1311" t="s">
        <v>12</v>
      </c>
      <c r="K1311" t="str">
        <f>_xlfn.XLOOKUP(datos_ventas[[#This Row],[Ciudad]],Tabla2[Ciudades],Tabla2[Provincias],"no se encuentra")</f>
        <v>Málaga</v>
      </c>
      <c r="L1311" t="str">
        <f>_xlfn.XLOOKUP(datos_ventas[[#This Row],[Provincia]],Tabla2[Provincias],Tabla2[Comunidades],"no se encuentra")</f>
        <v>Andalucía</v>
      </c>
      <c r="M1311" t="s">
        <v>15</v>
      </c>
      <c r="N1311">
        <v>5</v>
      </c>
    </row>
    <row r="1312" spans="1:14" x14ac:dyDescent="0.25">
      <c r="A1312">
        <v>2311</v>
      </c>
      <c r="B1312" s="1">
        <v>45787</v>
      </c>
      <c r="C1312" s="4">
        <f>MONTH(datos_ventas[[#This Row],[Fecha]])</f>
        <v>5</v>
      </c>
      <c r="D1312" s="4">
        <f>WEEKNUM(datos_ventas[[#This Row],[Fecha]],2)</f>
        <v>19</v>
      </c>
      <c r="E1312" t="s">
        <v>29</v>
      </c>
      <c r="F1312" t="s">
        <v>30</v>
      </c>
      <c r="G1312">
        <v>2</v>
      </c>
      <c r="H1312">
        <v>3986</v>
      </c>
      <c r="I1312">
        <v>977</v>
      </c>
      <c r="J1312" t="s">
        <v>27</v>
      </c>
      <c r="K1312" t="str">
        <f>_xlfn.XLOOKUP(datos_ventas[[#This Row],[Ciudad]],Tabla2[Ciudades],Tabla2[Provincias],"no se encuentra")</f>
        <v>Sevilla</v>
      </c>
      <c r="L1312" t="str">
        <f>_xlfn.XLOOKUP(datos_ventas[[#This Row],[Provincia]],Tabla2[Provincias],Tabla2[Comunidades],"no se encuentra")</f>
        <v>Andalucía</v>
      </c>
      <c r="M1312" t="s">
        <v>28</v>
      </c>
      <c r="N1312">
        <v>4</v>
      </c>
    </row>
    <row r="1313" spans="1:14" x14ac:dyDescent="0.25">
      <c r="A1313">
        <v>2312</v>
      </c>
      <c r="B1313" s="1">
        <v>45816</v>
      </c>
      <c r="C1313" s="4">
        <f>MONTH(datos_ventas[[#This Row],[Fecha]])</f>
        <v>6</v>
      </c>
      <c r="D1313" s="4">
        <f>WEEKNUM(datos_ventas[[#This Row],[Fecha]],2)</f>
        <v>23</v>
      </c>
      <c r="E1313" t="s">
        <v>16</v>
      </c>
      <c r="F1313" t="s">
        <v>11</v>
      </c>
      <c r="G1313">
        <v>2</v>
      </c>
      <c r="H1313">
        <v>16963</v>
      </c>
      <c r="I1313">
        <v>2561</v>
      </c>
      <c r="J1313" t="s">
        <v>27</v>
      </c>
      <c r="K1313" t="str">
        <f>_xlfn.XLOOKUP(datos_ventas[[#This Row],[Ciudad]],Tabla2[Ciudades],Tabla2[Provincias],"no se encuentra")</f>
        <v>Sevilla</v>
      </c>
      <c r="L1313" t="str">
        <f>_xlfn.XLOOKUP(datos_ventas[[#This Row],[Provincia]],Tabla2[Provincias],Tabla2[Comunidades],"no se encuentra")</f>
        <v>Andalucía</v>
      </c>
      <c r="M1313" t="s">
        <v>13</v>
      </c>
      <c r="N1313">
        <v>2</v>
      </c>
    </row>
    <row r="1314" spans="1:14" x14ac:dyDescent="0.25">
      <c r="A1314">
        <v>2313</v>
      </c>
      <c r="B1314" s="1">
        <v>45789</v>
      </c>
      <c r="C1314" s="4">
        <f>MONTH(datos_ventas[[#This Row],[Fecha]])</f>
        <v>5</v>
      </c>
      <c r="D1314" s="4">
        <f>WEEKNUM(datos_ventas[[#This Row],[Fecha]],2)</f>
        <v>20</v>
      </c>
      <c r="E1314" t="s">
        <v>23</v>
      </c>
      <c r="F1314" t="s">
        <v>18</v>
      </c>
      <c r="G1314">
        <v>1</v>
      </c>
      <c r="H1314">
        <v>91311</v>
      </c>
      <c r="I1314">
        <v>443</v>
      </c>
      <c r="J1314" t="s">
        <v>22</v>
      </c>
      <c r="K1314" t="str">
        <f>_xlfn.XLOOKUP(datos_ventas[[#This Row],[Ciudad]],Tabla2[Ciudades],Tabla2[Provincias],"no se encuentra")</f>
        <v>Valencia</v>
      </c>
      <c r="L1314" t="str">
        <f>_xlfn.XLOOKUP(datos_ventas[[#This Row],[Provincia]],Tabla2[Provincias],Tabla2[Comunidades],"no se encuentra")</f>
        <v>Comunidad Valenciana</v>
      </c>
      <c r="M1314" t="s">
        <v>13</v>
      </c>
      <c r="N1314">
        <v>1</v>
      </c>
    </row>
    <row r="1315" spans="1:14" x14ac:dyDescent="0.25">
      <c r="A1315">
        <v>2314</v>
      </c>
      <c r="B1315" s="1">
        <v>45863</v>
      </c>
      <c r="C1315" s="4">
        <f>MONTH(datos_ventas[[#This Row],[Fecha]])</f>
        <v>7</v>
      </c>
      <c r="D1315" s="4">
        <f>WEEKNUM(datos_ventas[[#This Row],[Fecha]],2)</f>
        <v>30</v>
      </c>
      <c r="E1315" t="s">
        <v>26</v>
      </c>
      <c r="F1315" t="s">
        <v>18</v>
      </c>
      <c r="G1315">
        <v>2</v>
      </c>
      <c r="H1315">
        <v>96013</v>
      </c>
      <c r="I1315">
        <v>459</v>
      </c>
      <c r="J1315" t="s">
        <v>22</v>
      </c>
      <c r="K1315" t="str">
        <f>_xlfn.XLOOKUP(datos_ventas[[#This Row],[Ciudad]],Tabla2[Ciudades],Tabla2[Provincias],"no se encuentra")</f>
        <v>Valencia</v>
      </c>
      <c r="L1315" t="str">
        <f>_xlfn.XLOOKUP(datos_ventas[[#This Row],[Provincia]],Tabla2[Provincias],Tabla2[Comunidades],"no se encuentra")</f>
        <v>Comunidad Valenciana</v>
      </c>
      <c r="M1315" t="s">
        <v>13</v>
      </c>
      <c r="N1315">
        <v>1</v>
      </c>
    </row>
    <row r="1316" spans="1:14" x14ac:dyDescent="0.25">
      <c r="A1316">
        <v>2315</v>
      </c>
      <c r="B1316" s="1">
        <v>45746</v>
      </c>
      <c r="C1316" s="4">
        <f>MONTH(datos_ventas[[#This Row],[Fecha]])</f>
        <v>3</v>
      </c>
      <c r="D1316" s="4">
        <f>WEEKNUM(datos_ventas[[#This Row],[Fecha]],2)</f>
        <v>13</v>
      </c>
      <c r="E1316" t="s">
        <v>17</v>
      </c>
      <c r="F1316" t="s">
        <v>18</v>
      </c>
      <c r="G1316">
        <v>2</v>
      </c>
      <c r="H1316">
        <v>73284</v>
      </c>
      <c r="I1316">
        <v>337</v>
      </c>
      <c r="J1316" t="s">
        <v>31</v>
      </c>
      <c r="K1316" t="str">
        <f>_xlfn.XLOOKUP(datos_ventas[[#This Row],[Ciudad]],Tabla2[Ciudades],Tabla2[Provincias],"no se encuentra")</f>
        <v>Vizcaya</v>
      </c>
      <c r="L1316" t="str">
        <f>_xlfn.XLOOKUP(datos_ventas[[#This Row],[Provincia]],Tabla2[Provincias],Tabla2[Comunidades],"no se encuentra")</f>
        <v>País Vasco</v>
      </c>
      <c r="M1316" t="s">
        <v>15</v>
      </c>
      <c r="N1316">
        <v>2</v>
      </c>
    </row>
    <row r="1317" spans="1:14" x14ac:dyDescent="0.25">
      <c r="A1317">
        <v>2316</v>
      </c>
      <c r="B1317" s="1">
        <v>45796</v>
      </c>
      <c r="C1317" s="4">
        <f>MONTH(datos_ventas[[#This Row],[Fecha]])</f>
        <v>5</v>
      </c>
      <c r="D1317" s="4">
        <f>WEEKNUM(datos_ventas[[#This Row],[Fecha]],2)</f>
        <v>21</v>
      </c>
      <c r="E1317" t="s">
        <v>17</v>
      </c>
      <c r="F1317" t="s">
        <v>18</v>
      </c>
      <c r="G1317">
        <v>4</v>
      </c>
      <c r="H1317">
        <v>50284</v>
      </c>
      <c r="I1317">
        <v>4715</v>
      </c>
      <c r="J1317" t="s">
        <v>12</v>
      </c>
      <c r="K1317" t="str">
        <f>_xlfn.XLOOKUP(datos_ventas[[#This Row],[Ciudad]],Tabla2[Ciudades],Tabla2[Provincias],"no se encuentra")</f>
        <v>Málaga</v>
      </c>
      <c r="L1317" t="str">
        <f>_xlfn.XLOOKUP(datos_ventas[[#This Row],[Provincia]],Tabla2[Provincias],Tabla2[Comunidades],"no se encuentra")</f>
        <v>Andalucía</v>
      </c>
      <c r="M1317" t="s">
        <v>19</v>
      </c>
      <c r="N1317">
        <v>4</v>
      </c>
    </row>
    <row r="1318" spans="1:14" x14ac:dyDescent="0.25">
      <c r="A1318">
        <v>2317</v>
      </c>
      <c r="B1318" s="1">
        <v>45873</v>
      </c>
      <c r="C1318" s="4">
        <f>MONTH(datos_ventas[[#This Row],[Fecha]])</f>
        <v>8</v>
      </c>
      <c r="D1318" s="4">
        <f>WEEKNUM(datos_ventas[[#This Row],[Fecha]],2)</f>
        <v>32</v>
      </c>
      <c r="E1318" t="s">
        <v>24</v>
      </c>
      <c r="F1318" t="s">
        <v>25</v>
      </c>
      <c r="G1318">
        <v>5</v>
      </c>
      <c r="H1318">
        <v>68446</v>
      </c>
      <c r="I1318">
        <v>4504</v>
      </c>
      <c r="J1318" t="s">
        <v>27</v>
      </c>
      <c r="K1318" t="str">
        <f>_xlfn.XLOOKUP(datos_ventas[[#This Row],[Ciudad]],Tabla2[Ciudades],Tabla2[Provincias],"no se encuentra")</f>
        <v>Sevilla</v>
      </c>
      <c r="L1318" t="str">
        <f>_xlfn.XLOOKUP(datos_ventas[[#This Row],[Provincia]],Tabla2[Provincias],Tabla2[Comunidades],"no se encuentra")</f>
        <v>Andalucía</v>
      </c>
      <c r="M1318" t="s">
        <v>19</v>
      </c>
      <c r="N1318">
        <v>5</v>
      </c>
    </row>
    <row r="1319" spans="1:14" x14ac:dyDescent="0.25">
      <c r="A1319">
        <v>2318</v>
      </c>
      <c r="B1319" s="1">
        <v>46020</v>
      </c>
      <c r="C1319" s="4">
        <f>MONTH(datos_ventas[[#This Row],[Fecha]])</f>
        <v>12</v>
      </c>
      <c r="D1319" s="4">
        <f>WEEKNUM(datos_ventas[[#This Row],[Fecha]],2)</f>
        <v>53</v>
      </c>
      <c r="E1319" t="s">
        <v>16</v>
      </c>
      <c r="F1319" t="s">
        <v>11</v>
      </c>
      <c r="G1319">
        <v>1</v>
      </c>
      <c r="H1319">
        <v>17703</v>
      </c>
      <c r="I1319">
        <v>3819</v>
      </c>
      <c r="J1319" t="s">
        <v>14</v>
      </c>
      <c r="K1319" t="str">
        <f>_xlfn.XLOOKUP(datos_ventas[[#This Row],[Ciudad]],Tabla2[Ciudades],Tabla2[Provincias],"no se encuentra")</f>
        <v>Madrid</v>
      </c>
      <c r="L1319" t="str">
        <f>_xlfn.XLOOKUP(datos_ventas[[#This Row],[Provincia]],Tabla2[Provincias],Tabla2[Comunidades],"no se encuentra")</f>
        <v>Comunidad de Madrid</v>
      </c>
      <c r="M1319" t="s">
        <v>28</v>
      </c>
      <c r="N1319">
        <v>5</v>
      </c>
    </row>
    <row r="1320" spans="1:14" x14ac:dyDescent="0.25">
      <c r="A1320">
        <v>2319</v>
      </c>
      <c r="B1320" s="1">
        <v>45661</v>
      </c>
      <c r="C1320" s="4">
        <f>MONTH(datos_ventas[[#This Row],[Fecha]])</f>
        <v>1</v>
      </c>
      <c r="D1320" s="4">
        <f>WEEKNUM(datos_ventas[[#This Row],[Fecha]],2)</f>
        <v>1</v>
      </c>
      <c r="E1320" t="s">
        <v>17</v>
      </c>
      <c r="F1320" t="s">
        <v>18</v>
      </c>
      <c r="G1320">
        <v>2</v>
      </c>
      <c r="H1320">
        <v>110361</v>
      </c>
      <c r="I1320">
        <v>758</v>
      </c>
      <c r="J1320" t="s">
        <v>32</v>
      </c>
      <c r="K1320" t="str">
        <f>_xlfn.XLOOKUP(datos_ventas[[#This Row],[Ciudad]],Tabla2[Ciudades],Tabla2[Provincias],"no se encuentra")</f>
        <v>Barcelona</v>
      </c>
      <c r="L1320" t="str">
        <f>_xlfn.XLOOKUP(datos_ventas[[#This Row],[Provincia]],Tabla2[Provincias],Tabla2[Comunidades],"no se encuentra")</f>
        <v>Cataluña</v>
      </c>
      <c r="M1320" t="s">
        <v>15</v>
      </c>
      <c r="N1320">
        <v>5</v>
      </c>
    </row>
    <row r="1321" spans="1:14" x14ac:dyDescent="0.25">
      <c r="A1321">
        <v>2320</v>
      </c>
      <c r="B1321" s="1">
        <v>45781</v>
      </c>
      <c r="C1321" s="4">
        <f>MONTH(datos_ventas[[#This Row],[Fecha]])</f>
        <v>5</v>
      </c>
      <c r="D1321" s="4">
        <f>WEEKNUM(datos_ventas[[#This Row],[Fecha]],2)</f>
        <v>18</v>
      </c>
      <c r="E1321" t="s">
        <v>10</v>
      </c>
      <c r="F1321" t="s">
        <v>11</v>
      </c>
      <c r="G1321">
        <v>2</v>
      </c>
      <c r="H1321">
        <v>2015</v>
      </c>
      <c r="I1321">
        <v>1618</v>
      </c>
      <c r="J1321" t="s">
        <v>31</v>
      </c>
      <c r="K1321" t="str">
        <f>_xlfn.XLOOKUP(datos_ventas[[#This Row],[Ciudad]],Tabla2[Ciudades],Tabla2[Provincias],"no se encuentra")</f>
        <v>Vizcaya</v>
      </c>
      <c r="L1321" t="str">
        <f>_xlfn.XLOOKUP(datos_ventas[[#This Row],[Provincia]],Tabla2[Provincias],Tabla2[Comunidades],"no se encuentra")</f>
        <v>País Vasco</v>
      </c>
      <c r="M1321" t="s">
        <v>19</v>
      </c>
      <c r="N1321">
        <v>4</v>
      </c>
    </row>
    <row r="1322" spans="1:14" x14ac:dyDescent="0.25">
      <c r="A1322">
        <v>2321</v>
      </c>
      <c r="B1322" s="1">
        <v>45829</v>
      </c>
      <c r="C1322" s="4">
        <f>MONTH(datos_ventas[[#This Row],[Fecha]])</f>
        <v>6</v>
      </c>
      <c r="D1322" s="4">
        <f>WEEKNUM(datos_ventas[[#This Row],[Fecha]],2)</f>
        <v>25</v>
      </c>
      <c r="E1322" t="s">
        <v>20</v>
      </c>
      <c r="F1322" t="s">
        <v>21</v>
      </c>
      <c r="G1322">
        <v>5</v>
      </c>
      <c r="H1322">
        <v>32873</v>
      </c>
      <c r="I1322">
        <v>4846</v>
      </c>
      <c r="J1322" t="s">
        <v>27</v>
      </c>
      <c r="K1322" t="str">
        <f>_xlfn.XLOOKUP(datos_ventas[[#This Row],[Ciudad]],Tabla2[Ciudades],Tabla2[Provincias],"no se encuentra")</f>
        <v>Sevilla</v>
      </c>
      <c r="L1322" t="str">
        <f>_xlfn.XLOOKUP(datos_ventas[[#This Row],[Provincia]],Tabla2[Provincias],Tabla2[Comunidades],"no se encuentra")</f>
        <v>Andalucía</v>
      </c>
      <c r="M1322" t="s">
        <v>15</v>
      </c>
      <c r="N1322">
        <v>1</v>
      </c>
    </row>
    <row r="1323" spans="1:14" x14ac:dyDescent="0.25">
      <c r="A1323">
        <v>2322</v>
      </c>
      <c r="B1323" s="1">
        <v>45670</v>
      </c>
      <c r="C1323" s="4">
        <f>MONTH(datos_ventas[[#This Row],[Fecha]])</f>
        <v>1</v>
      </c>
      <c r="D1323" s="4">
        <f>WEEKNUM(datos_ventas[[#This Row],[Fecha]],2)</f>
        <v>3</v>
      </c>
      <c r="E1323" t="s">
        <v>23</v>
      </c>
      <c r="F1323" t="s">
        <v>18</v>
      </c>
      <c r="G1323">
        <v>5</v>
      </c>
      <c r="H1323">
        <v>108059</v>
      </c>
      <c r="I1323">
        <v>4472</v>
      </c>
      <c r="J1323" t="s">
        <v>31</v>
      </c>
      <c r="K1323" t="str">
        <f>_xlfn.XLOOKUP(datos_ventas[[#This Row],[Ciudad]],Tabla2[Ciudades],Tabla2[Provincias],"no se encuentra")</f>
        <v>Vizcaya</v>
      </c>
      <c r="L1323" t="str">
        <f>_xlfn.XLOOKUP(datos_ventas[[#This Row],[Provincia]],Tabla2[Provincias],Tabla2[Comunidades],"no se encuentra")</f>
        <v>País Vasco</v>
      </c>
      <c r="M1323" t="s">
        <v>15</v>
      </c>
      <c r="N1323">
        <v>3</v>
      </c>
    </row>
    <row r="1324" spans="1:14" x14ac:dyDescent="0.25">
      <c r="A1324">
        <v>2323</v>
      </c>
      <c r="B1324" s="1">
        <v>46013</v>
      </c>
      <c r="C1324" s="4">
        <f>MONTH(datos_ventas[[#This Row],[Fecha]])</f>
        <v>12</v>
      </c>
      <c r="D1324" s="4">
        <f>WEEKNUM(datos_ventas[[#This Row],[Fecha]],2)</f>
        <v>52</v>
      </c>
      <c r="E1324" t="s">
        <v>23</v>
      </c>
      <c r="F1324" t="s">
        <v>18</v>
      </c>
      <c r="G1324">
        <v>2</v>
      </c>
      <c r="H1324">
        <v>46728</v>
      </c>
      <c r="I1324">
        <v>232</v>
      </c>
      <c r="J1324" t="s">
        <v>27</v>
      </c>
      <c r="K1324" t="str">
        <f>_xlfn.XLOOKUP(datos_ventas[[#This Row],[Ciudad]],Tabla2[Ciudades],Tabla2[Provincias],"no se encuentra")</f>
        <v>Sevilla</v>
      </c>
      <c r="L1324" t="str">
        <f>_xlfn.XLOOKUP(datos_ventas[[#This Row],[Provincia]],Tabla2[Provincias],Tabla2[Comunidades],"no se encuentra")</f>
        <v>Andalucía</v>
      </c>
      <c r="M1324" t="s">
        <v>28</v>
      </c>
      <c r="N1324">
        <v>5</v>
      </c>
    </row>
    <row r="1325" spans="1:14" x14ac:dyDescent="0.25">
      <c r="A1325">
        <v>2324</v>
      </c>
      <c r="B1325" s="1">
        <v>45894</v>
      </c>
      <c r="C1325" s="4">
        <f>MONTH(datos_ventas[[#This Row],[Fecha]])</f>
        <v>8</v>
      </c>
      <c r="D1325" s="4">
        <f>WEEKNUM(datos_ventas[[#This Row],[Fecha]],2)</f>
        <v>35</v>
      </c>
      <c r="E1325" t="s">
        <v>26</v>
      </c>
      <c r="F1325" t="s">
        <v>18</v>
      </c>
      <c r="G1325">
        <v>3</v>
      </c>
      <c r="H1325">
        <v>39214</v>
      </c>
      <c r="I1325">
        <v>3108</v>
      </c>
      <c r="J1325" t="s">
        <v>22</v>
      </c>
      <c r="K1325" t="str">
        <f>_xlfn.XLOOKUP(datos_ventas[[#This Row],[Ciudad]],Tabla2[Ciudades],Tabla2[Provincias],"no se encuentra")</f>
        <v>Valencia</v>
      </c>
      <c r="L1325" t="str">
        <f>_xlfn.XLOOKUP(datos_ventas[[#This Row],[Provincia]],Tabla2[Provincias],Tabla2[Comunidades],"no se encuentra")</f>
        <v>Comunidad Valenciana</v>
      </c>
      <c r="M1325" t="s">
        <v>28</v>
      </c>
      <c r="N1325">
        <v>5</v>
      </c>
    </row>
    <row r="1326" spans="1:14" x14ac:dyDescent="0.25">
      <c r="A1326">
        <v>2325</v>
      </c>
      <c r="B1326" s="1">
        <v>45841</v>
      </c>
      <c r="C1326" s="4">
        <f>MONTH(datos_ventas[[#This Row],[Fecha]])</f>
        <v>7</v>
      </c>
      <c r="D1326" s="4">
        <f>WEEKNUM(datos_ventas[[#This Row],[Fecha]],2)</f>
        <v>27</v>
      </c>
      <c r="E1326" t="s">
        <v>10</v>
      </c>
      <c r="F1326" t="s">
        <v>11</v>
      </c>
      <c r="G1326">
        <v>2</v>
      </c>
      <c r="H1326">
        <v>56255</v>
      </c>
      <c r="I1326">
        <v>1526</v>
      </c>
      <c r="J1326" t="s">
        <v>12</v>
      </c>
      <c r="K1326" t="str">
        <f>_xlfn.XLOOKUP(datos_ventas[[#This Row],[Ciudad]],Tabla2[Ciudades],Tabla2[Provincias],"no se encuentra")</f>
        <v>Málaga</v>
      </c>
      <c r="L1326" t="str">
        <f>_xlfn.XLOOKUP(datos_ventas[[#This Row],[Provincia]],Tabla2[Provincias],Tabla2[Comunidades],"no se encuentra")</f>
        <v>Andalucía</v>
      </c>
      <c r="M1326" t="s">
        <v>13</v>
      </c>
      <c r="N1326">
        <v>4</v>
      </c>
    </row>
    <row r="1327" spans="1:14" x14ac:dyDescent="0.25">
      <c r="A1327">
        <v>2326</v>
      </c>
      <c r="B1327" s="1">
        <v>45845</v>
      </c>
      <c r="C1327" s="4">
        <f>MONTH(datos_ventas[[#This Row],[Fecha]])</f>
        <v>7</v>
      </c>
      <c r="D1327" s="4">
        <f>WEEKNUM(datos_ventas[[#This Row],[Fecha]],2)</f>
        <v>28</v>
      </c>
      <c r="E1327" t="s">
        <v>26</v>
      </c>
      <c r="F1327" t="s">
        <v>18</v>
      </c>
      <c r="G1327">
        <v>5</v>
      </c>
      <c r="H1327">
        <v>46339</v>
      </c>
      <c r="I1327">
        <v>1717</v>
      </c>
      <c r="J1327" t="s">
        <v>27</v>
      </c>
      <c r="K1327" t="str">
        <f>_xlfn.XLOOKUP(datos_ventas[[#This Row],[Ciudad]],Tabla2[Ciudades],Tabla2[Provincias],"no se encuentra")</f>
        <v>Sevilla</v>
      </c>
      <c r="L1327" t="str">
        <f>_xlfn.XLOOKUP(datos_ventas[[#This Row],[Provincia]],Tabla2[Provincias],Tabla2[Comunidades],"no se encuentra")</f>
        <v>Andalucía</v>
      </c>
      <c r="M1327" t="s">
        <v>28</v>
      </c>
      <c r="N1327">
        <v>5</v>
      </c>
    </row>
    <row r="1328" spans="1:14" x14ac:dyDescent="0.25">
      <c r="A1328">
        <v>2327</v>
      </c>
      <c r="B1328" s="1">
        <v>45886</v>
      </c>
      <c r="C1328" s="4">
        <f>MONTH(datos_ventas[[#This Row],[Fecha]])</f>
        <v>8</v>
      </c>
      <c r="D1328" s="4">
        <f>WEEKNUM(datos_ventas[[#This Row],[Fecha]],2)</f>
        <v>33</v>
      </c>
      <c r="E1328" t="s">
        <v>24</v>
      </c>
      <c r="F1328" t="s">
        <v>25</v>
      </c>
      <c r="G1328">
        <v>1</v>
      </c>
      <c r="H1328">
        <v>93877</v>
      </c>
      <c r="I1328">
        <v>3881</v>
      </c>
      <c r="J1328" t="s">
        <v>22</v>
      </c>
      <c r="K1328" t="str">
        <f>_xlfn.XLOOKUP(datos_ventas[[#This Row],[Ciudad]],Tabla2[Ciudades],Tabla2[Provincias],"no se encuentra")</f>
        <v>Valencia</v>
      </c>
      <c r="L1328" t="str">
        <f>_xlfn.XLOOKUP(datos_ventas[[#This Row],[Provincia]],Tabla2[Provincias],Tabla2[Comunidades],"no se encuentra")</f>
        <v>Comunidad Valenciana</v>
      </c>
      <c r="M1328" t="s">
        <v>15</v>
      </c>
      <c r="N1328">
        <v>1</v>
      </c>
    </row>
    <row r="1329" spans="1:14" x14ac:dyDescent="0.25">
      <c r="A1329">
        <v>2328</v>
      </c>
      <c r="B1329" s="1">
        <v>45923</v>
      </c>
      <c r="C1329" s="4">
        <f>MONTH(datos_ventas[[#This Row],[Fecha]])</f>
        <v>9</v>
      </c>
      <c r="D1329" s="4">
        <f>WEEKNUM(datos_ventas[[#This Row],[Fecha]],2)</f>
        <v>39</v>
      </c>
      <c r="E1329" t="s">
        <v>20</v>
      </c>
      <c r="F1329" t="s">
        <v>21</v>
      </c>
      <c r="G1329">
        <v>5</v>
      </c>
      <c r="H1329">
        <v>5288</v>
      </c>
      <c r="I1329">
        <v>682</v>
      </c>
      <c r="J1329" t="s">
        <v>31</v>
      </c>
      <c r="K1329" t="str">
        <f>_xlfn.XLOOKUP(datos_ventas[[#This Row],[Ciudad]],Tabla2[Ciudades],Tabla2[Provincias],"no se encuentra")</f>
        <v>Vizcaya</v>
      </c>
      <c r="L1329" t="str">
        <f>_xlfn.XLOOKUP(datos_ventas[[#This Row],[Provincia]],Tabla2[Provincias],Tabla2[Comunidades],"no se encuentra")</f>
        <v>País Vasco</v>
      </c>
      <c r="M1329" t="s">
        <v>13</v>
      </c>
      <c r="N1329">
        <v>5</v>
      </c>
    </row>
    <row r="1330" spans="1:14" x14ac:dyDescent="0.25">
      <c r="A1330">
        <v>2329</v>
      </c>
      <c r="B1330" s="1">
        <v>45746</v>
      </c>
      <c r="C1330" s="4">
        <f>MONTH(datos_ventas[[#This Row],[Fecha]])</f>
        <v>3</v>
      </c>
      <c r="D1330" s="4">
        <f>WEEKNUM(datos_ventas[[#This Row],[Fecha]],2)</f>
        <v>13</v>
      </c>
      <c r="E1330" t="s">
        <v>24</v>
      </c>
      <c r="F1330" t="s">
        <v>25</v>
      </c>
      <c r="G1330">
        <v>1</v>
      </c>
      <c r="H1330">
        <v>44548</v>
      </c>
      <c r="I1330">
        <v>854</v>
      </c>
      <c r="J1330" t="s">
        <v>32</v>
      </c>
      <c r="K1330" t="str">
        <f>_xlfn.XLOOKUP(datos_ventas[[#This Row],[Ciudad]],Tabla2[Ciudades],Tabla2[Provincias],"no se encuentra")</f>
        <v>Barcelona</v>
      </c>
      <c r="L1330" t="str">
        <f>_xlfn.XLOOKUP(datos_ventas[[#This Row],[Provincia]],Tabla2[Provincias],Tabla2[Comunidades],"no se encuentra")</f>
        <v>Cataluña</v>
      </c>
      <c r="M1330" t="s">
        <v>28</v>
      </c>
      <c r="N1330">
        <v>2</v>
      </c>
    </row>
    <row r="1331" spans="1:14" x14ac:dyDescent="0.25">
      <c r="A1331">
        <v>2330</v>
      </c>
      <c r="B1331" s="1">
        <v>45685</v>
      </c>
      <c r="C1331" s="4">
        <f>MONTH(datos_ventas[[#This Row],[Fecha]])</f>
        <v>1</v>
      </c>
      <c r="D1331" s="4">
        <f>WEEKNUM(datos_ventas[[#This Row],[Fecha]],2)</f>
        <v>5</v>
      </c>
      <c r="E1331" t="s">
        <v>16</v>
      </c>
      <c r="F1331" t="s">
        <v>11</v>
      </c>
      <c r="G1331">
        <v>2</v>
      </c>
      <c r="H1331">
        <v>92569</v>
      </c>
      <c r="I1331">
        <v>445</v>
      </c>
      <c r="J1331" t="s">
        <v>12</v>
      </c>
      <c r="K1331" t="str">
        <f>_xlfn.XLOOKUP(datos_ventas[[#This Row],[Ciudad]],Tabla2[Ciudades],Tabla2[Provincias],"no se encuentra")</f>
        <v>Málaga</v>
      </c>
      <c r="L1331" t="str">
        <f>_xlfn.XLOOKUP(datos_ventas[[#This Row],[Provincia]],Tabla2[Provincias],Tabla2[Comunidades],"no se encuentra")</f>
        <v>Andalucía</v>
      </c>
      <c r="M1331" t="s">
        <v>28</v>
      </c>
      <c r="N1331">
        <v>5</v>
      </c>
    </row>
    <row r="1332" spans="1:14" x14ac:dyDescent="0.25">
      <c r="A1332">
        <v>2331</v>
      </c>
      <c r="B1332" s="1">
        <v>45702</v>
      </c>
      <c r="C1332" s="4">
        <f>MONTH(datos_ventas[[#This Row],[Fecha]])</f>
        <v>2</v>
      </c>
      <c r="D1332" s="4">
        <f>WEEKNUM(datos_ventas[[#This Row],[Fecha]],2)</f>
        <v>7</v>
      </c>
      <c r="E1332" t="s">
        <v>26</v>
      </c>
      <c r="F1332" t="s">
        <v>18</v>
      </c>
      <c r="G1332">
        <v>3</v>
      </c>
      <c r="H1332">
        <v>86805</v>
      </c>
      <c r="I1332">
        <v>2141</v>
      </c>
      <c r="J1332" t="s">
        <v>22</v>
      </c>
      <c r="K1332" t="str">
        <f>_xlfn.XLOOKUP(datos_ventas[[#This Row],[Ciudad]],Tabla2[Ciudades],Tabla2[Provincias],"no se encuentra")</f>
        <v>Valencia</v>
      </c>
      <c r="L1332" t="str">
        <f>_xlfn.XLOOKUP(datos_ventas[[#This Row],[Provincia]],Tabla2[Provincias],Tabla2[Comunidades],"no se encuentra")</f>
        <v>Comunidad Valenciana</v>
      </c>
      <c r="M1332" t="s">
        <v>13</v>
      </c>
      <c r="N1332">
        <v>1</v>
      </c>
    </row>
    <row r="1333" spans="1:14" x14ac:dyDescent="0.25">
      <c r="A1333">
        <v>2332</v>
      </c>
      <c r="B1333" s="1">
        <v>45896</v>
      </c>
      <c r="C1333" s="4">
        <f>MONTH(datos_ventas[[#This Row],[Fecha]])</f>
        <v>8</v>
      </c>
      <c r="D1333" s="4">
        <f>WEEKNUM(datos_ventas[[#This Row],[Fecha]],2)</f>
        <v>35</v>
      </c>
      <c r="E1333" t="s">
        <v>26</v>
      </c>
      <c r="F1333" t="s">
        <v>18</v>
      </c>
      <c r="G1333">
        <v>2</v>
      </c>
      <c r="H1333">
        <v>117158</v>
      </c>
      <c r="I1333">
        <v>2237</v>
      </c>
      <c r="J1333" t="s">
        <v>27</v>
      </c>
      <c r="K1333" t="str">
        <f>_xlfn.XLOOKUP(datos_ventas[[#This Row],[Ciudad]],Tabla2[Ciudades],Tabla2[Provincias],"no se encuentra")</f>
        <v>Sevilla</v>
      </c>
      <c r="L1333" t="str">
        <f>_xlfn.XLOOKUP(datos_ventas[[#This Row],[Provincia]],Tabla2[Provincias],Tabla2[Comunidades],"no se encuentra")</f>
        <v>Andalucía</v>
      </c>
      <c r="M1333" t="s">
        <v>15</v>
      </c>
      <c r="N1333">
        <v>5</v>
      </c>
    </row>
    <row r="1334" spans="1:14" x14ac:dyDescent="0.25">
      <c r="A1334">
        <v>2333</v>
      </c>
      <c r="B1334" s="1">
        <v>45756</v>
      </c>
      <c r="C1334" s="4">
        <f>MONTH(datos_ventas[[#This Row],[Fecha]])</f>
        <v>4</v>
      </c>
      <c r="D1334" s="4">
        <f>WEEKNUM(datos_ventas[[#This Row],[Fecha]],2)</f>
        <v>15</v>
      </c>
      <c r="E1334" t="s">
        <v>26</v>
      </c>
      <c r="F1334" t="s">
        <v>18</v>
      </c>
      <c r="G1334">
        <v>3</v>
      </c>
      <c r="H1334">
        <v>112526</v>
      </c>
      <c r="I1334">
        <v>2763</v>
      </c>
      <c r="J1334" t="s">
        <v>27</v>
      </c>
      <c r="K1334" t="str">
        <f>_xlfn.XLOOKUP(datos_ventas[[#This Row],[Ciudad]],Tabla2[Ciudades],Tabla2[Provincias],"no se encuentra")</f>
        <v>Sevilla</v>
      </c>
      <c r="L1334" t="str">
        <f>_xlfn.XLOOKUP(datos_ventas[[#This Row],[Provincia]],Tabla2[Provincias],Tabla2[Comunidades],"no se encuentra")</f>
        <v>Andalucía</v>
      </c>
      <c r="M1334" t="s">
        <v>15</v>
      </c>
      <c r="N1334">
        <v>3</v>
      </c>
    </row>
    <row r="1335" spans="1:14" x14ac:dyDescent="0.25">
      <c r="A1335">
        <v>2334</v>
      </c>
      <c r="B1335" s="1">
        <v>45853</v>
      </c>
      <c r="C1335" s="4">
        <f>MONTH(datos_ventas[[#This Row],[Fecha]])</f>
        <v>7</v>
      </c>
      <c r="D1335" s="4">
        <f>WEEKNUM(datos_ventas[[#This Row],[Fecha]],2)</f>
        <v>29</v>
      </c>
      <c r="E1335" t="s">
        <v>17</v>
      </c>
      <c r="F1335" t="s">
        <v>18</v>
      </c>
      <c r="G1335">
        <v>4</v>
      </c>
      <c r="H1335">
        <v>63446</v>
      </c>
      <c r="I1335">
        <v>962</v>
      </c>
      <c r="J1335" t="s">
        <v>27</v>
      </c>
      <c r="K1335" t="str">
        <f>_xlfn.XLOOKUP(datos_ventas[[#This Row],[Ciudad]],Tabla2[Ciudades],Tabla2[Provincias],"no se encuentra")</f>
        <v>Sevilla</v>
      </c>
      <c r="L1335" t="str">
        <f>_xlfn.XLOOKUP(datos_ventas[[#This Row],[Provincia]],Tabla2[Provincias],Tabla2[Comunidades],"no se encuentra")</f>
        <v>Andalucía</v>
      </c>
      <c r="M1335" t="s">
        <v>19</v>
      </c>
      <c r="N1335">
        <v>4</v>
      </c>
    </row>
    <row r="1336" spans="1:14" x14ac:dyDescent="0.25">
      <c r="A1336">
        <v>2335</v>
      </c>
      <c r="B1336" s="1">
        <v>46020</v>
      </c>
      <c r="C1336" s="4">
        <f>MONTH(datos_ventas[[#This Row],[Fecha]])</f>
        <v>12</v>
      </c>
      <c r="D1336" s="4">
        <f>WEEKNUM(datos_ventas[[#This Row],[Fecha]],2)</f>
        <v>53</v>
      </c>
      <c r="E1336" t="s">
        <v>10</v>
      </c>
      <c r="F1336" t="s">
        <v>11</v>
      </c>
      <c r="G1336">
        <v>4</v>
      </c>
      <c r="H1336">
        <v>79047</v>
      </c>
      <c r="I1336">
        <v>2187</v>
      </c>
      <c r="J1336" t="s">
        <v>14</v>
      </c>
      <c r="K1336" t="str">
        <f>_xlfn.XLOOKUP(datos_ventas[[#This Row],[Ciudad]],Tabla2[Ciudades],Tabla2[Provincias],"no se encuentra")</f>
        <v>Madrid</v>
      </c>
      <c r="L1336" t="str">
        <f>_xlfn.XLOOKUP(datos_ventas[[#This Row],[Provincia]],Tabla2[Provincias],Tabla2[Comunidades],"no se encuentra")</f>
        <v>Comunidad de Madrid</v>
      </c>
      <c r="M1336" t="s">
        <v>15</v>
      </c>
      <c r="N1336">
        <v>1</v>
      </c>
    </row>
    <row r="1337" spans="1:14" x14ac:dyDescent="0.25">
      <c r="A1337">
        <v>2336</v>
      </c>
      <c r="B1337" s="1">
        <v>45979</v>
      </c>
      <c r="C1337" s="4">
        <f>MONTH(datos_ventas[[#This Row],[Fecha]])</f>
        <v>11</v>
      </c>
      <c r="D1337" s="4">
        <f>WEEKNUM(datos_ventas[[#This Row],[Fecha]],2)</f>
        <v>47</v>
      </c>
      <c r="E1337" t="s">
        <v>16</v>
      </c>
      <c r="F1337" t="s">
        <v>11</v>
      </c>
      <c r="G1337">
        <v>4</v>
      </c>
      <c r="H1337">
        <v>86178</v>
      </c>
      <c r="I1337">
        <v>4465</v>
      </c>
      <c r="J1337" t="s">
        <v>27</v>
      </c>
      <c r="K1337" t="str">
        <f>_xlfn.XLOOKUP(datos_ventas[[#This Row],[Ciudad]],Tabla2[Ciudades],Tabla2[Provincias],"no se encuentra")</f>
        <v>Sevilla</v>
      </c>
      <c r="L1337" t="str">
        <f>_xlfn.XLOOKUP(datos_ventas[[#This Row],[Provincia]],Tabla2[Provincias],Tabla2[Comunidades],"no se encuentra")</f>
        <v>Andalucía</v>
      </c>
      <c r="M1337" t="s">
        <v>15</v>
      </c>
      <c r="N1337">
        <v>5</v>
      </c>
    </row>
    <row r="1338" spans="1:14" x14ac:dyDescent="0.25">
      <c r="A1338">
        <v>2337</v>
      </c>
      <c r="B1338" s="1">
        <v>45998</v>
      </c>
      <c r="C1338" s="4">
        <f>MONTH(datos_ventas[[#This Row],[Fecha]])</f>
        <v>12</v>
      </c>
      <c r="D1338" s="4">
        <f>WEEKNUM(datos_ventas[[#This Row],[Fecha]],2)</f>
        <v>49</v>
      </c>
      <c r="E1338" t="s">
        <v>23</v>
      </c>
      <c r="F1338" t="s">
        <v>18</v>
      </c>
      <c r="G1338">
        <v>4</v>
      </c>
      <c r="H1338">
        <v>119022</v>
      </c>
      <c r="I1338">
        <v>4852</v>
      </c>
      <c r="J1338" t="s">
        <v>27</v>
      </c>
      <c r="K1338" t="str">
        <f>_xlfn.XLOOKUP(datos_ventas[[#This Row],[Ciudad]],Tabla2[Ciudades],Tabla2[Provincias],"no se encuentra")</f>
        <v>Sevilla</v>
      </c>
      <c r="L1338" t="str">
        <f>_xlfn.XLOOKUP(datos_ventas[[#This Row],[Provincia]],Tabla2[Provincias],Tabla2[Comunidades],"no se encuentra")</f>
        <v>Andalucía</v>
      </c>
      <c r="M1338" t="s">
        <v>15</v>
      </c>
      <c r="N1338">
        <v>1</v>
      </c>
    </row>
    <row r="1339" spans="1:14" x14ac:dyDescent="0.25">
      <c r="A1339">
        <v>2338</v>
      </c>
      <c r="B1339" s="1">
        <v>45735</v>
      </c>
      <c r="C1339" s="4">
        <f>MONTH(datos_ventas[[#This Row],[Fecha]])</f>
        <v>3</v>
      </c>
      <c r="D1339" s="4">
        <f>WEEKNUM(datos_ventas[[#This Row],[Fecha]],2)</f>
        <v>12</v>
      </c>
      <c r="E1339" t="s">
        <v>16</v>
      </c>
      <c r="F1339" t="s">
        <v>11</v>
      </c>
      <c r="G1339">
        <v>5</v>
      </c>
      <c r="H1339">
        <v>63821</v>
      </c>
      <c r="I1339">
        <v>3998</v>
      </c>
      <c r="J1339" t="s">
        <v>27</v>
      </c>
      <c r="K1339" t="str">
        <f>_xlfn.XLOOKUP(datos_ventas[[#This Row],[Ciudad]],Tabla2[Ciudades],Tabla2[Provincias],"no se encuentra")</f>
        <v>Sevilla</v>
      </c>
      <c r="L1339" t="str">
        <f>_xlfn.XLOOKUP(datos_ventas[[#This Row],[Provincia]],Tabla2[Provincias],Tabla2[Comunidades],"no se encuentra")</f>
        <v>Andalucía</v>
      </c>
      <c r="M1339" t="s">
        <v>15</v>
      </c>
      <c r="N1339">
        <v>2</v>
      </c>
    </row>
    <row r="1340" spans="1:14" x14ac:dyDescent="0.25">
      <c r="A1340">
        <v>2339</v>
      </c>
      <c r="B1340" s="1">
        <v>45878</v>
      </c>
      <c r="C1340" s="4">
        <f>MONTH(datos_ventas[[#This Row],[Fecha]])</f>
        <v>8</v>
      </c>
      <c r="D1340" s="4">
        <f>WEEKNUM(datos_ventas[[#This Row],[Fecha]],2)</f>
        <v>32</v>
      </c>
      <c r="E1340" t="s">
        <v>16</v>
      </c>
      <c r="F1340" t="s">
        <v>11</v>
      </c>
      <c r="G1340">
        <v>3</v>
      </c>
      <c r="H1340">
        <v>85777</v>
      </c>
      <c r="I1340">
        <v>3117</v>
      </c>
      <c r="J1340" t="s">
        <v>14</v>
      </c>
      <c r="K1340" t="str">
        <f>_xlfn.XLOOKUP(datos_ventas[[#This Row],[Ciudad]],Tabla2[Ciudades],Tabla2[Provincias],"no se encuentra")</f>
        <v>Madrid</v>
      </c>
      <c r="L1340" t="str">
        <f>_xlfn.XLOOKUP(datos_ventas[[#This Row],[Provincia]],Tabla2[Provincias],Tabla2[Comunidades],"no se encuentra")</f>
        <v>Comunidad de Madrid</v>
      </c>
      <c r="M1340" t="s">
        <v>13</v>
      </c>
      <c r="N1340">
        <v>3</v>
      </c>
    </row>
    <row r="1341" spans="1:14" x14ac:dyDescent="0.25">
      <c r="A1341">
        <v>2340</v>
      </c>
      <c r="B1341" s="1">
        <v>45754</v>
      </c>
      <c r="C1341" s="4">
        <f>MONTH(datos_ventas[[#This Row],[Fecha]])</f>
        <v>4</v>
      </c>
      <c r="D1341" s="4">
        <f>WEEKNUM(datos_ventas[[#This Row],[Fecha]],2)</f>
        <v>15</v>
      </c>
      <c r="E1341" t="s">
        <v>23</v>
      </c>
      <c r="F1341" t="s">
        <v>18</v>
      </c>
      <c r="G1341">
        <v>3</v>
      </c>
      <c r="H1341">
        <v>70431</v>
      </c>
      <c r="I1341">
        <v>3022</v>
      </c>
      <c r="J1341" t="s">
        <v>22</v>
      </c>
      <c r="K1341" t="str">
        <f>_xlfn.XLOOKUP(datos_ventas[[#This Row],[Ciudad]],Tabla2[Ciudades],Tabla2[Provincias],"no se encuentra")</f>
        <v>Valencia</v>
      </c>
      <c r="L1341" t="str">
        <f>_xlfn.XLOOKUP(datos_ventas[[#This Row],[Provincia]],Tabla2[Provincias],Tabla2[Comunidades],"no se encuentra")</f>
        <v>Comunidad Valenciana</v>
      </c>
      <c r="M1341" t="s">
        <v>28</v>
      </c>
      <c r="N1341">
        <v>2</v>
      </c>
    </row>
    <row r="1342" spans="1:14" x14ac:dyDescent="0.25">
      <c r="A1342">
        <v>2341</v>
      </c>
      <c r="B1342" s="1">
        <v>46008</v>
      </c>
      <c r="C1342" s="4">
        <f>MONTH(datos_ventas[[#This Row],[Fecha]])</f>
        <v>12</v>
      </c>
      <c r="D1342" s="4">
        <f>WEEKNUM(datos_ventas[[#This Row],[Fecha]],2)</f>
        <v>51</v>
      </c>
      <c r="E1342" t="s">
        <v>23</v>
      </c>
      <c r="F1342" t="s">
        <v>18</v>
      </c>
      <c r="G1342">
        <v>4</v>
      </c>
      <c r="H1342">
        <v>117423</v>
      </c>
      <c r="I1342">
        <v>486</v>
      </c>
      <c r="J1342" t="s">
        <v>12</v>
      </c>
      <c r="K1342" t="str">
        <f>_xlfn.XLOOKUP(datos_ventas[[#This Row],[Ciudad]],Tabla2[Ciudades],Tabla2[Provincias],"no se encuentra")</f>
        <v>Málaga</v>
      </c>
      <c r="L1342" t="str">
        <f>_xlfn.XLOOKUP(datos_ventas[[#This Row],[Provincia]],Tabla2[Provincias],Tabla2[Comunidades],"no se encuentra")</f>
        <v>Andalucía</v>
      </c>
      <c r="M1342" t="s">
        <v>15</v>
      </c>
      <c r="N1342">
        <v>4</v>
      </c>
    </row>
    <row r="1343" spans="1:14" x14ac:dyDescent="0.25">
      <c r="A1343">
        <v>2342</v>
      </c>
      <c r="B1343" s="1">
        <v>45790</v>
      </c>
      <c r="C1343" s="4">
        <f>MONTH(datos_ventas[[#This Row],[Fecha]])</f>
        <v>5</v>
      </c>
      <c r="D1343" s="4">
        <f>WEEKNUM(datos_ventas[[#This Row],[Fecha]],2)</f>
        <v>20</v>
      </c>
      <c r="E1343" t="s">
        <v>29</v>
      </c>
      <c r="F1343" t="s">
        <v>30</v>
      </c>
      <c r="G1343">
        <v>2</v>
      </c>
      <c r="H1343">
        <v>74767</v>
      </c>
      <c r="I1343">
        <v>3785</v>
      </c>
      <c r="J1343" t="s">
        <v>12</v>
      </c>
      <c r="K1343" t="str">
        <f>_xlfn.XLOOKUP(datos_ventas[[#This Row],[Ciudad]],Tabla2[Ciudades],Tabla2[Provincias],"no se encuentra")</f>
        <v>Málaga</v>
      </c>
      <c r="L1343" t="str">
        <f>_xlfn.XLOOKUP(datos_ventas[[#This Row],[Provincia]],Tabla2[Provincias],Tabla2[Comunidades],"no se encuentra")</f>
        <v>Andalucía</v>
      </c>
      <c r="M1343" t="s">
        <v>15</v>
      </c>
      <c r="N1343">
        <v>1</v>
      </c>
    </row>
    <row r="1344" spans="1:14" x14ac:dyDescent="0.25">
      <c r="A1344">
        <v>2343</v>
      </c>
      <c r="B1344" s="1">
        <v>45853</v>
      </c>
      <c r="C1344" s="4">
        <f>MONTH(datos_ventas[[#This Row],[Fecha]])</f>
        <v>7</v>
      </c>
      <c r="D1344" s="4">
        <f>WEEKNUM(datos_ventas[[#This Row],[Fecha]],2)</f>
        <v>29</v>
      </c>
      <c r="E1344" t="s">
        <v>26</v>
      </c>
      <c r="F1344" t="s">
        <v>18</v>
      </c>
      <c r="G1344">
        <v>5</v>
      </c>
      <c r="H1344">
        <v>24746</v>
      </c>
      <c r="I1344">
        <v>185</v>
      </c>
      <c r="J1344" t="s">
        <v>14</v>
      </c>
      <c r="K1344" t="str">
        <f>_xlfn.XLOOKUP(datos_ventas[[#This Row],[Ciudad]],Tabla2[Ciudades],Tabla2[Provincias],"no se encuentra")</f>
        <v>Madrid</v>
      </c>
      <c r="L1344" t="str">
        <f>_xlfn.XLOOKUP(datos_ventas[[#This Row],[Provincia]],Tabla2[Provincias],Tabla2[Comunidades],"no se encuentra")</f>
        <v>Comunidad de Madrid</v>
      </c>
      <c r="M1344" t="s">
        <v>19</v>
      </c>
      <c r="N1344">
        <v>1</v>
      </c>
    </row>
    <row r="1345" spans="1:14" x14ac:dyDescent="0.25">
      <c r="A1345">
        <v>2344</v>
      </c>
      <c r="B1345" s="1">
        <v>45710</v>
      </c>
      <c r="C1345" s="4">
        <f>MONTH(datos_ventas[[#This Row],[Fecha]])</f>
        <v>2</v>
      </c>
      <c r="D1345" s="4">
        <f>WEEKNUM(datos_ventas[[#This Row],[Fecha]],2)</f>
        <v>8</v>
      </c>
      <c r="E1345" t="s">
        <v>26</v>
      </c>
      <c r="F1345" t="s">
        <v>18</v>
      </c>
      <c r="G1345">
        <v>4</v>
      </c>
      <c r="H1345">
        <v>90137</v>
      </c>
      <c r="I1345">
        <v>3018</v>
      </c>
      <c r="J1345" t="s">
        <v>22</v>
      </c>
      <c r="K1345" t="str">
        <f>_xlfn.XLOOKUP(datos_ventas[[#This Row],[Ciudad]],Tabla2[Ciudades],Tabla2[Provincias],"no se encuentra")</f>
        <v>Valencia</v>
      </c>
      <c r="L1345" t="str">
        <f>_xlfn.XLOOKUP(datos_ventas[[#This Row],[Provincia]],Tabla2[Provincias],Tabla2[Comunidades],"no se encuentra")</f>
        <v>Comunidad Valenciana</v>
      </c>
      <c r="M1345" t="s">
        <v>13</v>
      </c>
      <c r="N1345">
        <v>5</v>
      </c>
    </row>
    <row r="1346" spans="1:14" x14ac:dyDescent="0.25">
      <c r="A1346">
        <v>2345</v>
      </c>
      <c r="B1346" s="1">
        <v>45777</v>
      </c>
      <c r="C1346" s="4">
        <f>MONTH(datos_ventas[[#This Row],[Fecha]])</f>
        <v>4</v>
      </c>
      <c r="D1346" s="4">
        <f>WEEKNUM(datos_ventas[[#This Row],[Fecha]],2)</f>
        <v>18</v>
      </c>
      <c r="E1346" t="s">
        <v>17</v>
      </c>
      <c r="F1346" t="s">
        <v>18</v>
      </c>
      <c r="G1346">
        <v>1</v>
      </c>
      <c r="H1346">
        <v>102871</v>
      </c>
      <c r="I1346">
        <v>238</v>
      </c>
      <c r="J1346" t="s">
        <v>12</v>
      </c>
      <c r="K1346" t="str">
        <f>_xlfn.XLOOKUP(datos_ventas[[#This Row],[Ciudad]],Tabla2[Ciudades],Tabla2[Provincias],"no se encuentra")</f>
        <v>Málaga</v>
      </c>
      <c r="L1346" t="str">
        <f>_xlfn.XLOOKUP(datos_ventas[[#This Row],[Provincia]],Tabla2[Provincias],Tabla2[Comunidades],"no se encuentra")</f>
        <v>Andalucía</v>
      </c>
      <c r="M1346" t="s">
        <v>15</v>
      </c>
      <c r="N1346">
        <v>3</v>
      </c>
    </row>
    <row r="1347" spans="1:14" x14ac:dyDescent="0.25">
      <c r="A1347">
        <v>2346</v>
      </c>
      <c r="B1347" s="1">
        <v>45738</v>
      </c>
      <c r="C1347" s="4">
        <f>MONTH(datos_ventas[[#This Row],[Fecha]])</f>
        <v>3</v>
      </c>
      <c r="D1347" s="4">
        <f>WEEKNUM(datos_ventas[[#This Row],[Fecha]],2)</f>
        <v>12</v>
      </c>
      <c r="E1347" t="s">
        <v>10</v>
      </c>
      <c r="F1347" t="s">
        <v>11</v>
      </c>
      <c r="G1347">
        <v>5</v>
      </c>
      <c r="H1347">
        <v>2233</v>
      </c>
      <c r="I1347">
        <v>2999</v>
      </c>
      <c r="J1347" t="s">
        <v>31</v>
      </c>
      <c r="K1347" t="str">
        <f>_xlfn.XLOOKUP(datos_ventas[[#This Row],[Ciudad]],Tabla2[Ciudades],Tabla2[Provincias],"no se encuentra")</f>
        <v>Vizcaya</v>
      </c>
      <c r="L1347" t="str">
        <f>_xlfn.XLOOKUP(datos_ventas[[#This Row],[Provincia]],Tabla2[Provincias],Tabla2[Comunidades],"no se encuentra")</f>
        <v>País Vasco</v>
      </c>
      <c r="M1347" t="s">
        <v>28</v>
      </c>
      <c r="N1347">
        <v>5</v>
      </c>
    </row>
    <row r="1348" spans="1:14" x14ac:dyDescent="0.25">
      <c r="A1348">
        <v>2347</v>
      </c>
      <c r="B1348" s="1">
        <v>45869</v>
      </c>
      <c r="C1348" s="4">
        <f>MONTH(datos_ventas[[#This Row],[Fecha]])</f>
        <v>7</v>
      </c>
      <c r="D1348" s="4">
        <f>WEEKNUM(datos_ventas[[#This Row],[Fecha]],2)</f>
        <v>31</v>
      </c>
      <c r="E1348" t="s">
        <v>17</v>
      </c>
      <c r="F1348" t="s">
        <v>18</v>
      </c>
      <c r="G1348">
        <v>1</v>
      </c>
      <c r="H1348">
        <v>79261</v>
      </c>
      <c r="I1348">
        <v>210</v>
      </c>
      <c r="J1348" t="s">
        <v>27</v>
      </c>
      <c r="K1348" t="str">
        <f>_xlfn.XLOOKUP(datos_ventas[[#This Row],[Ciudad]],Tabla2[Ciudades],Tabla2[Provincias],"no se encuentra")</f>
        <v>Sevilla</v>
      </c>
      <c r="L1348" t="str">
        <f>_xlfn.XLOOKUP(datos_ventas[[#This Row],[Provincia]],Tabla2[Provincias],Tabla2[Comunidades],"no se encuentra")</f>
        <v>Andalucía</v>
      </c>
      <c r="M1348" t="s">
        <v>28</v>
      </c>
      <c r="N1348">
        <v>5</v>
      </c>
    </row>
    <row r="1349" spans="1:14" x14ac:dyDescent="0.25">
      <c r="A1349">
        <v>2348</v>
      </c>
      <c r="B1349" s="1">
        <v>45964</v>
      </c>
      <c r="C1349" s="4">
        <f>MONTH(datos_ventas[[#This Row],[Fecha]])</f>
        <v>11</v>
      </c>
      <c r="D1349" s="4">
        <f>WEEKNUM(datos_ventas[[#This Row],[Fecha]],2)</f>
        <v>45</v>
      </c>
      <c r="E1349" t="s">
        <v>10</v>
      </c>
      <c r="F1349" t="s">
        <v>11</v>
      </c>
      <c r="G1349">
        <v>1</v>
      </c>
      <c r="H1349">
        <v>75772</v>
      </c>
      <c r="I1349">
        <v>3713</v>
      </c>
      <c r="J1349" t="s">
        <v>14</v>
      </c>
      <c r="K1349" t="str">
        <f>_xlfn.XLOOKUP(datos_ventas[[#This Row],[Ciudad]],Tabla2[Ciudades],Tabla2[Provincias],"no se encuentra")</f>
        <v>Madrid</v>
      </c>
      <c r="L1349" t="str">
        <f>_xlfn.XLOOKUP(datos_ventas[[#This Row],[Provincia]],Tabla2[Provincias],Tabla2[Comunidades],"no se encuentra")</f>
        <v>Comunidad de Madrid</v>
      </c>
      <c r="M1349" t="s">
        <v>28</v>
      </c>
      <c r="N1349">
        <v>2</v>
      </c>
    </row>
    <row r="1350" spans="1:14" x14ac:dyDescent="0.25">
      <c r="A1350">
        <v>2349</v>
      </c>
      <c r="B1350" s="1">
        <v>45957</v>
      </c>
      <c r="C1350" s="4">
        <f>MONTH(datos_ventas[[#This Row],[Fecha]])</f>
        <v>10</v>
      </c>
      <c r="D1350" s="4">
        <f>WEEKNUM(datos_ventas[[#This Row],[Fecha]],2)</f>
        <v>44</v>
      </c>
      <c r="E1350" t="s">
        <v>20</v>
      </c>
      <c r="F1350" t="s">
        <v>21</v>
      </c>
      <c r="G1350">
        <v>1</v>
      </c>
      <c r="H1350">
        <v>3319</v>
      </c>
      <c r="I1350">
        <v>3414</v>
      </c>
      <c r="J1350" t="s">
        <v>32</v>
      </c>
      <c r="K1350" t="str">
        <f>_xlfn.XLOOKUP(datos_ventas[[#This Row],[Ciudad]],Tabla2[Ciudades],Tabla2[Provincias],"no se encuentra")</f>
        <v>Barcelona</v>
      </c>
      <c r="L1350" t="str">
        <f>_xlfn.XLOOKUP(datos_ventas[[#This Row],[Provincia]],Tabla2[Provincias],Tabla2[Comunidades],"no se encuentra")</f>
        <v>Cataluña</v>
      </c>
      <c r="M1350" t="s">
        <v>19</v>
      </c>
      <c r="N1350">
        <v>5</v>
      </c>
    </row>
    <row r="1351" spans="1:14" x14ac:dyDescent="0.25">
      <c r="A1351">
        <v>2350</v>
      </c>
      <c r="B1351" s="1">
        <v>45787</v>
      </c>
      <c r="C1351" s="4">
        <f>MONTH(datos_ventas[[#This Row],[Fecha]])</f>
        <v>5</v>
      </c>
      <c r="D1351" s="4">
        <f>WEEKNUM(datos_ventas[[#This Row],[Fecha]],2)</f>
        <v>19</v>
      </c>
      <c r="E1351" t="s">
        <v>23</v>
      </c>
      <c r="F1351" t="s">
        <v>18</v>
      </c>
      <c r="G1351">
        <v>5</v>
      </c>
      <c r="H1351">
        <v>116424</v>
      </c>
      <c r="I1351">
        <v>4216</v>
      </c>
      <c r="J1351" t="s">
        <v>27</v>
      </c>
      <c r="K1351" t="str">
        <f>_xlfn.XLOOKUP(datos_ventas[[#This Row],[Ciudad]],Tabla2[Ciudades],Tabla2[Provincias],"no se encuentra")</f>
        <v>Sevilla</v>
      </c>
      <c r="L1351" t="str">
        <f>_xlfn.XLOOKUP(datos_ventas[[#This Row],[Provincia]],Tabla2[Provincias],Tabla2[Comunidades],"no se encuentra")</f>
        <v>Andalucía</v>
      </c>
      <c r="M1351" t="s">
        <v>13</v>
      </c>
      <c r="N1351">
        <v>3</v>
      </c>
    </row>
    <row r="1352" spans="1:14" x14ac:dyDescent="0.25">
      <c r="A1352">
        <v>2351</v>
      </c>
      <c r="B1352" s="1">
        <v>45784</v>
      </c>
      <c r="C1352" s="4">
        <f>MONTH(datos_ventas[[#This Row],[Fecha]])</f>
        <v>5</v>
      </c>
      <c r="D1352" s="4">
        <f>WEEKNUM(datos_ventas[[#This Row],[Fecha]],2)</f>
        <v>19</v>
      </c>
      <c r="E1352" t="s">
        <v>20</v>
      </c>
      <c r="F1352" t="s">
        <v>21</v>
      </c>
      <c r="G1352">
        <v>1</v>
      </c>
      <c r="H1352">
        <v>117729</v>
      </c>
      <c r="I1352">
        <v>1365</v>
      </c>
      <c r="J1352" t="s">
        <v>22</v>
      </c>
      <c r="K1352" t="str">
        <f>_xlfn.XLOOKUP(datos_ventas[[#This Row],[Ciudad]],Tabla2[Ciudades],Tabla2[Provincias],"no se encuentra")</f>
        <v>Valencia</v>
      </c>
      <c r="L1352" t="str">
        <f>_xlfn.XLOOKUP(datos_ventas[[#This Row],[Provincia]],Tabla2[Provincias],Tabla2[Comunidades],"no se encuentra")</f>
        <v>Comunidad Valenciana</v>
      </c>
      <c r="M1352" t="s">
        <v>13</v>
      </c>
      <c r="N1352">
        <v>4</v>
      </c>
    </row>
    <row r="1353" spans="1:14" x14ac:dyDescent="0.25">
      <c r="A1353">
        <v>2352</v>
      </c>
      <c r="B1353" s="1">
        <v>45882</v>
      </c>
      <c r="C1353" s="4">
        <f>MONTH(datos_ventas[[#This Row],[Fecha]])</f>
        <v>8</v>
      </c>
      <c r="D1353" s="4">
        <f>WEEKNUM(datos_ventas[[#This Row],[Fecha]],2)</f>
        <v>33</v>
      </c>
      <c r="E1353" t="s">
        <v>17</v>
      </c>
      <c r="F1353" t="s">
        <v>18</v>
      </c>
      <c r="G1353">
        <v>4</v>
      </c>
      <c r="H1353">
        <v>107191</v>
      </c>
      <c r="I1353">
        <v>335</v>
      </c>
      <c r="J1353" t="s">
        <v>31</v>
      </c>
      <c r="K1353" t="str">
        <f>_xlfn.XLOOKUP(datos_ventas[[#This Row],[Ciudad]],Tabla2[Ciudades],Tabla2[Provincias],"no se encuentra")</f>
        <v>Vizcaya</v>
      </c>
      <c r="L1353" t="str">
        <f>_xlfn.XLOOKUP(datos_ventas[[#This Row],[Provincia]],Tabla2[Provincias],Tabla2[Comunidades],"no se encuentra")</f>
        <v>País Vasco</v>
      </c>
      <c r="M1353" t="s">
        <v>13</v>
      </c>
      <c r="N1353">
        <v>4</v>
      </c>
    </row>
    <row r="1354" spans="1:14" x14ac:dyDescent="0.25">
      <c r="A1354">
        <v>2353</v>
      </c>
      <c r="B1354" s="1">
        <v>45966</v>
      </c>
      <c r="C1354" s="4">
        <f>MONTH(datos_ventas[[#This Row],[Fecha]])</f>
        <v>11</v>
      </c>
      <c r="D1354" s="4">
        <f>WEEKNUM(datos_ventas[[#This Row],[Fecha]],2)</f>
        <v>45</v>
      </c>
      <c r="E1354" t="s">
        <v>24</v>
      </c>
      <c r="F1354" t="s">
        <v>25</v>
      </c>
      <c r="G1354">
        <v>3</v>
      </c>
      <c r="H1354">
        <v>1828</v>
      </c>
      <c r="I1354">
        <v>2372</v>
      </c>
      <c r="J1354" t="s">
        <v>14</v>
      </c>
      <c r="K1354" t="str">
        <f>_xlfn.XLOOKUP(datos_ventas[[#This Row],[Ciudad]],Tabla2[Ciudades],Tabla2[Provincias],"no se encuentra")</f>
        <v>Madrid</v>
      </c>
      <c r="L1354" t="str">
        <f>_xlfn.XLOOKUP(datos_ventas[[#This Row],[Provincia]],Tabla2[Provincias],Tabla2[Comunidades],"no se encuentra")</f>
        <v>Comunidad de Madrid</v>
      </c>
      <c r="M1354" t="s">
        <v>19</v>
      </c>
      <c r="N1354">
        <v>3</v>
      </c>
    </row>
    <row r="1355" spans="1:14" x14ac:dyDescent="0.25">
      <c r="A1355">
        <v>2354</v>
      </c>
      <c r="B1355" s="1">
        <v>45845</v>
      </c>
      <c r="C1355" s="4">
        <f>MONTH(datos_ventas[[#This Row],[Fecha]])</f>
        <v>7</v>
      </c>
      <c r="D1355" s="4">
        <f>WEEKNUM(datos_ventas[[#This Row],[Fecha]],2)</f>
        <v>28</v>
      </c>
      <c r="E1355" t="s">
        <v>20</v>
      </c>
      <c r="F1355" t="s">
        <v>21</v>
      </c>
      <c r="G1355">
        <v>5</v>
      </c>
      <c r="H1355">
        <v>1970</v>
      </c>
      <c r="I1355">
        <v>556</v>
      </c>
      <c r="J1355" t="s">
        <v>22</v>
      </c>
      <c r="K1355" t="str">
        <f>_xlfn.XLOOKUP(datos_ventas[[#This Row],[Ciudad]],Tabla2[Ciudades],Tabla2[Provincias],"no se encuentra")</f>
        <v>Valencia</v>
      </c>
      <c r="L1355" t="str">
        <f>_xlfn.XLOOKUP(datos_ventas[[#This Row],[Provincia]],Tabla2[Provincias],Tabla2[Comunidades],"no se encuentra")</f>
        <v>Comunidad Valenciana</v>
      </c>
      <c r="M1355" t="s">
        <v>19</v>
      </c>
      <c r="N1355">
        <v>5</v>
      </c>
    </row>
    <row r="1356" spans="1:14" x14ac:dyDescent="0.25">
      <c r="A1356">
        <v>2355</v>
      </c>
      <c r="B1356" s="1">
        <v>45714</v>
      </c>
      <c r="C1356" s="4">
        <f>MONTH(datos_ventas[[#This Row],[Fecha]])</f>
        <v>2</v>
      </c>
      <c r="D1356" s="4">
        <f>WEEKNUM(datos_ventas[[#This Row],[Fecha]],2)</f>
        <v>9</v>
      </c>
      <c r="E1356" t="s">
        <v>20</v>
      </c>
      <c r="F1356" t="s">
        <v>21</v>
      </c>
      <c r="G1356">
        <v>4</v>
      </c>
      <c r="H1356">
        <v>118315</v>
      </c>
      <c r="I1356">
        <v>2346</v>
      </c>
      <c r="J1356" t="s">
        <v>27</v>
      </c>
      <c r="K1356" t="str">
        <f>_xlfn.XLOOKUP(datos_ventas[[#This Row],[Ciudad]],Tabla2[Ciudades],Tabla2[Provincias],"no se encuentra")</f>
        <v>Sevilla</v>
      </c>
      <c r="L1356" t="str">
        <f>_xlfn.XLOOKUP(datos_ventas[[#This Row],[Provincia]],Tabla2[Provincias],Tabla2[Comunidades],"no se encuentra")</f>
        <v>Andalucía</v>
      </c>
      <c r="M1356" t="s">
        <v>13</v>
      </c>
      <c r="N1356">
        <v>4</v>
      </c>
    </row>
    <row r="1357" spans="1:14" x14ac:dyDescent="0.25">
      <c r="A1357">
        <v>2356</v>
      </c>
      <c r="B1357" s="1">
        <v>45817</v>
      </c>
      <c r="C1357" s="4">
        <f>MONTH(datos_ventas[[#This Row],[Fecha]])</f>
        <v>6</v>
      </c>
      <c r="D1357" s="4">
        <f>WEEKNUM(datos_ventas[[#This Row],[Fecha]],2)</f>
        <v>24</v>
      </c>
      <c r="E1357" t="s">
        <v>24</v>
      </c>
      <c r="F1357" t="s">
        <v>25</v>
      </c>
      <c r="G1357">
        <v>3</v>
      </c>
      <c r="H1357">
        <v>84017</v>
      </c>
      <c r="I1357">
        <v>1824</v>
      </c>
      <c r="J1357" t="s">
        <v>31</v>
      </c>
      <c r="K1357" t="str">
        <f>_xlfn.XLOOKUP(datos_ventas[[#This Row],[Ciudad]],Tabla2[Ciudades],Tabla2[Provincias],"no se encuentra")</f>
        <v>Vizcaya</v>
      </c>
      <c r="L1357" t="str">
        <f>_xlfn.XLOOKUP(datos_ventas[[#This Row],[Provincia]],Tabla2[Provincias],Tabla2[Comunidades],"no se encuentra")</f>
        <v>País Vasco</v>
      </c>
      <c r="M1357" t="s">
        <v>28</v>
      </c>
      <c r="N1357">
        <v>1</v>
      </c>
    </row>
    <row r="1358" spans="1:14" x14ac:dyDescent="0.25">
      <c r="A1358">
        <v>2357</v>
      </c>
      <c r="B1358" s="1">
        <v>45826</v>
      </c>
      <c r="C1358" s="4">
        <f>MONTH(datos_ventas[[#This Row],[Fecha]])</f>
        <v>6</v>
      </c>
      <c r="D1358" s="4">
        <f>WEEKNUM(datos_ventas[[#This Row],[Fecha]],2)</f>
        <v>25</v>
      </c>
      <c r="E1358" t="s">
        <v>29</v>
      </c>
      <c r="F1358" t="s">
        <v>30</v>
      </c>
      <c r="G1358">
        <v>2</v>
      </c>
      <c r="H1358">
        <v>3064</v>
      </c>
      <c r="I1358">
        <v>2281</v>
      </c>
      <c r="J1358" t="s">
        <v>14</v>
      </c>
      <c r="K1358" t="str">
        <f>_xlfn.XLOOKUP(datos_ventas[[#This Row],[Ciudad]],Tabla2[Ciudades],Tabla2[Provincias],"no se encuentra")</f>
        <v>Madrid</v>
      </c>
      <c r="L1358" t="str">
        <f>_xlfn.XLOOKUP(datos_ventas[[#This Row],[Provincia]],Tabla2[Provincias],Tabla2[Comunidades],"no se encuentra")</f>
        <v>Comunidad de Madrid</v>
      </c>
      <c r="M1358" t="s">
        <v>28</v>
      </c>
      <c r="N1358">
        <v>3</v>
      </c>
    </row>
    <row r="1359" spans="1:14" x14ac:dyDescent="0.25">
      <c r="A1359">
        <v>2358</v>
      </c>
      <c r="B1359" s="1">
        <v>45874</v>
      </c>
      <c r="C1359" s="4">
        <f>MONTH(datos_ventas[[#This Row],[Fecha]])</f>
        <v>8</v>
      </c>
      <c r="D1359" s="4">
        <f>WEEKNUM(datos_ventas[[#This Row],[Fecha]],2)</f>
        <v>32</v>
      </c>
      <c r="E1359" t="s">
        <v>26</v>
      </c>
      <c r="F1359" t="s">
        <v>18</v>
      </c>
      <c r="G1359">
        <v>4</v>
      </c>
      <c r="H1359">
        <v>47127</v>
      </c>
      <c r="I1359">
        <v>4905</v>
      </c>
      <c r="J1359" t="s">
        <v>12</v>
      </c>
      <c r="K1359" t="str">
        <f>_xlfn.XLOOKUP(datos_ventas[[#This Row],[Ciudad]],Tabla2[Ciudades],Tabla2[Provincias],"no se encuentra")</f>
        <v>Málaga</v>
      </c>
      <c r="L1359" t="str">
        <f>_xlfn.XLOOKUP(datos_ventas[[#This Row],[Provincia]],Tabla2[Provincias],Tabla2[Comunidades],"no se encuentra")</f>
        <v>Andalucía</v>
      </c>
      <c r="M1359" t="s">
        <v>15</v>
      </c>
      <c r="N1359">
        <v>2</v>
      </c>
    </row>
    <row r="1360" spans="1:14" x14ac:dyDescent="0.25">
      <c r="A1360">
        <v>2359</v>
      </c>
      <c r="B1360" s="1">
        <v>45975</v>
      </c>
      <c r="C1360" s="4">
        <f>MONTH(datos_ventas[[#This Row],[Fecha]])</f>
        <v>11</v>
      </c>
      <c r="D1360" s="4">
        <f>WEEKNUM(datos_ventas[[#This Row],[Fecha]],2)</f>
        <v>46</v>
      </c>
      <c r="E1360" t="s">
        <v>10</v>
      </c>
      <c r="F1360" t="s">
        <v>11</v>
      </c>
      <c r="G1360">
        <v>5</v>
      </c>
      <c r="H1360">
        <v>2771</v>
      </c>
      <c r="I1360">
        <v>4501</v>
      </c>
      <c r="J1360" t="s">
        <v>27</v>
      </c>
      <c r="K1360" t="str">
        <f>_xlfn.XLOOKUP(datos_ventas[[#This Row],[Ciudad]],Tabla2[Ciudades],Tabla2[Provincias],"no se encuentra")</f>
        <v>Sevilla</v>
      </c>
      <c r="L1360" t="str">
        <f>_xlfn.XLOOKUP(datos_ventas[[#This Row],[Provincia]],Tabla2[Provincias],Tabla2[Comunidades],"no se encuentra")</f>
        <v>Andalucía</v>
      </c>
      <c r="M1360" t="s">
        <v>13</v>
      </c>
      <c r="N1360">
        <v>3</v>
      </c>
    </row>
    <row r="1361" spans="1:14" x14ac:dyDescent="0.25">
      <c r="A1361">
        <v>2360</v>
      </c>
      <c r="B1361" s="1">
        <v>45662</v>
      </c>
      <c r="C1361" s="4">
        <f>MONTH(datos_ventas[[#This Row],[Fecha]])</f>
        <v>1</v>
      </c>
      <c r="D1361" s="4">
        <f>WEEKNUM(datos_ventas[[#This Row],[Fecha]],2)</f>
        <v>1</v>
      </c>
      <c r="E1361" t="s">
        <v>24</v>
      </c>
      <c r="F1361" t="s">
        <v>25</v>
      </c>
      <c r="G1361">
        <v>3</v>
      </c>
      <c r="H1361">
        <v>21982</v>
      </c>
      <c r="I1361">
        <v>191</v>
      </c>
      <c r="J1361" t="s">
        <v>22</v>
      </c>
      <c r="K1361" t="str">
        <f>_xlfn.XLOOKUP(datos_ventas[[#This Row],[Ciudad]],Tabla2[Ciudades],Tabla2[Provincias],"no se encuentra")</f>
        <v>Valencia</v>
      </c>
      <c r="L1361" t="str">
        <f>_xlfn.XLOOKUP(datos_ventas[[#This Row],[Provincia]],Tabla2[Provincias],Tabla2[Comunidades],"no se encuentra")</f>
        <v>Comunidad Valenciana</v>
      </c>
      <c r="M1361" t="s">
        <v>15</v>
      </c>
      <c r="N1361">
        <v>2</v>
      </c>
    </row>
    <row r="1362" spans="1:14" x14ac:dyDescent="0.25">
      <c r="A1362">
        <v>2361</v>
      </c>
      <c r="B1362" s="1">
        <v>45958</v>
      </c>
      <c r="C1362" s="4">
        <f>MONTH(datos_ventas[[#This Row],[Fecha]])</f>
        <v>10</v>
      </c>
      <c r="D1362" s="4">
        <f>WEEKNUM(datos_ventas[[#This Row],[Fecha]],2)</f>
        <v>44</v>
      </c>
      <c r="E1362" t="s">
        <v>23</v>
      </c>
      <c r="F1362" t="s">
        <v>18</v>
      </c>
      <c r="G1362">
        <v>4</v>
      </c>
      <c r="H1362">
        <v>30775</v>
      </c>
      <c r="I1362">
        <v>4946</v>
      </c>
      <c r="J1362" t="s">
        <v>12</v>
      </c>
      <c r="K1362" t="str">
        <f>_xlfn.XLOOKUP(datos_ventas[[#This Row],[Ciudad]],Tabla2[Ciudades],Tabla2[Provincias],"no se encuentra")</f>
        <v>Málaga</v>
      </c>
      <c r="L1362" t="str">
        <f>_xlfn.XLOOKUP(datos_ventas[[#This Row],[Provincia]],Tabla2[Provincias],Tabla2[Comunidades],"no se encuentra")</f>
        <v>Andalucía</v>
      </c>
      <c r="M1362" t="s">
        <v>13</v>
      </c>
      <c r="N1362">
        <v>2</v>
      </c>
    </row>
    <row r="1363" spans="1:14" x14ac:dyDescent="0.25">
      <c r="A1363">
        <v>2362</v>
      </c>
      <c r="B1363" s="1">
        <v>45686</v>
      </c>
      <c r="C1363" s="4">
        <f>MONTH(datos_ventas[[#This Row],[Fecha]])</f>
        <v>1</v>
      </c>
      <c r="D1363" s="4">
        <f>WEEKNUM(datos_ventas[[#This Row],[Fecha]],2)</f>
        <v>5</v>
      </c>
      <c r="E1363" t="s">
        <v>29</v>
      </c>
      <c r="F1363" t="s">
        <v>30</v>
      </c>
      <c r="G1363">
        <v>2</v>
      </c>
      <c r="H1363">
        <v>94794</v>
      </c>
      <c r="I1363">
        <v>2852</v>
      </c>
      <c r="J1363" t="s">
        <v>12</v>
      </c>
      <c r="K1363" t="str">
        <f>_xlfn.XLOOKUP(datos_ventas[[#This Row],[Ciudad]],Tabla2[Ciudades],Tabla2[Provincias],"no se encuentra")</f>
        <v>Málaga</v>
      </c>
      <c r="L1363" t="str">
        <f>_xlfn.XLOOKUP(datos_ventas[[#This Row],[Provincia]],Tabla2[Provincias],Tabla2[Comunidades],"no se encuentra")</f>
        <v>Andalucía</v>
      </c>
      <c r="M1363" t="s">
        <v>15</v>
      </c>
      <c r="N1363">
        <v>1</v>
      </c>
    </row>
    <row r="1364" spans="1:14" x14ac:dyDescent="0.25">
      <c r="A1364">
        <v>2363</v>
      </c>
      <c r="B1364" s="1">
        <v>45660</v>
      </c>
      <c r="C1364" s="4">
        <f>MONTH(datos_ventas[[#This Row],[Fecha]])</f>
        <v>1</v>
      </c>
      <c r="D1364" s="4">
        <f>WEEKNUM(datos_ventas[[#This Row],[Fecha]],2)</f>
        <v>1</v>
      </c>
      <c r="E1364" t="s">
        <v>10</v>
      </c>
      <c r="F1364" t="s">
        <v>11</v>
      </c>
      <c r="G1364">
        <v>3</v>
      </c>
      <c r="H1364">
        <v>53327</v>
      </c>
      <c r="I1364">
        <v>2823</v>
      </c>
      <c r="J1364" t="s">
        <v>12</v>
      </c>
      <c r="K1364" t="str">
        <f>_xlfn.XLOOKUP(datos_ventas[[#This Row],[Ciudad]],Tabla2[Ciudades],Tabla2[Provincias],"no se encuentra")</f>
        <v>Málaga</v>
      </c>
      <c r="L1364" t="str">
        <f>_xlfn.XLOOKUP(datos_ventas[[#This Row],[Provincia]],Tabla2[Provincias],Tabla2[Comunidades],"no se encuentra")</f>
        <v>Andalucía</v>
      </c>
      <c r="M1364" t="s">
        <v>15</v>
      </c>
      <c r="N1364">
        <v>4</v>
      </c>
    </row>
    <row r="1365" spans="1:14" x14ac:dyDescent="0.25">
      <c r="A1365">
        <v>2364</v>
      </c>
      <c r="B1365" s="1">
        <v>45847</v>
      </c>
      <c r="C1365" s="4">
        <f>MONTH(datos_ventas[[#This Row],[Fecha]])</f>
        <v>7</v>
      </c>
      <c r="D1365" s="4">
        <f>WEEKNUM(datos_ventas[[#This Row],[Fecha]],2)</f>
        <v>28</v>
      </c>
      <c r="E1365" t="s">
        <v>23</v>
      </c>
      <c r="F1365" t="s">
        <v>18</v>
      </c>
      <c r="G1365">
        <v>2</v>
      </c>
      <c r="H1365">
        <v>65418</v>
      </c>
      <c r="I1365">
        <v>636</v>
      </c>
      <c r="J1365" t="s">
        <v>22</v>
      </c>
      <c r="K1365" t="str">
        <f>_xlfn.XLOOKUP(datos_ventas[[#This Row],[Ciudad]],Tabla2[Ciudades],Tabla2[Provincias],"no se encuentra")</f>
        <v>Valencia</v>
      </c>
      <c r="L1365" t="str">
        <f>_xlfn.XLOOKUP(datos_ventas[[#This Row],[Provincia]],Tabla2[Provincias],Tabla2[Comunidades],"no se encuentra")</f>
        <v>Comunidad Valenciana</v>
      </c>
      <c r="M1365" t="s">
        <v>19</v>
      </c>
      <c r="N1365">
        <v>2</v>
      </c>
    </row>
    <row r="1366" spans="1:14" x14ac:dyDescent="0.25">
      <c r="A1366">
        <v>2365</v>
      </c>
      <c r="B1366" s="1">
        <v>45834</v>
      </c>
      <c r="C1366" s="4">
        <f>MONTH(datos_ventas[[#This Row],[Fecha]])</f>
        <v>6</v>
      </c>
      <c r="D1366" s="4">
        <f>WEEKNUM(datos_ventas[[#This Row],[Fecha]],2)</f>
        <v>26</v>
      </c>
      <c r="E1366" t="s">
        <v>16</v>
      </c>
      <c r="F1366" t="s">
        <v>11</v>
      </c>
      <c r="G1366">
        <v>5</v>
      </c>
      <c r="H1366">
        <v>5418</v>
      </c>
      <c r="I1366">
        <v>1032</v>
      </c>
      <c r="J1366" t="s">
        <v>32</v>
      </c>
      <c r="K1366" t="str">
        <f>_xlfn.XLOOKUP(datos_ventas[[#This Row],[Ciudad]],Tabla2[Ciudades],Tabla2[Provincias],"no se encuentra")</f>
        <v>Barcelona</v>
      </c>
      <c r="L1366" t="str">
        <f>_xlfn.XLOOKUP(datos_ventas[[#This Row],[Provincia]],Tabla2[Provincias],Tabla2[Comunidades],"no se encuentra")</f>
        <v>Cataluña</v>
      </c>
      <c r="M1366" t="s">
        <v>28</v>
      </c>
      <c r="N1366">
        <v>3</v>
      </c>
    </row>
    <row r="1367" spans="1:14" x14ac:dyDescent="0.25">
      <c r="A1367">
        <v>2366</v>
      </c>
      <c r="B1367" s="1">
        <v>45928</v>
      </c>
      <c r="C1367" s="4">
        <f>MONTH(datos_ventas[[#This Row],[Fecha]])</f>
        <v>9</v>
      </c>
      <c r="D1367" s="4">
        <f>WEEKNUM(datos_ventas[[#This Row],[Fecha]],2)</f>
        <v>39</v>
      </c>
      <c r="E1367" t="s">
        <v>24</v>
      </c>
      <c r="F1367" t="s">
        <v>25</v>
      </c>
      <c r="G1367">
        <v>4</v>
      </c>
      <c r="H1367">
        <v>24306</v>
      </c>
      <c r="I1367">
        <v>1123</v>
      </c>
      <c r="J1367" t="s">
        <v>27</v>
      </c>
      <c r="K1367" t="str">
        <f>_xlfn.XLOOKUP(datos_ventas[[#This Row],[Ciudad]],Tabla2[Ciudades],Tabla2[Provincias],"no se encuentra")</f>
        <v>Sevilla</v>
      </c>
      <c r="L1367" t="str">
        <f>_xlfn.XLOOKUP(datos_ventas[[#This Row],[Provincia]],Tabla2[Provincias],Tabla2[Comunidades],"no se encuentra")</f>
        <v>Andalucía</v>
      </c>
      <c r="M1367" t="s">
        <v>28</v>
      </c>
      <c r="N1367">
        <v>3</v>
      </c>
    </row>
    <row r="1368" spans="1:14" x14ac:dyDescent="0.25">
      <c r="A1368">
        <v>2367</v>
      </c>
      <c r="B1368" s="1">
        <v>45703</v>
      </c>
      <c r="C1368" s="4">
        <f>MONTH(datos_ventas[[#This Row],[Fecha]])</f>
        <v>2</v>
      </c>
      <c r="D1368" s="4">
        <f>WEEKNUM(datos_ventas[[#This Row],[Fecha]],2)</f>
        <v>7</v>
      </c>
      <c r="E1368" t="s">
        <v>24</v>
      </c>
      <c r="F1368" t="s">
        <v>25</v>
      </c>
      <c r="G1368">
        <v>3</v>
      </c>
      <c r="H1368">
        <v>9057</v>
      </c>
      <c r="I1368">
        <v>3818</v>
      </c>
      <c r="J1368" t="s">
        <v>31</v>
      </c>
      <c r="K1368" t="str">
        <f>_xlfn.XLOOKUP(datos_ventas[[#This Row],[Ciudad]],Tabla2[Ciudades],Tabla2[Provincias],"no se encuentra")</f>
        <v>Vizcaya</v>
      </c>
      <c r="L1368" t="str">
        <f>_xlfn.XLOOKUP(datos_ventas[[#This Row],[Provincia]],Tabla2[Provincias],Tabla2[Comunidades],"no se encuentra")</f>
        <v>País Vasco</v>
      </c>
      <c r="M1368" t="s">
        <v>15</v>
      </c>
      <c r="N1368">
        <v>4</v>
      </c>
    </row>
    <row r="1369" spans="1:14" x14ac:dyDescent="0.25">
      <c r="A1369">
        <v>2368</v>
      </c>
      <c r="B1369" s="1">
        <v>45877</v>
      </c>
      <c r="C1369" s="4">
        <f>MONTH(datos_ventas[[#This Row],[Fecha]])</f>
        <v>8</v>
      </c>
      <c r="D1369" s="4">
        <f>WEEKNUM(datos_ventas[[#This Row],[Fecha]],2)</f>
        <v>32</v>
      </c>
      <c r="E1369" t="s">
        <v>10</v>
      </c>
      <c r="F1369" t="s">
        <v>11</v>
      </c>
      <c r="G1369">
        <v>4</v>
      </c>
      <c r="H1369">
        <v>112862</v>
      </c>
      <c r="I1369">
        <v>4177</v>
      </c>
      <c r="J1369" t="s">
        <v>32</v>
      </c>
      <c r="K1369" t="str">
        <f>_xlfn.XLOOKUP(datos_ventas[[#This Row],[Ciudad]],Tabla2[Ciudades],Tabla2[Provincias],"no se encuentra")</f>
        <v>Barcelona</v>
      </c>
      <c r="L1369" t="str">
        <f>_xlfn.XLOOKUP(datos_ventas[[#This Row],[Provincia]],Tabla2[Provincias],Tabla2[Comunidades],"no se encuentra")</f>
        <v>Cataluña</v>
      </c>
      <c r="M1369" t="s">
        <v>19</v>
      </c>
      <c r="N1369">
        <v>5</v>
      </c>
    </row>
    <row r="1370" spans="1:14" x14ac:dyDescent="0.25">
      <c r="A1370">
        <v>2369</v>
      </c>
      <c r="B1370" s="1">
        <v>45866</v>
      </c>
      <c r="C1370" s="4">
        <f>MONTH(datos_ventas[[#This Row],[Fecha]])</f>
        <v>7</v>
      </c>
      <c r="D1370" s="4">
        <f>WEEKNUM(datos_ventas[[#This Row],[Fecha]],2)</f>
        <v>31</v>
      </c>
      <c r="E1370" t="s">
        <v>20</v>
      </c>
      <c r="F1370" t="s">
        <v>21</v>
      </c>
      <c r="G1370">
        <v>2</v>
      </c>
      <c r="H1370">
        <v>10998</v>
      </c>
      <c r="I1370">
        <v>3884</v>
      </c>
      <c r="J1370" t="s">
        <v>32</v>
      </c>
      <c r="K1370" t="str">
        <f>_xlfn.XLOOKUP(datos_ventas[[#This Row],[Ciudad]],Tabla2[Ciudades],Tabla2[Provincias],"no se encuentra")</f>
        <v>Barcelona</v>
      </c>
      <c r="L1370" t="str">
        <f>_xlfn.XLOOKUP(datos_ventas[[#This Row],[Provincia]],Tabla2[Provincias],Tabla2[Comunidades],"no se encuentra")</f>
        <v>Cataluña</v>
      </c>
      <c r="M1370" t="s">
        <v>19</v>
      </c>
      <c r="N1370">
        <v>2</v>
      </c>
    </row>
    <row r="1371" spans="1:14" x14ac:dyDescent="0.25">
      <c r="A1371">
        <v>2370</v>
      </c>
      <c r="B1371" s="1">
        <v>45865</v>
      </c>
      <c r="C1371" s="4">
        <f>MONTH(datos_ventas[[#This Row],[Fecha]])</f>
        <v>7</v>
      </c>
      <c r="D1371" s="4">
        <f>WEEKNUM(datos_ventas[[#This Row],[Fecha]],2)</f>
        <v>30</v>
      </c>
      <c r="E1371" t="s">
        <v>29</v>
      </c>
      <c r="F1371" t="s">
        <v>30</v>
      </c>
      <c r="G1371">
        <v>4</v>
      </c>
      <c r="H1371">
        <v>54096</v>
      </c>
      <c r="I1371">
        <v>1332</v>
      </c>
      <c r="J1371" t="s">
        <v>14</v>
      </c>
      <c r="K1371" t="str">
        <f>_xlfn.XLOOKUP(datos_ventas[[#This Row],[Ciudad]],Tabla2[Ciudades],Tabla2[Provincias],"no se encuentra")</f>
        <v>Madrid</v>
      </c>
      <c r="L1371" t="str">
        <f>_xlfn.XLOOKUP(datos_ventas[[#This Row],[Provincia]],Tabla2[Provincias],Tabla2[Comunidades],"no se encuentra")</f>
        <v>Comunidad de Madrid</v>
      </c>
      <c r="M1371" t="s">
        <v>19</v>
      </c>
      <c r="N1371">
        <v>2</v>
      </c>
    </row>
    <row r="1372" spans="1:14" x14ac:dyDescent="0.25">
      <c r="A1372">
        <v>2371</v>
      </c>
      <c r="B1372" s="1">
        <v>45673</v>
      </c>
      <c r="C1372" s="4">
        <f>MONTH(datos_ventas[[#This Row],[Fecha]])</f>
        <v>1</v>
      </c>
      <c r="D1372" s="4">
        <f>WEEKNUM(datos_ventas[[#This Row],[Fecha]],2)</f>
        <v>3</v>
      </c>
      <c r="E1372" t="s">
        <v>23</v>
      </c>
      <c r="F1372" t="s">
        <v>18</v>
      </c>
      <c r="G1372">
        <v>5</v>
      </c>
      <c r="H1372">
        <v>117806</v>
      </c>
      <c r="I1372">
        <v>4863</v>
      </c>
      <c r="J1372" t="s">
        <v>32</v>
      </c>
      <c r="K1372" t="str">
        <f>_xlfn.XLOOKUP(datos_ventas[[#This Row],[Ciudad]],Tabla2[Ciudades],Tabla2[Provincias],"no se encuentra")</f>
        <v>Barcelona</v>
      </c>
      <c r="L1372" t="str">
        <f>_xlfn.XLOOKUP(datos_ventas[[#This Row],[Provincia]],Tabla2[Provincias],Tabla2[Comunidades],"no se encuentra")</f>
        <v>Cataluña</v>
      </c>
      <c r="M1372" t="s">
        <v>28</v>
      </c>
      <c r="N1372">
        <v>4</v>
      </c>
    </row>
    <row r="1373" spans="1:14" x14ac:dyDescent="0.25">
      <c r="A1373">
        <v>2372</v>
      </c>
      <c r="B1373" s="1">
        <v>45897</v>
      </c>
      <c r="C1373" s="4">
        <f>MONTH(datos_ventas[[#This Row],[Fecha]])</f>
        <v>8</v>
      </c>
      <c r="D1373" s="4">
        <f>WEEKNUM(datos_ventas[[#This Row],[Fecha]],2)</f>
        <v>35</v>
      </c>
      <c r="E1373" t="s">
        <v>26</v>
      </c>
      <c r="F1373" t="s">
        <v>18</v>
      </c>
      <c r="G1373">
        <v>1</v>
      </c>
      <c r="H1373">
        <v>88846</v>
      </c>
      <c r="I1373">
        <v>4192</v>
      </c>
      <c r="J1373" t="s">
        <v>27</v>
      </c>
      <c r="K1373" t="str">
        <f>_xlfn.XLOOKUP(datos_ventas[[#This Row],[Ciudad]],Tabla2[Ciudades],Tabla2[Provincias],"no se encuentra")</f>
        <v>Sevilla</v>
      </c>
      <c r="L1373" t="str">
        <f>_xlfn.XLOOKUP(datos_ventas[[#This Row],[Provincia]],Tabla2[Provincias],Tabla2[Comunidades],"no se encuentra")</f>
        <v>Andalucía</v>
      </c>
      <c r="M1373" t="s">
        <v>28</v>
      </c>
      <c r="N1373">
        <v>2</v>
      </c>
    </row>
    <row r="1374" spans="1:14" x14ac:dyDescent="0.25">
      <c r="A1374">
        <v>2373</v>
      </c>
      <c r="B1374" s="1">
        <v>45889</v>
      </c>
      <c r="C1374" s="4">
        <f>MONTH(datos_ventas[[#This Row],[Fecha]])</f>
        <v>8</v>
      </c>
      <c r="D1374" s="4">
        <f>WEEKNUM(datos_ventas[[#This Row],[Fecha]],2)</f>
        <v>34</v>
      </c>
      <c r="E1374" t="s">
        <v>16</v>
      </c>
      <c r="F1374" t="s">
        <v>11</v>
      </c>
      <c r="G1374">
        <v>3</v>
      </c>
      <c r="H1374">
        <v>84498</v>
      </c>
      <c r="I1374">
        <v>337</v>
      </c>
      <c r="J1374" t="s">
        <v>14</v>
      </c>
      <c r="K1374" t="str">
        <f>_xlfn.XLOOKUP(datos_ventas[[#This Row],[Ciudad]],Tabla2[Ciudades],Tabla2[Provincias],"no se encuentra")</f>
        <v>Madrid</v>
      </c>
      <c r="L1374" t="str">
        <f>_xlfn.XLOOKUP(datos_ventas[[#This Row],[Provincia]],Tabla2[Provincias],Tabla2[Comunidades],"no se encuentra")</f>
        <v>Comunidad de Madrid</v>
      </c>
      <c r="M1374" t="s">
        <v>28</v>
      </c>
      <c r="N1374">
        <v>5</v>
      </c>
    </row>
    <row r="1375" spans="1:14" x14ac:dyDescent="0.25">
      <c r="A1375">
        <v>2374</v>
      </c>
      <c r="B1375" s="1">
        <v>45717</v>
      </c>
      <c r="C1375" s="4">
        <f>MONTH(datos_ventas[[#This Row],[Fecha]])</f>
        <v>3</v>
      </c>
      <c r="D1375" s="4">
        <f>WEEKNUM(datos_ventas[[#This Row],[Fecha]],2)</f>
        <v>9</v>
      </c>
      <c r="E1375" t="s">
        <v>17</v>
      </c>
      <c r="F1375" t="s">
        <v>18</v>
      </c>
      <c r="G1375">
        <v>2</v>
      </c>
      <c r="H1375">
        <v>99214</v>
      </c>
      <c r="I1375">
        <v>3589</v>
      </c>
      <c r="J1375" t="s">
        <v>31</v>
      </c>
      <c r="K1375" t="str">
        <f>_xlfn.XLOOKUP(datos_ventas[[#This Row],[Ciudad]],Tabla2[Ciudades],Tabla2[Provincias],"no se encuentra")</f>
        <v>Vizcaya</v>
      </c>
      <c r="L1375" t="str">
        <f>_xlfn.XLOOKUP(datos_ventas[[#This Row],[Provincia]],Tabla2[Provincias],Tabla2[Comunidades],"no se encuentra")</f>
        <v>País Vasco</v>
      </c>
      <c r="M1375" t="s">
        <v>15</v>
      </c>
      <c r="N1375">
        <v>3</v>
      </c>
    </row>
    <row r="1376" spans="1:14" x14ac:dyDescent="0.25">
      <c r="A1376">
        <v>2375</v>
      </c>
      <c r="B1376" s="1">
        <v>45846</v>
      </c>
      <c r="C1376" s="4">
        <f>MONTH(datos_ventas[[#This Row],[Fecha]])</f>
        <v>7</v>
      </c>
      <c r="D1376" s="4">
        <f>WEEKNUM(datos_ventas[[#This Row],[Fecha]],2)</f>
        <v>28</v>
      </c>
      <c r="E1376" t="s">
        <v>17</v>
      </c>
      <c r="F1376" t="s">
        <v>18</v>
      </c>
      <c r="G1376">
        <v>1</v>
      </c>
      <c r="H1376">
        <v>59659</v>
      </c>
      <c r="I1376">
        <v>515</v>
      </c>
      <c r="J1376" t="s">
        <v>12</v>
      </c>
      <c r="K1376" t="str">
        <f>_xlfn.XLOOKUP(datos_ventas[[#This Row],[Ciudad]],Tabla2[Ciudades],Tabla2[Provincias],"no se encuentra")</f>
        <v>Málaga</v>
      </c>
      <c r="L1376" t="str">
        <f>_xlfn.XLOOKUP(datos_ventas[[#This Row],[Provincia]],Tabla2[Provincias],Tabla2[Comunidades],"no se encuentra")</f>
        <v>Andalucía</v>
      </c>
      <c r="M1376" t="s">
        <v>19</v>
      </c>
      <c r="N1376">
        <v>3</v>
      </c>
    </row>
    <row r="1377" spans="1:14" x14ac:dyDescent="0.25">
      <c r="A1377">
        <v>2376</v>
      </c>
      <c r="B1377" s="1">
        <v>45974</v>
      </c>
      <c r="C1377" s="4">
        <f>MONTH(datos_ventas[[#This Row],[Fecha]])</f>
        <v>11</v>
      </c>
      <c r="D1377" s="4">
        <f>WEEKNUM(datos_ventas[[#This Row],[Fecha]],2)</f>
        <v>46</v>
      </c>
      <c r="E1377" t="s">
        <v>23</v>
      </c>
      <c r="F1377" t="s">
        <v>18</v>
      </c>
      <c r="G1377">
        <v>1</v>
      </c>
      <c r="H1377">
        <v>8723</v>
      </c>
      <c r="I1377">
        <v>3263</v>
      </c>
      <c r="J1377" t="s">
        <v>14</v>
      </c>
      <c r="K1377" t="str">
        <f>_xlfn.XLOOKUP(datos_ventas[[#This Row],[Ciudad]],Tabla2[Ciudades],Tabla2[Provincias],"no se encuentra")</f>
        <v>Madrid</v>
      </c>
      <c r="L1377" t="str">
        <f>_xlfn.XLOOKUP(datos_ventas[[#This Row],[Provincia]],Tabla2[Provincias],Tabla2[Comunidades],"no se encuentra")</f>
        <v>Comunidad de Madrid</v>
      </c>
      <c r="M1377" t="s">
        <v>15</v>
      </c>
      <c r="N1377">
        <v>5</v>
      </c>
    </row>
    <row r="1378" spans="1:14" x14ac:dyDescent="0.25">
      <c r="A1378">
        <v>2377</v>
      </c>
      <c r="B1378" s="1">
        <v>45755</v>
      </c>
      <c r="C1378" s="4">
        <f>MONTH(datos_ventas[[#This Row],[Fecha]])</f>
        <v>4</v>
      </c>
      <c r="D1378" s="4">
        <f>WEEKNUM(datos_ventas[[#This Row],[Fecha]],2)</f>
        <v>15</v>
      </c>
      <c r="E1378" t="s">
        <v>29</v>
      </c>
      <c r="F1378" t="s">
        <v>30</v>
      </c>
      <c r="G1378">
        <v>5</v>
      </c>
      <c r="H1378">
        <v>26765</v>
      </c>
      <c r="I1378">
        <v>3122</v>
      </c>
      <c r="J1378" t="s">
        <v>32</v>
      </c>
      <c r="K1378" t="str">
        <f>_xlfn.XLOOKUP(datos_ventas[[#This Row],[Ciudad]],Tabla2[Ciudades],Tabla2[Provincias],"no se encuentra")</f>
        <v>Barcelona</v>
      </c>
      <c r="L1378" t="str">
        <f>_xlfn.XLOOKUP(datos_ventas[[#This Row],[Provincia]],Tabla2[Provincias],Tabla2[Comunidades],"no se encuentra")</f>
        <v>Cataluña</v>
      </c>
      <c r="M1378" t="s">
        <v>28</v>
      </c>
      <c r="N1378">
        <v>5</v>
      </c>
    </row>
    <row r="1379" spans="1:14" x14ac:dyDescent="0.25">
      <c r="A1379">
        <v>2378</v>
      </c>
      <c r="B1379" s="1">
        <v>45794</v>
      </c>
      <c r="C1379" s="4">
        <f>MONTH(datos_ventas[[#This Row],[Fecha]])</f>
        <v>5</v>
      </c>
      <c r="D1379" s="4">
        <f>WEEKNUM(datos_ventas[[#This Row],[Fecha]],2)</f>
        <v>20</v>
      </c>
      <c r="E1379" t="s">
        <v>17</v>
      </c>
      <c r="F1379" t="s">
        <v>18</v>
      </c>
      <c r="G1379">
        <v>1</v>
      </c>
      <c r="H1379">
        <v>101271</v>
      </c>
      <c r="I1379">
        <v>3168</v>
      </c>
      <c r="J1379" t="s">
        <v>31</v>
      </c>
      <c r="K1379" t="str">
        <f>_xlfn.XLOOKUP(datos_ventas[[#This Row],[Ciudad]],Tabla2[Ciudades],Tabla2[Provincias],"no se encuentra")</f>
        <v>Vizcaya</v>
      </c>
      <c r="L1379" t="str">
        <f>_xlfn.XLOOKUP(datos_ventas[[#This Row],[Provincia]],Tabla2[Provincias],Tabla2[Comunidades],"no se encuentra")</f>
        <v>País Vasco</v>
      </c>
      <c r="M1379" t="s">
        <v>13</v>
      </c>
      <c r="N1379">
        <v>5</v>
      </c>
    </row>
    <row r="1380" spans="1:14" x14ac:dyDescent="0.25">
      <c r="A1380">
        <v>2379</v>
      </c>
      <c r="B1380" s="1">
        <v>45962</v>
      </c>
      <c r="C1380" s="4">
        <f>MONTH(datos_ventas[[#This Row],[Fecha]])</f>
        <v>11</v>
      </c>
      <c r="D1380" s="4">
        <f>WEEKNUM(datos_ventas[[#This Row],[Fecha]],2)</f>
        <v>44</v>
      </c>
      <c r="E1380" t="s">
        <v>29</v>
      </c>
      <c r="F1380" t="s">
        <v>30</v>
      </c>
      <c r="G1380">
        <v>4</v>
      </c>
      <c r="H1380">
        <v>67408</v>
      </c>
      <c r="I1380">
        <v>2548</v>
      </c>
      <c r="J1380" t="s">
        <v>12</v>
      </c>
      <c r="K1380" t="str">
        <f>_xlfn.XLOOKUP(datos_ventas[[#This Row],[Ciudad]],Tabla2[Ciudades],Tabla2[Provincias],"no se encuentra")</f>
        <v>Málaga</v>
      </c>
      <c r="L1380" t="str">
        <f>_xlfn.XLOOKUP(datos_ventas[[#This Row],[Provincia]],Tabla2[Provincias],Tabla2[Comunidades],"no se encuentra")</f>
        <v>Andalucía</v>
      </c>
      <c r="M1380" t="s">
        <v>28</v>
      </c>
      <c r="N1380">
        <v>1</v>
      </c>
    </row>
    <row r="1381" spans="1:14" x14ac:dyDescent="0.25">
      <c r="A1381">
        <v>2380</v>
      </c>
      <c r="B1381" s="1">
        <v>45688</v>
      </c>
      <c r="C1381" s="4">
        <f>MONTH(datos_ventas[[#This Row],[Fecha]])</f>
        <v>1</v>
      </c>
      <c r="D1381" s="4">
        <f>WEEKNUM(datos_ventas[[#This Row],[Fecha]],2)</f>
        <v>5</v>
      </c>
      <c r="E1381" t="s">
        <v>17</v>
      </c>
      <c r="F1381" t="s">
        <v>18</v>
      </c>
      <c r="G1381">
        <v>1</v>
      </c>
      <c r="H1381">
        <v>62924</v>
      </c>
      <c r="I1381">
        <v>3977</v>
      </c>
      <c r="J1381" t="s">
        <v>22</v>
      </c>
      <c r="K1381" t="str">
        <f>_xlfn.XLOOKUP(datos_ventas[[#This Row],[Ciudad]],Tabla2[Ciudades],Tabla2[Provincias],"no se encuentra")</f>
        <v>Valencia</v>
      </c>
      <c r="L1381" t="str">
        <f>_xlfn.XLOOKUP(datos_ventas[[#This Row],[Provincia]],Tabla2[Provincias],Tabla2[Comunidades],"no se encuentra")</f>
        <v>Comunidad Valenciana</v>
      </c>
      <c r="M1381" t="s">
        <v>28</v>
      </c>
      <c r="N1381">
        <v>2</v>
      </c>
    </row>
    <row r="1382" spans="1:14" x14ac:dyDescent="0.25">
      <c r="A1382">
        <v>2381</v>
      </c>
      <c r="B1382" s="1">
        <v>45883</v>
      </c>
      <c r="C1382" s="4">
        <f>MONTH(datos_ventas[[#This Row],[Fecha]])</f>
        <v>8</v>
      </c>
      <c r="D1382" s="4">
        <f>WEEKNUM(datos_ventas[[#This Row],[Fecha]],2)</f>
        <v>33</v>
      </c>
      <c r="E1382" t="s">
        <v>10</v>
      </c>
      <c r="F1382" t="s">
        <v>11</v>
      </c>
      <c r="G1382">
        <v>1</v>
      </c>
      <c r="H1382">
        <v>56716</v>
      </c>
      <c r="I1382">
        <v>682</v>
      </c>
      <c r="J1382" t="s">
        <v>27</v>
      </c>
      <c r="K1382" t="str">
        <f>_xlfn.XLOOKUP(datos_ventas[[#This Row],[Ciudad]],Tabla2[Ciudades],Tabla2[Provincias],"no se encuentra")</f>
        <v>Sevilla</v>
      </c>
      <c r="L1382" t="str">
        <f>_xlfn.XLOOKUP(datos_ventas[[#This Row],[Provincia]],Tabla2[Provincias],Tabla2[Comunidades],"no se encuentra")</f>
        <v>Andalucía</v>
      </c>
      <c r="M1382" t="s">
        <v>19</v>
      </c>
      <c r="N1382">
        <v>2</v>
      </c>
    </row>
    <row r="1383" spans="1:14" x14ac:dyDescent="0.25">
      <c r="A1383">
        <v>2382</v>
      </c>
      <c r="B1383" s="1">
        <v>45935</v>
      </c>
      <c r="C1383" s="4">
        <f>MONTH(datos_ventas[[#This Row],[Fecha]])</f>
        <v>10</v>
      </c>
      <c r="D1383" s="4">
        <f>WEEKNUM(datos_ventas[[#This Row],[Fecha]],2)</f>
        <v>40</v>
      </c>
      <c r="E1383" t="s">
        <v>20</v>
      </c>
      <c r="F1383" t="s">
        <v>21</v>
      </c>
      <c r="G1383">
        <v>2</v>
      </c>
      <c r="H1383">
        <v>12625</v>
      </c>
      <c r="I1383">
        <v>2067</v>
      </c>
      <c r="J1383" t="s">
        <v>22</v>
      </c>
      <c r="K1383" t="str">
        <f>_xlfn.XLOOKUP(datos_ventas[[#This Row],[Ciudad]],Tabla2[Ciudades],Tabla2[Provincias],"no se encuentra")</f>
        <v>Valencia</v>
      </c>
      <c r="L1383" t="str">
        <f>_xlfn.XLOOKUP(datos_ventas[[#This Row],[Provincia]],Tabla2[Provincias],Tabla2[Comunidades],"no se encuentra")</f>
        <v>Comunidad Valenciana</v>
      </c>
      <c r="M1383" t="s">
        <v>28</v>
      </c>
      <c r="N1383">
        <v>3</v>
      </c>
    </row>
    <row r="1384" spans="1:14" x14ac:dyDescent="0.25">
      <c r="A1384">
        <v>2383</v>
      </c>
      <c r="B1384" s="1">
        <v>45772</v>
      </c>
      <c r="C1384" s="4">
        <f>MONTH(datos_ventas[[#This Row],[Fecha]])</f>
        <v>4</v>
      </c>
      <c r="D1384" s="4">
        <f>WEEKNUM(datos_ventas[[#This Row],[Fecha]],2)</f>
        <v>17</v>
      </c>
      <c r="E1384" t="s">
        <v>20</v>
      </c>
      <c r="F1384" t="s">
        <v>21</v>
      </c>
      <c r="G1384">
        <v>3</v>
      </c>
      <c r="H1384">
        <v>90359</v>
      </c>
      <c r="I1384">
        <v>4073</v>
      </c>
      <c r="J1384" t="s">
        <v>27</v>
      </c>
      <c r="K1384" t="str">
        <f>_xlfn.XLOOKUP(datos_ventas[[#This Row],[Ciudad]],Tabla2[Ciudades],Tabla2[Provincias],"no se encuentra")</f>
        <v>Sevilla</v>
      </c>
      <c r="L1384" t="str">
        <f>_xlfn.XLOOKUP(datos_ventas[[#This Row],[Provincia]],Tabla2[Provincias],Tabla2[Comunidades],"no se encuentra")</f>
        <v>Andalucía</v>
      </c>
      <c r="M1384" t="s">
        <v>13</v>
      </c>
      <c r="N1384">
        <v>3</v>
      </c>
    </row>
    <row r="1385" spans="1:14" x14ac:dyDescent="0.25">
      <c r="A1385">
        <v>2384</v>
      </c>
      <c r="B1385" s="1">
        <v>45776</v>
      </c>
      <c r="C1385" s="4">
        <f>MONTH(datos_ventas[[#This Row],[Fecha]])</f>
        <v>4</v>
      </c>
      <c r="D1385" s="4">
        <f>WEEKNUM(datos_ventas[[#This Row],[Fecha]],2)</f>
        <v>18</v>
      </c>
      <c r="E1385" t="s">
        <v>16</v>
      </c>
      <c r="F1385" t="s">
        <v>11</v>
      </c>
      <c r="G1385">
        <v>1</v>
      </c>
      <c r="H1385">
        <v>38276</v>
      </c>
      <c r="I1385">
        <v>4293</v>
      </c>
      <c r="J1385" t="s">
        <v>14</v>
      </c>
      <c r="K1385" t="str">
        <f>_xlfn.XLOOKUP(datos_ventas[[#This Row],[Ciudad]],Tabla2[Ciudades],Tabla2[Provincias],"no se encuentra")</f>
        <v>Madrid</v>
      </c>
      <c r="L1385" t="str">
        <f>_xlfn.XLOOKUP(datos_ventas[[#This Row],[Provincia]],Tabla2[Provincias],Tabla2[Comunidades],"no se encuentra")</f>
        <v>Comunidad de Madrid</v>
      </c>
      <c r="M1385" t="s">
        <v>15</v>
      </c>
      <c r="N1385">
        <v>2</v>
      </c>
    </row>
    <row r="1386" spans="1:14" x14ac:dyDescent="0.25">
      <c r="A1386">
        <v>2385</v>
      </c>
      <c r="B1386" s="1">
        <v>45659</v>
      </c>
      <c r="C1386" s="4">
        <f>MONTH(datos_ventas[[#This Row],[Fecha]])</f>
        <v>1</v>
      </c>
      <c r="D1386" s="4">
        <f>WEEKNUM(datos_ventas[[#This Row],[Fecha]],2)</f>
        <v>1</v>
      </c>
      <c r="E1386" t="s">
        <v>24</v>
      </c>
      <c r="F1386" t="s">
        <v>25</v>
      </c>
      <c r="G1386">
        <v>1</v>
      </c>
      <c r="H1386">
        <v>112915</v>
      </c>
      <c r="I1386">
        <v>4317</v>
      </c>
      <c r="J1386" t="s">
        <v>32</v>
      </c>
      <c r="K1386" t="str">
        <f>_xlfn.XLOOKUP(datos_ventas[[#This Row],[Ciudad]],Tabla2[Ciudades],Tabla2[Provincias],"no se encuentra")</f>
        <v>Barcelona</v>
      </c>
      <c r="L1386" t="str">
        <f>_xlfn.XLOOKUP(datos_ventas[[#This Row],[Provincia]],Tabla2[Provincias],Tabla2[Comunidades],"no se encuentra")</f>
        <v>Cataluña</v>
      </c>
      <c r="M1386" t="s">
        <v>19</v>
      </c>
      <c r="N1386">
        <v>2</v>
      </c>
    </row>
    <row r="1387" spans="1:14" x14ac:dyDescent="0.25">
      <c r="A1387">
        <v>2386</v>
      </c>
      <c r="B1387" s="1">
        <v>45779</v>
      </c>
      <c r="C1387" s="4">
        <f>MONTH(datos_ventas[[#This Row],[Fecha]])</f>
        <v>5</v>
      </c>
      <c r="D1387" s="4">
        <f>WEEKNUM(datos_ventas[[#This Row],[Fecha]],2)</f>
        <v>18</v>
      </c>
      <c r="E1387" t="s">
        <v>23</v>
      </c>
      <c r="F1387" t="s">
        <v>18</v>
      </c>
      <c r="G1387">
        <v>2</v>
      </c>
      <c r="H1387">
        <v>2380</v>
      </c>
      <c r="I1387">
        <v>2348</v>
      </c>
      <c r="J1387" t="s">
        <v>27</v>
      </c>
      <c r="K1387" t="str">
        <f>_xlfn.XLOOKUP(datos_ventas[[#This Row],[Ciudad]],Tabla2[Ciudades],Tabla2[Provincias],"no se encuentra")</f>
        <v>Sevilla</v>
      </c>
      <c r="L1387" t="str">
        <f>_xlfn.XLOOKUP(datos_ventas[[#This Row],[Provincia]],Tabla2[Provincias],Tabla2[Comunidades],"no se encuentra")</f>
        <v>Andalucía</v>
      </c>
      <c r="M1387" t="s">
        <v>28</v>
      </c>
      <c r="N1387">
        <v>5</v>
      </c>
    </row>
    <row r="1388" spans="1:14" x14ac:dyDescent="0.25">
      <c r="A1388">
        <v>2387</v>
      </c>
      <c r="B1388" s="1">
        <v>45747</v>
      </c>
      <c r="C1388" s="4">
        <f>MONTH(datos_ventas[[#This Row],[Fecha]])</f>
        <v>3</v>
      </c>
      <c r="D1388" s="4">
        <f>WEEKNUM(datos_ventas[[#This Row],[Fecha]],2)</f>
        <v>14</v>
      </c>
      <c r="E1388" t="s">
        <v>10</v>
      </c>
      <c r="F1388" t="s">
        <v>11</v>
      </c>
      <c r="G1388">
        <v>5</v>
      </c>
      <c r="H1388">
        <v>42272</v>
      </c>
      <c r="I1388">
        <v>4962</v>
      </c>
      <c r="J1388" t="s">
        <v>31</v>
      </c>
      <c r="K1388" t="str">
        <f>_xlfn.XLOOKUP(datos_ventas[[#This Row],[Ciudad]],Tabla2[Ciudades],Tabla2[Provincias],"no se encuentra")</f>
        <v>Vizcaya</v>
      </c>
      <c r="L1388" t="str">
        <f>_xlfn.XLOOKUP(datos_ventas[[#This Row],[Provincia]],Tabla2[Provincias],Tabla2[Comunidades],"no se encuentra")</f>
        <v>País Vasco</v>
      </c>
      <c r="M1388" t="s">
        <v>28</v>
      </c>
      <c r="N1388">
        <v>4</v>
      </c>
    </row>
    <row r="1389" spans="1:14" x14ac:dyDescent="0.25">
      <c r="A1389">
        <v>2388</v>
      </c>
      <c r="B1389" s="1">
        <v>45792</v>
      </c>
      <c r="C1389" s="4">
        <f>MONTH(datos_ventas[[#This Row],[Fecha]])</f>
        <v>5</v>
      </c>
      <c r="D1389" s="4">
        <f>WEEKNUM(datos_ventas[[#This Row],[Fecha]],2)</f>
        <v>20</v>
      </c>
      <c r="E1389" t="s">
        <v>26</v>
      </c>
      <c r="F1389" t="s">
        <v>18</v>
      </c>
      <c r="G1389">
        <v>4</v>
      </c>
      <c r="H1389">
        <v>73718</v>
      </c>
      <c r="I1389">
        <v>818</v>
      </c>
      <c r="J1389" t="s">
        <v>31</v>
      </c>
      <c r="K1389" t="str">
        <f>_xlfn.XLOOKUP(datos_ventas[[#This Row],[Ciudad]],Tabla2[Ciudades],Tabla2[Provincias],"no se encuentra")</f>
        <v>Vizcaya</v>
      </c>
      <c r="L1389" t="str">
        <f>_xlfn.XLOOKUP(datos_ventas[[#This Row],[Provincia]],Tabla2[Provincias],Tabla2[Comunidades],"no se encuentra")</f>
        <v>País Vasco</v>
      </c>
      <c r="M1389" t="s">
        <v>28</v>
      </c>
      <c r="N1389">
        <v>1</v>
      </c>
    </row>
    <row r="1390" spans="1:14" x14ac:dyDescent="0.25">
      <c r="A1390">
        <v>2389</v>
      </c>
      <c r="B1390" s="1">
        <v>45660</v>
      </c>
      <c r="C1390" s="4">
        <f>MONTH(datos_ventas[[#This Row],[Fecha]])</f>
        <v>1</v>
      </c>
      <c r="D1390" s="4">
        <f>WEEKNUM(datos_ventas[[#This Row],[Fecha]],2)</f>
        <v>1</v>
      </c>
      <c r="E1390" t="s">
        <v>10</v>
      </c>
      <c r="F1390" t="s">
        <v>11</v>
      </c>
      <c r="G1390">
        <v>3</v>
      </c>
      <c r="H1390">
        <v>24665</v>
      </c>
      <c r="I1390">
        <v>3254</v>
      </c>
      <c r="J1390" t="s">
        <v>27</v>
      </c>
      <c r="K1390" t="str">
        <f>_xlfn.XLOOKUP(datos_ventas[[#This Row],[Ciudad]],Tabla2[Ciudades],Tabla2[Provincias],"no se encuentra")</f>
        <v>Sevilla</v>
      </c>
      <c r="L1390" t="str">
        <f>_xlfn.XLOOKUP(datos_ventas[[#This Row],[Provincia]],Tabla2[Provincias],Tabla2[Comunidades],"no se encuentra")</f>
        <v>Andalucía</v>
      </c>
      <c r="M1390" t="s">
        <v>15</v>
      </c>
      <c r="N1390">
        <v>5</v>
      </c>
    </row>
    <row r="1391" spans="1:14" x14ac:dyDescent="0.25">
      <c r="A1391">
        <v>2390</v>
      </c>
      <c r="B1391" s="1">
        <v>45839</v>
      </c>
      <c r="C1391" s="4">
        <f>MONTH(datos_ventas[[#This Row],[Fecha]])</f>
        <v>7</v>
      </c>
      <c r="D1391" s="4">
        <f>WEEKNUM(datos_ventas[[#This Row],[Fecha]],2)</f>
        <v>27</v>
      </c>
      <c r="E1391" t="s">
        <v>20</v>
      </c>
      <c r="F1391" t="s">
        <v>21</v>
      </c>
      <c r="G1391">
        <v>5</v>
      </c>
      <c r="H1391">
        <v>105941</v>
      </c>
      <c r="I1391">
        <v>4014</v>
      </c>
      <c r="J1391" t="s">
        <v>22</v>
      </c>
      <c r="K1391" t="str">
        <f>_xlfn.XLOOKUP(datos_ventas[[#This Row],[Ciudad]],Tabla2[Ciudades],Tabla2[Provincias],"no se encuentra")</f>
        <v>Valencia</v>
      </c>
      <c r="L1391" t="str">
        <f>_xlfn.XLOOKUP(datos_ventas[[#This Row],[Provincia]],Tabla2[Provincias],Tabla2[Comunidades],"no se encuentra")</f>
        <v>Comunidad Valenciana</v>
      </c>
      <c r="M1391" t="s">
        <v>15</v>
      </c>
      <c r="N1391">
        <v>2</v>
      </c>
    </row>
    <row r="1392" spans="1:14" x14ac:dyDescent="0.25">
      <c r="A1392">
        <v>2391</v>
      </c>
      <c r="B1392" s="1">
        <v>45754</v>
      </c>
      <c r="C1392" s="4">
        <f>MONTH(datos_ventas[[#This Row],[Fecha]])</f>
        <v>4</v>
      </c>
      <c r="D1392" s="4">
        <f>WEEKNUM(datos_ventas[[#This Row],[Fecha]],2)</f>
        <v>15</v>
      </c>
      <c r="E1392" t="s">
        <v>24</v>
      </c>
      <c r="F1392" t="s">
        <v>25</v>
      </c>
      <c r="G1392">
        <v>3</v>
      </c>
      <c r="H1392">
        <v>15578</v>
      </c>
      <c r="I1392">
        <v>3791</v>
      </c>
      <c r="J1392" t="s">
        <v>31</v>
      </c>
      <c r="K1392" t="str">
        <f>_xlfn.XLOOKUP(datos_ventas[[#This Row],[Ciudad]],Tabla2[Ciudades],Tabla2[Provincias],"no se encuentra")</f>
        <v>Vizcaya</v>
      </c>
      <c r="L1392" t="str">
        <f>_xlfn.XLOOKUP(datos_ventas[[#This Row],[Provincia]],Tabla2[Provincias],Tabla2[Comunidades],"no se encuentra")</f>
        <v>País Vasco</v>
      </c>
      <c r="M1392" t="s">
        <v>19</v>
      </c>
      <c r="N1392">
        <v>3</v>
      </c>
    </row>
    <row r="1393" spans="1:14" x14ac:dyDescent="0.25">
      <c r="A1393">
        <v>2392</v>
      </c>
      <c r="B1393" s="1">
        <v>46022</v>
      </c>
      <c r="C1393" s="4">
        <f>MONTH(datos_ventas[[#This Row],[Fecha]])</f>
        <v>12</v>
      </c>
      <c r="D1393" s="4">
        <f>WEEKNUM(datos_ventas[[#This Row],[Fecha]],2)</f>
        <v>53</v>
      </c>
      <c r="E1393" t="s">
        <v>29</v>
      </c>
      <c r="F1393" t="s">
        <v>30</v>
      </c>
      <c r="G1393">
        <v>4</v>
      </c>
      <c r="H1393">
        <v>44822</v>
      </c>
      <c r="I1393">
        <v>2923</v>
      </c>
      <c r="J1393" t="s">
        <v>14</v>
      </c>
      <c r="K1393" t="str">
        <f>_xlfn.XLOOKUP(datos_ventas[[#This Row],[Ciudad]],Tabla2[Ciudades],Tabla2[Provincias],"no se encuentra")</f>
        <v>Madrid</v>
      </c>
      <c r="L1393" t="str">
        <f>_xlfn.XLOOKUP(datos_ventas[[#This Row],[Provincia]],Tabla2[Provincias],Tabla2[Comunidades],"no se encuentra")</f>
        <v>Comunidad de Madrid</v>
      </c>
      <c r="M1393" t="s">
        <v>19</v>
      </c>
      <c r="N1393">
        <v>5</v>
      </c>
    </row>
    <row r="1394" spans="1:14" x14ac:dyDescent="0.25">
      <c r="A1394">
        <v>2393</v>
      </c>
      <c r="B1394" s="1">
        <v>45926</v>
      </c>
      <c r="C1394" s="4">
        <f>MONTH(datos_ventas[[#This Row],[Fecha]])</f>
        <v>9</v>
      </c>
      <c r="D1394" s="4">
        <f>WEEKNUM(datos_ventas[[#This Row],[Fecha]],2)</f>
        <v>39</v>
      </c>
      <c r="E1394" t="s">
        <v>16</v>
      </c>
      <c r="F1394" t="s">
        <v>11</v>
      </c>
      <c r="G1394">
        <v>1</v>
      </c>
      <c r="H1394">
        <v>68582</v>
      </c>
      <c r="I1394">
        <v>3361</v>
      </c>
      <c r="J1394" t="s">
        <v>32</v>
      </c>
      <c r="K1394" t="str">
        <f>_xlfn.XLOOKUP(datos_ventas[[#This Row],[Ciudad]],Tabla2[Ciudades],Tabla2[Provincias],"no se encuentra")</f>
        <v>Barcelona</v>
      </c>
      <c r="L1394" t="str">
        <f>_xlfn.XLOOKUP(datos_ventas[[#This Row],[Provincia]],Tabla2[Provincias],Tabla2[Comunidades],"no se encuentra")</f>
        <v>Cataluña</v>
      </c>
      <c r="M1394" t="s">
        <v>28</v>
      </c>
      <c r="N1394">
        <v>1</v>
      </c>
    </row>
    <row r="1395" spans="1:14" x14ac:dyDescent="0.25">
      <c r="A1395">
        <v>2394</v>
      </c>
      <c r="B1395" s="1">
        <v>45773</v>
      </c>
      <c r="C1395" s="4">
        <f>MONTH(datos_ventas[[#This Row],[Fecha]])</f>
        <v>4</v>
      </c>
      <c r="D1395" s="4">
        <f>WEEKNUM(datos_ventas[[#This Row],[Fecha]],2)</f>
        <v>17</v>
      </c>
      <c r="E1395" t="s">
        <v>10</v>
      </c>
      <c r="F1395" t="s">
        <v>11</v>
      </c>
      <c r="G1395">
        <v>4</v>
      </c>
      <c r="H1395">
        <v>47577</v>
      </c>
      <c r="I1395">
        <v>2728</v>
      </c>
      <c r="J1395" t="s">
        <v>14</v>
      </c>
      <c r="K1395" t="str">
        <f>_xlfn.XLOOKUP(datos_ventas[[#This Row],[Ciudad]],Tabla2[Ciudades],Tabla2[Provincias],"no se encuentra")</f>
        <v>Madrid</v>
      </c>
      <c r="L1395" t="str">
        <f>_xlfn.XLOOKUP(datos_ventas[[#This Row],[Provincia]],Tabla2[Provincias],Tabla2[Comunidades],"no se encuentra")</f>
        <v>Comunidad de Madrid</v>
      </c>
      <c r="M1395" t="s">
        <v>13</v>
      </c>
      <c r="N1395">
        <v>1</v>
      </c>
    </row>
    <row r="1396" spans="1:14" x14ac:dyDescent="0.25">
      <c r="A1396">
        <v>2395</v>
      </c>
      <c r="B1396" s="1">
        <v>45960</v>
      </c>
      <c r="C1396" s="4">
        <f>MONTH(datos_ventas[[#This Row],[Fecha]])</f>
        <v>10</v>
      </c>
      <c r="D1396" s="4">
        <f>WEEKNUM(datos_ventas[[#This Row],[Fecha]],2)</f>
        <v>44</v>
      </c>
      <c r="E1396" t="s">
        <v>17</v>
      </c>
      <c r="F1396" t="s">
        <v>18</v>
      </c>
      <c r="G1396">
        <v>3</v>
      </c>
      <c r="H1396">
        <v>17802</v>
      </c>
      <c r="I1396">
        <v>1617</v>
      </c>
      <c r="J1396" t="s">
        <v>22</v>
      </c>
      <c r="K1396" t="str">
        <f>_xlfn.XLOOKUP(datos_ventas[[#This Row],[Ciudad]],Tabla2[Ciudades],Tabla2[Provincias],"no se encuentra")</f>
        <v>Valencia</v>
      </c>
      <c r="L1396" t="str">
        <f>_xlfn.XLOOKUP(datos_ventas[[#This Row],[Provincia]],Tabla2[Provincias],Tabla2[Comunidades],"no se encuentra")</f>
        <v>Comunidad Valenciana</v>
      </c>
      <c r="M1396" t="s">
        <v>28</v>
      </c>
      <c r="N1396">
        <v>3</v>
      </c>
    </row>
    <row r="1397" spans="1:14" x14ac:dyDescent="0.25">
      <c r="A1397">
        <v>2396</v>
      </c>
      <c r="B1397" s="1">
        <v>45888</v>
      </c>
      <c r="C1397" s="4">
        <f>MONTH(datos_ventas[[#This Row],[Fecha]])</f>
        <v>8</v>
      </c>
      <c r="D1397" s="4">
        <f>WEEKNUM(datos_ventas[[#This Row],[Fecha]],2)</f>
        <v>34</v>
      </c>
      <c r="E1397" t="s">
        <v>23</v>
      </c>
      <c r="F1397" t="s">
        <v>18</v>
      </c>
      <c r="G1397">
        <v>4</v>
      </c>
      <c r="H1397">
        <v>2442</v>
      </c>
      <c r="I1397">
        <v>3182</v>
      </c>
      <c r="J1397" t="s">
        <v>12</v>
      </c>
      <c r="K1397" t="str">
        <f>_xlfn.XLOOKUP(datos_ventas[[#This Row],[Ciudad]],Tabla2[Ciudades],Tabla2[Provincias],"no se encuentra")</f>
        <v>Málaga</v>
      </c>
      <c r="L1397" t="str">
        <f>_xlfn.XLOOKUP(datos_ventas[[#This Row],[Provincia]],Tabla2[Provincias],Tabla2[Comunidades],"no se encuentra")</f>
        <v>Andalucía</v>
      </c>
      <c r="M1397" t="s">
        <v>28</v>
      </c>
      <c r="N1397">
        <v>3</v>
      </c>
    </row>
    <row r="1398" spans="1:14" x14ac:dyDescent="0.25">
      <c r="A1398">
        <v>2397</v>
      </c>
      <c r="B1398" s="1">
        <v>45860</v>
      </c>
      <c r="C1398" s="4">
        <f>MONTH(datos_ventas[[#This Row],[Fecha]])</f>
        <v>7</v>
      </c>
      <c r="D1398" s="4">
        <f>WEEKNUM(datos_ventas[[#This Row],[Fecha]],2)</f>
        <v>30</v>
      </c>
      <c r="E1398" t="s">
        <v>20</v>
      </c>
      <c r="F1398" t="s">
        <v>21</v>
      </c>
      <c r="G1398">
        <v>2</v>
      </c>
      <c r="H1398">
        <v>12866</v>
      </c>
      <c r="I1398">
        <v>2402</v>
      </c>
      <c r="J1398" t="s">
        <v>32</v>
      </c>
      <c r="K1398" t="str">
        <f>_xlfn.XLOOKUP(datos_ventas[[#This Row],[Ciudad]],Tabla2[Ciudades],Tabla2[Provincias],"no se encuentra")</f>
        <v>Barcelona</v>
      </c>
      <c r="L1398" t="str">
        <f>_xlfn.XLOOKUP(datos_ventas[[#This Row],[Provincia]],Tabla2[Provincias],Tabla2[Comunidades],"no se encuentra")</f>
        <v>Cataluña</v>
      </c>
      <c r="M1398" t="s">
        <v>19</v>
      </c>
      <c r="N1398">
        <v>3</v>
      </c>
    </row>
    <row r="1399" spans="1:14" x14ac:dyDescent="0.25">
      <c r="A1399">
        <v>2398</v>
      </c>
      <c r="B1399" s="1">
        <v>45928</v>
      </c>
      <c r="C1399" s="4">
        <f>MONTH(datos_ventas[[#This Row],[Fecha]])</f>
        <v>9</v>
      </c>
      <c r="D1399" s="4">
        <f>WEEKNUM(datos_ventas[[#This Row],[Fecha]],2)</f>
        <v>39</v>
      </c>
      <c r="E1399" t="s">
        <v>20</v>
      </c>
      <c r="F1399" t="s">
        <v>21</v>
      </c>
      <c r="G1399">
        <v>4</v>
      </c>
      <c r="H1399">
        <v>85545</v>
      </c>
      <c r="I1399">
        <v>172</v>
      </c>
      <c r="J1399" t="s">
        <v>32</v>
      </c>
      <c r="K1399" t="str">
        <f>_xlfn.XLOOKUP(datos_ventas[[#This Row],[Ciudad]],Tabla2[Ciudades],Tabla2[Provincias],"no se encuentra")</f>
        <v>Barcelona</v>
      </c>
      <c r="L1399" t="str">
        <f>_xlfn.XLOOKUP(datos_ventas[[#This Row],[Provincia]],Tabla2[Provincias],Tabla2[Comunidades],"no se encuentra")</f>
        <v>Cataluña</v>
      </c>
      <c r="M1399" t="s">
        <v>13</v>
      </c>
      <c r="N1399">
        <v>4</v>
      </c>
    </row>
    <row r="1400" spans="1:14" x14ac:dyDescent="0.25">
      <c r="A1400">
        <v>2399</v>
      </c>
      <c r="B1400" s="1">
        <v>45976</v>
      </c>
      <c r="C1400" s="4">
        <f>MONTH(datos_ventas[[#This Row],[Fecha]])</f>
        <v>11</v>
      </c>
      <c r="D1400" s="4">
        <f>WEEKNUM(datos_ventas[[#This Row],[Fecha]],2)</f>
        <v>46</v>
      </c>
      <c r="E1400" t="s">
        <v>20</v>
      </c>
      <c r="F1400" t="s">
        <v>21</v>
      </c>
      <c r="G1400">
        <v>2</v>
      </c>
      <c r="H1400">
        <v>4169</v>
      </c>
      <c r="I1400">
        <v>1342</v>
      </c>
      <c r="J1400" t="s">
        <v>22</v>
      </c>
      <c r="K1400" t="str">
        <f>_xlfn.XLOOKUP(datos_ventas[[#This Row],[Ciudad]],Tabla2[Ciudades],Tabla2[Provincias],"no se encuentra")</f>
        <v>Valencia</v>
      </c>
      <c r="L1400" t="str">
        <f>_xlfn.XLOOKUP(datos_ventas[[#This Row],[Provincia]],Tabla2[Provincias],Tabla2[Comunidades],"no se encuentra")</f>
        <v>Comunidad Valenciana</v>
      </c>
      <c r="M1400" t="s">
        <v>28</v>
      </c>
      <c r="N1400">
        <v>5</v>
      </c>
    </row>
    <row r="1401" spans="1:14" x14ac:dyDescent="0.25">
      <c r="A1401">
        <v>2400</v>
      </c>
      <c r="B1401" s="1">
        <v>45756</v>
      </c>
      <c r="C1401" s="4">
        <f>MONTH(datos_ventas[[#This Row],[Fecha]])</f>
        <v>4</v>
      </c>
      <c r="D1401" s="4">
        <f>WEEKNUM(datos_ventas[[#This Row],[Fecha]],2)</f>
        <v>15</v>
      </c>
      <c r="E1401" t="s">
        <v>26</v>
      </c>
      <c r="F1401" t="s">
        <v>18</v>
      </c>
      <c r="G1401">
        <v>3</v>
      </c>
      <c r="H1401">
        <v>109424</v>
      </c>
      <c r="I1401">
        <v>528</v>
      </c>
      <c r="J1401" t="s">
        <v>12</v>
      </c>
      <c r="K1401" t="str">
        <f>_xlfn.XLOOKUP(datos_ventas[[#This Row],[Ciudad]],Tabla2[Ciudades],Tabla2[Provincias],"no se encuentra")</f>
        <v>Málaga</v>
      </c>
      <c r="L1401" t="str">
        <f>_xlfn.XLOOKUP(datos_ventas[[#This Row],[Provincia]],Tabla2[Provincias],Tabla2[Comunidades],"no se encuentra")</f>
        <v>Andalucía</v>
      </c>
      <c r="M1401" t="s">
        <v>19</v>
      </c>
      <c r="N1401">
        <v>5</v>
      </c>
    </row>
    <row r="1402" spans="1:14" x14ac:dyDescent="0.25">
      <c r="A1402">
        <v>2401</v>
      </c>
      <c r="B1402" s="1">
        <v>45920</v>
      </c>
      <c r="C1402" s="4">
        <f>MONTH(datos_ventas[[#This Row],[Fecha]])</f>
        <v>9</v>
      </c>
      <c r="D1402" s="4">
        <f>WEEKNUM(datos_ventas[[#This Row],[Fecha]],2)</f>
        <v>38</v>
      </c>
      <c r="E1402" t="s">
        <v>24</v>
      </c>
      <c r="F1402" t="s">
        <v>25</v>
      </c>
      <c r="G1402">
        <v>5</v>
      </c>
      <c r="H1402">
        <v>31914</v>
      </c>
      <c r="I1402">
        <v>676</v>
      </c>
      <c r="J1402" t="s">
        <v>12</v>
      </c>
      <c r="K1402" t="str">
        <f>_xlfn.XLOOKUP(datos_ventas[[#This Row],[Ciudad]],Tabla2[Ciudades],Tabla2[Provincias],"no se encuentra")</f>
        <v>Málaga</v>
      </c>
      <c r="L1402" t="str">
        <f>_xlfn.XLOOKUP(datos_ventas[[#This Row],[Provincia]],Tabla2[Provincias],Tabla2[Comunidades],"no se encuentra")</f>
        <v>Andalucía</v>
      </c>
      <c r="M1402" t="s">
        <v>13</v>
      </c>
      <c r="N1402">
        <v>2</v>
      </c>
    </row>
    <row r="1403" spans="1:14" x14ac:dyDescent="0.25">
      <c r="A1403">
        <v>2402</v>
      </c>
      <c r="B1403" s="1">
        <v>45807</v>
      </c>
      <c r="C1403" s="4">
        <f>MONTH(datos_ventas[[#This Row],[Fecha]])</f>
        <v>5</v>
      </c>
      <c r="D1403" s="4">
        <f>WEEKNUM(datos_ventas[[#This Row],[Fecha]],2)</f>
        <v>22</v>
      </c>
      <c r="E1403" t="s">
        <v>20</v>
      </c>
      <c r="F1403" t="s">
        <v>21</v>
      </c>
      <c r="G1403">
        <v>5</v>
      </c>
      <c r="H1403">
        <v>13403</v>
      </c>
      <c r="I1403">
        <v>2835</v>
      </c>
      <c r="J1403" t="s">
        <v>12</v>
      </c>
      <c r="K1403" t="str">
        <f>_xlfn.XLOOKUP(datos_ventas[[#This Row],[Ciudad]],Tabla2[Ciudades],Tabla2[Provincias],"no se encuentra")</f>
        <v>Málaga</v>
      </c>
      <c r="L1403" t="str">
        <f>_xlfn.XLOOKUP(datos_ventas[[#This Row],[Provincia]],Tabla2[Provincias],Tabla2[Comunidades],"no se encuentra")</f>
        <v>Andalucía</v>
      </c>
      <c r="M1403" t="s">
        <v>28</v>
      </c>
      <c r="N1403">
        <v>1</v>
      </c>
    </row>
    <row r="1404" spans="1:14" x14ac:dyDescent="0.25">
      <c r="A1404">
        <v>2403</v>
      </c>
      <c r="B1404" s="1">
        <v>46000</v>
      </c>
      <c r="C1404" s="4">
        <f>MONTH(datos_ventas[[#This Row],[Fecha]])</f>
        <v>12</v>
      </c>
      <c r="D1404" s="4">
        <f>WEEKNUM(datos_ventas[[#This Row],[Fecha]],2)</f>
        <v>50</v>
      </c>
      <c r="E1404" t="s">
        <v>26</v>
      </c>
      <c r="F1404" t="s">
        <v>18</v>
      </c>
      <c r="G1404">
        <v>2</v>
      </c>
      <c r="H1404">
        <v>35482</v>
      </c>
      <c r="I1404">
        <v>254</v>
      </c>
      <c r="J1404" t="s">
        <v>12</v>
      </c>
      <c r="K1404" t="str">
        <f>_xlfn.XLOOKUP(datos_ventas[[#This Row],[Ciudad]],Tabla2[Ciudades],Tabla2[Provincias],"no se encuentra")</f>
        <v>Málaga</v>
      </c>
      <c r="L1404" t="str">
        <f>_xlfn.XLOOKUP(datos_ventas[[#This Row],[Provincia]],Tabla2[Provincias],Tabla2[Comunidades],"no se encuentra")</f>
        <v>Andalucía</v>
      </c>
      <c r="M1404" t="s">
        <v>28</v>
      </c>
      <c r="N1404">
        <v>4</v>
      </c>
    </row>
    <row r="1405" spans="1:14" x14ac:dyDescent="0.25">
      <c r="A1405">
        <v>2404</v>
      </c>
      <c r="B1405" s="1">
        <v>45889</v>
      </c>
      <c r="C1405" s="4">
        <f>MONTH(datos_ventas[[#This Row],[Fecha]])</f>
        <v>8</v>
      </c>
      <c r="D1405" s="4">
        <f>WEEKNUM(datos_ventas[[#This Row],[Fecha]],2)</f>
        <v>34</v>
      </c>
      <c r="E1405" t="s">
        <v>20</v>
      </c>
      <c r="F1405" t="s">
        <v>21</v>
      </c>
      <c r="G1405">
        <v>3</v>
      </c>
      <c r="H1405">
        <v>53201</v>
      </c>
      <c r="I1405">
        <v>4412</v>
      </c>
      <c r="J1405" t="s">
        <v>32</v>
      </c>
      <c r="K1405" t="str">
        <f>_xlfn.XLOOKUP(datos_ventas[[#This Row],[Ciudad]],Tabla2[Ciudades],Tabla2[Provincias],"no se encuentra")</f>
        <v>Barcelona</v>
      </c>
      <c r="L1405" t="str">
        <f>_xlfn.XLOOKUP(datos_ventas[[#This Row],[Provincia]],Tabla2[Provincias],Tabla2[Comunidades],"no se encuentra")</f>
        <v>Cataluña</v>
      </c>
      <c r="M1405" t="s">
        <v>28</v>
      </c>
      <c r="N1405">
        <v>5</v>
      </c>
    </row>
    <row r="1406" spans="1:14" x14ac:dyDescent="0.25">
      <c r="A1406">
        <v>2405</v>
      </c>
      <c r="B1406" s="1">
        <v>45888</v>
      </c>
      <c r="C1406" s="4">
        <f>MONTH(datos_ventas[[#This Row],[Fecha]])</f>
        <v>8</v>
      </c>
      <c r="D1406" s="4">
        <f>WEEKNUM(datos_ventas[[#This Row],[Fecha]],2)</f>
        <v>34</v>
      </c>
      <c r="E1406" t="s">
        <v>23</v>
      </c>
      <c r="F1406" t="s">
        <v>18</v>
      </c>
      <c r="G1406">
        <v>1</v>
      </c>
      <c r="H1406">
        <v>65554</v>
      </c>
      <c r="I1406">
        <v>4199</v>
      </c>
      <c r="J1406" t="s">
        <v>12</v>
      </c>
      <c r="K1406" t="str">
        <f>_xlfn.XLOOKUP(datos_ventas[[#This Row],[Ciudad]],Tabla2[Ciudades],Tabla2[Provincias],"no se encuentra")</f>
        <v>Málaga</v>
      </c>
      <c r="L1406" t="str">
        <f>_xlfn.XLOOKUP(datos_ventas[[#This Row],[Provincia]],Tabla2[Provincias],Tabla2[Comunidades],"no se encuentra")</f>
        <v>Andalucía</v>
      </c>
      <c r="M1406" t="s">
        <v>28</v>
      </c>
      <c r="N1406">
        <v>2</v>
      </c>
    </row>
    <row r="1407" spans="1:14" x14ac:dyDescent="0.25">
      <c r="A1407">
        <v>2406</v>
      </c>
      <c r="B1407" s="1">
        <v>45755</v>
      </c>
      <c r="C1407" s="4">
        <f>MONTH(datos_ventas[[#This Row],[Fecha]])</f>
        <v>4</v>
      </c>
      <c r="D1407" s="4">
        <f>WEEKNUM(datos_ventas[[#This Row],[Fecha]],2)</f>
        <v>15</v>
      </c>
      <c r="E1407" t="s">
        <v>17</v>
      </c>
      <c r="F1407" t="s">
        <v>18</v>
      </c>
      <c r="G1407">
        <v>5</v>
      </c>
      <c r="H1407">
        <v>236</v>
      </c>
      <c r="I1407">
        <v>1776</v>
      </c>
      <c r="J1407" t="s">
        <v>12</v>
      </c>
      <c r="K1407" t="str">
        <f>_xlfn.XLOOKUP(datos_ventas[[#This Row],[Ciudad]],Tabla2[Ciudades],Tabla2[Provincias],"no se encuentra")</f>
        <v>Málaga</v>
      </c>
      <c r="L1407" t="str">
        <f>_xlfn.XLOOKUP(datos_ventas[[#This Row],[Provincia]],Tabla2[Provincias],Tabla2[Comunidades],"no se encuentra")</f>
        <v>Andalucía</v>
      </c>
      <c r="M1407" t="s">
        <v>15</v>
      </c>
      <c r="N1407">
        <v>4</v>
      </c>
    </row>
    <row r="1408" spans="1:14" x14ac:dyDescent="0.25">
      <c r="A1408">
        <v>2407</v>
      </c>
      <c r="B1408" s="1">
        <v>45684</v>
      </c>
      <c r="C1408" s="4">
        <f>MONTH(datos_ventas[[#This Row],[Fecha]])</f>
        <v>1</v>
      </c>
      <c r="D1408" s="4">
        <f>WEEKNUM(datos_ventas[[#This Row],[Fecha]],2)</f>
        <v>5</v>
      </c>
      <c r="E1408" t="s">
        <v>10</v>
      </c>
      <c r="F1408" t="s">
        <v>11</v>
      </c>
      <c r="G1408">
        <v>4</v>
      </c>
      <c r="H1408">
        <v>29576</v>
      </c>
      <c r="I1408">
        <v>754</v>
      </c>
      <c r="J1408" t="s">
        <v>31</v>
      </c>
      <c r="K1408" t="str">
        <f>_xlfn.XLOOKUP(datos_ventas[[#This Row],[Ciudad]],Tabla2[Ciudades],Tabla2[Provincias],"no se encuentra")</f>
        <v>Vizcaya</v>
      </c>
      <c r="L1408" t="str">
        <f>_xlfn.XLOOKUP(datos_ventas[[#This Row],[Provincia]],Tabla2[Provincias],Tabla2[Comunidades],"no se encuentra")</f>
        <v>País Vasco</v>
      </c>
      <c r="M1408" t="s">
        <v>19</v>
      </c>
      <c r="N1408">
        <v>1</v>
      </c>
    </row>
    <row r="1409" spans="1:14" x14ac:dyDescent="0.25">
      <c r="A1409">
        <v>2408</v>
      </c>
      <c r="B1409" s="1">
        <v>45717</v>
      </c>
      <c r="C1409" s="4">
        <f>MONTH(datos_ventas[[#This Row],[Fecha]])</f>
        <v>3</v>
      </c>
      <c r="D1409" s="4">
        <f>WEEKNUM(datos_ventas[[#This Row],[Fecha]],2)</f>
        <v>9</v>
      </c>
      <c r="E1409" t="s">
        <v>26</v>
      </c>
      <c r="F1409" t="s">
        <v>18</v>
      </c>
      <c r="G1409">
        <v>4</v>
      </c>
      <c r="H1409">
        <v>85925</v>
      </c>
      <c r="I1409">
        <v>688</v>
      </c>
      <c r="J1409" t="s">
        <v>32</v>
      </c>
      <c r="K1409" t="str">
        <f>_xlfn.XLOOKUP(datos_ventas[[#This Row],[Ciudad]],Tabla2[Ciudades],Tabla2[Provincias],"no se encuentra")</f>
        <v>Barcelona</v>
      </c>
      <c r="L1409" t="str">
        <f>_xlfn.XLOOKUP(datos_ventas[[#This Row],[Provincia]],Tabla2[Provincias],Tabla2[Comunidades],"no se encuentra")</f>
        <v>Cataluña</v>
      </c>
      <c r="M1409" t="s">
        <v>28</v>
      </c>
      <c r="N1409">
        <v>2</v>
      </c>
    </row>
    <row r="1410" spans="1:14" x14ac:dyDescent="0.25">
      <c r="A1410">
        <v>2409</v>
      </c>
      <c r="B1410" s="1">
        <v>46018</v>
      </c>
      <c r="C1410" s="4">
        <f>MONTH(datos_ventas[[#This Row],[Fecha]])</f>
        <v>12</v>
      </c>
      <c r="D1410" s="4">
        <f>WEEKNUM(datos_ventas[[#This Row],[Fecha]],2)</f>
        <v>52</v>
      </c>
      <c r="E1410" t="s">
        <v>29</v>
      </c>
      <c r="F1410" t="s">
        <v>30</v>
      </c>
      <c r="G1410">
        <v>2</v>
      </c>
      <c r="H1410">
        <v>73676</v>
      </c>
      <c r="I1410">
        <v>4672</v>
      </c>
      <c r="J1410" t="s">
        <v>22</v>
      </c>
      <c r="K1410" t="str">
        <f>_xlfn.XLOOKUP(datos_ventas[[#This Row],[Ciudad]],Tabla2[Ciudades],Tabla2[Provincias],"no se encuentra")</f>
        <v>Valencia</v>
      </c>
      <c r="L1410" t="str">
        <f>_xlfn.XLOOKUP(datos_ventas[[#This Row],[Provincia]],Tabla2[Provincias],Tabla2[Comunidades],"no se encuentra")</f>
        <v>Comunidad Valenciana</v>
      </c>
      <c r="M1410" t="s">
        <v>19</v>
      </c>
      <c r="N1410">
        <v>2</v>
      </c>
    </row>
    <row r="1411" spans="1:14" x14ac:dyDescent="0.25">
      <c r="A1411">
        <v>2410</v>
      </c>
      <c r="B1411" s="1">
        <v>45896</v>
      </c>
      <c r="C1411" s="4">
        <f>MONTH(datos_ventas[[#This Row],[Fecha]])</f>
        <v>8</v>
      </c>
      <c r="D1411" s="4">
        <f>WEEKNUM(datos_ventas[[#This Row],[Fecha]],2)</f>
        <v>35</v>
      </c>
      <c r="E1411" t="s">
        <v>23</v>
      </c>
      <c r="F1411" t="s">
        <v>18</v>
      </c>
      <c r="G1411">
        <v>3</v>
      </c>
      <c r="H1411">
        <v>98604</v>
      </c>
      <c r="I1411">
        <v>367</v>
      </c>
      <c r="J1411" t="s">
        <v>22</v>
      </c>
      <c r="K1411" t="str">
        <f>_xlfn.XLOOKUP(datos_ventas[[#This Row],[Ciudad]],Tabla2[Ciudades],Tabla2[Provincias],"no se encuentra")</f>
        <v>Valencia</v>
      </c>
      <c r="L1411" t="str">
        <f>_xlfn.XLOOKUP(datos_ventas[[#This Row],[Provincia]],Tabla2[Provincias],Tabla2[Comunidades],"no se encuentra")</f>
        <v>Comunidad Valenciana</v>
      </c>
      <c r="M1411" t="s">
        <v>13</v>
      </c>
      <c r="N1411">
        <v>1</v>
      </c>
    </row>
    <row r="1412" spans="1:14" x14ac:dyDescent="0.25">
      <c r="A1412">
        <v>2411</v>
      </c>
      <c r="B1412" s="1">
        <v>45748</v>
      </c>
      <c r="C1412" s="4">
        <f>MONTH(datos_ventas[[#This Row],[Fecha]])</f>
        <v>4</v>
      </c>
      <c r="D1412" s="4">
        <f>WEEKNUM(datos_ventas[[#This Row],[Fecha]],2)</f>
        <v>14</v>
      </c>
      <c r="E1412" t="s">
        <v>24</v>
      </c>
      <c r="F1412" t="s">
        <v>25</v>
      </c>
      <c r="G1412">
        <v>5</v>
      </c>
      <c r="H1412">
        <v>80674</v>
      </c>
      <c r="I1412">
        <v>4333</v>
      </c>
      <c r="J1412" t="s">
        <v>22</v>
      </c>
      <c r="K1412" t="str">
        <f>_xlfn.XLOOKUP(datos_ventas[[#This Row],[Ciudad]],Tabla2[Ciudades],Tabla2[Provincias],"no se encuentra")</f>
        <v>Valencia</v>
      </c>
      <c r="L1412" t="str">
        <f>_xlfn.XLOOKUP(datos_ventas[[#This Row],[Provincia]],Tabla2[Provincias],Tabla2[Comunidades],"no se encuentra")</f>
        <v>Comunidad Valenciana</v>
      </c>
      <c r="M1412" t="s">
        <v>15</v>
      </c>
      <c r="N1412">
        <v>1</v>
      </c>
    </row>
    <row r="1413" spans="1:14" x14ac:dyDescent="0.25">
      <c r="A1413">
        <v>2412</v>
      </c>
      <c r="B1413" s="1">
        <v>45776</v>
      </c>
      <c r="C1413" s="4">
        <f>MONTH(datos_ventas[[#This Row],[Fecha]])</f>
        <v>4</v>
      </c>
      <c r="D1413" s="4">
        <f>WEEKNUM(datos_ventas[[#This Row],[Fecha]],2)</f>
        <v>18</v>
      </c>
      <c r="E1413" t="s">
        <v>26</v>
      </c>
      <c r="F1413" t="s">
        <v>18</v>
      </c>
      <c r="G1413">
        <v>3</v>
      </c>
      <c r="H1413">
        <v>102358</v>
      </c>
      <c r="I1413">
        <v>261</v>
      </c>
      <c r="J1413" t="s">
        <v>14</v>
      </c>
      <c r="K1413" t="str">
        <f>_xlfn.XLOOKUP(datos_ventas[[#This Row],[Ciudad]],Tabla2[Ciudades],Tabla2[Provincias],"no se encuentra")</f>
        <v>Madrid</v>
      </c>
      <c r="L1413" t="str">
        <f>_xlfn.XLOOKUP(datos_ventas[[#This Row],[Provincia]],Tabla2[Provincias],Tabla2[Comunidades],"no se encuentra")</f>
        <v>Comunidad de Madrid</v>
      </c>
      <c r="M1413" t="s">
        <v>28</v>
      </c>
      <c r="N1413">
        <v>5</v>
      </c>
    </row>
    <row r="1414" spans="1:14" x14ac:dyDescent="0.25">
      <c r="A1414">
        <v>2413</v>
      </c>
      <c r="B1414" s="1">
        <v>45766</v>
      </c>
      <c r="C1414" s="4">
        <f>MONTH(datos_ventas[[#This Row],[Fecha]])</f>
        <v>4</v>
      </c>
      <c r="D1414" s="4">
        <f>WEEKNUM(datos_ventas[[#This Row],[Fecha]],2)</f>
        <v>16</v>
      </c>
      <c r="E1414" t="s">
        <v>20</v>
      </c>
      <c r="F1414" t="s">
        <v>21</v>
      </c>
      <c r="G1414">
        <v>3</v>
      </c>
      <c r="H1414">
        <v>39368</v>
      </c>
      <c r="I1414">
        <v>1823</v>
      </c>
      <c r="J1414" t="s">
        <v>14</v>
      </c>
      <c r="K1414" t="str">
        <f>_xlfn.XLOOKUP(datos_ventas[[#This Row],[Ciudad]],Tabla2[Ciudades],Tabla2[Provincias],"no se encuentra")</f>
        <v>Madrid</v>
      </c>
      <c r="L1414" t="str">
        <f>_xlfn.XLOOKUP(datos_ventas[[#This Row],[Provincia]],Tabla2[Provincias],Tabla2[Comunidades],"no se encuentra")</f>
        <v>Comunidad de Madrid</v>
      </c>
      <c r="M1414" t="s">
        <v>28</v>
      </c>
      <c r="N1414">
        <v>2</v>
      </c>
    </row>
    <row r="1415" spans="1:14" x14ac:dyDescent="0.25">
      <c r="A1415">
        <v>2414</v>
      </c>
      <c r="B1415" s="1">
        <v>45717</v>
      </c>
      <c r="C1415" s="4">
        <f>MONTH(datos_ventas[[#This Row],[Fecha]])</f>
        <v>3</v>
      </c>
      <c r="D1415" s="4">
        <f>WEEKNUM(datos_ventas[[#This Row],[Fecha]],2)</f>
        <v>9</v>
      </c>
      <c r="E1415" t="s">
        <v>29</v>
      </c>
      <c r="F1415" t="s">
        <v>30</v>
      </c>
      <c r="G1415">
        <v>3</v>
      </c>
      <c r="H1415">
        <v>108063</v>
      </c>
      <c r="I1415">
        <v>251</v>
      </c>
      <c r="J1415" t="s">
        <v>12</v>
      </c>
      <c r="K1415" t="str">
        <f>_xlfn.XLOOKUP(datos_ventas[[#This Row],[Ciudad]],Tabla2[Ciudades],Tabla2[Provincias],"no se encuentra")</f>
        <v>Málaga</v>
      </c>
      <c r="L1415" t="str">
        <f>_xlfn.XLOOKUP(datos_ventas[[#This Row],[Provincia]],Tabla2[Provincias],Tabla2[Comunidades],"no se encuentra")</f>
        <v>Andalucía</v>
      </c>
      <c r="M1415" t="s">
        <v>13</v>
      </c>
      <c r="N1415">
        <v>4</v>
      </c>
    </row>
    <row r="1416" spans="1:14" x14ac:dyDescent="0.25">
      <c r="A1416">
        <v>2415</v>
      </c>
      <c r="B1416" s="1">
        <v>45865</v>
      </c>
      <c r="C1416" s="4">
        <f>MONTH(datos_ventas[[#This Row],[Fecha]])</f>
        <v>7</v>
      </c>
      <c r="D1416" s="4">
        <f>WEEKNUM(datos_ventas[[#This Row],[Fecha]],2)</f>
        <v>30</v>
      </c>
      <c r="E1416" t="s">
        <v>26</v>
      </c>
      <c r="F1416" t="s">
        <v>18</v>
      </c>
      <c r="G1416">
        <v>3</v>
      </c>
      <c r="H1416">
        <v>4352</v>
      </c>
      <c r="I1416">
        <v>2113</v>
      </c>
      <c r="J1416" t="s">
        <v>22</v>
      </c>
      <c r="K1416" t="str">
        <f>_xlfn.XLOOKUP(datos_ventas[[#This Row],[Ciudad]],Tabla2[Ciudades],Tabla2[Provincias],"no se encuentra")</f>
        <v>Valencia</v>
      </c>
      <c r="L1416" t="str">
        <f>_xlfn.XLOOKUP(datos_ventas[[#This Row],[Provincia]],Tabla2[Provincias],Tabla2[Comunidades],"no se encuentra")</f>
        <v>Comunidad Valenciana</v>
      </c>
      <c r="M1416" t="s">
        <v>15</v>
      </c>
      <c r="N1416">
        <v>3</v>
      </c>
    </row>
    <row r="1417" spans="1:14" x14ac:dyDescent="0.25">
      <c r="A1417">
        <v>2416</v>
      </c>
      <c r="B1417" s="1">
        <v>45716</v>
      </c>
      <c r="C1417" s="4">
        <f>MONTH(datos_ventas[[#This Row],[Fecha]])</f>
        <v>2</v>
      </c>
      <c r="D1417" s="4">
        <f>WEEKNUM(datos_ventas[[#This Row],[Fecha]],2)</f>
        <v>9</v>
      </c>
      <c r="E1417" t="s">
        <v>16</v>
      </c>
      <c r="F1417" t="s">
        <v>11</v>
      </c>
      <c r="G1417">
        <v>1</v>
      </c>
      <c r="H1417">
        <v>100892</v>
      </c>
      <c r="I1417">
        <v>3521</v>
      </c>
      <c r="J1417" t="s">
        <v>32</v>
      </c>
      <c r="K1417" t="str">
        <f>_xlfn.XLOOKUP(datos_ventas[[#This Row],[Ciudad]],Tabla2[Ciudades],Tabla2[Provincias],"no se encuentra")</f>
        <v>Barcelona</v>
      </c>
      <c r="L1417" t="str">
        <f>_xlfn.XLOOKUP(datos_ventas[[#This Row],[Provincia]],Tabla2[Provincias],Tabla2[Comunidades],"no se encuentra")</f>
        <v>Cataluña</v>
      </c>
      <c r="M1417" t="s">
        <v>19</v>
      </c>
      <c r="N1417">
        <v>4</v>
      </c>
    </row>
    <row r="1418" spans="1:14" x14ac:dyDescent="0.25">
      <c r="A1418">
        <v>2417</v>
      </c>
      <c r="B1418" s="1">
        <v>45910</v>
      </c>
      <c r="C1418" s="4">
        <f>MONTH(datos_ventas[[#This Row],[Fecha]])</f>
        <v>9</v>
      </c>
      <c r="D1418" s="4">
        <f>WEEKNUM(datos_ventas[[#This Row],[Fecha]],2)</f>
        <v>37</v>
      </c>
      <c r="E1418" t="s">
        <v>29</v>
      </c>
      <c r="F1418" t="s">
        <v>30</v>
      </c>
      <c r="G1418">
        <v>3</v>
      </c>
      <c r="H1418">
        <v>16517</v>
      </c>
      <c r="I1418">
        <v>1881</v>
      </c>
      <c r="J1418" t="s">
        <v>22</v>
      </c>
      <c r="K1418" t="str">
        <f>_xlfn.XLOOKUP(datos_ventas[[#This Row],[Ciudad]],Tabla2[Ciudades],Tabla2[Provincias],"no se encuentra")</f>
        <v>Valencia</v>
      </c>
      <c r="L1418" t="str">
        <f>_xlfn.XLOOKUP(datos_ventas[[#This Row],[Provincia]],Tabla2[Provincias],Tabla2[Comunidades],"no se encuentra")</f>
        <v>Comunidad Valenciana</v>
      </c>
      <c r="M1418" t="s">
        <v>28</v>
      </c>
      <c r="N1418">
        <v>3</v>
      </c>
    </row>
    <row r="1419" spans="1:14" x14ac:dyDescent="0.25">
      <c r="A1419">
        <v>2418</v>
      </c>
      <c r="B1419" s="1">
        <v>45684</v>
      </c>
      <c r="C1419" s="4">
        <f>MONTH(datos_ventas[[#This Row],[Fecha]])</f>
        <v>1</v>
      </c>
      <c r="D1419" s="4">
        <f>WEEKNUM(datos_ventas[[#This Row],[Fecha]],2)</f>
        <v>5</v>
      </c>
      <c r="E1419" t="s">
        <v>29</v>
      </c>
      <c r="F1419" t="s">
        <v>30</v>
      </c>
      <c r="G1419">
        <v>2</v>
      </c>
      <c r="H1419">
        <v>92717</v>
      </c>
      <c r="I1419">
        <v>141</v>
      </c>
      <c r="J1419" t="s">
        <v>31</v>
      </c>
      <c r="K1419" t="str">
        <f>_xlfn.XLOOKUP(datos_ventas[[#This Row],[Ciudad]],Tabla2[Ciudades],Tabla2[Provincias],"no se encuentra")</f>
        <v>Vizcaya</v>
      </c>
      <c r="L1419" t="str">
        <f>_xlfn.XLOOKUP(datos_ventas[[#This Row],[Provincia]],Tabla2[Provincias],Tabla2[Comunidades],"no se encuentra")</f>
        <v>País Vasco</v>
      </c>
      <c r="M1419" t="s">
        <v>28</v>
      </c>
      <c r="N1419">
        <v>4</v>
      </c>
    </row>
    <row r="1420" spans="1:14" x14ac:dyDescent="0.25">
      <c r="A1420">
        <v>2419</v>
      </c>
      <c r="B1420" s="1">
        <v>45831</v>
      </c>
      <c r="C1420" s="4">
        <f>MONTH(datos_ventas[[#This Row],[Fecha]])</f>
        <v>6</v>
      </c>
      <c r="D1420" s="4">
        <f>WEEKNUM(datos_ventas[[#This Row],[Fecha]],2)</f>
        <v>26</v>
      </c>
      <c r="E1420" t="s">
        <v>17</v>
      </c>
      <c r="F1420" t="s">
        <v>18</v>
      </c>
      <c r="G1420">
        <v>1</v>
      </c>
      <c r="H1420">
        <v>23206</v>
      </c>
      <c r="I1420">
        <v>4997</v>
      </c>
      <c r="J1420" t="s">
        <v>32</v>
      </c>
      <c r="K1420" t="str">
        <f>_xlfn.XLOOKUP(datos_ventas[[#This Row],[Ciudad]],Tabla2[Ciudades],Tabla2[Provincias],"no se encuentra")</f>
        <v>Barcelona</v>
      </c>
      <c r="L1420" t="str">
        <f>_xlfn.XLOOKUP(datos_ventas[[#This Row],[Provincia]],Tabla2[Provincias],Tabla2[Comunidades],"no se encuentra")</f>
        <v>Cataluña</v>
      </c>
      <c r="M1420" t="s">
        <v>19</v>
      </c>
      <c r="N1420">
        <v>4</v>
      </c>
    </row>
    <row r="1421" spans="1:14" x14ac:dyDescent="0.25">
      <c r="A1421">
        <v>2420</v>
      </c>
      <c r="B1421" s="1">
        <v>45918</v>
      </c>
      <c r="C1421" s="4">
        <f>MONTH(datos_ventas[[#This Row],[Fecha]])</f>
        <v>9</v>
      </c>
      <c r="D1421" s="4">
        <f>WEEKNUM(datos_ventas[[#This Row],[Fecha]],2)</f>
        <v>38</v>
      </c>
      <c r="E1421" t="s">
        <v>26</v>
      </c>
      <c r="F1421" t="s">
        <v>18</v>
      </c>
      <c r="G1421">
        <v>5</v>
      </c>
      <c r="H1421">
        <v>103188</v>
      </c>
      <c r="I1421">
        <v>3333</v>
      </c>
      <c r="J1421" t="s">
        <v>32</v>
      </c>
      <c r="K1421" t="str">
        <f>_xlfn.XLOOKUP(datos_ventas[[#This Row],[Ciudad]],Tabla2[Ciudades],Tabla2[Provincias],"no se encuentra")</f>
        <v>Barcelona</v>
      </c>
      <c r="L1421" t="str">
        <f>_xlfn.XLOOKUP(datos_ventas[[#This Row],[Provincia]],Tabla2[Provincias],Tabla2[Comunidades],"no se encuentra")</f>
        <v>Cataluña</v>
      </c>
      <c r="M1421" t="s">
        <v>28</v>
      </c>
      <c r="N1421">
        <v>3</v>
      </c>
    </row>
    <row r="1422" spans="1:14" x14ac:dyDescent="0.25">
      <c r="A1422">
        <v>2421</v>
      </c>
      <c r="B1422" s="1">
        <v>45804</v>
      </c>
      <c r="C1422" s="4">
        <f>MONTH(datos_ventas[[#This Row],[Fecha]])</f>
        <v>5</v>
      </c>
      <c r="D1422" s="4">
        <f>WEEKNUM(datos_ventas[[#This Row],[Fecha]],2)</f>
        <v>22</v>
      </c>
      <c r="E1422" t="s">
        <v>29</v>
      </c>
      <c r="F1422" t="s">
        <v>30</v>
      </c>
      <c r="G1422">
        <v>4</v>
      </c>
      <c r="H1422">
        <v>28316</v>
      </c>
      <c r="I1422">
        <v>1193</v>
      </c>
      <c r="J1422" t="s">
        <v>31</v>
      </c>
      <c r="K1422" t="str">
        <f>_xlfn.XLOOKUP(datos_ventas[[#This Row],[Ciudad]],Tabla2[Ciudades],Tabla2[Provincias],"no se encuentra")</f>
        <v>Vizcaya</v>
      </c>
      <c r="L1422" t="str">
        <f>_xlfn.XLOOKUP(datos_ventas[[#This Row],[Provincia]],Tabla2[Provincias],Tabla2[Comunidades],"no se encuentra")</f>
        <v>País Vasco</v>
      </c>
      <c r="M1422" t="s">
        <v>13</v>
      </c>
      <c r="N1422">
        <v>3</v>
      </c>
    </row>
    <row r="1423" spans="1:14" x14ac:dyDescent="0.25">
      <c r="A1423">
        <v>2422</v>
      </c>
      <c r="B1423" s="1">
        <v>45924</v>
      </c>
      <c r="C1423" s="4">
        <f>MONTH(datos_ventas[[#This Row],[Fecha]])</f>
        <v>9</v>
      </c>
      <c r="D1423" s="4">
        <f>WEEKNUM(datos_ventas[[#This Row],[Fecha]],2)</f>
        <v>39</v>
      </c>
      <c r="E1423" t="s">
        <v>17</v>
      </c>
      <c r="F1423" t="s">
        <v>18</v>
      </c>
      <c r="G1423">
        <v>4</v>
      </c>
      <c r="H1423">
        <v>78362</v>
      </c>
      <c r="I1423">
        <v>174</v>
      </c>
      <c r="J1423" t="s">
        <v>14</v>
      </c>
      <c r="K1423" t="str">
        <f>_xlfn.XLOOKUP(datos_ventas[[#This Row],[Ciudad]],Tabla2[Ciudades],Tabla2[Provincias],"no se encuentra")</f>
        <v>Madrid</v>
      </c>
      <c r="L1423" t="str">
        <f>_xlfn.XLOOKUP(datos_ventas[[#This Row],[Provincia]],Tabla2[Provincias],Tabla2[Comunidades],"no se encuentra")</f>
        <v>Comunidad de Madrid</v>
      </c>
      <c r="M1423" t="s">
        <v>19</v>
      </c>
      <c r="N1423">
        <v>3</v>
      </c>
    </row>
    <row r="1424" spans="1:14" x14ac:dyDescent="0.25">
      <c r="A1424">
        <v>2423</v>
      </c>
      <c r="B1424" s="1">
        <v>45745</v>
      </c>
      <c r="C1424" s="4">
        <f>MONTH(datos_ventas[[#This Row],[Fecha]])</f>
        <v>3</v>
      </c>
      <c r="D1424" s="4">
        <f>WEEKNUM(datos_ventas[[#This Row],[Fecha]],2)</f>
        <v>13</v>
      </c>
      <c r="E1424" t="s">
        <v>20</v>
      </c>
      <c r="F1424" t="s">
        <v>21</v>
      </c>
      <c r="G1424">
        <v>5</v>
      </c>
      <c r="H1424">
        <v>23384</v>
      </c>
      <c r="I1424">
        <v>935</v>
      </c>
      <c r="J1424" t="s">
        <v>31</v>
      </c>
      <c r="K1424" t="str">
        <f>_xlfn.XLOOKUP(datos_ventas[[#This Row],[Ciudad]],Tabla2[Ciudades],Tabla2[Provincias],"no se encuentra")</f>
        <v>Vizcaya</v>
      </c>
      <c r="L1424" t="str">
        <f>_xlfn.XLOOKUP(datos_ventas[[#This Row],[Provincia]],Tabla2[Provincias],Tabla2[Comunidades],"no se encuentra")</f>
        <v>País Vasco</v>
      </c>
      <c r="M1424" t="s">
        <v>28</v>
      </c>
      <c r="N1424">
        <v>5</v>
      </c>
    </row>
    <row r="1425" spans="1:14" x14ac:dyDescent="0.25">
      <c r="A1425">
        <v>2424</v>
      </c>
      <c r="B1425" s="1">
        <v>45927</v>
      </c>
      <c r="C1425" s="4">
        <f>MONTH(datos_ventas[[#This Row],[Fecha]])</f>
        <v>9</v>
      </c>
      <c r="D1425" s="4">
        <f>WEEKNUM(datos_ventas[[#This Row],[Fecha]],2)</f>
        <v>39</v>
      </c>
      <c r="E1425" t="s">
        <v>10</v>
      </c>
      <c r="F1425" t="s">
        <v>11</v>
      </c>
      <c r="G1425">
        <v>4</v>
      </c>
      <c r="H1425">
        <v>23281</v>
      </c>
      <c r="I1425">
        <v>3342</v>
      </c>
      <c r="J1425" t="s">
        <v>22</v>
      </c>
      <c r="K1425" t="str">
        <f>_xlfn.XLOOKUP(datos_ventas[[#This Row],[Ciudad]],Tabla2[Ciudades],Tabla2[Provincias],"no se encuentra")</f>
        <v>Valencia</v>
      </c>
      <c r="L1425" t="str">
        <f>_xlfn.XLOOKUP(datos_ventas[[#This Row],[Provincia]],Tabla2[Provincias],Tabla2[Comunidades],"no se encuentra")</f>
        <v>Comunidad Valenciana</v>
      </c>
      <c r="M1425" t="s">
        <v>15</v>
      </c>
      <c r="N1425">
        <v>2</v>
      </c>
    </row>
    <row r="1426" spans="1:14" x14ac:dyDescent="0.25">
      <c r="A1426">
        <v>2425</v>
      </c>
      <c r="B1426" s="1">
        <v>45995</v>
      </c>
      <c r="C1426" s="4">
        <f>MONTH(datos_ventas[[#This Row],[Fecha]])</f>
        <v>12</v>
      </c>
      <c r="D1426" s="4">
        <f>WEEKNUM(datos_ventas[[#This Row],[Fecha]],2)</f>
        <v>49</v>
      </c>
      <c r="E1426" t="s">
        <v>23</v>
      </c>
      <c r="F1426" t="s">
        <v>18</v>
      </c>
      <c r="G1426">
        <v>4</v>
      </c>
      <c r="H1426">
        <v>27722</v>
      </c>
      <c r="I1426">
        <v>3624</v>
      </c>
      <c r="J1426" t="s">
        <v>12</v>
      </c>
      <c r="K1426" t="str">
        <f>_xlfn.XLOOKUP(datos_ventas[[#This Row],[Ciudad]],Tabla2[Ciudades],Tabla2[Provincias],"no se encuentra")</f>
        <v>Málaga</v>
      </c>
      <c r="L1426" t="str">
        <f>_xlfn.XLOOKUP(datos_ventas[[#This Row],[Provincia]],Tabla2[Provincias],Tabla2[Comunidades],"no se encuentra")</f>
        <v>Andalucía</v>
      </c>
      <c r="M1426" t="s">
        <v>19</v>
      </c>
      <c r="N1426">
        <v>5</v>
      </c>
    </row>
    <row r="1427" spans="1:14" x14ac:dyDescent="0.25">
      <c r="A1427">
        <v>2426</v>
      </c>
      <c r="B1427" s="1">
        <v>45698</v>
      </c>
      <c r="C1427" s="4">
        <f>MONTH(datos_ventas[[#This Row],[Fecha]])</f>
        <v>2</v>
      </c>
      <c r="D1427" s="4">
        <f>WEEKNUM(datos_ventas[[#This Row],[Fecha]],2)</f>
        <v>7</v>
      </c>
      <c r="E1427" t="s">
        <v>23</v>
      </c>
      <c r="F1427" t="s">
        <v>18</v>
      </c>
      <c r="G1427">
        <v>2</v>
      </c>
      <c r="H1427">
        <v>20155</v>
      </c>
      <c r="I1427">
        <v>397</v>
      </c>
      <c r="J1427" t="s">
        <v>12</v>
      </c>
      <c r="K1427" t="str">
        <f>_xlfn.XLOOKUP(datos_ventas[[#This Row],[Ciudad]],Tabla2[Ciudades],Tabla2[Provincias],"no se encuentra")</f>
        <v>Málaga</v>
      </c>
      <c r="L1427" t="str">
        <f>_xlfn.XLOOKUP(datos_ventas[[#This Row],[Provincia]],Tabla2[Provincias],Tabla2[Comunidades],"no se encuentra")</f>
        <v>Andalucía</v>
      </c>
      <c r="M1427" t="s">
        <v>28</v>
      </c>
      <c r="N1427">
        <v>3</v>
      </c>
    </row>
    <row r="1428" spans="1:14" x14ac:dyDescent="0.25">
      <c r="A1428">
        <v>2427</v>
      </c>
      <c r="B1428" s="1">
        <v>45790</v>
      </c>
      <c r="C1428" s="4">
        <f>MONTH(datos_ventas[[#This Row],[Fecha]])</f>
        <v>5</v>
      </c>
      <c r="D1428" s="4">
        <f>WEEKNUM(datos_ventas[[#This Row],[Fecha]],2)</f>
        <v>20</v>
      </c>
      <c r="E1428" t="s">
        <v>16</v>
      </c>
      <c r="F1428" t="s">
        <v>11</v>
      </c>
      <c r="G1428">
        <v>3</v>
      </c>
      <c r="H1428">
        <v>66357</v>
      </c>
      <c r="I1428">
        <v>3017</v>
      </c>
      <c r="J1428" t="s">
        <v>14</v>
      </c>
      <c r="K1428" t="str">
        <f>_xlfn.XLOOKUP(datos_ventas[[#This Row],[Ciudad]],Tabla2[Ciudades],Tabla2[Provincias],"no se encuentra")</f>
        <v>Madrid</v>
      </c>
      <c r="L1428" t="str">
        <f>_xlfn.XLOOKUP(datos_ventas[[#This Row],[Provincia]],Tabla2[Provincias],Tabla2[Comunidades],"no se encuentra")</f>
        <v>Comunidad de Madrid</v>
      </c>
      <c r="M1428" t="s">
        <v>28</v>
      </c>
      <c r="N1428">
        <v>4</v>
      </c>
    </row>
    <row r="1429" spans="1:14" x14ac:dyDescent="0.25">
      <c r="A1429">
        <v>2428</v>
      </c>
      <c r="B1429" s="1">
        <v>45845</v>
      </c>
      <c r="C1429" s="4">
        <f>MONTH(datos_ventas[[#This Row],[Fecha]])</f>
        <v>7</v>
      </c>
      <c r="D1429" s="4">
        <f>WEEKNUM(datos_ventas[[#This Row],[Fecha]],2)</f>
        <v>28</v>
      </c>
      <c r="E1429" t="s">
        <v>24</v>
      </c>
      <c r="F1429" t="s">
        <v>25</v>
      </c>
      <c r="G1429">
        <v>2</v>
      </c>
      <c r="H1429">
        <v>24794</v>
      </c>
      <c r="I1429">
        <v>538</v>
      </c>
      <c r="J1429" t="s">
        <v>31</v>
      </c>
      <c r="K1429" t="str">
        <f>_xlfn.XLOOKUP(datos_ventas[[#This Row],[Ciudad]],Tabla2[Ciudades],Tabla2[Provincias],"no se encuentra")</f>
        <v>Vizcaya</v>
      </c>
      <c r="L1429" t="str">
        <f>_xlfn.XLOOKUP(datos_ventas[[#This Row],[Provincia]],Tabla2[Provincias],Tabla2[Comunidades],"no se encuentra")</f>
        <v>País Vasco</v>
      </c>
      <c r="M1429" t="s">
        <v>19</v>
      </c>
      <c r="N1429">
        <v>5</v>
      </c>
    </row>
    <row r="1430" spans="1:14" x14ac:dyDescent="0.25">
      <c r="A1430">
        <v>2429</v>
      </c>
      <c r="B1430" s="1">
        <v>45847</v>
      </c>
      <c r="C1430" s="4">
        <f>MONTH(datos_ventas[[#This Row],[Fecha]])</f>
        <v>7</v>
      </c>
      <c r="D1430" s="4">
        <f>WEEKNUM(datos_ventas[[#This Row],[Fecha]],2)</f>
        <v>28</v>
      </c>
      <c r="E1430" t="s">
        <v>26</v>
      </c>
      <c r="F1430" t="s">
        <v>18</v>
      </c>
      <c r="G1430">
        <v>2</v>
      </c>
      <c r="H1430">
        <v>39931</v>
      </c>
      <c r="I1430">
        <v>2026</v>
      </c>
      <c r="J1430" t="s">
        <v>31</v>
      </c>
      <c r="K1430" t="str">
        <f>_xlfn.XLOOKUP(datos_ventas[[#This Row],[Ciudad]],Tabla2[Ciudades],Tabla2[Provincias],"no se encuentra")</f>
        <v>Vizcaya</v>
      </c>
      <c r="L1430" t="str">
        <f>_xlfn.XLOOKUP(datos_ventas[[#This Row],[Provincia]],Tabla2[Provincias],Tabla2[Comunidades],"no se encuentra")</f>
        <v>País Vasco</v>
      </c>
      <c r="M1430" t="s">
        <v>15</v>
      </c>
      <c r="N1430">
        <v>3</v>
      </c>
    </row>
    <row r="1431" spans="1:14" x14ac:dyDescent="0.25">
      <c r="A1431">
        <v>2430</v>
      </c>
      <c r="B1431" s="1">
        <v>45991</v>
      </c>
      <c r="C1431" s="4">
        <f>MONTH(datos_ventas[[#This Row],[Fecha]])</f>
        <v>11</v>
      </c>
      <c r="D1431" s="4">
        <f>WEEKNUM(datos_ventas[[#This Row],[Fecha]],2)</f>
        <v>48</v>
      </c>
      <c r="E1431" t="s">
        <v>16</v>
      </c>
      <c r="F1431" t="s">
        <v>11</v>
      </c>
      <c r="G1431">
        <v>2</v>
      </c>
      <c r="H1431">
        <v>90283</v>
      </c>
      <c r="I1431">
        <v>2994</v>
      </c>
      <c r="J1431" t="s">
        <v>22</v>
      </c>
      <c r="K1431" t="str">
        <f>_xlfn.XLOOKUP(datos_ventas[[#This Row],[Ciudad]],Tabla2[Ciudades],Tabla2[Provincias],"no se encuentra")</f>
        <v>Valencia</v>
      </c>
      <c r="L1431" t="str">
        <f>_xlfn.XLOOKUP(datos_ventas[[#This Row],[Provincia]],Tabla2[Provincias],Tabla2[Comunidades],"no se encuentra")</f>
        <v>Comunidad Valenciana</v>
      </c>
      <c r="M1431" t="s">
        <v>19</v>
      </c>
      <c r="N1431">
        <v>4</v>
      </c>
    </row>
    <row r="1432" spans="1:14" x14ac:dyDescent="0.25">
      <c r="A1432">
        <v>2431</v>
      </c>
      <c r="B1432" s="1">
        <v>45946</v>
      </c>
      <c r="C1432" s="4">
        <f>MONTH(datos_ventas[[#This Row],[Fecha]])</f>
        <v>10</v>
      </c>
      <c r="D1432" s="4">
        <f>WEEKNUM(datos_ventas[[#This Row],[Fecha]],2)</f>
        <v>42</v>
      </c>
      <c r="E1432" t="s">
        <v>24</v>
      </c>
      <c r="F1432" t="s">
        <v>25</v>
      </c>
      <c r="G1432">
        <v>3</v>
      </c>
      <c r="H1432">
        <v>45737</v>
      </c>
      <c r="I1432">
        <v>4561</v>
      </c>
      <c r="J1432" t="s">
        <v>31</v>
      </c>
      <c r="K1432" t="str">
        <f>_xlfn.XLOOKUP(datos_ventas[[#This Row],[Ciudad]],Tabla2[Ciudades],Tabla2[Provincias],"no se encuentra")</f>
        <v>Vizcaya</v>
      </c>
      <c r="L1432" t="str">
        <f>_xlfn.XLOOKUP(datos_ventas[[#This Row],[Provincia]],Tabla2[Provincias],Tabla2[Comunidades],"no se encuentra")</f>
        <v>País Vasco</v>
      </c>
      <c r="M1432" t="s">
        <v>28</v>
      </c>
      <c r="N1432">
        <v>5</v>
      </c>
    </row>
    <row r="1433" spans="1:14" x14ac:dyDescent="0.25">
      <c r="A1433">
        <v>2432</v>
      </c>
      <c r="B1433" s="1">
        <v>45669</v>
      </c>
      <c r="C1433" s="4">
        <f>MONTH(datos_ventas[[#This Row],[Fecha]])</f>
        <v>1</v>
      </c>
      <c r="D1433" s="4">
        <f>WEEKNUM(datos_ventas[[#This Row],[Fecha]],2)</f>
        <v>2</v>
      </c>
      <c r="E1433" t="s">
        <v>23</v>
      </c>
      <c r="F1433" t="s">
        <v>18</v>
      </c>
      <c r="G1433">
        <v>4</v>
      </c>
      <c r="H1433">
        <v>51365</v>
      </c>
      <c r="I1433">
        <v>3015</v>
      </c>
      <c r="J1433" t="s">
        <v>32</v>
      </c>
      <c r="K1433" t="str">
        <f>_xlfn.XLOOKUP(datos_ventas[[#This Row],[Ciudad]],Tabla2[Ciudades],Tabla2[Provincias],"no se encuentra")</f>
        <v>Barcelona</v>
      </c>
      <c r="L1433" t="str">
        <f>_xlfn.XLOOKUP(datos_ventas[[#This Row],[Provincia]],Tabla2[Provincias],Tabla2[Comunidades],"no se encuentra")</f>
        <v>Cataluña</v>
      </c>
      <c r="M1433" t="s">
        <v>15</v>
      </c>
      <c r="N1433">
        <v>5</v>
      </c>
    </row>
    <row r="1434" spans="1:14" x14ac:dyDescent="0.25">
      <c r="A1434">
        <v>2433</v>
      </c>
      <c r="B1434" s="1">
        <v>45921</v>
      </c>
      <c r="C1434" s="4">
        <f>MONTH(datos_ventas[[#This Row],[Fecha]])</f>
        <v>9</v>
      </c>
      <c r="D1434" s="4">
        <f>WEEKNUM(datos_ventas[[#This Row],[Fecha]],2)</f>
        <v>38</v>
      </c>
      <c r="E1434" t="s">
        <v>17</v>
      </c>
      <c r="F1434" t="s">
        <v>18</v>
      </c>
      <c r="G1434">
        <v>4</v>
      </c>
      <c r="H1434">
        <v>95389</v>
      </c>
      <c r="I1434">
        <v>2321</v>
      </c>
      <c r="J1434" t="s">
        <v>32</v>
      </c>
      <c r="K1434" t="str">
        <f>_xlfn.XLOOKUP(datos_ventas[[#This Row],[Ciudad]],Tabla2[Ciudades],Tabla2[Provincias],"no se encuentra")</f>
        <v>Barcelona</v>
      </c>
      <c r="L1434" t="str">
        <f>_xlfn.XLOOKUP(datos_ventas[[#This Row],[Provincia]],Tabla2[Provincias],Tabla2[Comunidades],"no se encuentra")</f>
        <v>Cataluña</v>
      </c>
      <c r="M1434" t="s">
        <v>13</v>
      </c>
      <c r="N1434">
        <v>1</v>
      </c>
    </row>
    <row r="1435" spans="1:14" x14ac:dyDescent="0.25">
      <c r="A1435">
        <v>2434</v>
      </c>
      <c r="B1435" s="1">
        <v>45732</v>
      </c>
      <c r="C1435" s="4">
        <f>MONTH(datos_ventas[[#This Row],[Fecha]])</f>
        <v>3</v>
      </c>
      <c r="D1435" s="4">
        <f>WEEKNUM(datos_ventas[[#This Row],[Fecha]],2)</f>
        <v>11</v>
      </c>
      <c r="E1435" t="s">
        <v>17</v>
      </c>
      <c r="F1435" t="s">
        <v>18</v>
      </c>
      <c r="G1435">
        <v>2</v>
      </c>
      <c r="H1435">
        <v>40243</v>
      </c>
      <c r="I1435">
        <v>3023</v>
      </c>
      <c r="J1435" t="s">
        <v>31</v>
      </c>
      <c r="K1435" t="str">
        <f>_xlfn.XLOOKUP(datos_ventas[[#This Row],[Ciudad]],Tabla2[Ciudades],Tabla2[Provincias],"no se encuentra")</f>
        <v>Vizcaya</v>
      </c>
      <c r="L1435" t="str">
        <f>_xlfn.XLOOKUP(datos_ventas[[#This Row],[Provincia]],Tabla2[Provincias],Tabla2[Comunidades],"no se encuentra")</f>
        <v>País Vasco</v>
      </c>
      <c r="M1435" t="s">
        <v>19</v>
      </c>
      <c r="N1435">
        <v>3</v>
      </c>
    </row>
    <row r="1436" spans="1:14" x14ac:dyDescent="0.25">
      <c r="A1436">
        <v>2435</v>
      </c>
      <c r="B1436" s="1">
        <v>45910</v>
      </c>
      <c r="C1436" s="4">
        <f>MONTH(datos_ventas[[#This Row],[Fecha]])</f>
        <v>9</v>
      </c>
      <c r="D1436" s="4">
        <f>WEEKNUM(datos_ventas[[#This Row],[Fecha]],2)</f>
        <v>37</v>
      </c>
      <c r="E1436" t="s">
        <v>17</v>
      </c>
      <c r="F1436" t="s">
        <v>18</v>
      </c>
      <c r="G1436">
        <v>2</v>
      </c>
      <c r="H1436">
        <v>42543</v>
      </c>
      <c r="I1436">
        <v>3855</v>
      </c>
      <c r="J1436" t="s">
        <v>22</v>
      </c>
      <c r="K1436" t="str">
        <f>_xlfn.XLOOKUP(datos_ventas[[#This Row],[Ciudad]],Tabla2[Ciudades],Tabla2[Provincias],"no se encuentra")</f>
        <v>Valencia</v>
      </c>
      <c r="L1436" t="str">
        <f>_xlfn.XLOOKUP(datos_ventas[[#This Row],[Provincia]],Tabla2[Provincias],Tabla2[Comunidades],"no se encuentra")</f>
        <v>Comunidad Valenciana</v>
      </c>
      <c r="M1436" t="s">
        <v>28</v>
      </c>
      <c r="N1436">
        <v>5</v>
      </c>
    </row>
    <row r="1437" spans="1:14" x14ac:dyDescent="0.25">
      <c r="A1437">
        <v>2436</v>
      </c>
      <c r="B1437" s="1">
        <v>46018</v>
      </c>
      <c r="C1437" s="4">
        <f>MONTH(datos_ventas[[#This Row],[Fecha]])</f>
        <v>12</v>
      </c>
      <c r="D1437" s="4">
        <f>WEEKNUM(datos_ventas[[#This Row],[Fecha]],2)</f>
        <v>52</v>
      </c>
      <c r="E1437" t="s">
        <v>23</v>
      </c>
      <c r="F1437" t="s">
        <v>18</v>
      </c>
      <c r="G1437">
        <v>2</v>
      </c>
      <c r="H1437">
        <v>64929</v>
      </c>
      <c r="I1437">
        <v>4788</v>
      </c>
      <c r="J1437" t="s">
        <v>22</v>
      </c>
      <c r="K1437" t="str">
        <f>_xlfn.XLOOKUP(datos_ventas[[#This Row],[Ciudad]],Tabla2[Ciudades],Tabla2[Provincias],"no se encuentra")</f>
        <v>Valencia</v>
      </c>
      <c r="L1437" t="str">
        <f>_xlfn.XLOOKUP(datos_ventas[[#This Row],[Provincia]],Tabla2[Provincias],Tabla2[Comunidades],"no se encuentra")</f>
        <v>Comunidad Valenciana</v>
      </c>
      <c r="M1437" t="s">
        <v>28</v>
      </c>
      <c r="N1437">
        <v>1</v>
      </c>
    </row>
    <row r="1438" spans="1:14" x14ac:dyDescent="0.25">
      <c r="A1438">
        <v>2437</v>
      </c>
      <c r="B1438" s="1">
        <v>45829</v>
      </c>
      <c r="C1438" s="4">
        <f>MONTH(datos_ventas[[#This Row],[Fecha]])</f>
        <v>6</v>
      </c>
      <c r="D1438" s="4">
        <f>WEEKNUM(datos_ventas[[#This Row],[Fecha]],2)</f>
        <v>25</v>
      </c>
      <c r="E1438" t="s">
        <v>29</v>
      </c>
      <c r="F1438" t="s">
        <v>30</v>
      </c>
      <c r="G1438">
        <v>3</v>
      </c>
      <c r="H1438">
        <v>103003</v>
      </c>
      <c r="I1438">
        <v>3666</v>
      </c>
      <c r="J1438" t="s">
        <v>12</v>
      </c>
      <c r="K1438" t="str">
        <f>_xlfn.XLOOKUP(datos_ventas[[#This Row],[Ciudad]],Tabla2[Ciudades],Tabla2[Provincias],"no se encuentra")</f>
        <v>Málaga</v>
      </c>
      <c r="L1438" t="str">
        <f>_xlfn.XLOOKUP(datos_ventas[[#This Row],[Provincia]],Tabla2[Provincias],Tabla2[Comunidades],"no se encuentra")</f>
        <v>Andalucía</v>
      </c>
      <c r="M1438" t="s">
        <v>13</v>
      </c>
      <c r="N1438">
        <v>3</v>
      </c>
    </row>
    <row r="1439" spans="1:14" x14ac:dyDescent="0.25">
      <c r="A1439">
        <v>2438</v>
      </c>
      <c r="B1439" s="1">
        <v>45915</v>
      </c>
      <c r="C1439" s="4">
        <f>MONTH(datos_ventas[[#This Row],[Fecha]])</f>
        <v>9</v>
      </c>
      <c r="D1439" s="4">
        <f>WEEKNUM(datos_ventas[[#This Row],[Fecha]],2)</f>
        <v>38</v>
      </c>
      <c r="E1439" t="s">
        <v>20</v>
      </c>
      <c r="F1439" t="s">
        <v>21</v>
      </c>
      <c r="G1439">
        <v>1</v>
      </c>
      <c r="H1439">
        <v>27308</v>
      </c>
      <c r="I1439">
        <v>1795</v>
      </c>
      <c r="J1439" t="s">
        <v>27</v>
      </c>
      <c r="K1439" t="str">
        <f>_xlfn.XLOOKUP(datos_ventas[[#This Row],[Ciudad]],Tabla2[Ciudades],Tabla2[Provincias],"no se encuentra")</f>
        <v>Sevilla</v>
      </c>
      <c r="L1439" t="str">
        <f>_xlfn.XLOOKUP(datos_ventas[[#This Row],[Provincia]],Tabla2[Provincias],Tabla2[Comunidades],"no se encuentra")</f>
        <v>Andalucía</v>
      </c>
      <c r="M1439" t="s">
        <v>28</v>
      </c>
      <c r="N1439">
        <v>5</v>
      </c>
    </row>
    <row r="1440" spans="1:14" x14ac:dyDescent="0.25">
      <c r="A1440">
        <v>2439</v>
      </c>
      <c r="B1440" s="1">
        <v>45726</v>
      </c>
      <c r="C1440" s="4">
        <f>MONTH(datos_ventas[[#This Row],[Fecha]])</f>
        <v>3</v>
      </c>
      <c r="D1440" s="4">
        <f>WEEKNUM(datos_ventas[[#This Row],[Fecha]],2)</f>
        <v>11</v>
      </c>
      <c r="E1440" t="s">
        <v>24</v>
      </c>
      <c r="F1440" t="s">
        <v>25</v>
      </c>
      <c r="G1440">
        <v>2</v>
      </c>
      <c r="H1440">
        <v>32852</v>
      </c>
      <c r="I1440">
        <v>3542</v>
      </c>
      <c r="J1440" t="s">
        <v>22</v>
      </c>
      <c r="K1440" t="str">
        <f>_xlfn.XLOOKUP(datos_ventas[[#This Row],[Ciudad]],Tabla2[Ciudades],Tabla2[Provincias],"no se encuentra")</f>
        <v>Valencia</v>
      </c>
      <c r="L1440" t="str">
        <f>_xlfn.XLOOKUP(datos_ventas[[#This Row],[Provincia]],Tabla2[Provincias],Tabla2[Comunidades],"no se encuentra")</f>
        <v>Comunidad Valenciana</v>
      </c>
      <c r="M1440" t="s">
        <v>15</v>
      </c>
      <c r="N1440">
        <v>1</v>
      </c>
    </row>
    <row r="1441" spans="1:14" x14ac:dyDescent="0.25">
      <c r="A1441">
        <v>2440</v>
      </c>
      <c r="B1441" s="1">
        <v>45778</v>
      </c>
      <c r="C1441" s="4">
        <f>MONTH(datos_ventas[[#This Row],[Fecha]])</f>
        <v>5</v>
      </c>
      <c r="D1441" s="4">
        <f>WEEKNUM(datos_ventas[[#This Row],[Fecha]],2)</f>
        <v>18</v>
      </c>
      <c r="E1441" t="s">
        <v>20</v>
      </c>
      <c r="F1441" t="s">
        <v>21</v>
      </c>
      <c r="G1441">
        <v>3</v>
      </c>
      <c r="H1441">
        <v>25362</v>
      </c>
      <c r="I1441">
        <v>525</v>
      </c>
      <c r="J1441" t="s">
        <v>14</v>
      </c>
      <c r="K1441" t="str">
        <f>_xlfn.XLOOKUP(datos_ventas[[#This Row],[Ciudad]],Tabla2[Ciudades],Tabla2[Provincias],"no se encuentra")</f>
        <v>Madrid</v>
      </c>
      <c r="L1441" t="str">
        <f>_xlfn.XLOOKUP(datos_ventas[[#This Row],[Provincia]],Tabla2[Provincias],Tabla2[Comunidades],"no se encuentra")</f>
        <v>Comunidad de Madrid</v>
      </c>
      <c r="M1441" t="s">
        <v>28</v>
      </c>
      <c r="N1441">
        <v>3</v>
      </c>
    </row>
    <row r="1442" spans="1:14" x14ac:dyDescent="0.25">
      <c r="A1442">
        <v>2441</v>
      </c>
      <c r="B1442" s="1">
        <v>45890</v>
      </c>
      <c r="C1442" s="4">
        <f>MONTH(datos_ventas[[#This Row],[Fecha]])</f>
        <v>8</v>
      </c>
      <c r="D1442" s="4">
        <f>WEEKNUM(datos_ventas[[#This Row],[Fecha]],2)</f>
        <v>34</v>
      </c>
      <c r="E1442" t="s">
        <v>17</v>
      </c>
      <c r="F1442" t="s">
        <v>18</v>
      </c>
      <c r="G1442">
        <v>4</v>
      </c>
      <c r="H1442">
        <v>57641</v>
      </c>
      <c r="I1442">
        <v>1078</v>
      </c>
      <c r="J1442" t="s">
        <v>27</v>
      </c>
      <c r="K1442" t="str">
        <f>_xlfn.XLOOKUP(datos_ventas[[#This Row],[Ciudad]],Tabla2[Ciudades],Tabla2[Provincias],"no se encuentra")</f>
        <v>Sevilla</v>
      </c>
      <c r="L1442" t="str">
        <f>_xlfn.XLOOKUP(datos_ventas[[#This Row],[Provincia]],Tabla2[Provincias],Tabla2[Comunidades],"no se encuentra")</f>
        <v>Andalucía</v>
      </c>
      <c r="M1442" t="s">
        <v>28</v>
      </c>
      <c r="N1442">
        <v>2</v>
      </c>
    </row>
    <row r="1443" spans="1:14" x14ac:dyDescent="0.25">
      <c r="A1443">
        <v>2442</v>
      </c>
      <c r="B1443" s="1">
        <v>45993</v>
      </c>
      <c r="C1443" s="4">
        <f>MONTH(datos_ventas[[#This Row],[Fecha]])</f>
        <v>12</v>
      </c>
      <c r="D1443" s="4">
        <f>WEEKNUM(datos_ventas[[#This Row],[Fecha]],2)</f>
        <v>49</v>
      </c>
      <c r="E1443" t="s">
        <v>16</v>
      </c>
      <c r="F1443" t="s">
        <v>11</v>
      </c>
      <c r="G1443">
        <v>2</v>
      </c>
      <c r="H1443">
        <v>91991</v>
      </c>
      <c r="I1443">
        <v>1129</v>
      </c>
      <c r="J1443" t="s">
        <v>14</v>
      </c>
      <c r="K1443" t="str">
        <f>_xlfn.XLOOKUP(datos_ventas[[#This Row],[Ciudad]],Tabla2[Ciudades],Tabla2[Provincias],"no se encuentra")</f>
        <v>Madrid</v>
      </c>
      <c r="L1443" t="str">
        <f>_xlfn.XLOOKUP(datos_ventas[[#This Row],[Provincia]],Tabla2[Provincias],Tabla2[Comunidades],"no se encuentra")</f>
        <v>Comunidad de Madrid</v>
      </c>
      <c r="M1443" t="s">
        <v>15</v>
      </c>
      <c r="N1443">
        <v>2</v>
      </c>
    </row>
    <row r="1444" spans="1:14" x14ac:dyDescent="0.25">
      <c r="A1444">
        <v>2443</v>
      </c>
      <c r="B1444" s="1">
        <v>45825</v>
      </c>
      <c r="C1444" s="4">
        <f>MONTH(datos_ventas[[#This Row],[Fecha]])</f>
        <v>6</v>
      </c>
      <c r="D1444" s="4">
        <f>WEEKNUM(datos_ventas[[#This Row],[Fecha]],2)</f>
        <v>25</v>
      </c>
      <c r="E1444" t="s">
        <v>26</v>
      </c>
      <c r="F1444" t="s">
        <v>18</v>
      </c>
      <c r="G1444">
        <v>2</v>
      </c>
      <c r="H1444">
        <v>74891</v>
      </c>
      <c r="I1444">
        <v>1936</v>
      </c>
      <c r="J1444" t="s">
        <v>14</v>
      </c>
      <c r="K1444" t="str">
        <f>_xlfn.XLOOKUP(datos_ventas[[#This Row],[Ciudad]],Tabla2[Ciudades],Tabla2[Provincias],"no se encuentra")</f>
        <v>Madrid</v>
      </c>
      <c r="L1444" t="str">
        <f>_xlfn.XLOOKUP(datos_ventas[[#This Row],[Provincia]],Tabla2[Provincias],Tabla2[Comunidades],"no se encuentra")</f>
        <v>Comunidad de Madrid</v>
      </c>
      <c r="M1444" t="s">
        <v>15</v>
      </c>
      <c r="N1444">
        <v>2</v>
      </c>
    </row>
    <row r="1445" spans="1:14" x14ac:dyDescent="0.25">
      <c r="A1445">
        <v>2444</v>
      </c>
      <c r="B1445" s="1">
        <v>45698</v>
      </c>
      <c r="C1445" s="4">
        <f>MONTH(datos_ventas[[#This Row],[Fecha]])</f>
        <v>2</v>
      </c>
      <c r="D1445" s="4">
        <f>WEEKNUM(datos_ventas[[#This Row],[Fecha]],2)</f>
        <v>7</v>
      </c>
      <c r="E1445" t="s">
        <v>23</v>
      </c>
      <c r="F1445" t="s">
        <v>18</v>
      </c>
      <c r="G1445">
        <v>4</v>
      </c>
      <c r="H1445">
        <v>15478</v>
      </c>
      <c r="I1445">
        <v>1821</v>
      </c>
      <c r="J1445" t="s">
        <v>22</v>
      </c>
      <c r="K1445" t="str">
        <f>_xlfn.XLOOKUP(datos_ventas[[#This Row],[Ciudad]],Tabla2[Ciudades],Tabla2[Provincias],"no se encuentra")</f>
        <v>Valencia</v>
      </c>
      <c r="L1445" t="str">
        <f>_xlfn.XLOOKUP(datos_ventas[[#This Row],[Provincia]],Tabla2[Provincias],Tabla2[Comunidades],"no se encuentra")</f>
        <v>Comunidad Valenciana</v>
      </c>
      <c r="M1445" t="s">
        <v>13</v>
      </c>
      <c r="N1445">
        <v>3</v>
      </c>
    </row>
    <row r="1446" spans="1:14" x14ac:dyDescent="0.25">
      <c r="A1446">
        <v>2445</v>
      </c>
      <c r="B1446" s="1">
        <v>45927</v>
      </c>
      <c r="C1446" s="4">
        <f>MONTH(datos_ventas[[#This Row],[Fecha]])</f>
        <v>9</v>
      </c>
      <c r="D1446" s="4">
        <f>WEEKNUM(datos_ventas[[#This Row],[Fecha]],2)</f>
        <v>39</v>
      </c>
      <c r="E1446" t="s">
        <v>17</v>
      </c>
      <c r="F1446" t="s">
        <v>18</v>
      </c>
      <c r="G1446">
        <v>3</v>
      </c>
      <c r="H1446">
        <v>2457</v>
      </c>
      <c r="I1446">
        <v>3483</v>
      </c>
      <c r="J1446" t="s">
        <v>14</v>
      </c>
      <c r="K1446" t="str">
        <f>_xlfn.XLOOKUP(datos_ventas[[#This Row],[Ciudad]],Tabla2[Ciudades],Tabla2[Provincias],"no se encuentra")</f>
        <v>Madrid</v>
      </c>
      <c r="L1446" t="str">
        <f>_xlfn.XLOOKUP(datos_ventas[[#This Row],[Provincia]],Tabla2[Provincias],Tabla2[Comunidades],"no se encuentra")</f>
        <v>Comunidad de Madrid</v>
      </c>
      <c r="M1446" t="s">
        <v>28</v>
      </c>
      <c r="N1446">
        <v>4</v>
      </c>
    </row>
    <row r="1447" spans="1:14" x14ac:dyDescent="0.25">
      <c r="A1447">
        <v>2446</v>
      </c>
      <c r="B1447" s="1">
        <v>45930</v>
      </c>
      <c r="C1447" s="4">
        <f>MONTH(datos_ventas[[#This Row],[Fecha]])</f>
        <v>9</v>
      </c>
      <c r="D1447" s="4">
        <f>WEEKNUM(datos_ventas[[#This Row],[Fecha]],2)</f>
        <v>40</v>
      </c>
      <c r="E1447" t="s">
        <v>10</v>
      </c>
      <c r="F1447" t="s">
        <v>11</v>
      </c>
      <c r="G1447">
        <v>2</v>
      </c>
      <c r="H1447">
        <v>73117</v>
      </c>
      <c r="I1447">
        <v>3808</v>
      </c>
      <c r="J1447" t="s">
        <v>32</v>
      </c>
      <c r="K1447" t="str">
        <f>_xlfn.XLOOKUP(datos_ventas[[#This Row],[Ciudad]],Tabla2[Ciudades],Tabla2[Provincias],"no se encuentra")</f>
        <v>Barcelona</v>
      </c>
      <c r="L1447" t="str">
        <f>_xlfn.XLOOKUP(datos_ventas[[#This Row],[Provincia]],Tabla2[Provincias],Tabla2[Comunidades],"no se encuentra")</f>
        <v>Cataluña</v>
      </c>
      <c r="M1447" t="s">
        <v>13</v>
      </c>
      <c r="N1447">
        <v>4</v>
      </c>
    </row>
    <row r="1448" spans="1:14" x14ac:dyDescent="0.25">
      <c r="A1448">
        <v>2447</v>
      </c>
      <c r="B1448" s="1">
        <v>45793</v>
      </c>
      <c r="C1448" s="4">
        <f>MONTH(datos_ventas[[#This Row],[Fecha]])</f>
        <v>5</v>
      </c>
      <c r="D1448" s="4">
        <f>WEEKNUM(datos_ventas[[#This Row],[Fecha]],2)</f>
        <v>20</v>
      </c>
      <c r="E1448" t="s">
        <v>16</v>
      </c>
      <c r="F1448" t="s">
        <v>11</v>
      </c>
      <c r="G1448">
        <v>5</v>
      </c>
      <c r="H1448">
        <v>3845</v>
      </c>
      <c r="I1448">
        <v>3797</v>
      </c>
      <c r="J1448" t="s">
        <v>14</v>
      </c>
      <c r="K1448" t="str">
        <f>_xlfn.XLOOKUP(datos_ventas[[#This Row],[Ciudad]],Tabla2[Ciudades],Tabla2[Provincias],"no se encuentra")</f>
        <v>Madrid</v>
      </c>
      <c r="L1448" t="str">
        <f>_xlfn.XLOOKUP(datos_ventas[[#This Row],[Provincia]],Tabla2[Provincias],Tabla2[Comunidades],"no se encuentra")</f>
        <v>Comunidad de Madrid</v>
      </c>
      <c r="M1448" t="s">
        <v>15</v>
      </c>
      <c r="N1448">
        <v>3</v>
      </c>
    </row>
    <row r="1449" spans="1:14" x14ac:dyDescent="0.25">
      <c r="A1449">
        <v>2448</v>
      </c>
      <c r="B1449" s="1">
        <v>45987</v>
      </c>
      <c r="C1449" s="4">
        <f>MONTH(datos_ventas[[#This Row],[Fecha]])</f>
        <v>11</v>
      </c>
      <c r="D1449" s="4">
        <f>WEEKNUM(datos_ventas[[#This Row],[Fecha]],2)</f>
        <v>48</v>
      </c>
      <c r="E1449" t="s">
        <v>23</v>
      </c>
      <c r="F1449" t="s">
        <v>18</v>
      </c>
      <c r="G1449">
        <v>5</v>
      </c>
      <c r="H1449">
        <v>99926</v>
      </c>
      <c r="I1449">
        <v>4307</v>
      </c>
      <c r="J1449" t="s">
        <v>27</v>
      </c>
      <c r="K1449" t="str">
        <f>_xlfn.XLOOKUP(datos_ventas[[#This Row],[Ciudad]],Tabla2[Ciudades],Tabla2[Provincias],"no se encuentra")</f>
        <v>Sevilla</v>
      </c>
      <c r="L1449" t="str">
        <f>_xlfn.XLOOKUP(datos_ventas[[#This Row],[Provincia]],Tabla2[Provincias],Tabla2[Comunidades],"no se encuentra")</f>
        <v>Andalucía</v>
      </c>
      <c r="M1449" t="s">
        <v>15</v>
      </c>
      <c r="N1449">
        <v>1</v>
      </c>
    </row>
    <row r="1450" spans="1:14" x14ac:dyDescent="0.25">
      <c r="A1450">
        <v>2449</v>
      </c>
      <c r="B1450" s="1">
        <v>45922</v>
      </c>
      <c r="C1450" s="4">
        <f>MONTH(datos_ventas[[#This Row],[Fecha]])</f>
        <v>9</v>
      </c>
      <c r="D1450" s="4">
        <f>WEEKNUM(datos_ventas[[#This Row],[Fecha]],2)</f>
        <v>39</v>
      </c>
      <c r="E1450" t="s">
        <v>26</v>
      </c>
      <c r="F1450" t="s">
        <v>18</v>
      </c>
      <c r="G1450">
        <v>5</v>
      </c>
      <c r="H1450">
        <v>60359</v>
      </c>
      <c r="I1450">
        <v>378</v>
      </c>
      <c r="J1450" t="s">
        <v>12</v>
      </c>
      <c r="K1450" t="str">
        <f>_xlfn.XLOOKUP(datos_ventas[[#This Row],[Ciudad]],Tabla2[Ciudades],Tabla2[Provincias],"no se encuentra")</f>
        <v>Málaga</v>
      </c>
      <c r="L1450" t="str">
        <f>_xlfn.XLOOKUP(datos_ventas[[#This Row],[Provincia]],Tabla2[Provincias],Tabla2[Comunidades],"no se encuentra")</f>
        <v>Andalucía</v>
      </c>
      <c r="M1450" t="s">
        <v>15</v>
      </c>
      <c r="N1450">
        <v>2</v>
      </c>
    </row>
    <row r="1451" spans="1:14" x14ac:dyDescent="0.25">
      <c r="A1451">
        <v>2450</v>
      </c>
      <c r="B1451" s="1">
        <v>45933</v>
      </c>
      <c r="C1451" s="4">
        <f>MONTH(datos_ventas[[#This Row],[Fecha]])</f>
        <v>10</v>
      </c>
      <c r="D1451" s="4">
        <f>WEEKNUM(datos_ventas[[#This Row],[Fecha]],2)</f>
        <v>40</v>
      </c>
      <c r="E1451" t="s">
        <v>17</v>
      </c>
      <c r="F1451" t="s">
        <v>18</v>
      </c>
      <c r="G1451">
        <v>3</v>
      </c>
      <c r="H1451">
        <v>88105</v>
      </c>
      <c r="I1451">
        <v>3946</v>
      </c>
      <c r="J1451" t="s">
        <v>31</v>
      </c>
      <c r="K1451" t="str">
        <f>_xlfn.XLOOKUP(datos_ventas[[#This Row],[Ciudad]],Tabla2[Ciudades],Tabla2[Provincias],"no se encuentra")</f>
        <v>Vizcaya</v>
      </c>
      <c r="L1451" t="str">
        <f>_xlfn.XLOOKUP(datos_ventas[[#This Row],[Provincia]],Tabla2[Provincias],Tabla2[Comunidades],"no se encuentra")</f>
        <v>País Vasco</v>
      </c>
      <c r="M1451" t="s">
        <v>13</v>
      </c>
      <c r="N1451">
        <v>4</v>
      </c>
    </row>
    <row r="1452" spans="1:14" x14ac:dyDescent="0.25">
      <c r="A1452">
        <v>2451</v>
      </c>
      <c r="B1452" s="1">
        <v>45886</v>
      </c>
      <c r="C1452" s="4">
        <f>MONTH(datos_ventas[[#This Row],[Fecha]])</f>
        <v>8</v>
      </c>
      <c r="D1452" s="4">
        <f>WEEKNUM(datos_ventas[[#This Row],[Fecha]],2)</f>
        <v>33</v>
      </c>
      <c r="E1452" t="s">
        <v>10</v>
      </c>
      <c r="F1452" t="s">
        <v>11</v>
      </c>
      <c r="G1452">
        <v>2</v>
      </c>
      <c r="H1452">
        <v>65874</v>
      </c>
      <c r="I1452">
        <v>1677</v>
      </c>
      <c r="J1452" t="s">
        <v>12</v>
      </c>
      <c r="K1452" t="str">
        <f>_xlfn.XLOOKUP(datos_ventas[[#This Row],[Ciudad]],Tabla2[Ciudades],Tabla2[Provincias],"no se encuentra")</f>
        <v>Málaga</v>
      </c>
      <c r="L1452" t="str">
        <f>_xlfn.XLOOKUP(datos_ventas[[#This Row],[Provincia]],Tabla2[Provincias],Tabla2[Comunidades],"no se encuentra")</f>
        <v>Andalucía</v>
      </c>
      <c r="M1452" t="s">
        <v>19</v>
      </c>
      <c r="N1452">
        <v>2</v>
      </c>
    </row>
    <row r="1453" spans="1:14" x14ac:dyDescent="0.25">
      <c r="A1453">
        <v>2452</v>
      </c>
      <c r="B1453" s="1">
        <v>45976</v>
      </c>
      <c r="C1453" s="4">
        <f>MONTH(datos_ventas[[#This Row],[Fecha]])</f>
        <v>11</v>
      </c>
      <c r="D1453" s="4">
        <f>WEEKNUM(datos_ventas[[#This Row],[Fecha]],2)</f>
        <v>46</v>
      </c>
      <c r="E1453" t="s">
        <v>16</v>
      </c>
      <c r="F1453" t="s">
        <v>11</v>
      </c>
      <c r="G1453">
        <v>4</v>
      </c>
      <c r="H1453">
        <v>51835</v>
      </c>
      <c r="I1453">
        <v>1679</v>
      </c>
      <c r="J1453" t="s">
        <v>32</v>
      </c>
      <c r="K1453" t="str">
        <f>_xlfn.XLOOKUP(datos_ventas[[#This Row],[Ciudad]],Tabla2[Ciudades],Tabla2[Provincias],"no se encuentra")</f>
        <v>Barcelona</v>
      </c>
      <c r="L1453" t="str">
        <f>_xlfn.XLOOKUP(datos_ventas[[#This Row],[Provincia]],Tabla2[Provincias],Tabla2[Comunidades],"no se encuentra")</f>
        <v>Cataluña</v>
      </c>
      <c r="M1453" t="s">
        <v>13</v>
      </c>
      <c r="N1453">
        <v>2</v>
      </c>
    </row>
    <row r="1454" spans="1:14" x14ac:dyDescent="0.25">
      <c r="A1454">
        <v>2453</v>
      </c>
      <c r="B1454" s="1">
        <v>45884</v>
      </c>
      <c r="C1454" s="4">
        <f>MONTH(datos_ventas[[#This Row],[Fecha]])</f>
        <v>8</v>
      </c>
      <c r="D1454" s="4">
        <f>WEEKNUM(datos_ventas[[#This Row],[Fecha]],2)</f>
        <v>33</v>
      </c>
      <c r="E1454" t="s">
        <v>17</v>
      </c>
      <c r="F1454" t="s">
        <v>18</v>
      </c>
      <c r="G1454">
        <v>5</v>
      </c>
      <c r="H1454">
        <v>21658</v>
      </c>
      <c r="I1454">
        <v>1851</v>
      </c>
      <c r="J1454" t="s">
        <v>12</v>
      </c>
      <c r="K1454" t="str">
        <f>_xlfn.XLOOKUP(datos_ventas[[#This Row],[Ciudad]],Tabla2[Ciudades],Tabla2[Provincias],"no se encuentra")</f>
        <v>Málaga</v>
      </c>
      <c r="L1454" t="str">
        <f>_xlfn.XLOOKUP(datos_ventas[[#This Row],[Provincia]],Tabla2[Provincias],Tabla2[Comunidades],"no se encuentra")</f>
        <v>Andalucía</v>
      </c>
      <c r="M1454" t="s">
        <v>28</v>
      </c>
      <c r="N1454">
        <v>4</v>
      </c>
    </row>
    <row r="1455" spans="1:14" x14ac:dyDescent="0.25">
      <c r="A1455">
        <v>2454</v>
      </c>
      <c r="B1455" s="1">
        <v>45958</v>
      </c>
      <c r="C1455" s="4">
        <f>MONTH(datos_ventas[[#This Row],[Fecha]])</f>
        <v>10</v>
      </c>
      <c r="D1455" s="4">
        <f>WEEKNUM(datos_ventas[[#This Row],[Fecha]],2)</f>
        <v>44</v>
      </c>
      <c r="E1455" t="s">
        <v>24</v>
      </c>
      <c r="F1455" t="s">
        <v>25</v>
      </c>
      <c r="G1455">
        <v>3</v>
      </c>
      <c r="H1455">
        <v>72734</v>
      </c>
      <c r="I1455">
        <v>4322</v>
      </c>
      <c r="J1455" t="s">
        <v>22</v>
      </c>
      <c r="K1455" t="str">
        <f>_xlfn.XLOOKUP(datos_ventas[[#This Row],[Ciudad]],Tabla2[Ciudades],Tabla2[Provincias],"no se encuentra")</f>
        <v>Valencia</v>
      </c>
      <c r="L1455" t="str">
        <f>_xlfn.XLOOKUP(datos_ventas[[#This Row],[Provincia]],Tabla2[Provincias],Tabla2[Comunidades],"no se encuentra")</f>
        <v>Comunidad Valenciana</v>
      </c>
      <c r="M1455" t="s">
        <v>13</v>
      </c>
      <c r="N1455">
        <v>3</v>
      </c>
    </row>
    <row r="1456" spans="1:14" x14ac:dyDescent="0.25">
      <c r="A1456">
        <v>2455</v>
      </c>
      <c r="B1456" s="1">
        <v>45787</v>
      </c>
      <c r="C1456" s="4">
        <f>MONTH(datos_ventas[[#This Row],[Fecha]])</f>
        <v>5</v>
      </c>
      <c r="D1456" s="4">
        <f>WEEKNUM(datos_ventas[[#This Row],[Fecha]],2)</f>
        <v>19</v>
      </c>
      <c r="E1456" t="s">
        <v>23</v>
      </c>
      <c r="F1456" t="s">
        <v>18</v>
      </c>
      <c r="G1456">
        <v>1</v>
      </c>
      <c r="H1456">
        <v>58605</v>
      </c>
      <c r="I1456">
        <v>1247</v>
      </c>
      <c r="J1456" t="s">
        <v>22</v>
      </c>
      <c r="K1456" t="str">
        <f>_xlfn.XLOOKUP(datos_ventas[[#This Row],[Ciudad]],Tabla2[Ciudades],Tabla2[Provincias],"no se encuentra")</f>
        <v>Valencia</v>
      </c>
      <c r="L1456" t="str">
        <f>_xlfn.XLOOKUP(datos_ventas[[#This Row],[Provincia]],Tabla2[Provincias],Tabla2[Comunidades],"no se encuentra")</f>
        <v>Comunidad Valenciana</v>
      </c>
      <c r="M1456" t="s">
        <v>15</v>
      </c>
      <c r="N1456">
        <v>1</v>
      </c>
    </row>
    <row r="1457" spans="1:14" x14ac:dyDescent="0.25">
      <c r="A1457">
        <v>2456</v>
      </c>
      <c r="B1457" s="1">
        <v>45796</v>
      </c>
      <c r="C1457" s="4">
        <f>MONTH(datos_ventas[[#This Row],[Fecha]])</f>
        <v>5</v>
      </c>
      <c r="D1457" s="4">
        <f>WEEKNUM(datos_ventas[[#This Row],[Fecha]],2)</f>
        <v>21</v>
      </c>
      <c r="E1457" t="s">
        <v>16</v>
      </c>
      <c r="F1457" t="s">
        <v>11</v>
      </c>
      <c r="G1457">
        <v>2</v>
      </c>
      <c r="H1457">
        <v>10072</v>
      </c>
      <c r="I1457">
        <v>3985</v>
      </c>
      <c r="J1457" t="s">
        <v>31</v>
      </c>
      <c r="K1457" t="str">
        <f>_xlfn.XLOOKUP(datos_ventas[[#This Row],[Ciudad]],Tabla2[Ciudades],Tabla2[Provincias],"no se encuentra")</f>
        <v>Vizcaya</v>
      </c>
      <c r="L1457" t="str">
        <f>_xlfn.XLOOKUP(datos_ventas[[#This Row],[Provincia]],Tabla2[Provincias],Tabla2[Comunidades],"no se encuentra")</f>
        <v>País Vasco</v>
      </c>
      <c r="M1457" t="s">
        <v>28</v>
      </c>
      <c r="N1457">
        <v>2</v>
      </c>
    </row>
    <row r="1458" spans="1:14" x14ac:dyDescent="0.25">
      <c r="A1458">
        <v>2457</v>
      </c>
      <c r="B1458" s="1">
        <v>45950</v>
      </c>
      <c r="C1458" s="4">
        <f>MONTH(datos_ventas[[#This Row],[Fecha]])</f>
        <v>10</v>
      </c>
      <c r="D1458" s="4">
        <f>WEEKNUM(datos_ventas[[#This Row],[Fecha]],2)</f>
        <v>43</v>
      </c>
      <c r="E1458" t="s">
        <v>23</v>
      </c>
      <c r="F1458" t="s">
        <v>18</v>
      </c>
      <c r="G1458">
        <v>3</v>
      </c>
      <c r="H1458">
        <v>86001</v>
      </c>
      <c r="I1458">
        <v>3832</v>
      </c>
      <c r="J1458" t="s">
        <v>12</v>
      </c>
      <c r="K1458" t="str">
        <f>_xlfn.XLOOKUP(datos_ventas[[#This Row],[Ciudad]],Tabla2[Ciudades],Tabla2[Provincias],"no se encuentra")</f>
        <v>Málaga</v>
      </c>
      <c r="L1458" t="str">
        <f>_xlfn.XLOOKUP(datos_ventas[[#This Row],[Provincia]],Tabla2[Provincias],Tabla2[Comunidades],"no se encuentra")</f>
        <v>Andalucía</v>
      </c>
      <c r="M1458" t="s">
        <v>28</v>
      </c>
      <c r="N1458">
        <v>5</v>
      </c>
    </row>
    <row r="1459" spans="1:14" x14ac:dyDescent="0.25">
      <c r="A1459">
        <v>2458</v>
      </c>
      <c r="B1459" s="1">
        <v>45796</v>
      </c>
      <c r="C1459" s="4">
        <f>MONTH(datos_ventas[[#This Row],[Fecha]])</f>
        <v>5</v>
      </c>
      <c r="D1459" s="4">
        <f>WEEKNUM(datos_ventas[[#This Row],[Fecha]],2)</f>
        <v>21</v>
      </c>
      <c r="E1459" t="s">
        <v>23</v>
      </c>
      <c r="F1459" t="s">
        <v>18</v>
      </c>
      <c r="G1459">
        <v>2</v>
      </c>
      <c r="H1459">
        <v>10615</v>
      </c>
      <c r="I1459">
        <v>2234</v>
      </c>
      <c r="J1459" t="s">
        <v>32</v>
      </c>
      <c r="K1459" t="str">
        <f>_xlfn.XLOOKUP(datos_ventas[[#This Row],[Ciudad]],Tabla2[Ciudades],Tabla2[Provincias],"no se encuentra")</f>
        <v>Barcelona</v>
      </c>
      <c r="L1459" t="str">
        <f>_xlfn.XLOOKUP(datos_ventas[[#This Row],[Provincia]],Tabla2[Provincias],Tabla2[Comunidades],"no se encuentra")</f>
        <v>Cataluña</v>
      </c>
      <c r="M1459" t="s">
        <v>15</v>
      </c>
      <c r="N1459">
        <v>5</v>
      </c>
    </row>
    <row r="1460" spans="1:14" x14ac:dyDescent="0.25">
      <c r="A1460">
        <v>2459</v>
      </c>
      <c r="B1460" s="1">
        <v>46015</v>
      </c>
      <c r="C1460" s="4">
        <f>MONTH(datos_ventas[[#This Row],[Fecha]])</f>
        <v>12</v>
      </c>
      <c r="D1460" s="4">
        <f>WEEKNUM(datos_ventas[[#This Row],[Fecha]],2)</f>
        <v>52</v>
      </c>
      <c r="E1460" t="s">
        <v>17</v>
      </c>
      <c r="F1460" t="s">
        <v>18</v>
      </c>
      <c r="G1460">
        <v>3</v>
      </c>
      <c r="H1460">
        <v>56686</v>
      </c>
      <c r="I1460">
        <v>1488</v>
      </c>
      <c r="J1460" t="s">
        <v>22</v>
      </c>
      <c r="K1460" t="str">
        <f>_xlfn.XLOOKUP(datos_ventas[[#This Row],[Ciudad]],Tabla2[Ciudades],Tabla2[Provincias],"no se encuentra")</f>
        <v>Valencia</v>
      </c>
      <c r="L1460" t="str">
        <f>_xlfn.XLOOKUP(datos_ventas[[#This Row],[Provincia]],Tabla2[Provincias],Tabla2[Comunidades],"no se encuentra")</f>
        <v>Comunidad Valenciana</v>
      </c>
      <c r="M1460" t="s">
        <v>15</v>
      </c>
      <c r="N1460">
        <v>5</v>
      </c>
    </row>
    <row r="1461" spans="1:14" x14ac:dyDescent="0.25">
      <c r="A1461">
        <v>2460</v>
      </c>
      <c r="B1461" s="1">
        <v>45714</v>
      </c>
      <c r="C1461" s="4">
        <f>MONTH(datos_ventas[[#This Row],[Fecha]])</f>
        <v>2</v>
      </c>
      <c r="D1461" s="4">
        <f>WEEKNUM(datos_ventas[[#This Row],[Fecha]],2)</f>
        <v>9</v>
      </c>
      <c r="E1461" t="s">
        <v>23</v>
      </c>
      <c r="F1461" t="s">
        <v>18</v>
      </c>
      <c r="G1461">
        <v>4</v>
      </c>
      <c r="H1461">
        <v>106491</v>
      </c>
      <c r="I1461">
        <v>1979</v>
      </c>
      <c r="J1461" t="s">
        <v>12</v>
      </c>
      <c r="K1461" t="str">
        <f>_xlfn.XLOOKUP(datos_ventas[[#This Row],[Ciudad]],Tabla2[Ciudades],Tabla2[Provincias],"no se encuentra")</f>
        <v>Málaga</v>
      </c>
      <c r="L1461" t="str">
        <f>_xlfn.XLOOKUP(datos_ventas[[#This Row],[Provincia]],Tabla2[Provincias],Tabla2[Comunidades],"no se encuentra")</f>
        <v>Andalucía</v>
      </c>
      <c r="M1461" t="s">
        <v>13</v>
      </c>
      <c r="N1461">
        <v>4</v>
      </c>
    </row>
    <row r="1462" spans="1:14" x14ac:dyDescent="0.25">
      <c r="A1462">
        <v>2461</v>
      </c>
      <c r="B1462" s="1">
        <v>45663</v>
      </c>
      <c r="C1462" s="4">
        <f>MONTH(datos_ventas[[#This Row],[Fecha]])</f>
        <v>1</v>
      </c>
      <c r="D1462" s="4">
        <f>WEEKNUM(datos_ventas[[#This Row],[Fecha]],2)</f>
        <v>2</v>
      </c>
      <c r="E1462" t="s">
        <v>20</v>
      </c>
      <c r="F1462" t="s">
        <v>21</v>
      </c>
      <c r="G1462">
        <v>3</v>
      </c>
      <c r="H1462">
        <v>21635</v>
      </c>
      <c r="I1462">
        <v>1129</v>
      </c>
      <c r="J1462" t="s">
        <v>27</v>
      </c>
      <c r="K1462" t="str">
        <f>_xlfn.XLOOKUP(datos_ventas[[#This Row],[Ciudad]],Tabla2[Ciudades],Tabla2[Provincias],"no se encuentra")</f>
        <v>Sevilla</v>
      </c>
      <c r="L1462" t="str">
        <f>_xlfn.XLOOKUP(datos_ventas[[#This Row],[Provincia]],Tabla2[Provincias],Tabla2[Comunidades],"no se encuentra")</f>
        <v>Andalucía</v>
      </c>
      <c r="M1462" t="s">
        <v>13</v>
      </c>
      <c r="N1462">
        <v>1</v>
      </c>
    </row>
    <row r="1463" spans="1:14" x14ac:dyDescent="0.25">
      <c r="A1463">
        <v>2462</v>
      </c>
      <c r="B1463" s="1">
        <v>45748</v>
      </c>
      <c r="C1463" s="4">
        <f>MONTH(datos_ventas[[#This Row],[Fecha]])</f>
        <v>4</v>
      </c>
      <c r="D1463" s="4">
        <f>WEEKNUM(datos_ventas[[#This Row],[Fecha]],2)</f>
        <v>14</v>
      </c>
      <c r="E1463" t="s">
        <v>24</v>
      </c>
      <c r="F1463" t="s">
        <v>25</v>
      </c>
      <c r="G1463">
        <v>1</v>
      </c>
      <c r="H1463">
        <v>75482</v>
      </c>
      <c r="I1463">
        <v>196</v>
      </c>
      <c r="J1463" t="s">
        <v>31</v>
      </c>
      <c r="K1463" t="str">
        <f>_xlfn.XLOOKUP(datos_ventas[[#This Row],[Ciudad]],Tabla2[Ciudades],Tabla2[Provincias],"no se encuentra")</f>
        <v>Vizcaya</v>
      </c>
      <c r="L1463" t="str">
        <f>_xlfn.XLOOKUP(datos_ventas[[#This Row],[Provincia]],Tabla2[Provincias],Tabla2[Comunidades],"no se encuentra")</f>
        <v>País Vasco</v>
      </c>
      <c r="M1463" t="s">
        <v>19</v>
      </c>
      <c r="N1463">
        <v>3</v>
      </c>
    </row>
    <row r="1464" spans="1:14" x14ac:dyDescent="0.25">
      <c r="A1464">
        <v>2463</v>
      </c>
      <c r="B1464" s="1">
        <v>45862</v>
      </c>
      <c r="C1464" s="4">
        <f>MONTH(datos_ventas[[#This Row],[Fecha]])</f>
        <v>7</v>
      </c>
      <c r="D1464" s="4">
        <f>WEEKNUM(datos_ventas[[#This Row],[Fecha]],2)</f>
        <v>30</v>
      </c>
      <c r="E1464" t="s">
        <v>24</v>
      </c>
      <c r="F1464" t="s">
        <v>25</v>
      </c>
      <c r="G1464">
        <v>3</v>
      </c>
      <c r="H1464">
        <v>83157</v>
      </c>
      <c r="I1464">
        <v>981</v>
      </c>
      <c r="J1464" t="s">
        <v>31</v>
      </c>
      <c r="K1464" t="str">
        <f>_xlfn.XLOOKUP(datos_ventas[[#This Row],[Ciudad]],Tabla2[Ciudades],Tabla2[Provincias],"no se encuentra")</f>
        <v>Vizcaya</v>
      </c>
      <c r="L1464" t="str">
        <f>_xlfn.XLOOKUP(datos_ventas[[#This Row],[Provincia]],Tabla2[Provincias],Tabla2[Comunidades],"no se encuentra")</f>
        <v>País Vasco</v>
      </c>
      <c r="M1464" t="s">
        <v>13</v>
      </c>
      <c r="N1464">
        <v>1</v>
      </c>
    </row>
    <row r="1465" spans="1:14" x14ac:dyDescent="0.25">
      <c r="A1465">
        <v>2464</v>
      </c>
      <c r="B1465" s="1">
        <v>45658</v>
      </c>
      <c r="C1465" s="4">
        <f>MONTH(datos_ventas[[#This Row],[Fecha]])</f>
        <v>1</v>
      </c>
      <c r="D1465" s="4">
        <f>WEEKNUM(datos_ventas[[#This Row],[Fecha]],2)</f>
        <v>1</v>
      </c>
      <c r="E1465" t="s">
        <v>16</v>
      </c>
      <c r="F1465" t="s">
        <v>11</v>
      </c>
      <c r="G1465">
        <v>5</v>
      </c>
      <c r="H1465">
        <v>27955</v>
      </c>
      <c r="I1465">
        <v>113</v>
      </c>
      <c r="J1465" t="s">
        <v>12</v>
      </c>
      <c r="K1465" t="str">
        <f>_xlfn.XLOOKUP(datos_ventas[[#This Row],[Ciudad]],Tabla2[Ciudades],Tabla2[Provincias],"no se encuentra")</f>
        <v>Málaga</v>
      </c>
      <c r="L1465" t="str">
        <f>_xlfn.XLOOKUP(datos_ventas[[#This Row],[Provincia]],Tabla2[Provincias],Tabla2[Comunidades],"no se encuentra")</f>
        <v>Andalucía</v>
      </c>
      <c r="M1465" t="s">
        <v>15</v>
      </c>
      <c r="N1465">
        <v>3</v>
      </c>
    </row>
    <row r="1466" spans="1:14" x14ac:dyDescent="0.25">
      <c r="A1466">
        <v>2465</v>
      </c>
      <c r="B1466" s="1">
        <v>45965</v>
      </c>
      <c r="C1466" s="4">
        <f>MONTH(datos_ventas[[#This Row],[Fecha]])</f>
        <v>11</v>
      </c>
      <c r="D1466" s="4">
        <f>WEEKNUM(datos_ventas[[#This Row],[Fecha]],2)</f>
        <v>45</v>
      </c>
      <c r="E1466" t="s">
        <v>17</v>
      </c>
      <c r="F1466" t="s">
        <v>18</v>
      </c>
      <c r="G1466">
        <v>4</v>
      </c>
      <c r="H1466">
        <v>71278</v>
      </c>
      <c r="I1466">
        <v>4663</v>
      </c>
      <c r="J1466" t="s">
        <v>12</v>
      </c>
      <c r="K1466" t="str">
        <f>_xlfn.XLOOKUP(datos_ventas[[#This Row],[Ciudad]],Tabla2[Ciudades],Tabla2[Provincias],"no se encuentra")</f>
        <v>Málaga</v>
      </c>
      <c r="L1466" t="str">
        <f>_xlfn.XLOOKUP(datos_ventas[[#This Row],[Provincia]],Tabla2[Provincias],Tabla2[Comunidades],"no se encuentra")</f>
        <v>Andalucía</v>
      </c>
      <c r="M1466" t="s">
        <v>13</v>
      </c>
      <c r="N1466">
        <v>4</v>
      </c>
    </row>
    <row r="1467" spans="1:14" x14ac:dyDescent="0.25">
      <c r="A1467">
        <v>2466</v>
      </c>
      <c r="B1467" s="1">
        <v>45834</v>
      </c>
      <c r="C1467" s="4">
        <f>MONTH(datos_ventas[[#This Row],[Fecha]])</f>
        <v>6</v>
      </c>
      <c r="D1467" s="4">
        <f>WEEKNUM(datos_ventas[[#This Row],[Fecha]],2)</f>
        <v>26</v>
      </c>
      <c r="E1467" t="s">
        <v>20</v>
      </c>
      <c r="F1467" t="s">
        <v>21</v>
      </c>
      <c r="G1467">
        <v>5</v>
      </c>
      <c r="H1467">
        <v>8192</v>
      </c>
      <c r="I1467">
        <v>528</v>
      </c>
      <c r="J1467" t="s">
        <v>32</v>
      </c>
      <c r="K1467" t="str">
        <f>_xlfn.XLOOKUP(datos_ventas[[#This Row],[Ciudad]],Tabla2[Ciudades],Tabla2[Provincias],"no se encuentra")</f>
        <v>Barcelona</v>
      </c>
      <c r="L1467" t="str">
        <f>_xlfn.XLOOKUP(datos_ventas[[#This Row],[Provincia]],Tabla2[Provincias],Tabla2[Comunidades],"no se encuentra")</f>
        <v>Cataluña</v>
      </c>
      <c r="M1467" t="s">
        <v>15</v>
      </c>
      <c r="N1467">
        <v>3</v>
      </c>
    </row>
    <row r="1468" spans="1:14" x14ac:dyDescent="0.25">
      <c r="A1468">
        <v>2467</v>
      </c>
      <c r="B1468" s="1">
        <v>45776</v>
      </c>
      <c r="C1468" s="4">
        <f>MONTH(datos_ventas[[#This Row],[Fecha]])</f>
        <v>4</v>
      </c>
      <c r="D1468" s="4">
        <f>WEEKNUM(datos_ventas[[#This Row],[Fecha]],2)</f>
        <v>18</v>
      </c>
      <c r="E1468" t="s">
        <v>20</v>
      </c>
      <c r="F1468" t="s">
        <v>21</v>
      </c>
      <c r="G1468">
        <v>1</v>
      </c>
      <c r="H1468">
        <v>42603</v>
      </c>
      <c r="I1468">
        <v>1204</v>
      </c>
      <c r="J1468" t="s">
        <v>14</v>
      </c>
      <c r="K1468" t="str">
        <f>_xlfn.XLOOKUP(datos_ventas[[#This Row],[Ciudad]],Tabla2[Ciudades],Tabla2[Provincias],"no se encuentra")</f>
        <v>Madrid</v>
      </c>
      <c r="L1468" t="str">
        <f>_xlfn.XLOOKUP(datos_ventas[[#This Row],[Provincia]],Tabla2[Provincias],Tabla2[Comunidades],"no se encuentra")</f>
        <v>Comunidad de Madrid</v>
      </c>
      <c r="M1468" t="s">
        <v>28</v>
      </c>
      <c r="N1468">
        <v>1</v>
      </c>
    </row>
    <row r="1469" spans="1:14" x14ac:dyDescent="0.25">
      <c r="A1469">
        <v>2468</v>
      </c>
      <c r="B1469" s="1">
        <v>45692</v>
      </c>
      <c r="C1469" s="4">
        <f>MONTH(datos_ventas[[#This Row],[Fecha]])</f>
        <v>2</v>
      </c>
      <c r="D1469" s="4">
        <f>WEEKNUM(datos_ventas[[#This Row],[Fecha]],2)</f>
        <v>6</v>
      </c>
      <c r="E1469" t="s">
        <v>16</v>
      </c>
      <c r="F1469" t="s">
        <v>11</v>
      </c>
      <c r="G1469">
        <v>4</v>
      </c>
      <c r="H1469">
        <v>55289</v>
      </c>
      <c r="I1469">
        <v>4539</v>
      </c>
      <c r="J1469" t="s">
        <v>32</v>
      </c>
      <c r="K1469" t="str">
        <f>_xlfn.XLOOKUP(datos_ventas[[#This Row],[Ciudad]],Tabla2[Ciudades],Tabla2[Provincias],"no se encuentra")</f>
        <v>Barcelona</v>
      </c>
      <c r="L1469" t="str">
        <f>_xlfn.XLOOKUP(datos_ventas[[#This Row],[Provincia]],Tabla2[Provincias],Tabla2[Comunidades],"no se encuentra")</f>
        <v>Cataluña</v>
      </c>
      <c r="M1469" t="s">
        <v>28</v>
      </c>
      <c r="N1469">
        <v>1</v>
      </c>
    </row>
    <row r="1470" spans="1:14" x14ac:dyDescent="0.25">
      <c r="A1470">
        <v>2469</v>
      </c>
      <c r="B1470" s="1">
        <v>45949</v>
      </c>
      <c r="C1470" s="4">
        <f>MONTH(datos_ventas[[#This Row],[Fecha]])</f>
        <v>10</v>
      </c>
      <c r="D1470" s="4">
        <f>WEEKNUM(datos_ventas[[#This Row],[Fecha]],2)</f>
        <v>42</v>
      </c>
      <c r="E1470" t="s">
        <v>23</v>
      </c>
      <c r="F1470" t="s">
        <v>18</v>
      </c>
      <c r="G1470">
        <v>3</v>
      </c>
      <c r="H1470">
        <v>8792</v>
      </c>
      <c r="I1470">
        <v>2332</v>
      </c>
      <c r="J1470" t="s">
        <v>32</v>
      </c>
      <c r="K1470" t="str">
        <f>_xlfn.XLOOKUP(datos_ventas[[#This Row],[Ciudad]],Tabla2[Ciudades],Tabla2[Provincias],"no se encuentra")</f>
        <v>Barcelona</v>
      </c>
      <c r="L1470" t="str">
        <f>_xlfn.XLOOKUP(datos_ventas[[#This Row],[Provincia]],Tabla2[Provincias],Tabla2[Comunidades],"no se encuentra")</f>
        <v>Cataluña</v>
      </c>
      <c r="M1470" t="s">
        <v>28</v>
      </c>
      <c r="N1470">
        <v>5</v>
      </c>
    </row>
    <row r="1471" spans="1:14" x14ac:dyDescent="0.25">
      <c r="A1471">
        <v>2470</v>
      </c>
      <c r="B1471" s="1">
        <v>45797</v>
      </c>
      <c r="C1471" s="4">
        <f>MONTH(datos_ventas[[#This Row],[Fecha]])</f>
        <v>5</v>
      </c>
      <c r="D1471" s="4">
        <f>WEEKNUM(datos_ventas[[#This Row],[Fecha]],2)</f>
        <v>21</v>
      </c>
      <c r="E1471" t="s">
        <v>26</v>
      </c>
      <c r="F1471" t="s">
        <v>18</v>
      </c>
      <c r="G1471">
        <v>5</v>
      </c>
      <c r="H1471">
        <v>60941</v>
      </c>
      <c r="I1471">
        <v>4673</v>
      </c>
      <c r="J1471" t="s">
        <v>14</v>
      </c>
      <c r="K1471" t="str">
        <f>_xlfn.XLOOKUP(datos_ventas[[#This Row],[Ciudad]],Tabla2[Ciudades],Tabla2[Provincias],"no se encuentra")</f>
        <v>Madrid</v>
      </c>
      <c r="L1471" t="str">
        <f>_xlfn.XLOOKUP(datos_ventas[[#This Row],[Provincia]],Tabla2[Provincias],Tabla2[Comunidades],"no se encuentra")</f>
        <v>Comunidad de Madrid</v>
      </c>
      <c r="M1471" t="s">
        <v>13</v>
      </c>
      <c r="N1471">
        <v>2</v>
      </c>
    </row>
    <row r="1472" spans="1:14" x14ac:dyDescent="0.25">
      <c r="A1472">
        <v>2471</v>
      </c>
      <c r="B1472" s="1">
        <v>46022</v>
      </c>
      <c r="C1472" s="4">
        <f>MONTH(datos_ventas[[#This Row],[Fecha]])</f>
        <v>12</v>
      </c>
      <c r="D1472" s="4">
        <f>WEEKNUM(datos_ventas[[#This Row],[Fecha]],2)</f>
        <v>53</v>
      </c>
      <c r="E1472" t="s">
        <v>10</v>
      </c>
      <c r="F1472" t="s">
        <v>11</v>
      </c>
      <c r="G1472">
        <v>1</v>
      </c>
      <c r="H1472">
        <v>84798</v>
      </c>
      <c r="I1472">
        <v>4349</v>
      </c>
      <c r="J1472" t="s">
        <v>22</v>
      </c>
      <c r="K1472" t="str">
        <f>_xlfn.XLOOKUP(datos_ventas[[#This Row],[Ciudad]],Tabla2[Ciudades],Tabla2[Provincias],"no se encuentra")</f>
        <v>Valencia</v>
      </c>
      <c r="L1472" t="str">
        <f>_xlfn.XLOOKUP(datos_ventas[[#This Row],[Provincia]],Tabla2[Provincias],Tabla2[Comunidades],"no se encuentra")</f>
        <v>Comunidad Valenciana</v>
      </c>
      <c r="M1472" t="s">
        <v>15</v>
      </c>
      <c r="N1472">
        <v>5</v>
      </c>
    </row>
    <row r="1473" spans="1:14" x14ac:dyDescent="0.25">
      <c r="A1473">
        <v>2472</v>
      </c>
      <c r="B1473" s="1">
        <v>45876</v>
      </c>
      <c r="C1473" s="4">
        <f>MONTH(datos_ventas[[#This Row],[Fecha]])</f>
        <v>8</v>
      </c>
      <c r="D1473" s="4">
        <f>WEEKNUM(datos_ventas[[#This Row],[Fecha]],2)</f>
        <v>32</v>
      </c>
      <c r="E1473" t="s">
        <v>29</v>
      </c>
      <c r="F1473" t="s">
        <v>30</v>
      </c>
      <c r="G1473">
        <v>2</v>
      </c>
      <c r="H1473">
        <v>26642</v>
      </c>
      <c r="I1473">
        <v>4263</v>
      </c>
      <c r="J1473" t="s">
        <v>12</v>
      </c>
      <c r="K1473" t="str">
        <f>_xlfn.XLOOKUP(datos_ventas[[#This Row],[Ciudad]],Tabla2[Ciudades],Tabla2[Provincias],"no se encuentra")</f>
        <v>Málaga</v>
      </c>
      <c r="L1473" t="str">
        <f>_xlfn.XLOOKUP(datos_ventas[[#This Row],[Provincia]],Tabla2[Provincias],Tabla2[Comunidades],"no se encuentra")</f>
        <v>Andalucía</v>
      </c>
      <c r="M1473" t="s">
        <v>15</v>
      </c>
      <c r="N1473">
        <v>3</v>
      </c>
    </row>
    <row r="1474" spans="1:14" x14ac:dyDescent="0.25">
      <c r="A1474">
        <v>2473</v>
      </c>
      <c r="B1474" s="1">
        <v>45663</v>
      </c>
      <c r="C1474" s="4">
        <f>MONTH(datos_ventas[[#This Row],[Fecha]])</f>
        <v>1</v>
      </c>
      <c r="D1474" s="4">
        <f>WEEKNUM(datos_ventas[[#This Row],[Fecha]],2)</f>
        <v>2</v>
      </c>
      <c r="E1474" t="s">
        <v>10</v>
      </c>
      <c r="F1474" t="s">
        <v>11</v>
      </c>
      <c r="G1474">
        <v>4</v>
      </c>
      <c r="H1474">
        <v>35662</v>
      </c>
      <c r="I1474">
        <v>3668</v>
      </c>
      <c r="J1474" t="s">
        <v>27</v>
      </c>
      <c r="K1474" t="str">
        <f>_xlfn.XLOOKUP(datos_ventas[[#This Row],[Ciudad]],Tabla2[Ciudades],Tabla2[Provincias],"no se encuentra")</f>
        <v>Sevilla</v>
      </c>
      <c r="L1474" t="str">
        <f>_xlfn.XLOOKUP(datos_ventas[[#This Row],[Provincia]],Tabla2[Provincias],Tabla2[Comunidades],"no se encuentra")</f>
        <v>Andalucía</v>
      </c>
      <c r="M1474" t="s">
        <v>28</v>
      </c>
      <c r="N1474">
        <v>4</v>
      </c>
    </row>
    <row r="1475" spans="1:14" x14ac:dyDescent="0.25">
      <c r="A1475">
        <v>2474</v>
      </c>
      <c r="B1475" s="1">
        <v>45747</v>
      </c>
      <c r="C1475" s="4">
        <f>MONTH(datos_ventas[[#This Row],[Fecha]])</f>
        <v>3</v>
      </c>
      <c r="D1475" s="4">
        <f>WEEKNUM(datos_ventas[[#This Row],[Fecha]],2)</f>
        <v>14</v>
      </c>
      <c r="E1475" t="s">
        <v>20</v>
      </c>
      <c r="F1475" t="s">
        <v>21</v>
      </c>
      <c r="G1475">
        <v>3</v>
      </c>
      <c r="H1475">
        <v>112949</v>
      </c>
      <c r="I1475">
        <v>529</v>
      </c>
      <c r="J1475" t="s">
        <v>12</v>
      </c>
      <c r="K1475" t="str">
        <f>_xlfn.XLOOKUP(datos_ventas[[#This Row],[Ciudad]],Tabla2[Ciudades],Tabla2[Provincias],"no se encuentra")</f>
        <v>Málaga</v>
      </c>
      <c r="L1475" t="str">
        <f>_xlfn.XLOOKUP(datos_ventas[[#This Row],[Provincia]],Tabla2[Provincias],Tabla2[Comunidades],"no se encuentra")</f>
        <v>Andalucía</v>
      </c>
      <c r="M1475" t="s">
        <v>28</v>
      </c>
      <c r="N1475">
        <v>4</v>
      </c>
    </row>
    <row r="1476" spans="1:14" x14ac:dyDescent="0.25">
      <c r="A1476">
        <v>2475</v>
      </c>
      <c r="B1476" s="1">
        <v>45685</v>
      </c>
      <c r="C1476" s="4">
        <f>MONTH(datos_ventas[[#This Row],[Fecha]])</f>
        <v>1</v>
      </c>
      <c r="D1476" s="4">
        <f>WEEKNUM(datos_ventas[[#This Row],[Fecha]],2)</f>
        <v>5</v>
      </c>
      <c r="E1476" t="s">
        <v>10</v>
      </c>
      <c r="F1476" t="s">
        <v>11</v>
      </c>
      <c r="G1476">
        <v>2</v>
      </c>
      <c r="H1476">
        <v>52637</v>
      </c>
      <c r="I1476">
        <v>188</v>
      </c>
      <c r="J1476" t="s">
        <v>27</v>
      </c>
      <c r="K1476" t="str">
        <f>_xlfn.XLOOKUP(datos_ventas[[#This Row],[Ciudad]],Tabla2[Ciudades],Tabla2[Provincias],"no se encuentra")</f>
        <v>Sevilla</v>
      </c>
      <c r="L1476" t="str">
        <f>_xlfn.XLOOKUP(datos_ventas[[#This Row],[Provincia]],Tabla2[Provincias],Tabla2[Comunidades],"no se encuentra")</f>
        <v>Andalucía</v>
      </c>
      <c r="M1476" t="s">
        <v>15</v>
      </c>
      <c r="N1476">
        <v>5</v>
      </c>
    </row>
    <row r="1477" spans="1:14" x14ac:dyDescent="0.25">
      <c r="A1477">
        <v>2476</v>
      </c>
      <c r="B1477" s="1">
        <v>45877</v>
      </c>
      <c r="C1477" s="4">
        <f>MONTH(datos_ventas[[#This Row],[Fecha]])</f>
        <v>8</v>
      </c>
      <c r="D1477" s="4">
        <f>WEEKNUM(datos_ventas[[#This Row],[Fecha]],2)</f>
        <v>32</v>
      </c>
      <c r="E1477" t="s">
        <v>16</v>
      </c>
      <c r="F1477" t="s">
        <v>11</v>
      </c>
      <c r="G1477">
        <v>3</v>
      </c>
      <c r="H1477">
        <v>9318</v>
      </c>
      <c r="I1477">
        <v>2272</v>
      </c>
      <c r="J1477" t="s">
        <v>31</v>
      </c>
      <c r="K1477" t="str">
        <f>_xlfn.XLOOKUP(datos_ventas[[#This Row],[Ciudad]],Tabla2[Ciudades],Tabla2[Provincias],"no se encuentra")</f>
        <v>Vizcaya</v>
      </c>
      <c r="L1477" t="str">
        <f>_xlfn.XLOOKUP(datos_ventas[[#This Row],[Provincia]],Tabla2[Provincias],Tabla2[Comunidades],"no se encuentra")</f>
        <v>País Vasco</v>
      </c>
      <c r="M1477" t="s">
        <v>28</v>
      </c>
      <c r="N1477">
        <v>4</v>
      </c>
    </row>
    <row r="1478" spans="1:14" x14ac:dyDescent="0.25">
      <c r="A1478">
        <v>2477</v>
      </c>
      <c r="B1478" s="1">
        <v>45765</v>
      </c>
      <c r="C1478" s="4">
        <f>MONTH(datos_ventas[[#This Row],[Fecha]])</f>
        <v>4</v>
      </c>
      <c r="D1478" s="4">
        <f>WEEKNUM(datos_ventas[[#This Row],[Fecha]],2)</f>
        <v>16</v>
      </c>
      <c r="E1478" t="s">
        <v>29</v>
      </c>
      <c r="F1478" t="s">
        <v>30</v>
      </c>
      <c r="G1478">
        <v>4</v>
      </c>
      <c r="H1478">
        <v>114628</v>
      </c>
      <c r="I1478">
        <v>986</v>
      </c>
      <c r="J1478" t="s">
        <v>27</v>
      </c>
      <c r="K1478" t="str">
        <f>_xlfn.XLOOKUP(datos_ventas[[#This Row],[Ciudad]],Tabla2[Ciudades],Tabla2[Provincias],"no se encuentra")</f>
        <v>Sevilla</v>
      </c>
      <c r="L1478" t="str">
        <f>_xlfn.XLOOKUP(datos_ventas[[#This Row],[Provincia]],Tabla2[Provincias],Tabla2[Comunidades],"no se encuentra")</f>
        <v>Andalucía</v>
      </c>
      <c r="M1478" t="s">
        <v>19</v>
      </c>
      <c r="N1478">
        <v>3</v>
      </c>
    </row>
    <row r="1479" spans="1:14" x14ac:dyDescent="0.25">
      <c r="A1479">
        <v>2478</v>
      </c>
      <c r="B1479" s="1">
        <v>46016</v>
      </c>
      <c r="C1479" s="4">
        <f>MONTH(datos_ventas[[#This Row],[Fecha]])</f>
        <v>12</v>
      </c>
      <c r="D1479" s="4">
        <f>WEEKNUM(datos_ventas[[#This Row],[Fecha]],2)</f>
        <v>52</v>
      </c>
      <c r="E1479" t="s">
        <v>24</v>
      </c>
      <c r="F1479" t="s">
        <v>25</v>
      </c>
      <c r="G1479">
        <v>4</v>
      </c>
      <c r="H1479">
        <v>41951</v>
      </c>
      <c r="I1479">
        <v>272</v>
      </c>
      <c r="J1479" t="s">
        <v>12</v>
      </c>
      <c r="K1479" t="str">
        <f>_xlfn.XLOOKUP(datos_ventas[[#This Row],[Ciudad]],Tabla2[Ciudades],Tabla2[Provincias],"no se encuentra")</f>
        <v>Málaga</v>
      </c>
      <c r="L1479" t="str">
        <f>_xlfn.XLOOKUP(datos_ventas[[#This Row],[Provincia]],Tabla2[Provincias],Tabla2[Comunidades],"no se encuentra")</f>
        <v>Andalucía</v>
      </c>
      <c r="M1479" t="s">
        <v>13</v>
      </c>
      <c r="N1479">
        <v>5</v>
      </c>
    </row>
    <row r="1480" spans="1:14" x14ac:dyDescent="0.25">
      <c r="A1480">
        <v>2479</v>
      </c>
      <c r="B1480" s="1">
        <v>45723</v>
      </c>
      <c r="C1480" s="4">
        <f>MONTH(datos_ventas[[#This Row],[Fecha]])</f>
        <v>3</v>
      </c>
      <c r="D1480" s="4">
        <f>WEEKNUM(datos_ventas[[#This Row],[Fecha]],2)</f>
        <v>10</v>
      </c>
      <c r="E1480" t="s">
        <v>17</v>
      </c>
      <c r="F1480" t="s">
        <v>18</v>
      </c>
      <c r="G1480">
        <v>3</v>
      </c>
      <c r="H1480">
        <v>79889</v>
      </c>
      <c r="I1480">
        <v>3929</v>
      </c>
      <c r="J1480" t="s">
        <v>27</v>
      </c>
      <c r="K1480" t="str">
        <f>_xlfn.XLOOKUP(datos_ventas[[#This Row],[Ciudad]],Tabla2[Ciudades],Tabla2[Provincias],"no se encuentra")</f>
        <v>Sevilla</v>
      </c>
      <c r="L1480" t="str">
        <f>_xlfn.XLOOKUP(datos_ventas[[#This Row],[Provincia]],Tabla2[Provincias],Tabla2[Comunidades],"no se encuentra")</f>
        <v>Andalucía</v>
      </c>
      <c r="M1480" t="s">
        <v>15</v>
      </c>
      <c r="N1480">
        <v>4</v>
      </c>
    </row>
    <row r="1481" spans="1:14" x14ac:dyDescent="0.25">
      <c r="A1481">
        <v>2480</v>
      </c>
      <c r="B1481" s="1">
        <v>45994</v>
      </c>
      <c r="C1481" s="4">
        <f>MONTH(datos_ventas[[#This Row],[Fecha]])</f>
        <v>12</v>
      </c>
      <c r="D1481" s="4">
        <f>WEEKNUM(datos_ventas[[#This Row],[Fecha]],2)</f>
        <v>49</v>
      </c>
      <c r="E1481" t="s">
        <v>20</v>
      </c>
      <c r="F1481" t="s">
        <v>21</v>
      </c>
      <c r="G1481">
        <v>5</v>
      </c>
      <c r="H1481">
        <v>110702</v>
      </c>
      <c r="I1481">
        <v>3398</v>
      </c>
      <c r="J1481" t="s">
        <v>32</v>
      </c>
      <c r="K1481" t="str">
        <f>_xlfn.XLOOKUP(datos_ventas[[#This Row],[Ciudad]],Tabla2[Ciudades],Tabla2[Provincias],"no se encuentra")</f>
        <v>Barcelona</v>
      </c>
      <c r="L1481" t="str">
        <f>_xlfn.XLOOKUP(datos_ventas[[#This Row],[Provincia]],Tabla2[Provincias],Tabla2[Comunidades],"no se encuentra")</f>
        <v>Cataluña</v>
      </c>
      <c r="M1481" t="s">
        <v>13</v>
      </c>
      <c r="N1481">
        <v>2</v>
      </c>
    </row>
    <row r="1482" spans="1:14" x14ac:dyDescent="0.25">
      <c r="A1482">
        <v>2481</v>
      </c>
      <c r="B1482" s="1">
        <v>45788</v>
      </c>
      <c r="C1482" s="4">
        <f>MONTH(datos_ventas[[#This Row],[Fecha]])</f>
        <v>5</v>
      </c>
      <c r="D1482" s="4">
        <f>WEEKNUM(datos_ventas[[#This Row],[Fecha]],2)</f>
        <v>19</v>
      </c>
      <c r="E1482" t="s">
        <v>29</v>
      </c>
      <c r="F1482" t="s">
        <v>30</v>
      </c>
      <c r="G1482">
        <v>5</v>
      </c>
      <c r="H1482">
        <v>52691</v>
      </c>
      <c r="I1482">
        <v>2846</v>
      </c>
      <c r="J1482" t="s">
        <v>14</v>
      </c>
      <c r="K1482" t="str">
        <f>_xlfn.XLOOKUP(datos_ventas[[#This Row],[Ciudad]],Tabla2[Ciudades],Tabla2[Provincias],"no se encuentra")</f>
        <v>Madrid</v>
      </c>
      <c r="L1482" t="str">
        <f>_xlfn.XLOOKUP(datos_ventas[[#This Row],[Provincia]],Tabla2[Provincias],Tabla2[Comunidades],"no se encuentra")</f>
        <v>Comunidad de Madrid</v>
      </c>
      <c r="M1482" t="s">
        <v>28</v>
      </c>
      <c r="N1482">
        <v>3</v>
      </c>
    </row>
    <row r="1483" spans="1:14" x14ac:dyDescent="0.25">
      <c r="A1483">
        <v>2482</v>
      </c>
      <c r="B1483" s="1">
        <v>45808</v>
      </c>
      <c r="C1483" s="4">
        <f>MONTH(datos_ventas[[#This Row],[Fecha]])</f>
        <v>5</v>
      </c>
      <c r="D1483" s="4">
        <f>WEEKNUM(datos_ventas[[#This Row],[Fecha]],2)</f>
        <v>22</v>
      </c>
      <c r="E1483" t="s">
        <v>24</v>
      </c>
      <c r="F1483" t="s">
        <v>25</v>
      </c>
      <c r="G1483">
        <v>5</v>
      </c>
      <c r="H1483">
        <v>100136</v>
      </c>
      <c r="I1483">
        <v>2454</v>
      </c>
      <c r="J1483" t="s">
        <v>27</v>
      </c>
      <c r="K1483" t="str">
        <f>_xlfn.XLOOKUP(datos_ventas[[#This Row],[Ciudad]],Tabla2[Ciudades],Tabla2[Provincias],"no se encuentra")</f>
        <v>Sevilla</v>
      </c>
      <c r="L1483" t="str">
        <f>_xlfn.XLOOKUP(datos_ventas[[#This Row],[Provincia]],Tabla2[Provincias],Tabla2[Comunidades],"no se encuentra")</f>
        <v>Andalucía</v>
      </c>
      <c r="M1483" t="s">
        <v>15</v>
      </c>
      <c r="N1483">
        <v>3</v>
      </c>
    </row>
    <row r="1484" spans="1:14" x14ac:dyDescent="0.25">
      <c r="A1484">
        <v>2483</v>
      </c>
      <c r="B1484" s="1">
        <v>45705</v>
      </c>
      <c r="C1484" s="4">
        <f>MONTH(datos_ventas[[#This Row],[Fecha]])</f>
        <v>2</v>
      </c>
      <c r="D1484" s="4">
        <f>WEEKNUM(datos_ventas[[#This Row],[Fecha]],2)</f>
        <v>8</v>
      </c>
      <c r="E1484" t="s">
        <v>29</v>
      </c>
      <c r="F1484" t="s">
        <v>30</v>
      </c>
      <c r="G1484">
        <v>2</v>
      </c>
      <c r="H1484">
        <v>72202</v>
      </c>
      <c r="I1484">
        <v>3398</v>
      </c>
      <c r="J1484" t="s">
        <v>27</v>
      </c>
      <c r="K1484" t="str">
        <f>_xlfn.XLOOKUP(datos_ventas[[#This Row],[Ciudad]],Tabla2[Ciudades],Tabla2[Provincias],"no se encuentra")</f>
        <v>Sevilla</v>
      </c>
      <c r="L1484" t="str">
        <f>_xlfn.XLOOKUP(datos_ventas[[#This Row],[Provincia]],Tabla2[Provincias],Tabla2[Comunidades],"no se encuentra")</f>
        <v>Andalucía</v>
      </c>
      <c r="M1484" t="s">
        <v>13</v>
      </c>
      <c r="N1484">
        <v>5</v>
      </c>
    </row>
    <row r="1485" spans="1:14" x14ac:dyDescent="0.25">
      <c r="A1485">
        <v>2484</v>
      </c>
      <c r="B1485" s="1">
        <v>45662</v>
      </c>
      <c r="C1485" s="4">
        <f>MONTH(datos_ventas[[#This Row],[Fecha]])</f>
        <v>1</v>
      </c>
      <c r="D1485" s="4">
        <f>WEEKNUM(datos_ventas[[#This Row],[Fecha]],2)</f>
        <v>1</v>
      </c>
      <c r="E1485" t="s">
        <v>16</v>
      </c>
      <c r="F1485" t="s">
        <v>11</v>
      </c>
      <c r="G1485">
        <v>3</v>
      </c>
      <c r="H1485">
        <v>54969</v>
      </c>
      <c r="I1485">
        <v>463</v>
      </c>
      <c r="J1485" t="s">
        <v>12</v>
      </c>
      <c r="K1485" t="str">
        <f>_xlfn.XLOOKUP(datos_ventas[[#This Row],[Ciudad]],Tabla2[Ciudades],Tabla2[Provincias],"no se encuentra")</f>
        <v>Málaga</v>
      </c>
      <c r="L1485" t="str">
        <f>_xlfn.XLOOKUP(datos_ventas[[#This Row],[Provincia]],Tabla2[Provincias],Tabla2[Comunidades],"no se encuentra")</f>
        <v>Andalucía</v>
      </c>
      <c r="M1485" t="s">
        <v>15</v>
      </c>
      <c r="N1485">
        <v>5</v>
      </c>
    </row>
    <row r="1486" spans="1:14" x14ac:dyDescent="0.25">
      <c r="A1486">
        <v>2485</v>
      </c>
      <c r="B1486" s="1">
        <v>45942</v>
      </c>
      <c r="C1486" s="4">
        <f>MONTH(datos_ventas[[#This Row],[Fecha]])</f>
        <v>10</v>
      </c>
      <c r="D1486" s="4">
        <f>WEEKNUM(datos_ventas[[#This Row],[Fecha]],2)</f>
        <v>41</v>
      </c>
      <c r="E1486" t="s">
        <v>26</v>
      </c>
      <c r="F1486" t="s">
        <v>18</v>
      </c>
      <c r="G1486">
        <v>4</v>
      </c>
      <c r="H1486">
        <v>6473</v>
      </c>
      <c r="I1486">
        <v>1069</v>
      </c>
      <c r="J1486" t="s">
        <v>12</v>
      </c>
      <c r="K1486" t="str">
        <f>_xlfn.XLOOKUP(datos_ventas[[#This Row],[Ciudad]],Tabla2[Ciudades],Tabla2[Provincias],"no se encuentra")</f>
        <v>Málaga</v>
      </c>
      <c r="L1486" t="str">
        <f>_xlfn.XLOOKUP(datos_ventas[[#This Row],[Provincia]],Tabla2[Provincias],Tabla2[Comunidades],"no se encuentra")</f>
        <v>Andalucía</v>
      </c>
      <c r="M1486" t="s">
        <v>28</v>
      </c>
      <c r="N1486">
        <v>3</v>
      </c>
    </row>
    <row r="1487" spans="1:14" x14ac:dyDescent="0.25">
      <c r="A1487">
        <v>2486</v>
      </c>
      <c r="B1487" s="1">
        <v>45748</v>
      </c>
      <c r="C1487" s="4">
        <f>MONTH(datos_ventas[[#This Row],[Fecha]])</f>
        <v>4</v>
      </c>
      <c r="D1487" s="4">
        <f>WEEKNUM(datos_ventas[[#This Row],[Fecha]],2)</f>
        <v>14</v>
      </c>
      <c r="E1487" t="s">
        <v>26</v>
      </c>
      <c r="F1487" t="s">
        <v>18</v>
      </c>
      <c r="G1487">
        <v>5</v>
      </c>
      <c r="H1487">
        <v>3974</v>
      </c>
      <c r="I1487">
        <v>743</v>
      </c>
      <c r="J1487" t="s">
        <v>32</v>
      </c>
      <c r="K1487" t="str">
        <f>_xlfn.XLOOKUP(datos_ventas[[#This Row],[Ciudad]],Tabla2[Ciudades],Tabla2[Provincias],"no se encuentra")</f>
        <v>Barcelona</v>
      </c>
      <c r="L1487" t="str">
        <f>_xlfn.XLOOKUP(datos_ventas[[#This Row],[Provincia]],Tabla2[Provincias],Tabla2[Comunidades],"no se encuentra")</f>
        <v>Cataluña</v>
      </c>
      <c r="M1487" t="s">
        <v>19</v>
      </c>
      <c r="N1487">
        <v>1</v>
      </c>
    </row>
    <row r="1488" spans="1:14" x14ac:dyDescent="0.25">
      <c r="A1488">
        <v>2487</v>
      </c>
      <c r="B1488" s="1">
        <v>45798</v>
      </c>
      <c r="C1488" s="4">
        <f>MONTH(datos_ventas[[#This Row],[Fecha]])</f>
        <v>5</v>
      </c>
      <c r="D1488" s="4">
        <f>WEEKNUM(datos_ventas[[#This Row],[Fecha]],2)</f>
        <v>21</v>
      </c>
      <c r="E1488" t="s">
        <v>10</v>
      </c>
      <c r="F1488" t="s">
        <v>11</v>
      </c>
      <c r="G1488">
        <v>5</v>
      </c>
      <c r="H1488">
        <v>31448</v>
      </c>
      <c r="I1488">
        <v>3789</v>
      </c>
      <c r="J1488" t="s">
        <v>12</v>
      </c>
      <c r="K1488" t="str">
        <f>_xlfn.XLOOKUP(datos_ventas[[#This Row],[Ciudad]],Tabla2[Ciudades],Tabla2[Provincias],"no se encuentra")</f>
        <v>Málaga</v>
      </c>
      <c r="L1488" t="str">
        <f>_xlfn.XLOOKUP(datos_ventas[[#This Row],[Provincia]],Tabla2[Provincias],Tabla2[Comunidades],"no se encuentra")</f>
        <v>Andalucía</v>
      </c>
      <c r="M1488" t="s">
        <v>28</v>
      </c>
      <c r="N1488">
        <v>2</v>
      </c>
    </row>
    <row r="1489" spans="1:14" x14ac:dyDescent="0.25">
      <c r="A1489">
        <v>2488</v>
      </c>
      <c r="B1489" s="1">
        <v>45785</v>
      </c>
      <c r="C1489" s="4">
        <f>MONTH(datos_ventas[[#This Row],[Fecha]])</f>
        <v>5</v>
      </c>
      <c r="D1489" s="4">
        <f>WEEKNUM(datos_ventas[[#This Row],[Fecha]],2)</f>
        <v>19</v>
      </c>
      <c r="E1489" t="s">
        <v>24</v>
      </c>
      <c r="F1489" t="s">
        <v>25</v>
      </c>
      <c r="G1489">
        <v>4</v>
      </c>
      <c r="H1489">
        <v>84931</v>
      </c>
      <c r="I1489">
        <v>3871</v>
      </c>
      <c r="J1489" t="s">
        <v>31</v>
      </c>
      <c r="K1489" t="str">
        <f>_xlfn.XLOOKUP(datos_ventas[[#This Row],[Ciudad]],Tabla2[Ciudades],Tabla2[Provincias],"no se encuentra")</f>
        <v>Vizcaya</v>
      </c>
      <c r="L1489" t="str">
        <f>_xlfn.XLOOKUP(datos_ventas[[#This Row],[Provincia]],Tabla2[Provincias],Tabla2[Comunidades],"no se encuentra")</f>
        <v>País Vasco</v>
      </c>
      <c r="M1489" t="s">
        <v>19</v>
      </c>
      <c r="N1489">
        <v>5</v>
      </c>
    </row>
    <row r="1490" spans="1:14" x14ac:dyDescent="0.25">
      <c r="A1490">
        <v>2489</v>
      </c>
      <c r="B1490" s="1">
        <v>45895</v>
      </c>
      <c r="C1490" s="4">
        <f>MONTH(datos_ventas[[#This Row],[Fecha]])</f>
        <v>8</v>
      </c>
      <c r="D1490" s="4">
        <f>WEEKNUM(datos_ventas[[#This Row],[Fecha]],2)</f>
        <v>35</v>
      </c>
      <c r="E1490" t="s">
        <v>20</v>
      </c>
      <c r="F1490" t="s">
        <v>21</v>
      </c>
      <c r="G1490">
        <v>4</v>
      </c>
      <c r="H1490">
        <v>79447</v>
      </c>
      <c r="I1490">
        <v>3149</v>
      </c>
      <c r="J1490" t="s">
        <v>12</v>
      </c>
      <c r="K1490" t="str">
        <f>_xlfn.XLOOKUP(datos_ventas[[#This Row],[Ciudad]],Tabla2[Ciudades],Tabla2[Provincias],"no se encuentra")</f>
        <v>Málaga</v>
      </c>
      <c r="L1490" t="str">
        <f>_xlfn.XLOOKUP(datos_ventas[[#This Row],[Provincia]],Tabla2[Provincias],Tabla2[Comunidades],"no se encuentra")</f>
        <v>Andalucía</v>
      </c>
      <c r="M1490" t="s">
        <v>15</v>
      </c>
      <c r="N1490">
        <v>1</v>
      </c>
    </row>
    <row r="1491" spans="1:14" x14ac:dyDescent="0.25">
      <c r="A1491">
        <v>2490</v>
      </c>
      <c r="B1491" s="1">
        <v>45703</v>
      </c>
      <c r="C1491" s="4">
        <f>MONTH(datos_ventas[[#This Row],[Fecha]])</f>
        <v>2</v>
      </c>
      <c r="D1491" s="4">
        <f>WEEKNUM(datos_ventas[[#This Row],[Fecha]],2)</f>
        <v>7</v>
      </c>
      <c r="E1491" t="s">
        <v>10</v>
      </c>
      <c r="F1491" t="s">
        <v>11</v>
      </c>
      <c r="G1491">
        <v>4</v>
      </c>
      <c r="H1491">
        <v>62915</v>
      </c>
      <c r="I1491">
        <v>3046</v>
      </c>
      <c r="J1491" t="s">
        <v>14</v>
      </c>
      <c r="K1491" t="str">
        <f>_xlfn.XLOOKUP(datos_ventas[[#This Row],[Ciudad]],Tabla2[Ciudades],Tabla2[Provincias],"no se encuentra")</f>
        <v>Madrid</v>
      </c>
      <c r="L1491" t="str">
        <f>_xlfn.XLOOKUP(datos_ventas[[#This Row],[Provincia]],Tabla2[Provincias],Tabla2[Comunidades],"no se encuentra")</f>
        <v>Comunidad de Madrid</v>
      </c>
      <c r="M1491" t="s">
        <v>15</v>
      </c>
      <c r="N1491">
        <v>1</v>
      </c>
    </row>
    <row r="1492" spans="1:14" x14ac:dyDescent="0.25">
      <c r="A1492">
        <v>2491</v>
      </c>
      <c r="B1492" s="1">
        <v>45847</v>
      </c>
      <c r="C1492" s="4">
        <f>MONTH(datos_ventas[[#This Row],[Fecha]])</f>
        <v>7</v>
      </c>
      <c r="D1492" s="4">
        <f>WEEKNUM(datos_ventas[[#This Row],[Fecha]],2)</f>
        <v>28</v>
      </c>
      <c r="E1492" t="s">
        <v>26</v>
      </c>
      <c r="F1492" t="s">
        <v>18</v>
      </c>
      <c r="G1492">
        <v>4</v>
      </c>
      <c r="H1492">
        <v>114335</v>
      </c>
      <c r="I1492">
        <v>2304</v>
      </c>
      <c r="J1492" t="s">
        <v>12</v>
      </c>
      <c r="K1492" t="str">
        <f>_xlfn.XLOOKUP(datos_ventas[[#This Row],[Ciudad]],Tabla2[Ciudades],Tabla2[Provincias],"no se encuentra")</f>
        <v>Málaga</v>
      </c>
      <c r="L1492" t="str">
        <f>_xlfn.XLOOKUP(datos_ventas[[#This Row],[Provincia]],Tabla2[Provincias],Tabla2[Comunidades],"no se encuentra")</f>
        <v>Andalucía</v>
      </c>
      <c r="M1492" t="s">
        <v>19</v>
      </c>
      <c r="N1492">
        <v>1</v>
      </c>
    </row>
    <row r="1493" spans="1:14" x14ac:dyDescent="0.25">
      <c r="A1493">
        <v>2492</v>
      </c>
      <c r="B1493" s="1">
        <v>45765</v>
      </c>
      <c r="C1493" s="4">
        <f>MONTH(datos_ventas[[#This Row],[Fecha]])</f>
        <v>4</v>
      </c>
      <c r="D1493" s="4">
        <f>WEEKNUM(datos_ventas[[#This Row],[Fecha]],2)</f>
        <v>16</v>
      </c>
      <c r="E1493" t="s">
        <v>16</v>
      </c>
      <c r="F1493" t="s">
        <v>11</v>
      </c>
      <c r="G1493">
        <v>4</v>
      </c>
      <c r="H1493">
        <v>92102</v>
      </c>
      <c r="I1493">
        <v>1239</v>
      </c>
      <c r="J1493" t="s">
        <v>12</v>
      </c>
      <c r="K1493" t="str">
        <f>_xlfn.XLOOKUP(datos_ventas[[#This Row],[Ciudad]],Tabla2[Ciudades],Tabla2[Provincias],"no se encuentra")</f>
        <v>Málaga</v>
      </c>
      <c r="L1493" t="str">
        <f>_xlfn.XLOOKUP(datos_ventas[[#This Row],[Provincia]],Tabla2[Provincias],Tabla2[Comunidades],"no se encuentra")</f>
        <v>Andalucía</v>
      </c>
      <c r="M1493" t="s">
        <v>13</v>
      </c>
      <c r="N1493">
        <v>2</v>
      </c>
    </row>
    <row r="1494" spans="1:14" x14ac:dyDescent="0.25">
      <c r="A1494">
        <v>2493</v>
      </c>
      <c r="B1494" s="1">
        <v>45722</v>
      </c>
      <c r="C1494" s="4">
        <f>MONTH(datos_ventas[[#This Row],[Fecha]])</f>
        <v>3</v>
      </c>
      <c r="D1494" s="4">
        <f>WEEKNUM(datos_ventas[[#This Row],[Fecha]],2)</f>
        <v>10</v>
      </c>
      <c r="E1494" t="s">
        <v>23</v>
      </c>
      <c r="F1494" t="s">
        <v>18</v>
      </c>
      <c r="G1494">
        <v>5</v>
      </c>
      <c r="H1494">
        <v>8631</v>
      </c>
      <c r="I1494">
        <v>3653</v>
      </c>
      <c r="J1494" t="s">
        <v>22</v>
      </c>
      <c r="K1494" t="str">
        <f>_xlfn.XLOOKUP(datos_ventas[[#This Row],[Ciudad]],Tabla2[Ciudades],Tabla2[Provincias],"no se encuentra")</f>
        <v>Valencia</v>
      </c>
      <c r="L1494" t="str">
        <f>_xlfn.XLOOKUP(datos_ventas[[#This Row],[Provincia]],Tabla2[Provincias],Tabla2[Comunidades],"no se encuentra")</f>
        <v>Comunidad Valenciana</v>
      </c>
      <c r="M1494" t="s">
        <v>19</v>
      </c>
      <c r="N1494">
        <v>5</v>
      </c>
    </row>
    <row r="1495" spans="1:14" x14ac:dyDescent="0.25">
      <c r="A1495">
        <v>2494</v>
      </c>
      <c r="B1495" s="1">
        <v>46013</v>
      </c>
      <c r="C1495" s="4">
        <f>MONTH(datos_ventas[[#This Row],[Fecha]])</f>
        <v>12</v>
      </c>
      <c r="D1495" s="4">
        <f>WEEKNUM(datos_ventas[[#This Row],[Fecha]],2)</f>
        <v>52</v>
      </c>
      <c r="E1495" t="s">
        <v>23</v>
      </c>
      <c r="F1495" t="s">
        <v>18</v>
      </c>
      <c r="G1495">
        <v>5</v>
      </c>
      <c r="H1495">
        <v>72962</v>
      </c>
      <c r="I1495">
        <v>4931</v>
      </c>
      <c r="J1495" t="s">
        <v>27</v>
      </c>
      <c r="K1495" t="str">
        <f>_xlfn.XLOOKUP(datos_ventas[[#This Row],[Ciudad]],Tabla2[Ciudades],Tabla2[Provincias],"no se encuentra")</f>
        <v>Sevilla</v>
      </c>
      <c r="L1495" t="str">
        <f>_xlfn.XLOOKUP(datos_ventas[[#This Row],[Provincia]],Tabla2[Provincias],Tabla2[Comunidades],"no se encuentra")</f>
        <v>Andalucía</v>
      </c>
      <c r="M1495" t="s">
        <v>15</v>
      </c>
      <c r="N1495">
        <v>5</v>
      </c>
    </row>
    <row r="1496" spans="1:14" x14ac:dyDescent="0.25">
      <c r="A1496">
        <v>2495</v>
      </c>
      <c r="B1496" s="1">
        <v>45763</v>
      </c>
      <c r="C1496" s="4">
        <f>MONTH(datos_ventas[[#This Row],[Fecha]])</f>
        <v>4</v>
      </c>
      <c r="D1496" s="4">
        <f>WEEKNUM(datos_ventas[[#This Row],[Fecha]],2)</f>
        <v>16</v>
      </c>
      <c r="E1496" t="s">
        <v>16</v>
      </c>
      <c r="F1496" t="s">
        <v>11</v>
      </c>
      <c r="G1496">
        <v>1</v>
      </c>
      <c r="H1496">
        <v>79104</v>
      </c>
      <c r="I1496">
        <v>2464</v>
      </c>
      <c r="J1496" t="s">
        <v>12</v>
      </c>
      <c r="K1496" t="str">
        <f>_xlfn.XLOOKUP(datos_ventas[[#This Row],[Ciudad]],Tabla2[Ciudades],Tabla2[Provincias],"no se encuentra")</f>
        <v>Málaga</v>
      </c>
      <c r="L1496" t="str">
        <f>_xlfn.XLOOKUP(datos_ventas[[#This Row],[Provincia]],Tabla2[Provincias],Tabla2[Comunidades],"no se encuentra")</f>
        <v>Andalucía</v>
      </c>
      <c r="M1496" t="s">
        <v>13</v>
      </c>
      <c r="N1496">
        <v>3</v>
      </c>
    </row>
    <row r="1497" spans="1:14" x14ac:dyDescent="0.25">
      <c r="A1497">
        <v>2496</v>
      </c>
      <c r="B1497" s="1">
        <v>46007</v>
      </c>
      <c r="C1497" s="4">
        <f>MONTH(datos_ventas[[#This Row],[Fecha]])</f>
        <v>12</v>
      </c>
      <c r="D1497" s="4">
        <f>WEEKNUM(datos_ventas[[#This Row],[Fecha]],2)</f>
        <v>51</v>
      </c>
      <c r="E1497" t="s">
        <v>20</v>
      </c>
      <c r="F1497" t="s">
        <v>21</v>
      </c>
      <c r="G1497">
        <v>3</v>
      </c>
      <c r="H1497">
        <v>25726</v>
      </c>
      <c r="I1497">
        <v>529</v>
      </c>
      <c r="J1497" t="s">
        <v>31</v>
      </c>
      <c r="K1497" t="str">
        <f>_xlfn.XLOOKUP(datos_ventas[[#This Row],[Ciudad]],Tabla2[Ciudades],Tabla2[Provincias],"no se encuentra")</f>
        <v>Vizcaya</v>
      </c>
      <c r="L1497" t="str">
        <f>_xlfn.XLOOKUP(datos_ventas[[#This Row],[Provincia]],Tabla2[Provincias],Tabla2[Comunidades],"no se encuentra")</f>
        <v>País Vasco</v>
      </c>
      <c r="M1497" t="s">
        <v>28</v>
      </c>
      <c r="N1497">
        <v>3</v>
      </c>
    </row>
    <row r="1498" spans="1:14" x14ac:dyDescent="0.25">
      <c r="A1498">
        <v>2497</v>
      </c>
      <c r="B1498" s="1">
        <v>45780</v>
      </c>
      <c r="C1498" s="4">
        <f>MONTH(datos_ventas[[#This Row],[Fecha]])</f>
        <v>5</v>
      </c>
      <c r="D1498" s="4">
        <f>WEEKNUM(datos_ventas[[#This Row],[Fecha]],2)</f>
        <v>18</v>
      </c>
      <c r="E1498" t="s">
        <v>26</v>
      </c>
      <c r="F1498" t="s">
        <v>18</v>
      </c>
      <c r="G1498">
        <v>3</v>
      </c>
      <c r="H1498">
        <v>21373</v>
      </c>
      <c r="I1498">
        <v>4837</v>
      </c>
      <c r="J1498" t="s">
        <v>27</v>
      </c>
      <c r="K1498" t="str">
        <f>_xlfn.XLOOKUP(datos_ventas[[#This Row],[Ciudad]],Tabla2[Ciudades],Tabla2[Provincias],"no se encuentra")</f>
        <v>Sevilla</v>
      </c>
      <c r="L1498" t="str">
        <f>_xlfn.XLOOKUP(datos_ventas[[#This Row],[Provincia]],Tabla2[Provincias],Tabla2[Comunidades],"no se encuentra")</f>
        <v>Andalucía</v>
      </c>
      <c r="M1498" t="s">
        <v>13</v>
      </c>
      <c r="N1498">
        <v>1</v>
      </c>
    </row>
    <row r="1499" spans="1:14" x14ac:dyDescent="0.25">
      <c r="A1499">
        <v>2498</v>
      </c>
      <c r="B1499" s="1">
        <v>46006</v>
      </c>
      <c r="C1499" s="4">
        <f>MONTH(datos_ventas[[#This Row],[Fecha]])</f>
        <v>12</v>
      </c>
      <c r="D1499" s="4">
        <f>WEEKNUM(datos_ventas[[#This Row],[Fecha]],2)</f>
        <v>51</v>
      </c>
      <c r="E1499" t="s">
        <v>29</v>
      </c>
      <c r="F1499" t="s">
        <v>30</v>
      </c>
      <c r="G1499">
        <v>5</v>
      </c>
      <c r="H1499">
        <v>36974</v>
      </c>
      <c r="I1499">
        <v>2181</v>
      </c>
      <c r="J1499" t="s">
        <v>22</v>
      </c>
      <c r="K1499" t="str">
        <f>_xlfn.XLOOKUP(datos_ventas[[#This Row],[Ciudad]],Tabla2[Ciudades],Tabla2[Provincias],"no se encuentra")</f>
        <v>Valencia</v>
      </c>
      <c r="L1499" t="str">
        <f>_xlfn.XLOOKUP(datos_ventas[[#This Row],[Provincia]],Tabla2[Provincias],Tabla2[Comunidades],"no se encuentra")</f>
        <v>Comunidad Valenciana</v>
      </c>
      <c r="M1499" t="s">
        <v>13</v>
      </c>
      <c r="N1499">
        <v>3</v>
      </c>
    </row>
    <row r="1500" spans="1:14" x14ac:dyDescent="0.25">
      <c r="A1500">
        <v>2499</v>
      </c>
      <c r="B1500" s="1">
        <v>45815</v>
      </c>
      <c r="C1500" s="4">
        <f>MONTH(datos_ventas[[#This Row],[Fecha]])</f>
        <v>6</v>
      </c>
      <c r="D1500" s="4">
        <f>WEEKNUM(datos_ventas[[#This Row],[Fecha]],2)</f>
        <v>23</v>
      </c>
      <c r="E1500" t="s">
        <v>17</v>
      </c>
      <c r="F1500" t="s">
        <v>18</v>
      </c>
      <c r="G1500">
        <v>3</v>
      </c>
      <c r="H1500">
        <v>67155</v>
      </c>
      <c r="I1500">
        <v>703</v>
      </c>
      <c r="J1500" t="s">
        <v>31</v>
      </c>
      <c r="K1500" t="str">
        <f>_xlfn.XLOOKUP(datos_ventas[[#This Row],[Ciudad]],Tabla2[Ciudades],Tabla2[Provincias],"no se encuentra")</f>
        <v>Vizcaya</v>
      </c>
      <c r="L1500" t="str">
        <f>_xlfn.XLOOKUP(datos_ventas[[#This Row],[Provincia]],Tabla2[Provincias],Tabla2[Comunidades],"no se encuentra")</f>
        <v>País Vasco</v>
      </c>
      <c r="M1500" t="s">
        <v>19</v>
      </c>
      <c r="N1500">
        <v>1</v>
      </c>
    </row>
    <row r="1501" spans="1:14" x14ac:dyDescent="0.25">
      <c r="A1501">
        <v>2500</v>
      </c>
      <c r="B1501" s="1">
        <v>45911</v>
      </c>
      <c r="C1501" s="4">
        <f>MONTH(datos_ventas[[#This Row],[Fecha]])</f>
        <v>9</v>
      </c>
      <c r="D1501" s="4">
        <f>WEEKNUM(datos_ventas[[#This Row],[Fecha]],2)</f>
        <v>37</v>
      </c>
      <c r="E1501" t="s">
        <v>17</v>
      </c>
      <c r="F1501" t="s">
        <v>18</v>
      </c>
      <c r="G1501">
        <v>2</v>
      </c>
      <c r="H1501">
        <v>19208</v>
      </c>
      <c r="I1501">
        <v>3382</v>
      </c>
      <c r="J1501" t="s">
        <v>31</v>
      </c>
      <c r="K1501" t="str">
        <f>_xlfn.XLOOKUP(datos_ventas[[#This Row],[Ciudad]],Tabla2[Ciudades],Tabla2[Provincias],"no se encuentra")</f>
        <v>Vizcaya</v>
      </c>
      <c r="L1501" t="str">
        <f>_xlfn.XLOOKUP(datos_ventas[[#This Row],[Provincia]],Tabla2[Provincias],Tabla2[Comunidades],"no se encuentra")</f>
        <v>País Vasco</v>
      </c>
      <c r="M1501" t="s">
        <v>13</v>
      </c>
      <c r="N1501">
        <v>2</v>
      </c>
    </row>
    <row r="1502" spans="1:14" x14ac:dyDescent="0.25">
      <c r="A1502">
        <v>2501</v>
      </c>
      <c r="B1502" s="1">
        <v>45734</v>
      </c>
      <c r="C1502" s="4">
        <f>MONTH(datos_ventas[[#This Row],[Fecha]])</f>
        <v>3</v>
      </c>
      <c r="D1502" s="4">
        <f>WEEKNUM(datos_ventas[[#This Row],[Fecha]],2)</f>
        <v>12</v>
      </c>
      <c r="E1502" t="s">
        <v>17</v>
      </c>
      <c r="F1502" t="s">
        <v>18</v>
      </c>
      <c r="G1502">
        <v>2</v>
      </c>
      <c r="H1502">
        <v>74942</v>
      </c>
      <c r="I1502">
        <v>785</v>
      </c>
      <c r="J1502" t="s">
        <v>31</v>
      </c>
      <c r="K1502" t="str">
        <f>_xlfn.XLOOKUP(datos_ventas[[#This Row],[Ciudad]],Tabla2[Ciudades],Tabla2[Provincias],"no se encuentra")</f>
        <v>Vizcaya</v>
      </c>
      <c r="L1502" t="str">
        <f>_xlfn.XLOOKUP(datos_ventas[[#This Row],[Provincia]],Tabla2[Provincias],Tabla2[Comunidades],"no se encuentra")</f>
        <v>País Vasco</v>
      </c>
      <c r="M1502" t="s">
        <v>15</v>
      </c>
      <c r="N1502">
        <v>3</v>
      </c>
    </row>
    <row r="1503" spans="1:14" x14ac:dyDescent="0.25">
      <c r="A1503">
        <v>2502</v>
      </c>
      <c r="B1503" s="1">
        <v>45865</v>
      </c>
      <c r="C1503" s="4">
        <f>MONTH(datos_ventas[[#This Row],[Fecha]])</f>
        <v>7</v>
      </c>
      <c r="D1503" s="4">
        <f>WEEKNUM(datos_ventas[[#This Row],[Fecha]],2)</f>
        <v>30</v>
      </c>
      <c r="E1503" t="s">
        <v>20</v>
      </c>
      <c r="F1503" t="s">
        <v>21</v>
      </c>
      <c r="G1503">
        <v>4</v>
      </c>
      <c r="H1503">
        <v>59286</v>
      </c>
      <c r="I1503">
        <v>1141</v>
      </c>
      <c r="J1503" t="s">
        <v>31</v>
      </c>
      <c r="K1503" t="str">
        <f>_xlfn.XLOOKUP(datos_ventas[[#This Row],[Ciudad]],Tabla2[Ciudades],Tabla2[Provincias],"no se encuentra")</f>
        <v>Vizcaya</v>
      </c>
      <c r="L1503" t="str">
        <f>_xlfn.XLOOKUP(datos_ventas[[#This Row],[Provincia]],Tabla2[Provincias],Tabla2[Comunidades],"no se encuentra")</f>
        <v>País Vasco</v>
      </c>
      <c r="M1503" t="s">
        <v>15</v>
      </c>
      <c r="N1503">
        <v>2</v>
      </c>
    </row>
    <row r="1504" spans="1:14" x14ac:dyDescent="0.25">
      <c r="A1504">
        <v>2503</v>
      </c>
      <c r="B1504" s="1">
        <v>45989</v>
      </c>
      <c r="C1504" s="4">
        <f>MONTH(datos_ventas[[#This Row],[Fecha]])</f>
        <v>11</v>
      </c>
      <c r="D1504" s="4">
        <f>WEEKNUM(datos_ventas[[#This Row],[Fecha]],2)</f>
        <v>48</v>
      </c>
      <c r="E1504" t="s">
        <v>16</v>
      </c>
      <c r="F1504" t="s">
        <v>11</v>
      </c>
      <c r="G1504">
        <v>3</v>
      </c>
      <c r="H1504">
        <v>113417</v>
      </c>
      <c r="I1504">
        <v>2834</v>
      </c>
      <c r="J1504" t="s">
        <v>32</v>
      </c>
      <c r="K1504" t="str">
        <f>_xlfn.XLOOKUP(datos_ventas[[#This Row],[Ciudad]],Tabla2[Ciudades],Tabla2[Provincias],"no se encuentra")</f>
        <v>Barcelona</v>
      </c>
      <c r="L1504" t="str">
        <f>_xlfn.XLOOKUP(datos_ventas[[#This Row],[Provincia]],Tabla2[Provincias],Tabla2[Comunidades],"no se encuentra")</f>
        <v>Cataluña</v>
      </c>
      <c r="M1504" t="s">
        <v>19</v>
      </c>
      <c r="N1504">
        <v>5</v>
      </c>
    </row>
    <row r="1505" spans="1:14" x14ac:dyDescent="0.25">
      <c r="A1505">
        <v>2504</v>
      </c>
      <c r="B1505" s="1">
        <v>45755</v>
      </c>
      <c r="C1505" s="4">
        <f>MONTH(datos_ventas[[#This Row],[Fecha]])</f>
        <v>4</v>
      </c>
      <c r="D1505" s="4">
        <f>WEEKNUM(datos_ventas[[#This Row],[Fecha]],2)</f>
        <v>15</v>
      </c>
      <c r="E1505" t="s">
        <v>26</v>
      </c>
      <c r="F1505" t="s">
        <v>18</v>
      </c>
      <c r="G1505">
        <v>3</v>
      </c>
      <c r="H1505">
        <v>79565</v>
      </c>
      <c r="I1505">
        <v>4236</v>
      </c>
      <c r="J1505" t="s">
        <v>31</v>
      </c>
      <c r="K1505" t="str">
        <f>_xlfn.XLOOKUP(datos_ventas[[#This Row],[Ciudad]],Tabla2[Ciudades],Tabla2[Provincias],"no se encuentra")</f>
        <v>Vizcaya</v>
      </c>
      <c r="L1505" t="str">
        <f>_xlfn.XLOOKUP(datos_ventas[[#This Row],[Provincia]],Tabla2[Provincias],Tabla2[Comunidades],"no se encuentra")</f>
        <v>País Vasco</v>
      </c>
      <c r="M1505" t="s">
        <v>28</v>
      </c>
      <c r="N1505">
        <v>4</v>
      </c>
    </row>
    <row r="1506" spans="1:14" x14ac:dyDescent="0.25">
      <c r="A1506">
        <v>2505</v>
      </c>
      <c r="B1506" s="1">
        <v>45677</v>
      </c>
      <c r="C1506" s="4">
        <f>MONTH(datos_ventas[[#This Row],[Fecha]])</f>
        <v>1</v>
      </c>
      <c r="D1506" s="4">
        <f>WEEKNUM(datos_ventas[[#This Row],[Fecha]],2)</f>
        <v>4</v>
      </c>
      <c r="E1506" t="s">
        <v>29</v>
      </c>
      <c r="F1506" t="s">
        <v>30</v>
      </c>
      <c r="G1506">
        <v>4</v>
      </c>
      <c r="H1506">
        <v>74456</v>
      </c>
      <c r="I1506">
        <v>2817</v>
      </c>
      <c r="J1506" t="s">
        <v>32</v>
      </c>
      <c r="K1506" t="str">
        <f>_xlfn.XLOOKUP(datos_ventas[[#This Row],[Ciudad]],Tabla2[Ciudades],Tabla2[Provincias],"no se encuentra")</f>
        <v>Barcelona</v>
      </c>
      <c r="L1506" t="str">
        <f>_xlfn.XLOOKUP(datos_ventas[[#This Row],[Provincia]],Tabla2[Provincias],Tabla2[Comunidades],"no se encuentra")</f>
        <v>Cataluña</v>
      </c>
      <c r="M1506" t="s">
        <v>28</v>
      </c>
      <c r="N1506">
        <v>5</v>
      </c>
    </row>
    <row r="1507" spans="1:14" x14ac:dyDescent="0.25">
      <c r="A1507">
        <v>2506</v>
      </c>
      <c r="B1507" s="1">
        <v>45934</v>
      </c>
      <c r="C1507" s="4">
        <f>MONTH(datos_ventas[[#This Row],[Fecha]])</f>
        <v>10</v>
      </c>
      <c r="D1507" s="4">
        <f>WEEKNUM(datos_ventas[[#This Row],[Fecha]],2)</f>
        <v>40</v>
      </c>
      <c r="E1507" t="s">
        <v>17</v>
      </c>
      <c r="F1507" t="s">
        <v>18</v>
      </c>
      <c r="G1507">
        <v>1</v>
      </c>
      <c r="H1507">
        <v>102808</v>
      </c>
      <c r="I1507">
        <v>3568</v>
      </c>
      <c r="J1507" t="s">
        <v>22</v>
      </c>
      <c r="K1507" t="str">
        <f>_xlfn.XLOOKUP(datos_ventas[[#This Row],[Ciudad]],Tabla2[Ciudades],Tabla2[Provincias],"no se encuentra")</f>
        <v>Valencia</v>
      </c>
      <c r="L1507" t="str">
        <f>_xlfn.XLOOKUP(datos_ventas[[#This Row],[Provincia]],Tabla2[Provincias],Tabla2[Comunidades],"no se encuentra")</f>
        <v>Comunidad Valenciana</v>
      </c>
      <c r="M1507" t="s">
        <v>28</v>
      </c>
      <c r="N1507">
        <v>2</v>
      </c>
    </row>
    <row r="1508" spans="1:14" x14ac:dyDescent="0.25">
      <c r="A1508">
        <v>2507</v>
      </c>
      <c r="B1508" s="1">
        <v>45974</v>
      </c>
      <c r="C1508" s="4">
        <f>MONTH(datos_ventas[[#This Row],[Fecha]])</f>
        <v>11</v>
      </c>
      <c r="D1508" s="4">
        <f>WEEKNUM(datos_ventas[[#This Row],[Fecha]],2)</f>
        <v>46</v>
      </c>
      <c r="E1508" t="s">
        <v>29</v>
      </c>
      <c r="F1508" t="s">
        <v>30</v>
      </c>
      <c r="G1508">
        <v>2</v>
      </c>
      <c r="H1508">
        <v>114829</v>
      </c>
      <c r="I1508">
        <v>488</v>
      </c>
      <c r="J1508" t="s">
        <v>27</v>
      </c>
      <c r="K1508" t="str">
        <f>_xlfn.XLOOKUP(datos_ventas[[#This Row],[Ciudad]],Tabla2[Ciudades],Tabla2[Provincias],"no se encuentra")</f>
        <v>Sevilla</v>
      </c>
      <c r="L1508" t="str">
        <f>_xlfn.XLOOKUP(datos_ventas[[#This Row],[Provincia]],Tabla2[Provincias],Tabla2[Comunidades],"no se encuentra")</f>
        <v>Andalucía</v>
      </c>
      <c r="M1508" t="s">
        <v>13</v>
      </c>
      <c r="N1508">
        <v>4</v>
      </c>
    </row>
    <row r="1509" spans="1:14" x14ac:dyDescent="0.25">
      <c r="A1509">
        <v>2508</v>
      </c>
      <c r="B1509" s="1">
        <v>45784</v>
      </c>
      <c r="C1509" s="4">
        <f>MONTH(datos_ventas[[#This Row],[Fecha]])</f>
        <v>5</v>
      </c>
      <c r="D1509" s="4">
        <f>WEEKNUM(datos_ventas[[#This Row],[Fecha]],2)</f>
        <v>19</v>
      </c>
      <c r="E1509" t="s">
        <v>17</v>
      </c>
      <c r="F1509" t="s">
        <v>18</v>
      </c>
      <c r="G1509">
        <v>5</v>
      </c>
      <c r="H1509">
        <v>119858</v>
      </c>
      <c r="I1509">
        <v>3696</v>
      </c>
      <c r="J1509" t="s">
        <v>12</v>
      </c>
      <c r="K1509" t="str">
        <f>_xlfn.XLOOKUP(datos_ventas[[#This Row],[Ciudad]],Tabla2[Ciudades],Tabla2[Provincias],"no se encuentra")</f>
        <v>Málaga</v>
      </c>
      <c r="L1509" t="str">
        <f>_xlfn.XLOOKUP(datos_ventas[[#This Row],[Provincia]],Tabla2[Provincias],Tabla2[Comunidades],"no se encuentra")</f>
        <v>Andalucía</v>
      </c>
      <c r="M1509" t="s">
        <v>15</v>
      </c>
      <c r="N1509">
        <v>1</v>
      </c>
    </row>
    <row r="1510" spans="1:14" x14ac:dyDescent="0.25">
      <c r="A1510">
        <v>2509</v>
      </c>
      <c r="B1510" s="1">
        <v>45932</v>
      </c>
      <c r="C1510" s="4">
        <f>MONTH(datos_ventas[[#This Row],[Fecha]])</f>
        <v>10</v>
      </c>
      <c r="D1510" s="4">
        <f>WEEKNUM(datos_ventas[[#This Row],[Fecha]],2)</f>
        <v>40</v>
      </c>
      <c r="E1510" t="s">
        <v>20</v>
      </c>
      <c r="F1510" t="s">
        <v>21</v>
      </c>
      <c r="G1510">
        <v>5</v>
      </c>
      <c r="H1510">
        <v>30296</v>
      </c>
      <c r="I1510">
        <v>2299</v>
      </c>
      <c r="J1510" t="s">
        <v>32</v>
      </c>
      <c r="K1510" t="str">
        <f>_xlfn.XLOOKUP(datos_ventas[[#This Row],[Ciudad]],Tabla2[Ciudades],Tabla2[Provincias],"no se encuentra")</f>
        <v>Barcelona</v>
      </c>
      <c r="L1510" t="str">
        <f>_xlfn.XLOOKUP(datos_ventas[[#This Row],[Provincia]],Tabla2[Provincias],Tabla2[Comunidades],"no se encuentra")</f>
        <v>Cataluña</v>
      </c>
      <c r="M1510" t="s">
        <v>15</v>
      </c>
      <c r="N1510">
        <v>1</v>
      </c>
    </row>
    <row r="1511" spans="1:14" x14ac:dyDescent="0.25">
      <c r="A1511">
        <v>2510</v>
      </c>
      <c r="B1511" s="1">
        <v>45906</v>
      </c>
      <c r="C1511" s="4">
        <f>MONTH(datos_ventas[[#This Row],[Fecha]])</f>
        <v>9</v>
      </c>
      <c r="D1511" s="4">
        <f>WEEKNUM(datos_ventas[[#This Row],[Fecha]],2)</f>
        <v>36</v>
      </c>
      <c r="E1511" t="s">
        <v>17</v>
      </c>
      <c r="F1511" t="s">
        <v>18</v>
      </c>
      <c r="G1511">
        <v>4</v>
      </c>
      <c r="H1511">
        <v>47657</v>
      </c>
      <c r="I1511">
        <v>1629</v>
      </c>
      <c r="J1511" t="s">
        <v>31</v>
      </c>
      <c r="K1511" t="str">
        <f>_xlfn.XLOOKUP(datos_ventas[[#This Row],[Ciudad]],Tabla2[Ciudades],Tabla2[Provincias],"no se encuentra")</f>
        <v>Vizcaya</v>
      </c>
      <c r="L1511" t="str">
        <f>_xlfn.XLOOKUP(datos_ventas[[#This Row],[Provincia]],Tabla2[Provincias],Tabla2[Comunidades],"no se encuentra")</f>
        <v>País Vasco</v>
      </c>
      <c r="M1511" t="s">
        <v>19</v>
      </c>
      <c r="N1511">
        <v>2</v>
      </c>
    </row>
    <row r="1512" spans="1:14" x14ac:dyDescent="0.25">
      <c r="A1512">
        <v>2511</v>
      </c>
      <c r="B1512" s="1">
        <v>45872</v>
      </c>
      <c r="C1512" s="4">
        <f>MONTH(datos_ventas[[#This Row],[Fecha]])</f>
        <v>8</v>
      </c>
      <c r="D1512" s="4">
        <f>WEEKNUM(datos_ventas[[#This Row],[Fecha]],2)</f>
        <v>31</v>
      </c>
      <c r="E1512" t="s">
        <v>24</v>
      </c>
      <c r="F1512" t="s">
        <v>25</v>
      </c>
      <c r="G1512">
        <v>1</v>
      </c>
      <c r="H1512">
        <v>64286</v>
      </c>
      <c r="I1512">
        <v>2772</v>
      </c>
      <c r="J1512" t="s">
        <v>32</v>
      </c>
      <c r="K1512" t="str">
        <f>_xlfn.XLOOKUP(datos_ventas[[#This Row],[Ciudad]],Tabla2[Ciudades],Tabla2[Provincias],"no se encuentra")</f>
        <v>Barcelona</v>
      </c>
      <c r="L1512" t="str">
        <f>_xlfn.XLOOKUP(datos_ventas[[#This Row],[Provincia]],Tabla2[Provincias],Tabla2[Comunidades],"no se encuentra")</f>
        <v>Cataluña</v>
      </c>
      <c r="M1512" t="s">
        <v>28</v>
      </c>
      <c r="N1512">
        <v>4</v>
      </c>
    </row>
    <row r="1513" spans="1:14" x14ac:dyDescent="0.25">
      <c r="A1513">
        <v>2512</v>
      </c>
      <c r="B1513" s="1">
        <v>45936</v>
      </c>
      <c r="C1513" s="4">
        <f>MONTH(datos_ventas[[#This Row],[Fecha]])</f>
        <v>10</v>
      </c>
      <c r="D1513" s="4">
        <f>WEEKNUM(datos_ventas[[#This Row],[Fecha]],2)</f>
        <v>41</v>
      </c>
      <c r="E1513" t="s">
        <v>16</v>
      </c>
      <c r="F1513" t="s">
        <v>11</v>
      </c>
      <c r="G1513">
        <v>3</v>
      </c>
      <c r="H1513">
        <v>17353</v>
      </c>
      <c r="I1513">
        <v>4334</v>
      </c>
      <c r="J1513" t="s">
        <v>22</v>
      </c>
      <c r="K1513" t="str">
        <f>_xlfn.XLOOKUP(datos_ventas[[#This Row],[Ciudad]],Tabla2[Ciudades],Tabla2[Provincias],"no se encuentra")</f>
        <v>Valencia</v>
      </c>
      <c r="L1513" t="str">
        <f>_xlfn.XLOOKUP(datos_ventas[[#This Row],[Provincia]],Tabla2[Provincias],Tabla2[Comunidades],"no se encuentra")</f>
        <v>Comunidad Valenciana</v>
      </c>
      <c r="M1513" t="s">
        <v>15</v>
      </c>
      <c r="N1513">
        <v>3</v>
      </c>
    </row>
    <row r="1514" spans="1:14" x14ac:dyDescent="0.25">
      <c r="A1514">
        <v>2513</v>
      </c>
      <c r="B1514" s="1">
        <v>45944</v>
      </c>
      <c r="C1514" s="4">
        <f>MONTH(datos_ventas[[#This Row],[Fecha]])</f>
        <v>10</v>
      </c>
      <c r="D1514" s="4">
        <f>WEEKNUM(datos_ventas[[#This Row],[Fecha]],2)</f>
        <v>42</v>
      </c>
      <c r="E1514" t="s">
        <v>29</v>
      </c>
      <c r="F1514" t="s">
        <v>30</v>
      </c>
      <c r="G1514">
        <v>2</v>
      </c>
      <c r="H1514">
        <v>55952</v>
      </c>
      <c r="I1514">
        <v>4973</v>
      </c>
      <c r="J1514" t="s">
        <v>22</v>
      </c>
      <c r="K1514" t="str">
        <f>_xlfn.XLOOKUP(datos_ventas[[#This Row],[Ciudad]],Tabla2[Ciudades],Tabla2[Provincias],"no se encuentra")</f>
        <v>Valencia</v>
      </c>
      <c r="L1514" t="str">
        <f>_xlfn.XLOOKUP(datos_ventas[[#This Row],[Provincia]],Tabla2[Provincias],Tabla2[Comunidades],"no se encuentra")</f>
        <v>Comunidad Valenciana</v>
      </c>
      <c r="M1514" t="s">
        <v>19</v>
      </c>
      <c r="N1514">
        <v>5</v>
      </c>
    </row>
    <row r="1515" spans="1:14" x14ac:dyDescent="0.25">
      <c r="A1515">
        <v>2514</v>
      </c>
      <c r="B1515" s="1">
        <v>45864</v>
      </c>
      <c r="C1515" s="4">
        <f>MONTH(datos_ventas[[#This Row],[Fecha]])</f>
        <v>7</v>
      </c>
      <c r="D1515" s="4">
        <f>WEEKNUM(datos_ventas[[#This Row],[Fecha]],2)</f>
        <v>30</v>
      </c>
      <c r="E1515" t="s">
        <v>29</v>
      </c>
      <c r="F1515" t="s">
        <v>30</v>
      </c>
      <c r="G1515">
        <v>1</v>
      </c>
      <c r="H1515">
        <v>20798</v>
      </c>
      <c r="I1515">
        <v>2505</v>
      </c>
      <c r="J1515" t="s">
        <v>31</v>
      </c>
      <c r="K1515" t="str">
        <f>_xlfn.XLOOKUP(datos_ventas[[#This Row],[Ciudad]],Tabla2[Ciudades],Tabla2[Provincias],"no se encuentra")</f>
        <v>Vizcaya</v>
      </c>
      <c r="L1515" t="str">
        <f>_xlfn.XLOOKUP(datos_ventas[[#This Row],[Provincia]],Tabla2[Provincias],Tabla2[Comunidades],"no se encuentra")</f>
        <v>País Vasco</v>
      </c>
      <c r="M1515" t="s">
        <v>19</v>
      </c>
      <c r="N1515">
        <v>4</v>
      </c>
    </row>
    <row r="1516" spans="1:14" x14ac:dyDescent="0.25">
      <c r="A1516">
        <v>2515</v>
      </c>
      <c r="B1516" s="1">
        <v>45944</v>
      </c>
      <c r="C1516" s="4">
        <f>MONTH(datos_ventas[[#This Row],[Fecha]])</f>
        <v>10</v>
      </c>
      <c r="D1516" s="4">
        <f>WEEKNUM(datos_ventas[[#This Row],[Fecha]],2)</f>
        <v>42</v>
      </c>
      <c r="E1516" t="s">
        <v>16</v>
      </c>
      <c r="F1516" t="s">
        <v>11</v>
      </c>
      <c r="G1516">
        <v>4</v>
      </c>
      <c r="H1516">
        <v>107194</v>
      </c>
      <c r="I1516">
        <v>912</v>
      </c>
      <c r="J1516" t="s">
        <v>27</v>
      </c>
      <c r="K1516" t="str">
        <f>_xlfn.XLOOKUP(datos_ventas[[#This Row],[Ciudad]],Tabla2[Ciudades],Tabla2[Provincias],"no se encuentra")</f>
        <v>Sevilla</v>
      </c>
      <c r="L1516" t="str">
        <f>_xlfn.XLOOKUP(datos_ventas[[#This Row],[Provincia]],Tabla2[Provincias],Tabla2[Comunidades],"no se encuentra")</f>
        <v>Andalucía</v>
      </c>
      <c r="M1516" t="s">
        <v>19</v>
      </c>
      <c r="N1516">
        <v>1</v>
      </c>
    </row>
    <row r="1517" spans="1:14" x14ac:dyDescent="0.25">
      <c r="A1517">
        <v>2516</v>
      </c>
      <c r="B1517" s="1">
        <v>45985</v>
      </c>
      <c r="C1517" s="4">
        <f>MONTH(datos_ventas[[#This Row],[Fecha]])</f>
        <v>11</v>
      </c>
      <c r="D1517" s="4">
        <f>WEEKNUM(datos_ventas[[#This Row],[Fecha]],2)</f>
        <v>48</v>
      </c>
      <c r="E1517" t="s">
        <v>23</v>
      </c>
      <c r="F1517" t="s">
        <v>18</v>
      </c>
      <c r="G1517">
        <v>2</v>
      </c>
      <c r="H1517">
        <v>103531</v>
      </c>
      <c r="I1517">
        <v>506</v>
      </c>
      <c r="J1517" t="s">
        <v>14</v>
      </c>
      <c r="K1517" t="str">
        <f>_xlfn.XLOOKUP(datos_ventas[[#This Row],[Ciudad]],Tabla2[Ciudades],Tabla2[Provincias],"no se encuentra")</f>
        <v>Madrid</v>
      </c>
      <c r="L1517" t="str">
        <f>_xlfn.XLOOKUP(datos_ventas[[#This Row],[Provincia]],Tabla2[Provincias],Tabla2[Comunidades],"no se encuentra")</f>
        <v>Comunidad de Madrid</v>
      </c>
      <c r="M1517" t="s">
        <v>13</v>
      </c>
      <c r="N1517">
        <v>3</v>
      </c>
    </row>
    <row r="1518" spans="1:14" x14ac:dyDescent="0.25">
      <c r="A1518">
        <v>2517</v>
      </c>
      <c r="B1518" s="1">
        <v>45748</v>
      </c>
      <c r="C1518" s="4">
        <f>MONTH(datos_ventas[[#This Row],[Fecha]])</f>
        <v>4</v>
      </c>
      <c r="D1518" s="4">
        <f>WEEKNUM(datos_ventas[[#This Row],[Fecha]],2)</f>
        <v>14</v>
      </c>
      <c r="E1518" t="s">
        <v>20</v>
      </c>
      <c r="F1518" t="s">
        <v>21</v>
      </c>
      <c r="G1518">
        <v>1</v>
      </c>
      <c r="H1518">
        <v>66383</v>
      </c>
      <c r="I1518">
        <v>4158</v>
      </c>
      <c r="J1518" t="s">
        <v>14</v>
      </c>
      <c r="K1518" t="str">
        <f>_xlfn.XLOOKUP(datos_ventas[[#This Row],[Ciudad]],Tabla2[Ciudades],Tabla2[Provincias],"no se encuentra")</f>
        <v>Madrid</v>
      </c>
      <c r="L1518" t="str">
        <f>_xlfn.XLOOKUP(datos_ventas[[#This Row],[Provincia]],Tabla2[Provincias],Tabla2[Comunidades],"no se encuentra")</f>
        <v>Comunidad de Madrid</v>
      </c>
      <c r="M1518" t="s">
        <v>28</v>
      </c>
      <c r="N1518">
        <v>1</v>
      </c>
    </row>
    <row r="1519" spans="1:14" x14ac:dyDescent="0.25">
      <c r="A1519">
        <v>2518</v>
      </c>
      <c r="B1519" s="1">
        <v>45808</v>
      </c>
      <c r="C1519" s="4">
        <f>MONTH(datos_ventas[[#This Row],[Fecha]])</f>
        <v>5</v>
      </c>
      <c r="D1519" s="4">
        <f>WEEKNUM(datos_ventas[[#This Row],[Fecha]],2)</f>
        <v>22</v>
      </c>
      <c r="E1519" t="s">
        <v>26</v>
      </c>
      <c r="F1519" t="s">
        <v>18</v>
      </c>
      <c r="G1519">
        <v>4</v>
      </c>
      <c r="H1519">
        <v>117009</v>
      </c>
      <c r="I1519">
        <v>4341</v>
      </c>
      <c r="J1519" t="s">
        <v>32</v>
      </c>
      <c r="K1519" t="str">
        <f>_xlfn.XLOOKUP(datos_ventas[[#This Row],[Ciudad]],Tabla2[Ciudades],Tabla2[Provincias],"no se encuentra")</f>
        <v>Barcelona</v>
      </c>
      <c r="L1519" t="str">
        <f>_xlfn.XLOOKUP(datos_ventas[[#This Row],[Provincia]],Tabla2[Provincias],Tabla2[Comunidades],"no se encuentra")</f>
        <v>Cataluña</v>
      </c>
      <c r="M1519" t="s">
        <v>28</v>
      </c>
      <c r="N1519">
        <v>3</v>
      </c>
    </row>
    <row r="1520" spans="1:14" x14ac:dyDescent="0.25">
      <c r="A1520">
        <v>2519</v>
      </c>
      <c r="B1520" s="1">
        <v>45953</v>
      </c>
      <c r="C1520" s="4">
        <f>MONTH(datos_ventas[[#This Row],[Fecha]])</f>
        <v>10</v>
      </c>
      <c r="D1520" s="4">
        <f>WEEKNUM(datos_ventas[[#This Row],[Fecha]],2)</f>
        <v>43</v>
      </c>
      <c r="E1520" t="s">
        <v>26</v>
      </c>
      <c r="F1520" t="s">
        <v>18</v>
      </c>
      <c r="G1520">
        <v>2</v>
      </c>
      <c r="H1520">
        <v>9163</v>
      </c>
      <c r="I1520">
        <v>3466</v>
      </c>
      <c r="J1520" t="s">
        <v>12</v>
      </c>
      <c r="K1520" t="str">
        <f>_xlfn.XLOOKUP(datos_ventas[[#This Row],[Ciudad]],Tabla2[Ciudades],Tabla2[Provincias],"no se encuentra")</f>
        <v>Málaga</v>
      </c>
      <c r="L1520" t="str">
        <f>_xlfn.XLOOKUP(datos_ventas[[#This Row],[Provincia]],Tabla2[Provincias],Tabla2[Comunidades],"no se encuentra")</f>
        <v>Andalucía</v>
      </c>
      <c r="M1520" t="s">
        <v>13</v>
      </c>
      <c r="N1520">
        <v>1</v>
      </c>
    </row>
    <row r="1521" spans="1:14" x14ac:dyDescent="0.25">
      <c r="A1521">
        <v>2520</v>
      </c>
      <c r="B1521" s="1">
        <v>45959</v>
      </c>
      <c r="C1521" s="4">
        <f>MONTH(datos_ventas[[#This Row],[Fecha]])</f>
        <v>10</v>
      </c>
      <c r="D1521" s="4">
        <f>WEEKNUM(datos_ventas[[#This Row],[Fecha]],2)</f>
        <v>44</v>
      </c>
      <c r="E1521" t="s">
        <v>17</v>
      </c>
      <c r="F1521" t="s">
        <v>18</v>
      </c>
      <c r="G1521">
        <v>4</v>
      </c>
      <c r="H1521">
        <v>8521</v>
      </c>
      <c r="I1521">
        <v>4225</v>
      </c>
      <c r="J1521" t="s">
        <v>12</v>
      </c>
      <c r="K1521" t="str">
        <f>_xlfn.XLOOKUP(datos_ventas[[#This Row],[Ciudad]],Tabla2[Ciudades],Tabla2[Provincias],"no se encuentra")</f>
        <v>Málaga</v>
      </c>
      <c r="L1521" t="str">
        <f>_xlfn.XLOOKUP(datos_ventas[[#This Row],[Provincia]],Tabla2[Provincias],Tabla2[Comunidades],"no se encuentra")</f>
        <v>Andalucía</v>
      </c>
      <c r="M1521" t="s">
        <v>15</v>
      </c>
      <c r="N1521">
        <v>4</v>
      </c>
    </row>
    <row r="1522" spans="1:14" x14ac:dyDescent="0.25">
      <c r="A1522">
        <v>2521</v>
      </c>
      <c r="B1522" s="1">
        <v>45829</v>
      </c>
      <c r="C1522" s="4">
        <f>MONTH(datos_ventas[[#This Row],[Fecha]])</f>
        <v>6</v>
      </c>
      <c r="D1522" s="4">
        <f>WEEKNUM(datos_ventas[[#This Row],[Fecha]],2)</f>
        <v>25</v>
      </c>
      <c r="E1522" t="s">
        <v>29</v>
      </c>
      <c r="F1522" t="s">
        <v>30</v>
      </c>
      <c r="G1522">
        <v>4</v>
      </c>
      <c r="H1522">
        <v>113559</v>
      </c>
      <c r="I1522">
        <v>288</v>
      </c>
      <c r="J1522" t="s">
        <v>31</v>
      </c>
      <c r="K1522" t="str">
        <f>_xlfn.XLOOKUP(datos_ventas[[#This Row],[Ciudad]],Tabla2[Ciudades],Tabla2[Provincias],"no se encuentra")</f>
        <v>Vizcaya</v>
      </c>
      <c r="L1522" t="str">
        <f>_xlfn.XLOOKUP(datos_ventas[[#This Row],[Provincia]],Tabla2[Provincias],Tabla2[Comunidades],"no se encuentra")</f>
        <v>País Vasco</v>
      </c>
      <c r="M1522" t="s">
        <v>13</v>
      </c>
      <c r="N1522">
        <v>3</v>
      </c>
    </row>
    <row r="1523" spans="1:14" x14ac:dyDescent="0.25">
      <c r="A1523">
        <v>2522</v>
      </c>
      <c r="B1523" s="1">
        <v>45911</v>
      </c>
      <c r="C1523" s="4">
        <f>MONTH(datos_ventas[[#This Row],[Fecha]])</f>
        <v>9</v>
      </c>
      <c r="D1523" s="4">
        <f>WEEKNUM(datos_ventas[[#This Row],[Fecha]],2)</f>
        <v>37</v>
      </c>
      <c r="E1523" t="s">
        <v>24</v>
      </c>
      <c r="F1523" t="s">
        <v>25</v>
      </c>
      <c r="G1523">
        <v>4</v>
      </c>
      <c r="H1523">
        <v>78951</v>
      </c>
      <c r="I1523">
        <v>1069</v>
      </c>
      <c r="J1523" t="s">
        <v>27</v>
      </c>
      <c r="K1523" t="str">
        <f>_xlfn.XLOOKUP(datos_ventas[[#This Row],[Ciudad]],Tabla2[Ciudades],Tabla2[Provincias],"no se encuentra")</f>
        <v>Sevilla</v>
      </c>
      <c r="L1523" t="str">
        <f>_xlfn.XLOOKUP(datos_ventas[[#This Row],[Provincia]],Tabla2[Provincias],Tabla2[Comunidades],"no se encuentra")</f>
        <v>Andalucía</v>
      </c>
      <c r="M1523" t="s">
        <v>19</v>
      </c>
      <c r="N1523">
        <v>1</v>
      </c>
    </row>
    <row r="1524" spans="1:14" x14ac:dyDescent="0.25">
      <c r="A1524">
        <v>2523</v>
      </c>
      <c r="B1524" s="1">
        <v>46020</v>
      </c>
      <c r="C1524" s="4">
        <f>MONTH(datos_ventas[[#This Row],[Fecha]])</f>
        <v>12</v>
      </c>
      <c r="D1524" s="4">
        <f>WEEKNUM(datos_ventas[[#This Row],[Fecha]],2)</f>
        <v>53</v>
      </c>
      <c r="E1524" t="s">
        <v>10</v>
      </c>
      <c r="F1524" t="s">
        <v>11</v>
      </c>
      <c r="G1524">
        <v>2</v>
      </c>
      <c r="H1524">
        <v>112611</v>
      </c>
      <c r="I1524">
        <v>3128</v>
      </c>
      <c r="J1524" t="s">
        <v>22</v>
      </c>
      <c r="K1524" t="str">
        <f>_xlfn.XLOOKUP(datos_ventas[[#This Row],[Ciudad]],Tabla2[Ciudades],Tabla2[Provincias],"no se encuentra")</f>
        <v>Valencia</v>
      </c>
      <c r="L1524" t="str">
        <f>_xlfn.XLOOKUP(datos_ventas[[#This Row],[Provincia]],Tabla2[Provincias],Tabla2[Comunidades],"no se encuentra")</f>
        <v>Comunidad Valenciana</v>
      </c>
      <c r="M1524" t="s">
        <v>19</v>
      </c>
      <c r="N1524">
        <v>2</v>
      </c>
    </row>
    <row r="1525" spans="1:14" x14ac:dyDescent="0.25">
      <c r="A1525">
        <v>2524</v>
      </c>
      <c r="B1525" s="1">
        <v>45823</v>
      </c>
      <c r="C1525" s="4">
        <f>MONTH(datos_ventas[[#This Row],[Fecha]])</f>
        <v>6</v>
      </c>
      <c r="D1525" s="4">
        <f>WEEKNUM(datos_ventas[[#This Row],[Fecha]],2)</f>
        <v>24</v>
      </c>
      <c r="E1525" t="s">
        <v>23</v>
      </c>
      <c r="F1525" t="s">
        <v>18</v>
      </c>
      <c r="G1525">
        <v>4</v>
      </c>
      <c r="H1525">
        <v>11642</v>
      </c>
      <c r="I1525">
        <v>446</v>
      </c>
      <c r="J1525" t="s">
        <v>22</v>
      </c>
      <c r="K1525" t="str">
        <f>_xlfn.XLOOKUP(datos_ventas[[#This Row],[Ciudad]],Tabla2[Ciudades],Tabla2[Provincias],"no se encuentra")</f>
        <v>Valencia</v>
      </c>
      <c r="L1525" t="str">
        <f>_xlfn.XLOOKUP(datos_ventas[[#This Row],[Provincia]],Tabla2[Provincias],Tabla2[Comunidades],"no se encuentra")</f>
        <v>Comunidad Valenciana</v>
      </c>
      <c r="M1525" t="s">
        <v>19</v>
      </c>
      <c r="N1525">
        <v>5</v>
      </c>
    </row>
    <row r="1526" spans="1:14" x14ac:dyDescent="0.25">
      <c r="A1526">
        <v>2525</v>
      </c>
      <c r="B1526" s="1">
        <v>45842</v>
      </c>
      <c r="C1526" s="4">
        <f>MONTH(datos_ventas[[#This Row],[Fecha]])</f>
        <v>7</v>
      </c>
      <c r="D1526" s="4">
        <f>WEEKNUM(datos_ventas[[#This Row],[Fecha]],2)</f>
        <v>27</v>
      </c>
      <c r="E1526" t="s">
        <v>29</v>
      </c>
      <c r="F1526" t="s">
        <v>30</v>
      </c>
      <c r="G1526">
        <v>1</v>
      </c>
      <c r="H1526">
        <v>33521</v>
      </c>
      <c r="I1526">
        <v>291</v>
      </c>
      <c r="J1526" t="s">
        <v>32</v>
      </c>
      <c r="K1526" t="str">
        <f>_xlfn.XLOOKUP(datos_ventas[[#This Row],[Ciudad]],Tabla2[Ciudades],Tabla2[Provincias],"no se encuentra")</f>
        <v>Barcelona</v>
      </c>
      <c r="L1526" t="str">
        <f>_xlfn.XLOOKUP(datos_ventas[[#This Row],[Provincia]],Tabla2[Provincias],Tabla2[Comunidades],"no se encuentra")</f>
        <v>Cataluña</v>
      </c>
      <c r="M1526" t="s">
        <v>28</v>
      </c>
      <c r="N1526">
        <v>1</v>
      </c>
    </row>
    <row r="1527" spans="1:14" x14ac:dyDescent="0.25">
      <c r="A1527">
        <v>2526</v>
      </c>
      <c r="B1527" s="1">
        <v>45944</v>
      </c>
      <c r="C1527" s="4">
        <f>MONTH(datos_ventas[[#This Row],[Fecha]])</f>
        <v>10</v>
      </c>
      <c r="D1527" s="4">
        <f>WEEKNUM(datos_ventas[[#This Row],[Fecha]],2)</f>
        <v>42</v>
      </c>
      <c r="E1527" t="s">
        <v>20</v>
      </c>
      <c r="F1527" t="s">
        <v>21</v>
      </c>
      <c r="G1527">
        <v>5</v>
      </c>
      <c r="H1527">
        <v>36408</v>
      </c>
      <c r="I1527">
        <v>4059</v>
      </c>
      <c r="J1527" t="s">
        <v>27</v>
      </c>
      <c r="K1527" t="str">
        <f>_xlfn.XLOOKUP(datos_ventas[[#This Row],[Ciudad]],Tabla2[Ciudades],Tabla2[Provincias],"no se encuentra")</f>
        <v>Sevilla</v>
      </c>
      <c r="L1527" t="str">
        <f>_xlfn.XLOOKUP(datos_ventas[[#This Row],[Provincia]],Tabla2[Provincias],Tabla2[Comunidades],"no se encuentra")</f>
        <v>Andalucía</v>
      </c>
      <c r="M1527" t="s">
        <v>15</v>
      </c>
      <c r="N1527">
        <v>5</v>
      </c>
    </row>
    <row r="1528" spans="1:14" x14ac:dyDescent="0.25">
      <c r="A1528">
        <v>2527</v>
      </c>
      <c r="B1528" s="1">
        <v>45890</v>
      </c>
      <c r="C1528" s="4">
        <f>MONTH(datos_ventas[[#This Row],[Fecha]])</f>
        <v>8</v>
      </c>
      <c r="D1528" s="4">
        <f>WEEKNUM(datos_ventas[[#This Row],[Fecha]],2)</f>
        <v>34</v>
      </c>
      <c r="E1528" t="s">
        <v>10</v>
      </c>
      <c r="F1528" t="s">
        <v>11</v>
      </c>
      <c r="G1528">
        <v>5</v>
      </c>
      <c r="H1528">
        <v>32917</v>
      </c>
      <c r="I1528">
        <v>1129</v>
      </c>
      <c r="J1528" t="s">
        <v>14</v>
      </c>
      <c r="K1528" t="str">
        <f>_xlfn.XLOOKUP(datos_ventas[[#This Row],[Ciudad]],Tabla2[Ciudades],Tabla2[Provincias],"no se encuentra")</f>
        <v>Madrid</v>
      </c>
      <c r="L1528" t="str">
        <f>_xlfn.XLOOKUP(datos_ventas[[#This Row],[Provincia]],Tabla2[Provincias],Tabla2[Comunidades],"no se encuentra")</f>
        <v>Comunidad de Madrid</v>
      </c>
      <c r="M1528" t="s">
        <v>28</v>
      </c>
      <c r="N1528">
        <v>4</v>
      </c>
    </row>
    <row r="1529" spans="1:14" x14ac:dyDescent="0.25">
      <c r="A1529">
        <v>2528</v>
      </c>
      <c r="B1529" s="1">
        <v>45983</v>
      </c>
      <c r="C1529" s="4">
        <f>MONTH(datos_ventas[[#This Row],[Fecha]])</f>
        <v>11</v>
      </c>
      <c r="D1529" s="4">
        <f>WEEKNUM(datos_ventas[[#This Row],[Fecha]],2)</f>
        <v>47</v>
      </c>
      <c r="E1529" t="s">
        <v>10</v>
      </c>
      <c r="F1529" t="s">
        <v>11</v>
      </c>
      <c r="G1529">
        <v>4</v>
      </c>
      <c r="H1529">
        <v>61252</v>
      </c>
      <c r="I1529">
        <v>4996</v>
      </c>
      <c r="J1529" t="s">
        <v>32</v>
      </c>
      <c r="K1529" t="str">
        <f>_xlfn.XLOOKUP(datos_ventas[[#This Row],[Ciudad]],Tabla2[Ciudades],Tabla2[Provincias],"no se encuentra")</f>
        <v>Barcelona</v>
      </c>
      <c r="L1529" t="str">
        <f>_xlfn.XLOOKUP(datos_ventas[[#This Row],[Provincia]],Tabla2[Provincias],Tabla2[Comunidades],"no se encuentra")</f>
        <v>Cataluña</v>
      </c>
      <c r="M1529" t="s">
        <v>19</v>
      </c>
      <c r="N1529">
        <v>4</v>
      </c>
    </row>
    <row r="1530" spans="1:14" x14ac:dyDescent="0.25">
      <c r="A1530">
        <v>2529</v>
      </c>
      <c r="B1530" s="1">
        <v>45857</v>
      </c>
      <c r="C1530" s="4">
        <f>MONTH(datos_ventas[[#This Row],[Fecha]])</f>
        <v>7</v>
      </c>
      <c r="D1530" s="4">
        <f>WEEKNUM(datos_ventas[[#This Row],[Fecha]],2)</f>
        <v>29</v>
      </c>
      <c r="E1530" t="s">
        <v>29</v>
      </c>
      <c r="F1530" t="s">
        <v>30</v>
      </c>
      <c r="G1530">
        <v>1</v>
      </c>
      <c r="H1530">
        <v>15388</v>
      </c>
      <c r="I1530">
        <v>4866</v>
      </c>
      <c r="J1530" t="s">
        <v>22</v>
      </c>
      <c r="K1530" t="str">
        <f>_xlfn.XLOOKUP(datos_ventas[[#This Row],[Ciudad]],Tabla2[Ciudades],Tabla2[Provincias],"no se encuentra")</f>
        <v>Valencia</v>
      </c>
      <c r="L1530" t="str">
        <f>_xlfn.XLOOKUP(datos_ventas[[#This Row],[Provincia]],Tabla2[Provincias],Tabla2[Comunidades],"no se encuentra")</f>
        <v>Comunidad Valenciana</v>
      </c>
      <c r="M1530" t="s">
        <v>13</v>
      </c>
      <c r="N1530">
        <v>3</v>
      </c>
    </row>
    <row r="1531" spans="1:14" x14ac:dyDescent="0.25">
      <c r="A1531">
        <v>2530</v>
      </c>
      <c r="B1531" s="1">
        <v>46002</v>
      </c>
      <c r="C1531" s="4">
        <f>MONTH(datos_ventas[[#This Row],[Fecha]])</f>
        <v>12</v>
      </c>
      <c r="D1531" s="4">
        <f>WEEKNUM(datos_ventas[[#This Row],[Fecha]],2)</f>
        <v>50</v>
      </c>
      <c r="E1531" t="s">
        <v>23</v>
      </c>
      <c r="F1531" t="s">
        <v>18</v>
      </c>
      <c r="G1531">
        <v>5</v>
      </c>
      <c r="H1531">
        <v>81759</v>
      </c>
      <c r="I1531">
        <v>368</v>
      </c>
      <c r="J1531" t="s">
        <v>27</v>
      </c>
      <c r="K1531" t="str">
        <f>_xlfn.XLOOKUP(datos_ventas[[#This Row],[Ciudad]],Tabla2[Ciudades],Tabla2[Provincias],"no se encuentra")</f>
        <v>Sevilla</v>
      </c>
      <c r="L1531" t="str">
        <f>_xlfn.XLOOKUP(datos_ventas[[#This Row],[Provincia]],Tabla2[Provincias],Tabla2[Comunidades],"no se encuentra")</f>
        <v>Andalucía</v>
      </c>
      <c r="M1531" t="s">
        <v>13</v>
      </c>
      <c r="N1531">
        <v>2</v>
      </c>
    </row>
    <row r="1532" spans="1:14" x14ac:dyDescent="0.25">
      <c r="A1532">
        <v>2531</v>
      </c>
      <c r="B1532" s="1">
        <v>45744</v>
      </c>
      <c r="C1532" s="4">
        <f>MONTH(datos_ventas[[#This Row],[Fecha]])</f>
        <v>3</v>
      </c>
      <c r="D1532" s="4">
        <f>WEEKNUM(datos_ventas[[#This Row],[Fecha]],2)</f>
        <v>13</v>
      </c>
      <c r="E1532" t="s">
        <v>17</v>
      </c>
      <c r="F1532" t="s">
        <v>18</v>
      </c>
      <c r="G1532">
        <v>2</v>
      </c>
      <c r="H1532">
        <v>30095</v>
      </c>
      <c r="I1532">
        <v>3313</v>
      </c>
      <c r="J1532" t="s">
        <v>12</v>
      </c>
      <c r="K1532" t="str">
        <f>_xlfn.XLOOKUP(datos_ventas[[#This Row],[Ciudad]],Tabla2[Ciudades],Tabla2[Provincias],"no se encuentra")</f>
        <v>Málaga</v>
      </c>
      <c r="L1532" t="str">
        <f>_xlfn.XLOOKUP(datos_ventas[[#This Row],[Provincia]],Tabla2[Provincias],Tabla2[Comunidades],"no se encuentra")</f>
        <v>Andalucía</v>
      </c>
      <c r="M1532" t="s">
        <v>15</v>
      </c>
      <c r="N1532">
        <v>4</v>
      </c>
    </row>
    <row r="1533" spans="1:14" x14ac:dyDescent="0.25">
      <c r="A1533">
        <v>2532</v>
      </c>
      <c r="B1533" s="1">
        <v>45910</v>
      </c>
      <c r="C1533" s="4">
        <f>MONTH(datos_ventas[[#This Row],[Fecha]])</f>
        <v>9</v>
      </c>
      <c r="D1533" s="4">
        <f>WEEKNUM(datos_ventas[[#This Row],[Fecha]],2)</f>
        <v>37</v>
      </c>
      <c r="E1533" t="s">
        <v>29</v>
      </c>
      <c r="F1533" t="s">
        <v>30</v>
      </c>
      <c r="G1533">
        <v>5</v>
      </c>
      <c r="H1533">
        <v>18064</v>
      </c>
      <c r="I1533">
        <v>1416</v>
      </c>
      <c r="J1533" t="s">
        <v>32</v>
      </c>
      <c r="K1533" t="str">
        <f>_xlfn.XLOOKUP(datos_ventas[[#This Row],[Ciudad]],Tabla2[Ciudades],Tabla2[Provincias],"no se encuentra")</f>
        <v>Barcelona</v>
      </c>
      <c r="L1533" t="str">
        <f>_xlfn.XLOOKUP(datos_ventas[[#This Row],[Provincia]],Tabla2[Provincias],Tabla2[Comunidades],"no se encuentra")</f>
        <v>Cataluña</v>
      </c>
      <c r="M1533" t="s">
        <v>28</v>
      </c>
      <c r="N1533">
        <v>5</v>
      </c>
    </row>
    <row r="1534" spans="1:14" x14ac:dyDescent="0.25">
      <c r="A1534">
        <v>2533</v>
      </c>
      <c r="B1534" s="1">
        <v>45947</v>
      </c>
      <c r="C1534" s="4">
        <f>MONTH(datos_ventas[[#This Row],[Fecha]])</f>
        <v>10</v>
      </c>
      <c r="D1534" s="4">
        <f>WEEKNUM(datos_ventas[[#This Row],[Fecha]],2)</f>
        <v>42</v>
      </c>
      <c r="E1534" t="s">
        <v>29</v>
      </c>
      <c r="F1534" t="s">
        <v>30</v>
      </c>
      <c r="G1534">
        <v>3</v>
      </c>
      <c r="H1534">
        <v>51104</v>
      </c>
      <c r="I1534">
        <v>3294</v>
      </c>
      <c r="J1534" t="s">
        <v>31</v>
      </c>
      <c r="K1534" t="str">
        <f>_xlfn.XLOOKUP(datos_ventas[[#This Row],[Ciudad]],Tabla2[Ciudades],Tabla2[Provincias],"no se encuentra")</f>
        <v>Vizcaya</v>
      </c>
      <c r="L1534" t="str">
        <f>_xlfn.XLOOKUP(datos_ventas[[#This Row],[Provincia]],Tabla2[Provincias],Tabla2[Comunidades],"no se encuentra")</f>
        <v>País Vasco</v>
      </c>
      <c r="M1534" t="s">
        <v>19</v>
      </c>
      <c r="N1534">
        <v>3</v>
      </c>
    </row>
    <row r="1535" spans="1:14" x14ac:dyDescent="0.25">
      <c r="A1535">
        <v>2534</v>
      </c>
      <c r="B1535" s="1">
        <v>45742</v>
      </c>
      <c r="C1535" s="4">
        <f>MONTH(datos_ventas[[#This Row],[Fecha]])</f>
        <v>3</v>
      </c>
      <c r="D1535" s="4">
        <f>WEEKNUM(datos_ventas[[#This Row],[Fecha]],2)</f>
        <v>13</v>
      </c>
      <c r="E1535" t="s">
        <v>10</v>
      </c>
      <c r="F1535" t="s">
        <v>11</v>
      </c>
      <c r="G1535">
        <v>4</v>
      </c>
      <c r="H1535">
        <v>11915</v>
      </c>
      <c r="I1535">
        <v>1939</v>
      </c>
      <c r="J1535" t="s">
        <v>32</v>
      </c>
      <c r="K1535" t="str">
        <f>_xlfn.XLOOKUP(datos_ventas[[#This Row],[Ciudad]],Tabla2[Ciudades],Tabla2[Provincias],"no se encuentra")</f>
        <v>Barcelona</v>
      </c>
      <c r="L1535" t="str">
        <f>_xlfn.XLOOKUP(datos_ventas[[#This Row],[Provincia]],Tabla2[Provincias],Tabla2[Comunidades],"no se encuentra")</f>
        <v>Cataluña</v>
      </c>
      <c r="M1535" t="s">
        <v>19</v>
      </c>
      <c r="N1535">
        <v>2</v>
      </c>
    </row>
    <row r="1536" spans="1:14" x14ac:dyDescent="0.25">
      <c r="A1536">
        <v>2535</v>
      </c>
      <c r="B1536" s="1">
        <v>45985</v>
      </c>
      <c r="C1536" s="4">
        <f>MONTH(datos_ventas[[#This Row],[Fecha]])</f>
        <v>11</v>
      </c>
      <c r="D1536" s="4">
        <f>WEEKNUM(datos_ventas[[#This Row],[Fecha]],2)</f>
        <v>48</v>
      </c>
      <c r="E1536" t="s">
        <v>16</v>
      </c>
      <c r="F1536" t="s">
        <v>11</v>
      </c>
      <c r="G1536">
        <v>2</v>
      </c>
      <c r="H1536">
        <v>18417</v>
      </c>
      <c r="I1536">
        <v>3182</v>
      </c>
      <c r="J1536" t="s">
        <v>32</v>
      </c>
      <c r="K1536" t="str">
        <f>_xlfn.XLOOKUP(datos_ventas[[#This Row],[Ciudad]],Tabla2[Ciudades],Tabla2[Provincias],"no se encuentra")</f>
        <v>Barcelona</v>
      </c>
      <c r="L1536" t="str">
        <f>_xlfn.XLOOKUP(datos_ventas[[#This Row],[Provincia]],Tabla2[Provincias],Tabla2[Comunidades],"no se encuentra")</f>
        <v>Cataluña</v>
      </c>
      <c r="M1536" t="s">
        <v>19</v>
      </c>
      <c r="N1536">
        <v>2</v>
      </c>
    </row>
    <row r="1537" spans="1:14" x14ac:dyDescent="0.25">
      <c r="A1537">
        <v>2536</v>
      </c>
      <c r="B1537" s="1">
        <v>45933</v>
      </c>
      <c r="C1537" s="4">
        <f>MONTH(datos_ventas[[#This Row],[Fecha]])</f>
        <v>10</v>
      </c>
      <c r="D1537" s="4">
        <f>WEEKNUM(datos_ventas[[#This Row],[Fecha]],2)</f>
        <v>40</v>
      </c>
      <c r="E1537" t="s">
        <v>26</v>
      </c>
      <c r="F1537" t="s">
        <v>18</v>
      </c>
      <c r="G1537">
        <v>3</v>
      </c>
      <c r="H1537">
        <v>100812</v>
      </c>
      <c r="I1537">
        <v>4965</v>
      </c>
      <c r="J1537" t="s">
        <v>27</v>
      </c>
      <c r="K1537" t="str">
        <f>_xlfn.XLOOKUP(datos_ventas[[#This Row],[Ciudad]],Tabla2[Ciudades],Tabla2[Provincias],"no se encuentra")</f>
        <v>Sevilla</v>
      </c>
      <c r="L1537" t="str">
        <f>_xlfn.XLOOKUP(datos_ventas[[#This Row],[Provincia]],Tabla2[Provincias],Tabla2[Comunidades],"no se encuentra")</f>
        <v>Andalucía</v>
      </c>
      <c r="M1537" t="s">
        <v>15</v>
      </c>
      <c r="N1537">
        <v>3</v>
      </c>
    </row>
    <row r="1538" spans="1:14" x14ac:dyDescent="0.25">
      <c r="A1538">
        <v>2537</v>
      </c>
      <c r="B1538" s="1">
        <v>45678</v>
      </c>
      <c r="C1538" s="4">
        <f>MONTH(datos_ventas[[#This Row],[Fecha]])</f>
        <v>1</v>
      </c>
      <c r="D1538" s="4">
        <f>WEEKNUM(datos_ventas[[#This Row],[Fecha]],2)</f>
        <v>4</v>
      </c>
      <c r="E1538" t="s">
        <v>20</v>
      </c>
      <c r="F1538" t="s">
        <v>21</v>
      </c>
      <c r="G1538">
        <v>2</v>
      </c>
      <c r="H1538">
        <v>20225</v>
      </c>
      <c r="I1538">
        <v>3071</v>
      </c>
      <c r="J1538" t="s">
        <v>12</v>
      </c>
      <c r="K1538" t="str">
        <f>_xlfn.XLOOKUP(datos_ventas[[#This Row],[Ciudad]],Tabla2[Ciudades],Tabla2[Provincias],"no se encuentra")</f>
        <v>Málaga</v>
      </c>
      <c r="L1538" t="str">
        <f>_xlfn.XLOOKUP(datos_ventas[[#This Row],[Provincia]],Tabla2[Provincias],Tabla2[Comunidades],"no se encuentra")</f>
        <v>Andalucía</v>
      </c>
      <c r="M1538" t="s">
        <v>19</v>
      </c>
      <c r="N1538">
        <v>1</v>
      </c>
    </row>
    <row r="1539" spans="1:14" x14ac:dyDescent="0.25">
      <c r="A1539">
        <v>2538</v>
      </c>
      <c r="B1539" s="1">
        <v>45720</v>
      </c>
      <c r="C1539" s="4">
        <f>MONTH(datos_ventas[[#This Row],[Fecha]])</f>
        <v>3</v>
      </c>
      <c r="D1539" s="4">
        <f>WEEKNUM(datos_ventas[[#This Row],[Fecha]],2)</f>
        <v>10</v>
      </c>
      <c r="E1539" t="s">
        <v>26</v>
      </c>
      <c r="F1539" t="s">
        <v>18</v>
      </c>
      <c r="G1539">
        <v>2</v>
      </c>
      <c r="H1539">
        <v>42328</v>
      </c>
      <c r="I1539">
        <v>132</v>
      </c>
      <c r="J1539" t="s">
        <v>32</v>
      </c>
      <c r="K1539" t="str">
        <f>_xlfn.XLOOKUP(datos_ventas[[#This Row],[Ciudad]],Tabla2[Ciudades],Tabla2[Provincias],"no se encuentra")</f>
        <v>Barcelona</v>
      </c>
      <c r="L1539" t="str">
        <f>_xlfn.XLOOKUP(datos_ventas[[#This Row],[Provincia]],Tabla2[Provincias],Tabla2[Comunidades],"no se encuentra")</f>
        <v>Cataluña</v>
      </c>
      <c r="M1539" t="s">
        <v>15</v>
      </c>
      <c r="N1539">
        <v>3</v>
      </c>
    </row>
    <row r="1540" spans="1:14" x14ac:dyDescent="0.25">
      <c r="A1540">
        <v>2539</v>
      </c>
      <c r="B1540" s="1">
        <v>45818</v>
      </c>
      <c r="C1540" s="4">
        <f>MONTH(datos_ventas[[#This Row],[Fecha]])</f>
        <v>6</v>
      </c>
      <c r="D1540" s="4">
        <f>WEEKNUM(datos_ventas[[#This Row],[Fecha]],2)</f>
        <v>24</v>
      </c>
      <c r="E1540" t="s">
        <v>16</v>
      </c>
      <c r="F1540" t="s">
        <v>11</v>
      </c>
      <c r="G1540">
        <v>2</v>
      </c>
      <c r="H1540">
        <v>48839</v>
      </c>
      <c r="I1540">
        <v>340</v>
      </c>
      <c r="J1540" t="s">
        <v>27</v>
      </c>
      <c r="K1540" t="str">
        <f>_xlfn.XLOOKUP(datos_ventas[[#This Row],[Ciudad]],Tabla2[Ciudades],Tabla2[Provincias],"no se encuentra")</f>
        <v>Sevilla</v>
      </c>
      <c r="L1540" t="str">
        <f>_xlfn.XLOOKUP(datos_ventas[[#This Row],[Provincia]],Tabla2[Provincias],Tabla2[Comunidades],"no se encuentra")</f>
        <v>Andalucía</v>
      </c>
      <c r="M1540" t="s">
        <v>28</v>
      </c>
      <c r="N1540">
        <v>1</v>
      </c>
    </row>
    <row r="1541" spans="1:14" x14ac:dyDescent="0.25">
      <c r="A1541">
        <v>2540</v>
      </c>
      <c r="B1541" s="1">
        <v>45770</v>
      </c>
      <c r="C1541" s="4">
        <f>MONTH(datos_ventas[[#This Row],[Fecha]])</f>
        <v>4</v>
      </c>
      <c r="D1541" s="4">
        <f>WEEKNUM(datos_ventas[[#This Row],[Fecha]],2)</f>
        <v>17</v>
      </c>
      <c r="E1541" t="s">
        <v>16</v>
      </c>
      <c r="F1541" t="s">
        <v>11</v>
      </c>
      <c r="G1541">
        <v>1</v>
      </c>
      <c r="H1541">
        <v>106702</v>
      </c>
      <c r="I1541">
        <v>3458</v>
      </c>
      <c r="J1541" t="s">
        <v>12</v>
      </c>
      <c r="K1541" t="str">
        <f>_xlfn.XLOOKUP(datos_ventas[[#This Row],[Ciudad]],Tabla2[Ciudades],Tabla2[Provincias],"no se encuentra")</f>
        <v>Málaga</v>
      </c>
      <c r="L1541" t="str">
        <f>_xlfn.XLOOKUP(datos_ventas[[#This Row],[Provincia]],Tabla2[Provincias],Tabla2[Comunidades],"no se encuentra")</f>
        <v>Andalucía</v>
      </c>
      <c r="M1541" t="s">
        <v>28</v>
      </c>
      <c r="N1541">
        <v>4</v>
      </c>
    </row>
    <row r="1542" spans="1:14" x14ac:dyDescent="0.25">
      <c r="A1542">
        <v>2541</v>
      </c>
      <c r="B1542" s="1">
        <v>45725</v>
      </c>
      <c r="C1542" s="4">
        <f>MONTH(datos_ventas[[#This Row],[Fecha]])</f>
        <v>3</v>
      </c>
      <c r="D1542" s="4">
        <f>WEEKNUM(datos_ventas[[#This Row],[Fecha]],2)</f>
        <v>10</v>
      </c>
      <c r="E1542" t="s">
        <v>23</v>
      </c>
      <c r="F1542" t="s">
        <v>18</v>
      </c>
      <c r="G1542">
        <v>3</v>
      </c>
      <c r="H1542">
        <v>3634</v>
      </c>
      <c r="I1542">
        <v>1271</v>
      </c>
      <c r="J1542" t="s">
        <v>22</v>
      </c>
      <c r="K1542" t="str">
        <f>_xlfn.XLOOKUP(datos_ventas[[#This Row],[Ciudad]],Tabla2[Ciudades],Tabla2[Provincias],"no se encuentra")</f>
        <v>Valencia</v>
      </c>
      <c r="L1542" t="str">
        <f>_xlfn.XLOOKUP(datos_ventas[[#This Row],[Provincia]],Tabla2[Provincias],Tabla2[Comunidades],"no se encuentra")</f>
        <v>Comunidad Valenciana</v>
      </c>
      <c r="M1542" t="s">
        <v>13</v>
      </c>
      <c r="N1542">
        <v>5</v>
      </c>
    </row>
    <row r="1543" spans="1:14" x14ac:dyDescent="0.25">
      <c r="A1543">
        <v>2542</v>
      </c>
      <c r="B1543" s="1">
        <v>45984</v>
      </c>
      <c r="C1543" s="4">
        <f>MONTH(datos_ventas[[#This Row],[Fecha]])</f>
        <v>11</v>
      </c>
      <c r="D1543" s="4">
        <f>WEEKNUM(datos_ventas[[#This Row],[Fecha]],2)</f>
        <v>47</v>
      </c>
      <c r="E1543" t="s">
        <v>17</v>
      </c>
      <c r="F1543" t="s">
        <v>18</v>
      </c>
      <c r="G1543">
        <v>3</v>
      </c>
      <c r="H1543">
        <v>4673</v>
      </c>
      <c r="I1543">
        <v>3185</v>
      </c>
      <c r="J1543" t="s">
        <v>32</v>
      </c>
      <c r="K1543" t="str">
        <f>_xlfn.XLOOKUP(datos_ventas[[#This Row],[Ciudad]],Tabla2[Ciudades],Tabla2[Provincias],"no se encuentra")</f>
        <v>Barcelona</v>
      </c>
      <c r="L1543" t="str">
        <f>_xlfn.XLOOKUP(datos_ventas[[#This Row],[Provincia]],Tabla2[Provincias],Tabla2[Comunidades],"no se encuentra")</f>
        <v>Cataluña</v>
      </c>
      <c r="M1543" t="s">
        <v>13</v>
      </c>
      <c r="N1543">
        <v>3</v>
      </c>
    </row>
    <row r="1544" spans="1:14" x14ac:dyDescent="0.25">
      <c r="A1544">
        <v>2543</v>
      </c>
      <c r="B1544" s="1">
        <v>45867</v>
      </c>
      <c r="C1544" s="4">
        <f>MONTH(datos_ventas[[#This Row],[Fecha]])</f>
        <v>7</v>
      </c>
      <c r="D1544" s="4">
        <f>WEEKNUM(datos_ventas[[#This Row],[Fecha]],2)</f>
        <v>31</v>
      </c>
      <c r="E1544" t="s">
        <v>23</v>
      </c>
      <c r="F1544" t="s">
        <v>18</v>
      </c>
      <c r="G1544">
        <v>4</v>
      </c>
      <c r="H1544">
        <v>60732</v>
      </c>
      <c r="I1544">
        <v>3978</v>
      </c>
      <c r="J1544" t="s">
        <v>27</v>
      </c>
      <c r="K1544" t="str">
        <f>_xlfn.XLOOKUP(datos_ventas[[#This Row],[Ciudad]],Tabla2[Ciudades],Tabla2[Provincias],"no se encuentra")</f>
        <v>Sevilla</v>
      </c>
      <c r="L1544" t="str">
        <f>_xlfn.XLOOKUP(datos_ventas[[#This Row],[Provincia]],Tabla2[Provincias],Tabla2[Comunidades],"no se encuentra")</f>
        <v>Andalucía</v>
      </c>
      <c r="M1544" t="s">
        <v>28</v>
      </c>
      <c r="N1544">
        <v>1</v>
      </c>
    </row>
    <row r="1545" spans="1:14" x14ac:dyDescent="0.25">
      <c r="A1545">
        <v>2544</v>
      </c>
      <c r="B1545" s="1">
        <v>45794</v>
      </c>
      <c r="C1545" s="4">
        <f>MONTH(datos_ventas[[#This Row],[Fecha]])</f>
        <v>5</v>
      </c>
      <c r="D1545" s="4">
        <f>WEEKNUM(datos_ventas[[#This Row],[Fecha]],2)</f>
        <v>20</v>
      </c>
      <c r="E1545" t="s">
        <v>23</v>
      </c>
      <c r="F1545" t="s">
        <v>18</v>
      </c>
      <c r="G1545">
        <v>1</v>
      </c>
      <c r="H1545">
        <v>3983</v>
      </c>
      <c r="I1545">
        <v>2695</v>
      </c>
      <c r="J1545" t="s">
        <v>22</v>
      </c>
      <c r="K1545" t="str">
        <f>_xlfn.XLOOKUP(datos_ventas[[#This Row],[Ciudad]],Tabla2[Ciudades],Tabla2[Provincias],"no se encuentra")</f>
        <v>Valencia</v>
      </c>
      <c r="L1545" t="str">
        <f>_xlfn.XLOOKUP(datos_ventas[[#This Row],[Provincia]],Tabla2[Provincias],Tabla2[Comunidades],"no se encuentra")</f>
        <v>Comunidad Valenciana</v>
      </c>
      <c r="M1545" t="s">
        <v>15</v>
      </c>
      <c r="N1545">
        <v>2</v>
      </c>
    </row>
    <row r="1546" spans="1:14" x14ac:dyDescent="0.25">
      <c r="A1546">
        <v>2545</v>
      </c>
      <c r="B1546" s="1">
        <v>45663</v>
      </c>
      <c r="C1546" s="4">
        <f>MONTH(datos_ventas[[#This Row],[Fecha]])</f>
        <v>1</v>
      </c>
      <c r="D1546" s="4">
        <f>WEEKNUM(datos_ventas[[#This Row],[Fecha]],2)</f>
        <v>2</v>
      </c>
      <c r="E1546" t="s">
        <v>26</v>
      </c>
      <c r="F1546" t="s">
        <v>18</v>
      </c>
      <c r="G1546">
        <v>3</v>
      </c>
      <c r="H1546">
        <v>57405</v>
      </c>
      <c r="I1546">
        <v>4038</v>
      </c>
      <c r="J1546" t="s">
        <v>14</v>
      </c>
      <c r="K1546" t="str">
        <f>_xlfn.XLOOKUP(datos_ventas[[#This Row],[Ciudad]],Tabla2[Ciudades],Tabla2[Provincias],"no se encuentra")</f>
        <v>Madrid</v>
      </c>
      <c r="L1546" t="str">
        <f>_xlfn.XLOOKUP(datos_ventas[[#This Row],[Provincia]],Tabla2[Provincias],Tabla2[Comunidades],"no se encuentra")</f>
        <v>Comunidad de Madrid</v>
      </c>
      <c r="M1546" t="s">
        <v>28</v>
      </c>
      <c r="N1546">
        <v>5</v>
      </c>
    </row>
    <row r="1547" spans="1:14" x14ac:dyDescent="0.25">
      <c r="A1547">
        <v>2546</v>
      </c>
      <c r="B1547" s="1">
        <v>45885</v>
      </c>
      <c r="C1547" s="4">
        <f>MONTH(datos_ventas[[#This Row],[Fecha]])</f>
        <v>8</v>
      </c>
      <c r="D1547" s="4">
        <f>WEEKNUM(datos_ventas[[#This Row],[Fecha]],2)</f>
        <v>33</v>
      </c>
      <c r="E1547" t="s">
        <v>17</v>
      </c>
      <c r="F1547" t="s">
        <v>18</v>
      </c>
      <c r="G1547">
        <v>3</v>
      </c>
      <c r="H1547">
        <v>98321</v>
      </c>
      <c r="I1547">
        <v>1054</v>
      </c>
      <c r="J1547" t="s">
        <v>31</v>
      </c>
      <c r="K1547" t="str">
        <f>_xlfn.XLOOKUP(datos_ventas[[#This Row],[Ciudad]],Tabla2[Ciudades],Tabla2[Provincias],"no se encuentra")</f>
        <v>Vizcaya</v>
      </c>
      <c r="L1547" t="str">
        <f>_xlfn.XLOOKUP(datos_ventas[[#This Row],[Provincia]],Tabla2[Provincias],Tabla2[Comunidades],"no se encuentra")</f>
        <v>País Vasco</v>
      </c>
      <c r="M1547" t="s">
        <v>15</v>
      </c>
      <c r="N1547">
        <v>1</v>
      </c>
    </row>
    <row r="1548" spans="1:14" x14ac:dyDescent="0.25">
      <c r="A1548">
        <v>2547</v>
      </c>
      <c r="B1548" s="1">
        <v>45871</v>
      </c>
      <c r="C1548" s="4">
        <f>MONTH(datos_ventas[[#This Row],[Fecha]])</f>
        <v>8</v>
      </c>
      <c r="D1548" s="4">
        <f>WEEKNUM(datos_ventas[[#This Row],[Fecha]],2)</f>
        <v>31</v>
      </c>
      <c r="E1548" t="s">
        <v>16</v>
      </c>
      <c r="F1548" t="s">
        <v>11</v>
      </c>
      <c r="G1548">
        <v>5</v>
      </c>
      <c r="H1548">
        <v>95904</v>
      </c>
      <c r="I1548">
        <v>2481</v>
      </c>
      <c r="J1548" t="s">
        <v>32</v>
      </c>
      <c r="K1548" t="str">
        <f>_xlfn.XLOOKUP(datos_ventas[[#This Row],[Ciudad]],Tabla2[Ciudades],Tabla2[Provincias],"no se encuentra")</f>
        <v>Barcelona</v>
      </c>
      <c r="L1548" t="str">
        <f>_xlfn.XLOOKUP(datos_ventas[[#This Row],[Provincia]],Tabla2[Provincias],Tabla2[Comunidades],"no se encuentra")</f>
        <v>Cataluña</v>
      </c>
      <c r="M1548" t="s">
        <v>13</v>
      </c>
      <c r="N1548">
        <v>4</v>
      </c>
    </row>
    <row r="1549" spans="1:14" x14ac:dyDescent="0.25">
      <c r="A1549">
        <v>2548</v>
      </c>
      <c r="B1549" s="1">
        <v>45829</v>
      </c>
      <c r="C1549" s="4">
        <f>MONTH(datos_ventas[[#This Row],[Fecha]])</f>
        <v>6</v>
      </c>
      <c r="D1549" s="4">
        <f>WEEKNUM(datos_ventas[[#This Row],[Fecha]],2)</f>
        <v>25</v>
      </c>
      <c r="E1549" t="s">
        <v>20</v>
      </c>
      <c r="F1549" t="s">
        <v>21</v>
      </c>
      <c r="G1549">
        <v>4</v>
      </c>
      <c r="H1549">
        <v>3471</v>
      </c>
      <c r="I1549">
        <v>4956</v>
      </c>
      <c r="J1549" t="s">
        <v>27</v>
      </c>
      <c r="K1549" t="str">
        <f>_xlfn.XLOOKUP(datos_ventas[[#This Row],[Ciudad]],Tabla2[Ciudades],Tabla2[Provincias],"no se encuentra")</f>
        <v>Sevilla</v>
      </c>
      <c r="L1549" t="str">
        <f>_xlfn.XLOOKUP(datos_ventas[[#This Row],[Provincia]],Tabla2[Provincias],Tabla2[Comunidades],"no se encuentra")</f>
        <v>Andalucía</v>
      </c>
      <c r="M1549" t="s">
        <v>19</v>
      </c>
      <c r="N1549">
        <v>3</v>
      </c>
    </row>
    <row r="1550" spans="1:14" x14ac:dyDescent="0.25">
      <c r="A1550">
        <v>2549</v>
      </c>
      <c r="B1550" s="1">
        <v>45890</v>
      </c>
      <c r="C1550" s="4">
        <f>MONTH(datos_ventas[[#This Row],[Fecha]])</f>
        <v>8</v>
      </c>
      <c r="D1550" s="4">
        <f>WEEKNUM(datos_ventas[[#This Row],[Fecha]],2)</f>
        <v>34</v>
      </c>
      <c r="E1550" t="s">
        <v>26</v>
      </c>
      <c r="F1550" t="s">
        <v>18</v>
      </c>
      <c r="G1550">
        <v>2</v>
      </c>
      <c r="H1550">
        <v>21889</v>
      </c>
      <c r="I1550">
        <v>2881</v>
      </c>
      <c r="J1550" t="s">
        <v>31</v>
      </c>
      <c r="K1550" t="str">
        <f>_xlfn.XLOOKUP(datos_ventas[[#This Row],[Ciudad]],Tabla2[Ciudades],Tabla2[Provincias],"no se encuentra")</f>
        <v>Vizcaya</v>
      </c>
      <c r="L1550" t="str">
        <f>_xlfn.XLOOKUP(datos_ventas[[#This Row],[Provincia]],Tabla2[Provincias],Tabla2[Comunidades],"no se encuentra")</f>
        <v>País Vasco</v>
      </c>
      <c r="M1550" t="s">
        <v>28</v>
      </c>
      <c r="N1550">
        <v>4</v>
      </c>
    </row>
    <row r="1551" spans="1:14" x14ac:dyDescent="0.25">
      <c r="A1551">
        <v>2550</v>
      </c>
      <c r="B1551" s="1">
        <v>45952</v>
      </c>
      <c r="C1551" s="4">
        <f>MONTH(datos_ventas[[#This Row],[Fecha]])</f>
        <v>10</v>
      </c>
      <c r="D1551" s="4">
        <f>WEEKNUM(datos_ventas[[#This Row],[Fecha]],2)</f>
        <v>43</v>
      </c>
      <c r="E1551" t="s">
        <v>24</v>
      </c>
      <c r="F1551" t="s">
        <v>25</v>
      </c>
      <c r="G1551">
        <v>4</v>
      </c>
      <c r="H1551">
        <v>32731</v>
      </c>
      <c r="I1551">
        <v>1206</v>
      </c>
      <c r="J1551" t="s">
        <v>14</v>
      </c>
      <c r="K1551" t="str">
        <f>_xlfn.XLOOKUP(datos_ventas[[#This Row],[Ciudad]],Tabla2[Ciudades],Tabla2[Provincias],"no se encuentra")</f>
        <v>Madrid</v>
      </c>
      <c r="L1551" t="str">
        <f>_xlfn.XLOOKUP(datos_ventas[[#This Row],[Provincia]],Tabla2[Provincias],Tabla2[Comunidades],"no se encuentra")</f>
        <v>Comunidad de Madrid</v>
      </c>
      <c r="M1551" t="s">
        <v>15</v>
      </c>
      <c r="N1551">
        <v>5</v>
      </c>
    </row>
    <row r="1552" spans="1:14" x14ac:dyDescent="0.25">
      <c r="A1552">
        <v>2551</v>
      </c>
      <c r="B1552" s="1">
        <v>45973</v>
      </c>
      <c r="C1552" s="4">
        <f>MONTH(datos_ventas[[#This Row],[Fecha]])</f>
        <v>11</v>
      </c>
      <c r="D1552" s="4">
        <f>WEEKNUM(datos_ventas[[#This Row],[Fecha]],2)</f>
        <v>46</v>
      </c>
      <c r="E1552" t="s">
        <v>16</v>
      </c>
      <c r="F1552" t="s">
        <v>11</v>
      </c>
      <c r="G1552">
        <v>1</v>
      </c>
      <c r="H1552">
        <v>12816</v>
      </c>
      <c r="I1552">
        <v>3147</v>
      </c>
      <c r="J1552" t="s">
        <v>32</v>
      </c>
      <c r="K1552" t="str">
        <f>_xlfn.XLOOKUP(datos_ventas[[#This Row],[Ciudad]],Tabla2[Ciudades],Tabla2[Provincias],"no se encuentra")</f>
        <v>Barcelona</v>
      </c>
      <c r="L1552" t="str">
        <f>_xlfn.XLOOKUP(datos_ventas[[#This Row],[Provincia]],Tabla2[Provincias],Tabla2[Comunidades],"no se encuentra")</f>
        <v>Cataluña</v>
      </c>
      <c r="M1552" t="s">
        <v>28</v>
      </c>
      <c r="N1552">
        <v>3</v>
      </c>
    </row>
    <row r="1553" spans="1:14" x14ac:dyDescent="0.25">
      <c r="A1553">
        <v>2552</v>
      </c>
      <c r="B1553" s="1">
        <v>45966</v>
      </c>
      <c r="C1553" s="4">
        <f>MONTH(datos_ventas[[#This Row],[Fecha]])</f>
        <v>11</v>
      </c>
      <c r="D1553" s="4">
        <f>WEEKNUM(datos_ventas[[#This Row],[Fecha]],2)</f>
        <v>45</v>
      </c>
      <c r="E1553" t="s">
        <v>10</v>
      </c>
      <c r="F1553" t="s">
        <v>11</v>
      </c>
      <c r="G1553">
        <v>2</v>
      </c>
      <c r="H1553">
        <v>33795</v>
      </c>
      <c r="I1553">
        <v>1224</v>
      </c>
      <c r="J1553" t="s">
        <v>22</v>
      </c>
      <c r="K1553" t="str">
        <f>_xlfn.XLOOKUP(datos_ventas[[#This Row],[Ciudad]],Tabla2[Ciudades],Tabla2[Provincias],"no se encuentra")</f>
        <v>Valencia</v>
      </c>
      <c r="L1553" t="str">
        <f>_xlfn.XLOOKUP(datos_ventas[[#This Row],[Provincia]],Tabla2[Provincias],Tabla2[Comunidades],"no se encuentra")</f>
        <v>Comunidad Valenciana</v>
      </c>
      <c r="M1553" t="s">
        <v>13</v>
      </c>
      <c r="N1553">
        <v>5</v>
      </c>
    </row>
    <row r="1554" spans="1:14" x14ac:dyDescent="0.25">
      <c r="A1554">
        <v>2553</v>
      </c>
      <c r="B1554" s="1">
        <v>45815</v>
      </c>
      <c r="C1554" s="4">
        <f>MONTH(datos_ventas[[#This Row],[Fecha]])</f>
        <v>6</v>
      </c>
      <c r="D1554" s="4">
        <f>WEEKNUM(datos_ventas[[#This Row],[Fecha]],2)</f>
        <v>23</v>
      </c>
      <c r="E1554" t="s">
        <v>23</v>
      </c>
      <c r="F1554" t="s">
        <v>18</v>
      </c>
      <c r="G1554">
        <v>3</v>
      </c>
      <c r="H1554">
        <v>85195</v>
      </c>
      <c r="I1554">
        <v>1882</v>
      </c>
      <c r="J1554" t="s">
        <v>14</v>
      </c>
      <c r="K1554" t="str">
        <f>_xlfn.XLOOKUP(datos_ventas[[#This Row],[Ciudad]],Tabla2[Ciudades],Tabla2[Provincias],"no se encuentra")</f>
        <v>Madrid</v>
      </c>
      <c r="L1554" t="str">
        <f>_xlfn.XLOOKUP(datos_ventas[[#This Row],[Provincia]],Tabla2[Provincias],Tabla2[Comunidades],"no se encuentra")</f>
        <v>Comunidad de Madrid</v>
      </c>
      <c r="M1554" t="s">
        <v>19</v>
      </c>
      <c r="N1554">
        <v>5</v>
      </c>
    </row>
    <row r="1555" spans="1:14" x14ac:dyDescent="0.25">
      <c r="A1555">
        <v>2554</v>
      </c>
      <c r="B1555" s="1">
        <v>45820</v>
      </c>
      <c r="C1555" s="4">
        <f>MONTH(datos_ventas[[#This Row],[Fecha]])</f>
        <v>6</v>
      </c>
      <c r="D1555" s="4">
        <f>WEEKNUM(datos_ventas[[#This Row],[Fecha]],2)</f>
        <v>24</v>
      </c>
      <c r="E1555" t="s">
        <v>10</v>
      </c>
      <c r="F1555" t="s">
        <v>11</v>
      </c>
      <c r="G1555">
        <v>4</v>
      </c>
      <c r="H1555">
        <v>114566</v>
      </c>
      <c r="I1555">
        <v>3685</v>
      </c>
      <c r="J1555" t="s">
        <v>22</v>
      </c>
      <c r="K1555" t="str">
        <f>_xlfn.XLOOKUP(datos_ventas[[#This Row],[Ciudad]],Tabla2[Ciudades],Tabla2[Provincias],"no se encuentra")</f>
        <v>Valencia</v>
      </c>
      <c r="L1555" t="str">
        <f>_xlfn.XLOOKUP(datos_ventas[[#This Row],[Provincia]],Tabla2[Provincias],Tabla2[Comunidades],"no se encuentra")</f>
        <v>Comunidad Valenciana</v>
      </c>
      <c r="M1555" t="s">
        <v>13</v>
      </c>
      <c r="N1555">
        <v>4</v>
      </c>
    </row>
    <row r="1556" spans="1:14" x14ac:dyDescent="0.25">
      <c r="A1556">
        <v>2555</v>
      </c>
      <c r="B1556" s="1">
        <v>45861</v>
      </c>
      <c r="C1556" s="4">
        <f>MONTH(datos_ventas[[#This Row],[Fecha]])</f>
        <v>7</v>
      </c>
      <c r="D1556" s="4">
        <f>WEEKNUM(datos_ventas[[#This Row],[Fecha]],2)</f>
        <v>30</v>
      </c>
      <c r="E1556" t="s">
        <v>26</v>
      </c>
      <c r="F1556" t="s">
        <v>18</v>
      </c>
      <c r="G1556">
        <v>1</v>
      </c>
      <c r="H1556">
        <v>52116</v>
      </c>
      <c r="I1556">
        <v>4334</v>
      </c>
      <c r="J1556" t="s">
        <v>27</v>
      </c>
      <c r="K1556" t="str">
        <f>_xlfn.XLOOKUP(datos_ventas[[#This Row],[Ciudad]],Tabla2[Ciudades],Tabla2[Provincias],"no se encuentra")</f>
        <v>Sevilla</v>
      </c>
      <c r="L1556" t="str">
        <f>_xlfn.XLOOKUP(datos_ventas[[#This Row],[Provincia]],Tabla2[Provincias],Tabla2[Comunidades],"no se encuentra")</f>
        <v>Andalucía</v>
      </c>
      <c r="M1556" t="s">
        <v>19</v>
      </c>
      <c r="N1556">
        <v>3</v>
      </c>
    </row>
    <row r="1557" spans="1:14" x14ac:dyDescent="0.25">
      <c r="A1557">
        <v>2556</v>
      </c>
      <c r="B1557" s="1">
        <v>46021</v>
      </c>
      <c r="C1557" s="4">
        <f>MONTH(datos_ventas[[#This Row],[Fecha]])</f>
        <v>12</v>
      </c>
      <c r="D1557" s="4">
        <f>WEEKNUM(datos_ventas[[#This Row],[Fecha]],2)</f>
        <v>53</v>
      </c>
      <c r="E1557" t="s">
        <v>29</v>
      </c>
      <c r="F1557" t="s">
        <v>30</v>
      </c>
      <c r="G1557">
        <v>4</v>
      </c>
      <c r="H1557">
        <v>16627</v>
      </c>
      <c r="I1557">
        <v>3519</v>
      </c>
      <c r="J1557" t="s">
        <v>27</v>
      </c>
      <c r="K1557" t="str">
        <f>_xlfn.XLOOKUP(datos_ventas[[#This Row],[Ciudad]],Tabla2[Ciudades],Tabla2[Provincias],"no se encuentra")</f>
        <v>Sevilla</v>
      </c>
      <c r="L1557" t="str">
        <f>_xlfn.XLOOKUP(datos_ventas[[#This Row],[Provincia]],Tabla2[Provincias],Tabla2[Comunidades],"no se encuentra")</f>
        <v>Andalucía</v>
      </c>
      <c r="M1557" t="s">
        <v>15</v>
      </c>
      <c r="N1557">
        <v>2</v>
      </c>
    </row>
    <row r="1558" spans="1:14" x14ac:dyDescent="0.25">
      <c r="A1558">
        <v>2557</v>
      </c>
      <c r="B1558" s="1">
        <v>45749</v>
      </c>
      <c r="C1558" s="4">
        <f>MONTH(datos_ventas[[#This Row],[Fecha]])</f>
        <v>4</v>
      </c>
      <c r="D1558" s="4">
        <f>WEEKNUM(datos_ventas[[#This Row],[Fecha]],2)</f>
        <v>14</v>
      </c>
      <c r="E1558" t="s">
        <v>16</v>
      </c>
      <c r="F1558" t="s">
        <v>11</v>
      </c>
      <c r="G1558">
        <v>1</v>
      </c>
      <c r="H1558">
        <v>66008</v>
      </c>
      <c r="I1558">
        <v>1414</v>
      </c>
      <c r="J1558" t="s">
        <v>12</v>
      </c>
      <c r="K1558" t="str">
        <f>_xlfn.XLOOKUP(datos_ventas[[#This Row],[Ciudad]],Tabla2[Ciudades],Tabla2[Provincias],"no se encuentra")</f>
        <v>Málaga</v>
      </c>
      <c r="L1558" t="str">
        <f>_xlfn.XLOOKUP(datos_ventas[[#This Row],[Provincia]],Tabla2[Provincias],Tabla2[Comunidades],"no se encuentra")</f>
        <v>Andalucía</v>
      </c>
      <c r="M1558" t="s">
        <v>28</v>
      </c>
      <c r="N1558">
        <v>4</v>
      </c>
    </row>
    <row r="1559" spans="1:14" x14ac:dyDescent="0.25">
      <c r="A1559">
        <v>2558</v>
      </c>
      <c r="B1559" s="1">
        <v>45984</v>
      </c>
      <c r="C1559" s="4">
        <f>MONTH(datos_ventas[[#This Row],[Fecha]])</f>
        <v>11</v>
      </c>
      <c r="D1559" s="4">
        <f>WEEKNUM(datos_ventas[[#This Row],[Fecha]],2)</f>
        <v>47</v>
      </c>
      <c r="E1559" t="s">
        <v>17</v>
      </c>
      <c r="F1559" t="s">
        <v>18</v>
      </c>
      <c r="G1559">
        <v>2</v>
      </c>
      <c r="H1559">
        <v>33887</v>
      </c>
      <c r="I1559">
        <v>695</v>
      </c>
      <c r="J1559" t="s">
        <v>32</v>
      </c>
      <c r="K1559" t="str">
        <f>_xlfn.XLOOKUP(datos_ventas[[#This Row],[Ciudad]],Tabla2[Ciudades],Tabla2[Provincias],"no se encuentra")</f>
        <v>Barcelona</v>
      </c>
      <c r="L1559" t="str">
        <f>_xlfn.XLOOKUP(datos_ventas[[#This Row],[Provincia]],Tabla2[Provincias],Tabla2[Comunidades],"no se encuentra")</f>
        <v>Cataluña</v>
      </c>
      <c r="M1559" t="s">
        <v>28</v>
      </c>
      <c r="N1559">
        <v>2</v>
      </c>
    </row>
    <row r="1560" spans="1:14" x14ac:dyDescent="0.25">
      <c r="A1560">
        <v>2559</v>
      </c>
      <c r="B1560" s="1">
        <v>45789</v>
      </c>
      <c r="C1560" s="4">
        <f>MONTH(datos_ventas[[#This Row],[Fecha]])</f>
        <v>5</v>
      </c>
      <c r="D1560" s="4">
        <f>WEEKNUM(datos_ventas[[#This Row],[Fecha]],2)</f>
        <v>20</v>
      </c>
      <c r="E1560" t="s">
        <v>26</v>
      </c>
      <c r="F1560" t="s">
        <v>18</v>
      </c>
      <c r="G1560">
        <v>1</v>
      </c>
      <c r="H1560">
        <v>68493</v>
      </c>
      <c r="I1560">
        <v>1759</v>
      </c>
      <c r="J1560" t="s">
        <v>22</v>
      </c>
      <c r="K1560" t="str">
        <f>_xlfn.XLOOKUP(datos_ventas[[#This Row],[Ciudad]],Tabla2[Ciudades],Tabla2[Provincias],"no se encuentra")</f>
        <v>Valencia</v>
      </c>
      <c r="L1560" t="str">
        <f>_xlfn.XLOOKUP(datos_ventas[[#This Row],[Provincia]],Tabla2[Provincias],Tabla2[Comunidades],"no se encuentra")</f>
        <v>Comunidad Valenciana</v>
      </c>
      <c r="M1560" t="s">
        <v>28</v>
      </c>
      <c r="N1560">
        <v>3</v>
      </c>
    </row>
    <row r="1561" spans="1:14" x14ac:dyDescent="0.25">
      <c r="A1561">
        <v>2560</v>
      </c>
      <c r="B1561" s="1">
        <v>45920</v>
      </c>
      <c r="C1561" s="4">
        <f>MONTH(datos_ventas[[#This Row],[Fecha]])</f>
        <v>9</v>
      </c>
      <c r="D1561" s="4">
        <f>WEEKNUM(datos_ventas[[#This Row],[Fecha]],2)</f>
        <v>38</v>
      </c>
      <c r="E1561" t="s">
        <v>26</v>
      </c>
      <c r="F1561" t="s">
        <v>18</v>
      </c>
      <c r="G1561">
        <v>3</v>
      </c>
      <c r="H1561">
        <v>73754</v>
      </c>
      <c r="I1561">
        <v>367</v>
      </c>
      <c r="J1561" t="s">
        <v>31</v>
      </c>
      <c r="K1561" t="str">
        <f>_xlfn.XLOOKUP(datos_ventas[[#This Row],[Ciudad]],Tabla2[Ciudades],Tabla2[Provincias],"no se encuentra")</f>
        <v>Vizcaya</v>
      </c>
      <c r="L1561" t="str">
        <f>_xlfn.XLOOKUP(datos_ventas[[#This Row],[Provincia]],Tabla2[Provincias],Tabla2[Comunidades],"no se encuentra")</f>
        <v>País Vasco</v>
      </c>
      <c r="M1561" t="s">
        <v>28</v>
      </c>
      <c r="N1561">
        <v>2</v>
      </c>
    </row>
    <row r="1562" spans="1:14" x14ac:dyDescent="0.25">
      <c r="A1562">
        <v>2561</v>
      </c>
      <c r="B1562" s="1">
        <v>46012</v>
      </c>
      <c r="C1562" s="4">
        <f>MONTH(datos_ventas[[#This Row],[Fecha]])</f>
        <v>12</v>
      </c>
      <c r="D1562" s="4">
        <f>WEEKNUM(datos_ventas[[#This Row],[Fecha]],2)</f>
        <v>51</v>
      </c>
      <c r="E1562" t="s">
        <v>17</v>
      </c>
      <c r="F1562" t="s">
        <v>18</v>
      </c>
      <c r="G1562">
        <v>5</v>
      </c>
      <c r="H1562">
        <v>91275</v>
      </c>
      <c r="I1562">
        <v>3456</v>
      </c>
      <c r="J1562" t="s">
        <v>12</v>
      </c>
      <c r="K1562" t="str">
        <f>_xlfn.XLOOKUP(datos_ventas[[#This Row],[Ciudad]],Tabla2[Ciudades],Tabla2[Provincias],"no se encuentra")</f>
        <v>Málaga</v>
      </c>
      <c r="L1562" t="str">
        <f>_xlfn.XLOOKUP(datos_ventas[[#This Row],[Provincia]],Tabla2[Provincias],Tabla2[Comunidades],"no se encuentra")</f>
        <v>Andalucía</v>
      </c>
      <c r="M1562" t="s">
        <v>15</v>
      </c>
      <c r="N1562">
        <v>1</v>
      </c>
    </row>
    <row r="1563" spans="1:14" x14ac:dyDescent="0.25">
      <c r="A1563">
        <v>2562</v>
      </c>
      <c r="B1563" s="1">
        <v>45770</v>
      </c>
      <c r="C1563" s="4">
        <f>MONTH(datos_ventas[[#This Row],[Fecha]])</f>
        <v>4</v>
      </c>
      <c r="D1563" s="4">
        <f>WEEKNUM(datos_ventas[[#This Row],[Fecha]],2)</f>
        <v>17</v>
      </c>
      <c r="E1563" t="s">
        <v>24</v>
      </c>
      <c r="F1563" t="s">
        <v>25</v>
      </c>
      <c r="G1563">
        <v>1</v>
      </c>
      <c r="H1563">
        <v>69114</v>
      </c>
      <c r="I1563">
        <v>1904</v>
      </c>
      <c r="J1563" t="s">
        <v>31</v>
      </c>
      <c r="K1563" t="str">
        <f>_xlfn.XLOOKUP(datos_ventas[[#This Row],[Ciudad]],Tabla2[Ciudades],Tabla2[Provincias],"no se encuentra")</f>
        <v>Vizcaya</v>
      </c>
      <c r="L1563" t="str">
        <f>_xlfn.XLOOKUP(datos_ventas[[#This Row],[Provincia]],Tabla2[Provincias],Tabla2[Comunidades],"no se encuentra")</f>
        <v>País Vasco</v>
      </c>
      <c r="M1563" t="s">
        <v>15</v>
      </c>
      <c r="N1563">
        <v>2</v>
      </c>
    </row>
    <row r="1564" spans="1:14" x14ac:dyDescent="0.25">
      <c r="A1564">
        <v>2563</v>
      </c>
      <c r="B1564" s="1">
        <v>45959</v>
      </c>
      <c r="C1564" s="4">
        <f>MONTH(datos_ventas[[#This Row],[Fecha]])</f>
        <v>10</v>
      </c>
      <c r="D1564" s="4">
        <f>WEEKNUM(datos_ventas[[#This Row],[Fecha]],2)</f>
        <v>44</v>
      </c>
      <c r="E1564" t="s">
        <v>16</v>
      </c>
      <c r="F1564" t="s">
        <v>11</v>
      </c>
      <c r="G1564">
        <v>4</v>
      </c>
      <c r="H1564">
        <v>82477</v>
      </c>
      <c r="I1564">
        <v>2311</v>
      </c>
      <c r="J1564" t="s">
        <v>12</v>
      </c>
      <c r="K1564" t="str">
        <f>_xlfn.XLOOKUP(datos_ventas[[#This Row],[Ciudad]],Tabla2[Ciudades],Tabla2[Provincias],"no se encuentra")</f>
        <v>Málaga</v>
      </c>
      <c r="L1564" t="str">
        <f>_xlfn.XLOOKUP(datos_ventas[[#This Row],[Provincia]],Tabla2[Provincias],Tabla2[Comunidades],"no se encuentra")</f>
        <v>Andalucía</v>
      </c>
      <c r="M1564" t="s">
        <v>13</v>
      </c>
      <c r="N1564">
        <v>4</v>
      </c>
    </row>
    <row r="1565" spans="1:14" x14ac:dyDescent="0.25">
      <c r="A1565">
        <v>2564</v>
      </c>
      <c r="B1565" s="1">
        <v>46005</v>
      </c>
      <c r="C1565" s="4">
        <f>MONTH(datos_ventas[[#This Row],[Fecha]])</f>
        <v>12</v>
      </c>
      <c r="D1565" s="4">
        <f>WEEKNUM(datos_ventas[[#This Row],[Fecha]],2)</f>
        <v>50</v>
      </c>
      <c r="E1565" t="s">
        <v>16</v>
      </c>
      <c r="F1565" t="s">
        <v>11</v>
      </c>
      <c r="G1565">
        <v>3</v>
      </c>
      <c r="H1565">
        <v>106666</v>
      </c>
      <c r="I1565">
        <v>2234</v>
      </c>
      <c r="J1565" t="s">
        <v>14</v>
      </c>
      <c r="K1565" t="str">
        <f>_xlfn.XLOOKUP(datos_ventas[[#This Row],[Ciudad]],Tabla2[Ciudades],Tabla2[Provincias],"no se encuentra")</f>
        <v>Madrid</v>
      </c>
      <c r="L1565" t="str">
        <f>_xlfn.XLOOKUP(datos_ventas[[#This Row],[Provincia]],Tabla2[Provincias],Tabla2[Comunidades],"no se encuentra")</f>
        <v>Comunidad de Madrid</v>
      </c>
      <c r="M1565" t="s">
        <v>15</v>
      </c>
      <c r="N1565">
        <v>5</v>
      </c>
    </row>
    <row r="1566" spans="1:14" x14ac:dyDescent="0.25">
      <c r="A1566">
        <v>2565</v>
      </c>
      <c r="B1566" s="1">
        <v>45724</v>
      </c>
      <c r="C1566" s="4">
        <f>MONTH(datos_ventas[[#This Row],[Fecha]])</f>
        <v>3</v>
      </c>
      <c r="D1566" s="4">
        <f>WEEKNUM(datos_ventas[[#This Row],[Fecha]],2)</f>
        <v>10</v>
      </c>
      <c r="E1566" t="s">
        <v>23</v>
      </c>
      <c r="F1566" t="s">
        <v>18</v>
      </c>
      <c r="G1566">
        <v>3</v>
      </c>
      <c r="H1566">
        <v>84908</v>
      </c>
      <c r="I1566">
        <v>2115</v>
      </c>
      <c r="J1566" t="s">
        <v>14</v>
      </c>
      <c r="K1566" t="str">
        <f>_xlfn.XLOOKUP(datos_ventas[[#This Row],[Ciudad]],Tabla2[Ciudades],Tabla2[Provincias],"no se encuentra")</f>
        <v>Madrid</v>
      </c>
      <c r="L1566" t="str">
        <f>_xlfn.XLOOKUP(datos_ventas[[#This Row],[Provincia]],Tabla2[Provincias],Tabla2[Comunidades],"no se encuentra")</f>
        <v>Comunidad de Madrid</v>
      </c>
      <c r="M1566" t="s">
        <v>28</v>
      </c>
      <c r="N1566">
        <v>3</v>
      </c>
    </row>
    <row r="1567" spans="1:14" x14ac:dyDescent="0.25">
      <c r="A1567">
        <v>2566</v>
      </c>
      <c r="B1567" s="1">
        <v>45840</v>
      </c>
      <c r="C1567" s="4">
        <f>MONTH(datos_ventas[[#This Row],[Fecha]])</f>
        <v>7</v>
      </c>
      <c r="D1567" s="4">
        <f>WEEKNUM(datos_ventas[[#This Row],[Fecha]],2)</f>
        <v>27</v>
      </c>
      <c r="E1567" t="s">
        <v>10</v>
      </c>
      <c r="F1567" t="s">
        <v>11</v>
      </c>
      <c r="G1567">
        <v>1</v>
      </c>
      <c r="H1567">
        <v>19255</v>
      </c>
      <c r="I1567">
        <v>1227</v>
      </c>
      <c r="J1567" t="s">
        <v>14</v>
      </c>
      <c r="K1567" t="str">
        <f>_xlfn.XLOOKUP(datos_ventas[[#This Row],[Ciudad]],Tabla2[Ciudades],Tabla2[Provincias],"no se encuentra")</f>
        <v>Madrid</v>
      </c>
      <c r="L1567" t="str">
        <f>_xlfn.XLOOKUP(datos_ventas[[#This Row],[Provincia]],Tabla2[Provincias],Tabla2[Comunidades],"no se encuentra")</f>
        <v>Comunidad de Madrid</v>
      </c>
      <c r="M1567" t="s">
        <v>28</v>
      </c>
      <c r="N1567">
        <v>4</v>
      </c>
    </row>
    <row r="1568" spans="1:14" x14ac:dyDescent="0.25">
      <c r="A1568">
        <v>2567</v>
      </c>
      <c r="B1568" s="1">
        <v>45874</v>
      </c>
      <c r="C1568" s="4">
        <f>MONTH(datos_ventas[[#This Row],[Fecha]])</f>
        <v>8</v>
      </c>
      <c r="D1568" s="4">
        <f>WEEKNUM(datos_ventas[[#This Row],[Fecha]],2)</f>
        <v>32</v>
      </c>
      <c r="E1568" t="s">
        <v>10</v>
      </c>
      <c r="F1568" t="s">
        <v>11</v>
      </c>
      <c r="G1568">
        <v>2</v>
      </c>
      <c r="H1568">
        <v>10623</v>
      </c>
      <c r="I1568">
        <v>4336</v>
      </c>
      <c r="J1568" t="s">
        <v>14</v>
      </c>
      <c r="K1568" t="str">
        <f>_xlfn.XLOOKUP(datos_ventas[[#This Row],[Ciudad]],Tabla2[Ciudades],Tabla2[Provincias],"no se encuentra")</f>
        <v>Madrid</v>
      </c>
      <c r="L1568" t="str">
        <f>_xlfn.XLOOKUP(datos_ventas[[#This Row],[Provincia]],Tabla2[Provincias],Tabla2[Comunidades],"no se encuentra")</f>
        <v>Comunidad de Madrid</v>
      </c>
      <c r="M1568" t="s">
        <v>28</v>
      </c>
      <c r="N1568">
        <v>1</v>
      </c>
    </row>
    <row r="1569" spans="1:14" x14ac:dyDescent="0.25">
      <c r="A1569">
        <v>2568</v>
      </c>
      <c r="B1569" s="1">
        <v>45888</v>
      </c>
      <c r="C1569" s="4">
        <f>MONTH(datos_ventas[[#This Row],[Fecha]])</f>
        <v>8</v>
      </c>
      <c r="D1569" s="4">
        <f>WEEKNUM(datos_ventas[[#This Row],[Fecha]],2)</f>
        <v>34</v>
      </c>
      <c r="E1569" t="s">
        <v>16</v>
      </c>
      <c r="F1569" t="s">
        <v>11</v>
      </c>
      <c r="G1569">
        <v>4</v>
      </c>
      <c r="H1569">
        <v>47675</v>
      </c>
      <c r="I1569">
        <v>4519</v>
      </c>
      <c r="J1569" t="s">
        <v>22</v>
      </c>
      <c r="K1569" t="str">
        <f>_xlfn.XLOOKUP(datos_ventas[[#This Row],[Ciudad]],Tabla2[Ciudades],Tabla2[Provincias],"no se encuentra")</f>
        <v>Valencia</v>
      </c>
      <c r="L1569" t="str">
        <f>_xlfn.XLOOKUP(datos_ventas[[#This Row],[Provincia]],Tabla2[Provincias],Tabla2[Comunidades],"no se encuentra")</f>
        <v>Comunidad Valenciana</v>
      </c>
      <c r="M1569" t="s">
        <v>13</v>
      </c>
      <c r="N1569">
        <v>1</v>
      </c>
    </row>
    <row r="1570" spans="1:14" x14ac:dyDescent="0.25">
      <c r="A1570">
        <v>2569</v>
      </c>
      <c r="B1570" s="1">
        <v>45822</v>
      </c>
      <c r="C1570" s="4">
        <f>MONTH(datos_ventas[[#This Row],[Fecha]])</f>
        <v>6</v>
      </c>
      <c r="D1570" s="4">
        <f>WEEKNUM(datos_ventas[[#This Row],[Fecha]],2)</f>
        <v>24</v>
      </c>
      <c r="E1570" t="s">
        <v>17</v>
      </c>
      <c r="F1570" t="s">
        <v>18</v>
      </c>
      <c r="G1570">
        <v>4</v>
      </c>
      <c r="H1570">
        <v>113238</v>
      </c>
      <c r="I1570">
        <v>3487</v>
      </c>
      <c r="J1570" t="s">
        <v>22</v>
      </c>
      <c r="K1570" t="str">
        <f>_xlfn.XLOOKUP(datos_ventas[[#This Row],[Ciudad]],Tabla2[Ciudades],Tabla2[Provincias],"no se encuentra")</f>
        <v>Valencia</v>
      </c>
      <c r="L1570" t="str">
        <f>_xlfn.XLOOKUP(datos_ventas[[#This Row],[Provincia]],Tabla2[Provincias],Tabla2[Comunidades],"no se encuentra")</f>
        <v>Comunidad Valenciana</v>
      </c>
      <c r="M1570" t="s">
        <v>28</v>
      </c>
      <c r="N1570">
        <v>4</v>
      </c>
    </row>
    <row r="1571" spans="1:14" x14ac:dyDescent="0.25">
      <c r="A1571">
        <v>2570</v>
      </c>
      <c r="B1571" s="1">
        <v>45934</v>
      </c>
      <c r="C1571" s="4">
        <f>MONTH(datos_ventas[[#This Row],[Fecha]])</f>
        <v>10</v>
      </c>
      <c r="D1571" s="4">
        <f>WEEKNUM(datos_ventas[[#This Row],[Fecha]],2)</f>
        <v>40</v>
      </c>
      <c r="E1571" t="s">
        <v>20</v>
      </c>
      <c r="F1571" t="s">
        <v>21</v>
      </c>
      <c r="G1571">
        <v>2</v>
      </c>
      <c r="H1571">
        <v>60551</v>
      </c>
      <c r="I1571">
        <v>1919</v>
      </c>
      <c r="J1571" t="s">
        <v>27</v>
      </c>
      <c r="K1571" t="str">
        <f>_xlfn.XLOOKUP(datos_ventas[[#This Row],[Ciudad]],Tabla2[Ciudades],Tabla2[Provincias],"no se encuentra")</f>
        <v>Sevilla</v>
      </c>
      <c r="L1571" t="str">
        <f>_xlfn.XLOOKUP(datos_ventas[[#This Row],[Provincia]],Tabla2[Provincias],Tabla2[Comunidades],"no se encuentra")</f>
        <v>Andalucía</v>
      </c>
      <c r="M1571" t="s">
        <v>15</v>
      </c>
      <c r="N1571">
        <v>5</v>
      </c>
    </row>
    <row r="1572" spans="1:14" x14ac:dyDescent="0.25">
      <c r="A1572">
        <v>2571</v>
      </c>
      <c r="B1572" s="1">
        <v>45921</v>
      </c>
      <c r="C1572" s="4">
        <f>MONTH(datos_ventas[[#This Row],[Fecha]])</f>
        <v>9</v>
      </c>
      <c r="D1572" s="4">
        <f>WEEKNUM(datos_ventas[[#This Row],[Fecha]],2)</f>
        <v>38</v>
      </c>
      <c r="E1572" t="s">
        <v>20</v>
      </c>
      <c r="F1572" t="s">
        <v>21</v>
      </c>
      <c r="G1572">
        <v>1</v>
      </c>
      <c r="H1572">
        <v>68247</v>
      </c>
      <c r="I1572">
        <v>4434</v>
      </c>
      <c r="J1572" t="s">
        <v>32</v>
      </c>
      <c r="K1572" t="str">
        <f>_xlfn.XLOOKUP(datos_ventas[[#This Row],[Ciudad]],Tabla2[Ciudades],Tabla2[Provincias],"no se encuentra")</f>
        <v>Barcelona</v>
      </c>
      <c r="L1572" t="str">
        <f>_xlfn.XLOOKUP(datos_ventas[[#This Row],[Provincia]],Tabla2[Provincias],Tabla2[Comunidades],"no se encuentra")</f>
        <v>Cataluña</v>
      </c>
      <c r="M1572" t="s">
        <v>13</v>
      </c>
      <c r="N1572">
        <v>1</v>
      </c>
    </row>
    <row r="1573" spans="1:14" x14ac:dyDescent="0.25">
      <c r="A1573">
        <v>2572</v>
      </c>
      <c r="B1573" s="1">
        <v>45903</v>
      </c>
      <c r="C1573" s="4">
        <f>MONTH(datos_ventas[[#This Row],[Fecha]])</f>
        <v>9</v>
      </c>
      <c r="D1573" s="4">
        <f>WEEKNUM(datos_ventas[[#This Row],[Fecha]],2)</f>
        <v>36</v>
      </c>
      <c r="E1573" t="s">
        <v>20</v>
      </c>
      <c r="F1573" t="s">
        <v>21</v>
      </c>
      <c r="G1573">
        <v>2</v>
      </c>
      <c r="H1573">
        <v>33202</v>
      </c>
      <c r="I1573">
        <v>295</v>
      </c>
      <c r="J1573" t="s">
        <v>32</v>
      </c>
      <c r="K1573" t="str">
        <f>_xlfn.XLOOKUP(datos_ventas[[#This Row],[Ciudad]],Tabla2[Ciudades],Tabla2[Provincias],"no se encuentra")</f>
        <v>Barcelona</v>
      </c>
      <c r="L1573" t="str">
        <f>_xlfn.XLOOKUP(datos_ventas[[#This Row],[Provincia]],Tabla2[Provincias],Tabla2[Comunidades],"no se encuentra")</f>
        <v>Cataluña</v>
      </c>
      <c r="M1573" t="s">
        <v>19</v>
      </c>
      <c r="N1573">
        <v>5</v>
      </c>
    </row>
    <row r="1574" spans="1:14" x14ac:dyDescent="0.25">
      <c r="A1574">
        <v>2573</v>
      </c>
      <c r="B1574" s="1">
        <v>45709</v>
      </c>
      <c r="C1574" s="4">
        <f>MONTH(datos_ventas[[#This Row],[Fecha]])</f>
        <v>2</v>
      </c>
      <c r="D1574" s="4">
        <f>WEEKNUM(datos_ventas[[#This Row],[Fecha]],2)</f>
        <v>8</v>
      </c>
      <c r="E1574" t="s">
        <v>23</v>
      </c>
      <c r="F1574" t="s">
        <v>18</v>
      </c>
      <c r="G1574">
        <v>5</v>
      </c>
      <c r="H1574">
        <v>81169</v>
      </c>
      <c r="I1574">
        <v>3802</v>
      </c>
      <c r="J1574" t="s">
        <v>27</v>
      </c>
      <c r="K1574" t="str">
        <f>_xlfn.XLOOKUP(datos_ventas[[#This Row],[Ciudad]],Tabla2[Ciudades],Tabla2[Provincias],"no se encuentra")</f>
        <v>Sevilla</v>
      </c>
      <c r="L1574" t="str">
        <f>_xlfn.XLOOKUP(datos_ventas[[#This Row],[Provincia]],Tabla2[Provincias],Tabla2[Comunidades],"no se encuentra")</f>
        <v>Andalucía</v>
      </c>
      <c r="M1574" t="s">
        <v>28</v>
      </c>
      <c r="N1574">
        <v>3</v>
      </c>
    </row>
    <row r="1575" spans="1:14" x14ac:dyDescent="0.25">
      <c r="A1575">
        <v>2574</v>
      </c>
      <c r="B1575" s="1">
        <v>45765</v>
      </c>
      <c r="C1575" s="4">
        <f>MONTH(datos_ventas[[#This Row],[Fecha]])</f>
        <v>4</v>
      </c>
      <c r="D1575" s="4">
        <f>WEEKNUM(datos_ventas[[#This Row],[Fecha]],2)</f>
        <v>16</v>
      </c>
      <c r="E1575" t="s">
        <v>29</v>
      </c>
      <c r="F1575" t="s">
        <v>30</v>
      </c>
      <c r="G1575">
        <v>4</v>
      </c>
      <c r="H1575">
        <v>6011</v>
      </c>
      <c r="I1575">
        <v>1838</v>
      </c>
      <c r="J1575" t="s">
        <v>14</v>
      </c>
      <c r="K1575" t="str">
        <f>_xlfn.XLOOKUP(datos_ventas[[#This Row],[Ciudad]],Tabla2[Ciudades],Tabla2[Provincias],"no se encuentra")</f>
        <v>Madrid</v>
      </c>
      <c r="L1575" t="str">
        <f>_xlfn.XLOOKUP(datos_ventas[[#This Row],[Provincia]],Tabla2[Provincias],Tabla2[Comunidades],"no se encuentra")</f>
        <v>Comunidad de Madrid</v>
      </c>
      <c r="M1575" t="s">
        <v>28</v>
      </c>
      <c r="N1575">
        <v>3</v>
      </c>
    </row>
    <row r="1576" spans="1:14" x14ac:dyDescent="0.25">
      <c r="A1576">
        <v>2575</v>
      </c>
      <c r="B1576" s="1">
        <v>45675</v>
      </c>
      <c r="C1576" s="4">
        <f>MONTH(datos_ventas[[#This Row],[Fecha]])</f>
        <v>1</v>
      </c>
      <c r="D1576" s="4">
        <f>WEEKNUM(datos_ventas[[#This Row],[Fecha]],2)</f>
        <v>3</v>
      </c>
      <c r="E1576" t="s">
        <v>10</v>
      </c>
      <c r="F1576" t="s">
        <v>11</v>
      </c>
      <c r="G1576">
        <v>3</v>
      </c>
      <c r="H1576">
        <v>110643</v>
      </c>
      <c r="I1576">
        <v>358</v>
      </c>
      <c r="J1576" t="s">
        <v>31</v>
      </c>
      <c r="K1576" t="str">
        <f>_xlfn.XLOOKUP(datos_ventas[[#This Row],[Ciudad]],Tabla2[Ciudades],Tabla2[Provincias],"no se encuentra")</f>
        <v>Vizcaya</v>
      </c>
      <c r="L1576" t="str">
        <f>_xlfn.XLOOKUP(datos_ventas[[#This Row],[Provincia]],Tabla2[Provincias],Tabla2[Comunidades],"no se encuentra")</f>
        <v>País Vasco</v>
      </c>
      <c r="M1576" t="s">
        <v>19</v>
      </c>
      <c r="N1576">
        <v>3</v>
      </c>
    </row>
    <row r="1577" spans="1:14" x14ac:dyDescent="0.25">
      <c r="A1577">
        <v>2576</v>
      </c>
      <c r="B1577" s="1">
        <v>45791</v>
      </c>
      <c r="C1577" s="4">
        <f>MONTH(datos_ventas[[#This Row],[Fecha]])</f>
        <v>5</v>
      </c>
      <c r="D1577" s="4">
        <f>WEEKNUM(datos_ventas[[#This Row],[Fecha]],2)</f>
        <v>20</v>
      </c>
      <c r="E1577" t="s">
        <v>29</v>
      </c>
      <c r="F1577" t="s">
        <v>30</v>
      </c>
      <c r="G1577">
        <v>5</v>
      </c>
      <c r="H1577">
        <v>24075</v>
      </c>
      <c r="I1577">
        <v>3705</v>
      </c>
      <c r="J1577" t="s">
        <v>12</v>
      </c>
      <c r="K1577" t="str">
        <f>_xlfn.XLOOKUP(datos_ventas[[#This Row],[Ciudad]],Tabla2[Ciudades],Tabla2[Provincias],"no se encuentra")</f>
        <v>Málaga</v>
      </c>
      <c r="L1577" t="str">
        <f>_xlfn.XLOOKUP(datos_ventas[[#This Row],[Provincia]],Tabla2[Provincias],Tabla2[Comunidades],"no se encuentra")</f>
        <v>Andalucía</v>
      </c>
      <c r="M1577" t="s">
        <v>19</v>
      </c>
      <c r="N1577">
        <v>5</v>
      </c>
    </row>
    <row r="1578" spans="1:14" x14ac:dyDescent="0.25">
      <c r="A1578">
        <v>2577</v>
      </c>
      <c r="B1578" s="1">
        <v>45993</v>
      </c>
      <c r="C1578" s="4">
        <f>MONTH(datos_ventas[[#This Row],[Fecha]])</f>
        <v>12</v>
      </c>
      <c r="D1578" s="4">
        <f>WEEKNUM(datos_ventas[[#This Row],[Fecha]],2)</f>
        <v>49</v>
      </c>
      <c r="E1578" t="s">
        <v>24</v>
      </c>
      <c r="F1578" t="s">
        <v>25</v>
      </c>
      <c r="G1578">
        <v>4</v>
      </c>
      <c r="H1578">
        <v>4187</v>
      </c>
      <c r="I1578">
        <v>1077</v>
      </c>
      <c r="J1578" t="s">
        <v>12</v>
      </c>
      <c r="K1578" t="str">
        <f>_xlfn.XLOOKUP(datos_ventas[[#This Row],[Ciudad]],Tabla2[Ciudades],Tabla2[Provincias],"no se encuentra")</f>
        <v>Málaga</v>
      </c>
      <c r="L1578" t="str">
        <f>_xlfn.XLOOKUP(datos_ventas[[#This Row],[Provincia]],Tabla2[Provincias],Tabla2[Comunidades],"no se encuentra")</f>
        <v>Andalucía</v>
      </c>
      <c r="M1578" t="s">
        <v>28</v>
      </c>
      <c r="N1578">
        <v>4</v>
      </c>
    </row>
    <row r="1579" spans="1:14" x14ac:dyDescent="0.25">
      <c r="A1579">
        <v>2578</v>
      </c>
      <c r="B1579" s="1">
        <v>45923</v>
      </c>
      <c r="C1579" s="4">
        <f>MONTH(datos_ventas[[#This Row],[Fecha]])</f>
        <v>9</v>
      </c>
      <c r="D1579" s="4">
        <f>WEEKNUM(datos_ventas[[#This Row],[Fecha]],2)</f>
        <v>39</v>
      </c>
      <c r="E1579" t="s">
        <v>16</v>
      </c>
      <c r="F1579" t="s">
        <v>11</v>
      </c>
      <c r="G1579">
        <v>1</v>
      </c>
      <c r="H1579">
        <v>2378</v>
      </c>
      <c r="I1579">
        <v>1614</v>
      </c>
      <c r="J1579" t="s">
        <v>14</v>
      </c>
      <c r="K1579" t="str">
        <f>_xlfn.XLOOKUP(datos_ventas[[#This Row],[Ciudad]],Tabla2[Ciudades],Tabla2[Provincias],"no se encuentra")</f>
        <v>Madrid</v>
      </c>
      <c r="L1579" t="str">
        <f>_xlfn.XLOOKUP(datos_ventas[[#This Row],[Provincia]],Tabla2[Provincias],Tabla2[Comunidades],"no se encuentra")</f>
        <v>Comunidad de Madrid</v>
      </c>
      <c r="M1579" t="s">
        <v>28</v>
      </c>
      <c r="N1579">
        <v>5</v>
      </c>
    </row>
    <row r="1580" spans="1:14" x14ac:dyDescent="0.25">
      <c r="A1580">
        <v>2579</v>
      </c>
      <c r="B1580" s="1">
        <v>45785</v>
      </c>
      <c r="C1580" s="4">
        <f>MONTH(datos_ventas[[#This Row],[Fecha]])</f>
        <v>5</v>
      </c>
      <c r="D1580" s="4">
        <f>WEEKNUM(datos_ventas[[#This Row],[Fecha]],2)</f>
        <v>19</v>
      </c>
      <c r="E1580" t="s">
        <v>16</v>
      </c>
      <c r="F1580" t="s">
        <v>11</v>
      </c>
      <c r="G1580">
        <v>1</v>
      </c>
      <c r="H1580">
        <v>37356</v>
      </c>
      <c r="I1580">
        <v>817</v>
      </c>
      <c r="J1580" t="s">
        <v>14</v>
      </c>
      <c r="K1580" t="str">
        <f>_xlfn.XLOOKUP(datos_ventas[[#This Row],[Ciudad]],Tabla2[Ciudades],Tabla2[Provincias],"no se encuentra")</f>
        <v>Madrid</v>
      </c>
      <c r="L1580" t="str">
        <f>_xlfn.XLOOKUP(datos_ventas[[#This Row],[Provincia]],Tabla2[Provincias],Tabla2[Comunidades],"no se encuentra")</f>
        <v>Comunidad de Madrid</v>
      </c>
      <c r="M1580" t="s">
        <v>19</v>
      </c>
      <c r="N1580">
        <v>4</v>
      </c>
    </row>
    <row r="1581" spans="1:14" x14ac:dyDescent="0.25">
      <c r="A1581">
        <v>2580</v>
      </c>
      <c r="B1581" s="1">
        <v>45882</v>
      </c>
      <c r="C1581" s="4">
        <f>MONTH(datos_ventas[[#This Row],[Fecha]])</f>
        <v>8</v>
      </c>
      <c r="D1581" s="4">
        <f>WEEKNUM(datos_ventas[[#This Row],[Fecha]],2)</f>
        <v>33</v>
      </c>
      <c r="E1581" t="s">
        <v>20</v>
      </c>
      <c r="F1581" t="s">
        <v>21</v>
      </c>
      <c r="G1581">
        <v>3</v>
      </c>
      <c r="H1581">
        <v>8699</v>
      </c>
      <c r="I1581">
        <v>1063</v>
      </c>
      <c r="J1581" t="s">
        <v>12</v>
      </c>
      <c r="K1581" t="str">
        <f>_xlfn.XLOOKUP(datos_ventas[[#This Row],[Ciudad]],Tabla2[Ciudades],Tabla2[Provincias],"no se encuentra")</f>
        <v>Málaga</v>
      </c>
      <c r="L1581" t="str">
        <f>_xlfn.XLOOKUP(datos_ventas[[#This Row],[Provincia]],Tabla2[Provincias],Tabla2[Comunidades],"no se encuentra")</f>
        <v>Andalucía</v>
      </c>
      <c r="M1581" t="s">
        <v>15</v>
      </c>
      <c r="N1581">
        <v>4</v>
      </c>
    </row>
    <row r="1582" spans="1:14" x14ac:dyDescent="0.25">
      <c r="A1582">
        <v>2581</v>
      </c>
      <c r="B1582" s="1">
        <v>45814</v>
      </c>
      <c r="C1582" s="4">
        <f>MONTH(datos_ventas[[#This Row],[Fecha]])</f>
        <v>6</v>
      </c>
      <c r="D1582" s="4">
        <f>WEEKNUM(datos_ventas[[#This Row],[Fecha]],2)</f>
        <v>23</v>
      </c>
      <c r="E1582" t="s">
        <v>29</v>
      </c>
      <c r="F1582" t="s">
        <v>30</v>
      </c>
      <c r="G1582">
        <v>3</v>
      </c>
      <c r="H1582">
        <v>8092</v>
      </c>
      <c r="I1582">
        <v>4629</v>
      </c>
      <c r="J1582" t="s">
        <v>27</v>
      </c>
      <c r="K1582" t="str">
        <f>_xlfn.XLOOKUP(datos_ventas[[#This Row],[Ciudad]],Tabla2[Ciudades],Tabla2[Provincias],"no se encuentra")</f>
        <v>Sevilla</v>
      </c>
      <c r="L1582" t="str">
        <f>_xlfn.XLOOKUP(datos_ventas[[#This Row],[Provincia]],Tabla2[Provincias],Tabla2[Comunidades],"no se encuentra")</f>
        <v>Andalucía</v>
      </c>
      <c r="M1582" t="s">
        <v>13</v>
      </c>
      <c r="N1582">
        <v>3</v>
      </c>
    </row>
    <row r="1583" spans="1:14" x14ac:dyDescent="0.25">
      <c r="A1583">
        <v>2582</v>
      </c>
      <c r="B1583" s="1">
        <v>45804</v>
      </c>
      <c r="C1583" s="4">
        <f>MONTH(datos_ventas[[#This Row],[Fecha]])</f>
        <v>5</v>
      </c>
      <c r="D1583" s="4">
        <f>WEEKNUM(datos_ventas[[#This Row],[Fecha]],2)</f>
        <v>22</v>
      </c>
      <c r="E1583" t="s">
        <v>24</v>
      </c>
      <c r="F1583" t="s">
        <v>25</v>
      </c>
      <c r="G1583">
        <v>5</v>
      </c>
      <c r="H1583">
        <v>116355</v>
      </c>
      <c r="I1583">
        <v>4081</v>
      </c>
      <c r="J1583" t="s">
        <v>31</v>
      </c>
      <c r="K1583" t="str">
        <f>_xlfn.XLOOKUP(datos_ventas[[#This Row],[Ciudad]],Tabla2[Ciudades],Tabla2[Provincias],"no se encuentra")</f>
        <v>Vizcaya</v>
      </c>
      <c r="L1583" t="str">
        <f>_xlfn.XLOOKUP(datos_ventas[[#This Row],[Provincia]],Tabla2[Provincias],Tabla2[Comunidades],"no se encuentra")</f>
        <v>País Vasco</v>
      </c>
      <c r="M1583" t="s">
        <v>19</v>
      </c>
      <c r="N1583">
        <v>3</v>
      </c>
    </row>
    <row r="1584" spans="1:14" x14ac:dyDescent="0.25">
      <c r="A1584">
        <v>2583</v>
      </c>
      <c r="B1584" s="1">
        <v>45696</v>
      </c>
      <c r="C1584" s="4">
        <f>MONTH(datos_ventas[[#This Row],[Fecha]])</f>
        <v>2</v>
      </c>
      <c r="D1584" s="4">
        <f>WEEKNUM(datos_ventas[[#This Row],[Fecha]],2)</f>
        <v>6</v>
      </c>
      <c r="E1584" t="s">
        <v>16</v>
      </c>
      <c r="F1584" t="s">
        <v>11</v>
      </c>
      <c r="G1584">
        <v>3</v>
      </c>
      <c r="H1584">
        <v>39956</v>
      </c>
      <c r="I1584">
        <v>834</v>
      </c>
      <c r="J1584" t="s">
        <v>14</v>
      </c>
      <c r="K1584" t="str">
        <f>_xlfn.XLOOKUP(datos_ventas[[#This Row],[Ciudad]],Tabla2[Ciudades],Tabla2[Provincias],"no se encuentra")</f>
        <v>Madrid</v>
      </c>
      <c r="L1584" t="str">
        <f>_xlfn.XLOOKUP(datos_ventas[[#This Row],[Provincia]],Tabla2[Provincias],Tabla2[Comunidades],"no se encuentra")</f>
        <v>Comunidad de Madrid</v>
      </c>
      <c r="M1584" t="s">
        <v>28</v>
      </c>
      <c r="N1584">
        <v>1</v>
      </c>
    </row>
    <row r="1585" spans="1:14" x14ac:dyDescent="0.25">
      <c r="A1585">
        <v>2584</v>
      </c>
      <c r="B1585" s="1">
        <v>45660</v>
      </c>
      <c r="C1585" s="4">
        <f>MONTH(datos_ventas[[#This Row],[Fecha]])</f>
        <v>1</v>
      </c>
      <c r="D1585" s="4">
        <f>WEEKNUM(datos_ventas[[#This Row],[Fecha]],2)</f>
        <v>1</v>
      </c>
      <c r="E1585" t="s">
        <v>10</v>
      </c>
      <c r="F1585" t="s">
        <v>11</v>
      </c>
      <c r="G1585">
        <v>4</v>
      </c>
      <c r="H1585">
        <v>68868</v>
      </c>
      <c r="I1585">
        <v>53</v>
      </c>
      <c r="J1585" t="s">
        <v>31</v>
      </c>
      <c r="K1585" t="str">
        <f>_xlfn.XLOOKUP(datos_ventas[[#This Row],[Ciudad]],Tabla2[Ciudades],Tabla2[Provincias],"no se encuentra")</f>
        <v>Vizcaya</v>
      </c>
      <c r="L1585" t="str">
        <f>_xlfn.XLOOKUP(datos_ventas[[#This Row],[Provincia]],Tabla2[Provincias],Tabla2[Comunidades],"no se encuentra")</f>
        <v>País Vasco</v>
      </c>
      <c r="M1585" t="s">
        <v>19</v>
      </c>
      <c r="N1585">
        <v>5</v>
      </c>
    </row>
    <row r="1586" spans="1:14" x14ac:dyDescent="0.25">
      <c r="A1586">
        <v>2585</v>
      </c>
      <c r="B1586" s="1">
        <v>45846</v>
      </c>
      <c r="C1586" s="4">
        <f>MONTH(datos_ventas[[#This Row],[Fecha]])</f>
        <v>7</v>
      </c>
      <c r="D1586" s="4">
        <f>WEEKNUM(datos_ventas[[#This Row],[Fecha]],2)</f>
        <v>28</v>
      </c>
      <c r="E1586" t="s">
        <v>16</v>
      </c>
      <c r="F1586" t="s">
        <v>11</v>
      </c>
      <c r="G1586">
        <v>2</v>
      </c>
      <c r="H1586">
        <v>107419</v>
      </c>
      <c r="I1586">
        <v>1799</v>
      </c>
      <c r="J1586" t="s">
        <v>27</v>
      </c>
      <c r="K1586" t="str">
        <f>_xlfn.XLOOKUP(datos_ventas[[#This Row],[Ciudad]],Tabla2[Ciudades],Tabla2[Provincias],"no se encuentra")</f>
        <v>Sevilla</v>
      </c>
      <c r="L1586" t="str">
        <f>_xlfn.XLOOKUP(datos_ventas[[#This Row],[Provincia]],Tabla2[Provincias],Tabla2[Comunidades],"no se encuentra")</f>
        <v>Andalucía</v>
      </c>
      <c r="M1586" t="s">
        <v>28</v>
      </c>
      <c r="N1586">
        <v>4</v>
      </c>
    </row>
    <row r="1587" spans="1:14" x14ac:dyDescent="0.25">
      <c r="A1587">
        <v>2586</v>
      </c>
      <c r="B1587" s="1">
        <v>45734</v>
      </c>
      <c r="C1587" s="4">
        <f>MONTH(datos_ventas[[#This Row],[Fecha]])</f>
        <v>3</v>
      </c>
      <c r="D1587" s="4">
        <f>WEEKNUM(datos_ventas[[#This Row],[Fecha]],2)</f>
        <v>12</v>
      </c>
      <c r="E1587" t="s">
        <v>20</v>
      </c>
      <c r="F1587" t="s">
        <v>21</v>
      </c>
      <c r="G1587">
        <v>5</v>
      </c>
      <c r="H1587">
        <v>93382</v>
      </c>
      <c r="I1587">
        <v>664</v>
      </c>
      <c r="J1587" t="s">
        <v>31</v>
      </c>
      <c r="K1587" t="str">
        <f>_xlfn.XLOOKUP(datos_ventas[[#This Row],[Ciudad]],Tabla2[Ciudades],Tabla2[Provincias],"no se encuentra")</f>
        <v>Vizcaya</v>
      </c>
      <c r="L1587" t="str">
        <f>_xlfn.XLOOKUP(datos_ventas[[#This Row],[Provincia]],Tabla2[Provincias],Tabla2[Comunidades],"no se encuentra")</f>
        <v>País Vasco</v>
      </c>
      <c r="M1587" t="s">
        <v>15</v>
      </c>
      <c r="N1587">
        <v>4</v>
      </c>
    </row>
    <row r="1588" spans="1:14" x14ac:dyDescent="0.25">
      <c r="A1588">
        <v>2587</v>
      </c>
      <c r="B1588" s="1">
        <v>45693</v>
      </c>
      <c r="C1588" s="4">
        <f>MONTH(datos_ventas[[#This Row],[Fecha]])</f>
        <v>2</v>
      </c>
      <c r="D1588" s="4">
        <f>WEEKNUM(datos_ventas[[#This Row],[Fecha]],2)</f>
        <v>6</v>
      </c>
      <c r="E1588" t="s">
        <v>26</v>
      </c>
      <c r="F1588" t="s">
        <v>18</v>
      </c>
      <c r="G1588">
        <v>2</v>
      </c>
      <c r="H1588">
        <v>62182</v>
      </c>
      <c r="I1588">
        <v>4384</v>
      </c>
      <c r="J1588" t="s">
        <v>14</v>
      </c>
      <c r="K1588" t="str">
        <f>_xlfn.XLOOKUP(datos_ventas[[#This Row],[Ciudad]],Tabla2[Ciudades],Tabla2[Provincias],"no se encuentra")</f>
        <v>Madrid</v>
      </c>
      <c r="L1588" t="str">
        <f>_xlfn.XLOOKUP(datos_ventas[[#This Row],[Provincia]],Tabla2[Provincias],Tabla2[Comunidades],"no se encuentra")</f>
        <v>Comunidad de Madrid</v>
      </c>
      <c r="M1588" t="s">
        <v>28</v>
      </c>
      <c r="N1588">
        <v>5</v>
      </c>
    </row>
    <row r="1589" spans="1:14" x14ac:dyDescent="0.25">
      <c r="A1589">
        <v>2588</v>
      </c>
      <c r="B1589" s="1">
        <v>45658</v>
      </c>
      <c r="C1589" s="4">
        <f>MONTH(datos_ventas[[#This Row],[Fecha]])</f>
        <v>1</v>
      </c>
      <c r="D1589" s="4">
        <f>WEEKNUM(datos_ventas[[#This Row],[Fecha]],2)</f>
        <v>1</v>
      </c>
      <c r="E1589" t="s">
        <v>17</v>
      </c>
      <c r="F1589" t="s">
        <v>18</v>
      </c>
      <c r="G1589">
        <v>1</v>
      </c>
      <c r="H1589">
        <v>91125</v>
      </c>
      <c r="I1589">
        <v>649</v>
      </c>
      <c r="J1589" t="s">
        <v>31</v>
      </c>
      <c r="K1589" t="str">
        <f>_xlfn.XLOOKUP(datos_ventas[[#This Row],[Ciudad]],Tabla2[Ciudades],Tabla2[Provincias],"no se encuentra")</f>
        <v>Vizcaya</v>
      </c>
      <c r="L1589" t="str">
        <f>_xlfn.XLOOKUP(datos_ventas[[#This Row],[Provincia]],Tabla2[Provincias],Tabla2[Comunidades],"no se encuentra")</f>
        <v>País Vasco</v>
      </c>
      <c r="M1589" t="s">
        <v>15</v>
      </c>
      <c r="N1589">
        <v>5</v>
      </c>
    </row>
    <row r="1590" spans="1:14" x14ac:dyDescent="0.25">
      <c r="A1590">
        <v>2589</v>
      </c>
      <c r="B1590" s="1">
        <v>45746</v>
      </c>
      <c r="C1590" s="4">
        <f>MONTH(datos_ventas[[#This Row],[Fecha]])</f>
        <v>3</v>
      </c>
      <c r="D1590" s="4">
        <f>WEEKNUM(datos_ventas[[#This Row],[Fecha]],2)</f>
        <v>13</v>
      </c>
      <c r="E1590" t="s">
        <v>24</v>
      </c>
      <c r="F1590" t="s">
        <v>25</v>
      </c>
      <c r="G1590">
        <v>2</v>
      </c>
      <c r="H1590">
        <v>5352</v>
      </c>
      <c r="I1590">
        <v>3452</v>
      </c>
      <c r="J1590" t="s">
        <v>22</v>
      </c>
      <c r="K1590" t="str">
        <f>_xlfn.XLOOKUP(datos_ventas[[#This Row],[Ciudad]],Tabla2[Ciudades],Tabla2[Provincias],"no se encuentra")</f>
        <v>Valencia</v>
      </c>
      <c r="L1590" t="str">
        <f>_xlfn.XLOOKUP(datos_ventas[[#This Row],[Provincia]],Tabla2[Provincias],Tabla2[Comunidades],"no se encuentra")</f>
        <v>Comunidad Valenciana</v>
      </c>
      <c r="M1590" t="s">
        <v>19</v>
      </c>
      <c r="N1590">
        <v>3</v>
      </c>
    </row>
    <row r="1591" spans="1:14" x14ac:dyDescent="0.25">
      <c r="A1591">
        <v>2590</v>
      </c>
      <c r="B1591" s="1">
        <v>45663</v>
      </c>
      <c r="C1591" s="4">
        <f>MONTH(datos_ventas[[#This Row],[Fecha]])</f>
        <v>1</v>
      </c>
      <c r="D1591" s="4">
        <f>WEEKNUM(datos_ventas[[#This Row],[Fecha]],2)</f>
        <v>2</v>
      </c>
      <c r="E1591" t="s">
        <v>26</v>
      </c>
      <c r="F1591" t="s">
        <v>18</v>
      </c>
      <c r="G1591">
        <v>5</v>
      </c>
      <c r="H1591">
        <v>111253</v>
      </c>
      <c r="I1591">
        <v>2382</v>
      </c>
      <c r="J1591" t="s">
        <v>31</v>
      </c>
      <c r="K1591" t="str">
        <f>_xlfn.XLOOKUP(datos_ventas[[#This Row],[Ciudad]],Tabla2[Ciudades],Tabla2[Provincias],"no se encuentra")</f>
        <v>Vizcaya</v>
      </c>
      <c r="L1591" t="str">
        <f>_xlfn.XLOOKUP(datos_ventas[[#This Row],[Provincia]],Tabla2[Provincias],Tabla2[Comunidades],"no se encuentra")</f>
        <v>País Vasco</v>
      </c>
      <c r="M1591" t="s">
        <v>13</v>
      </c>
      <c r="N1591">
        <v>3</v>
      </c>
    </row>
    <row r="1592" spans="1:14" x14ac:dyDescent="0.25">
      <c r="A1592">
        <v>2591</v>
      </c>
      <c r="B1592" s="1">
        <v>45972</v>
      </c>
      <c r="C1592" s="4">
        <f>MONTH(datos_ventas[[#This Row],[Fecha]])</f>
        <v>11</v>
      </c>
      <c r="D1592" s="4">
        <f>WEEKNUM(datos_ventas[[#This Row],[Fecha]],2)</f>
        <v>46</v>
      </c>
      <c r="E1592" t="s">
        <v>29</v>
      </c>
      <c r="F1592" t="s">
        <v>30</v>
      </c>
      <c r="G1592">
        <v>2</v>
      </c>
      <c r="H1592">
        <v>41718</v>
      </c>
      <c r="I1592">
        <v>2542</v>
      </c>
      <c r="J1592" t="s">
        <v>14</v>
      </c>
      <c r="K1592" t="str">
        <f>_xlfn.XLOOKUP(datos_ventas[[#This Row],[Ciudad]],Tabla2[Ciudades],Tabla2[Provincias],"no se encuentra")</f>
        <v>Madrid</v>
      </c>
      <c r="L1592" t="str">
        <f>_xlfn.XLOOKUP(datos_ventas[[#This Row],[Provincia]],Tabla2[Provincias],Tabla2[Comunidades],"no se encuentra")</f>
        <v>Comunidad de Madrid</v>
      </c>
      <c r="M1592" t="s">
        <v>19</v>
      </c>
      <c r="N1592">
        <v>1</v>
      </c>
    </row>
    <row r="1593" spans="1:14" x14ac:dyDescent="0.25">
      <c r="A1593">
        <v>2592</v>
      </c>
      <c r="B1593" s="1">
        <v>45876</v>
      </c>
      <c r="C1593" s="4">
        <f>MONTH(datos_ventas[[#This Row],[Fecha]])</f>
        <v>8</v>
      </c>
      <c r="D1593" s="4">
        <f>WEEKNUM(datos_ventas[[#This Row],[Fecha]],2)</f>
        <v>32</v>
      </c>
      <c r="E1593" t="s">
        <v>16</v>
      </c>
      <c r="F1593" t="s">
        <v>11</v>
      </c>
      <c r="G1593">
        <v>1</v>
      </c>
      <c r="H1593">
        <v>109176</v>
      </c>
      <c r="I1593">
        <v>1847</v>
      </c>
      <c r="J1593" t="s">
        <v>12</v>
      </c>
      <c r="K1593" t="str">
        <f>_xlfn.XLOOKUP(datos_ventas[[#This Row],[Ciudad]],Tabla2[Ciudades],Tabla2[Provincias],"no se encuentra")</f>
        <v>Málaga</v>
      </c>
      <c r="L1593" t="str">
        <f>_xlfn.XLOOKUP(datos_ventas[[#This Row],[Provincia]],Tabla2[Provincias],Tabla2[Comunidades],"no se encuentra")</f>
        <v>Andalucía</v>
      </c>
      <c r="M1593" t="s">
        <v>28</v>
      </c>
      <c r="N1593">
        <v>5</v>
      </c>
    </row>
    <row r="1594" spans="1:14" x14ac:dyDescent="0.25">
      <c r="A1594">
        <v>2593</v>
      </c>
      <c r="B1594" s="1">
        <v>45815</v>
      </c>
      <c r="C1594" s="4">
        <f>MONTH(datos_ventas[[#This Row],[Fecha]])</f>
        <v>6</v>
      </c>
      <c r="D1594" s="4">
        <f>WEEKNUM(datos_ventas[[#This Row],[Fecha]],2)</f>
        <v>23</v>
      </c>
      <c r="E1594" t="s">
        <v>20</v>
      </c>
      <c r="F1594" t="s">
        <v>21</v>
      </c>
      <c r="G1594">
        <v>2</v>
      </c>
      <c r="H1594">
        <v>93827</v>
      </c>
      <c r="I1594">
        <v>242</v>
      </c>
      <c r="J1594" t="s">
        <v>22</v>
      </c>
      <c r="K1594" t="str">
        <f>_xlfn.XLOOKUP(datos_ventas[[#This Row],[Ciudad]],Tabla2[Ciudades],Tabla2[Provincias],"no se encuentra")</f>
        <v>Valencia</v>
      </c>
      <c r="L1594" t="str">
        <f>_xlfn.XLOOKUP(datos_ventas[[#This Row],[Provincia]],Tabla2[Provincias],Tabla2[Comunidades],"no se encuentra")</f>
        <v>Comunidad Valenciana</v>
      </c>
      <c r="M1594" t="s">
        <v>19</v>
      </c>
      <c r="N1594">
        <v>3</v>
      </c>
    </row>
    <row r="1595" spans="1:14" x14ac:dyDescent="0.25">
      <c r="A1595">
        <v>2594</v>
      </c>
      <c r="B1595" s="1">
        <v>45858</v>
      </c>
      <c r="C1595" s="4">
        <f>MONTH(datos_ventas[[#This Row],[Fecha]])</f>
        <v>7</v>
      </c>
      <c r="D1595" s="4">
        <f>WEEKNUM(datos_ventas[[#This Row],[Fecha]],2)</f>
        <v>29</v>
      </c>
      <c r="E1595" t="s">
        <v>20</v>
      </c>
      <c r="F1595" t="s">
        <v>21</v>
      </c>
      <c r="G1595">
        <v>4</v>
      </c>
      <c r="H1595">
        <v>84847</v>
      </c>
      <c r="I1595">
        <v>642</v>
      </c>
      <c r="J1595" t="s">
        <v>31</v>
      </c>
      <c r="K1595" t="str">
        <f>_xlfn.XLOOKUP(datos_ventas[[#This Row],[Ciudad]],Tabla2[Ciudades],Tabla2[Provincias],"no se encuentra")</f>
        <v>Vizcaya</v>
      </c>
      <c r="L1595" t="str">
        <f>_xlfn.XLOOKUP(datos_ventas[[#This Row],[Provincia]],Tabla2[Provincias],Tabla2[Comunidades],"no se encuentra")</f>
        <v>País Vasco</v>
      </c>
      <c r="M1595" t="s">
        <v>28</v>
      </c>
      <c r="N1595">
        <v>3</v>
      </c>
    </row>
    <row r="1596" spans="1:14" x14ac:dyDescent="0.25">
      <c r="A1596">
        <v>2595</v>
      </c>
      <c r="B1596" s="1">
        <v>45961</v>
      </c>
      <c r="C1596" s="4">
        <f>MONTH(datos_ventas[[#This Row],[Fecha]])</f>
        <v>10</v>
      </c>
      <c r="D1596" s="4">
        <f>WEEKNUM(datos_ventas[[#This Row],[Fecha]],2)</f>
        <v>44</v>
      </c>
      <c r="E1596" t="s">
        <v>26</v>
      </c>
      <c r="F1596" t="s">
        <v>18</v>
      </c>
      <c r="G1596">
        <v>4</v>
      </c>
      <c r="H1596">
        <v>59832</v>
      </c>
      <c r="I1596">
        <v>2427</v>
      </c>
      <c r="J1596" t="s">
        <v>27</v>
      </c>
      <c r="K1596" t="str">
        <f>_xlfn.XLOOKUP(datos_ventas[[#This Row],[Ciudad]],Tabla2[Ciudades],Tabla2[Provincias],"no se encuentra")</f>
        <v>Sevilla</v>
      </c>
      <c r="L1596" t="str">
        <f>_xlfn.XLOOKUP(datos_ventas[[#This Row],[Provincia]],Tabla2[Provincias],Tabla2[Comunidades],"no se encuentra")</f>
        <v>Andalucía</v>
      </c>
      <c r="M1596" t="s">
        <v>15</v>
      </c>
      <c r="N1596">
        <v>3</v>
      </c>
    </row>
    <row r="1597" spans="1:14" x14ac:dyDescent="0.25">
      <c r="A1597">
        <v>2596</v>
      </c>
      <c r="B1597" s="1">
        <v>45658</v>
      </c>
      <c r="C1597" s="4">
        <f>MONTH(datos_ventas[[#This Row],[Fecha]])</f>
        <v>1</v>
      </c>
      <c r="D1597" s="4">
        <f>WEEKNUM(datos_ventas[[#This Row],[Fecha]],2)</f>
        <v>1</v>
      </c>
      <c r="E1597" t="s">
        <v>17</v>
      </c>
      <c r="F1597" t="s">
        <v>18</v>
      </c>
      <c r="G1597">
        <v>5</v>
      </c>
      <c r="H1597">
        <v>11570</v>
      </c>
      <c r="I1597">
        <v>1321</v>
      </c>
      <c r="J1597" t="s">
        <v>27</v>
      </c>
      <c r="K1597" t="str">
        <f>_xlfn.XLOOKUP(datos_ventas[[#This Row],[Ciudad]],Tabla2[Ciudades],Tabla2[Provincias],"no se encuentra")</f>
        <v>Sevilla</v>
      </c>
      <c r="L1597" t="str">
        <f>_xlfn.XLOOKUP(datos_ventas[[#This Row],[Provincia]],Tabla2[Provincias],Tabla2[Comunidades],"no se encuentra")</f>
        <v>Andalucía</v>
      </c>
      <c r="M1597" t="s">
        <v>28</v>
      </c>
      <c r="N1597">
        <v>5</v>
      </c>
    </row>
    <row r="1598" spans="1:14" x14ac:dyDescent="0.25">
      <c r="A1598">
        <v>2597</v>
      </c>
      <c r="B1598" s="1">
        <v>45756</v>
      </c>
      <c r="C1598" s="4">
        <f>MONTH(datos_ventas[[#This Row],[Fecha]])</f>
        <v>4</v>
      </c>
      <c r="D1598" s="4">
        <f>WEEKNUM(datos_ventas[[#This Row],[Fecha]],2)</f>
        <v>15</v>
      </c>
      <c r="E1598" t="s">
        <v>29</v>
      </c>
      <c r="F1598" t="s">
        <v>30</v>
      </c>
      <c r="G1598">
        <v>4</v>
      </c>
      <c r="H1598">
        <v>3559</v>
      </c>
      <c r="I1598">
        <v>415</v>
      </c>
      <c r="J1598" t="s">
        <v>27</v>
      </c>
      <c r="K1598" t="str">
        <f>_xlfn.XLOOKUP(datos_ventas[[#This Row],[Ciudad]],Tabla2[Ciudades],Tabla2[Provincias],"no se encuentra")</f>
        <v>Sevilla</v>
      </c>
      <c r="L1598" t="str">
        <f>_xlfn.XLOOKUP(datos_ventas[[#This Row],[Provincia]],Tabla2[Provincias],Tabla2[Comunidades],"no se encuentra")</f>
        <v>Andalucía</v>
      </c>
      <c r="M1598" t="s">
        <v>28</v>
      </c>
      <c r="N1598">
        <v>3</v>
      </c>
    </row>
    <row r="1599" spans="1:14" x14ac:dyDescent="0.25">
      <c r="A1599">
        <v>2598</v>
      </c>
      <c r="B1599" s="1">
        <v>45679</v>
      </c>
      <c r="C1599" s="4">
        <f>MONTH(datos_ventas[[#This Row],[Fecha]])</f>
        <v>1</v>
      </c>
      <c r="D1599" s="4">
        <f>WEEKNUM(datos_ventas[[#This Row],[Fecha]],2)</f>
        <v>4</v>
      </c>
      <c r="E1599" t="s">
        <v>17</v>
      </c>
      <c r="F1599" t="s">
        <v>18</v>
      </c>
      <c r="G1599">
        <v>3</v>
      </c>
      <c r="H1599">
        <v>88866</v>
      </c>
      <c r="I1599">
        <v>4953</v>
      </c>
      <c r="J1599" t="s">
        <v>14</v>
      </c>
      <c r="K1599" t="str">
        <f>_xlfn.XLOOKUP(datos_ventas[[#This Row],[Ciudad]],Tabla2[Ciudades],Tabla2[Provincias],"no se encuentra")</f>
        <v>Madrid</v>
      </c>
      <c r="L1599" t="str">
        <f>_xlfn.XLOOKUP(datos_ventas[[#This Row],[Provincia]],Tabla2[Provincias],Tabla2[Comunidades],"no se encuentra")</f>
        <v>Comunidad de Madrid</v>
      </c>
      <c r="M1599" t="s">
        <v>19</v>
      </c>
      <c r="N1599">
        <v>4</v>
      </c>
    </row>
    <row r="1600" spans="1:14" x14ac:dyDescent="0.25">
      <c r="A1600">
        <v>2599</v>
      </c>
      <c r="B1600" s="1">
        <v>45797</v>
      </c>
      <c r="C1600" s="4">
        <f>MONTH(datos_ventas[[#This Row],[Fecha]])</f>
        <v>5</v>
      </c>
      <c r="D1600" s="4">
        <f>WEEKNUM(datos_ventas[[#This Row],[Fecha]],2)</f>
        <v>21</v>
      </c>
      <c r="E1600" t="s">
        <v>16</v>
      </c>
      <c r="F1600" t="s">
        <v>11</v>
      </c>
      <c r="G1600">
        <v>1</v>
      </c>
      <c r="H1600">
        <v>61656</v>
      </c>
      <c r="I1600">
        <v>2759</v>
      </c>
      <c r="J1600" t="s">
        <v>12</v>
      </c>
      <c r="K1600" t="str">
        <f>_xlfn.XLOOKUP(datos_ventas[[#This Row],[Ciudad]],Tabla2[Ciudades],Tabla2[Provincias],"no se encuentra")</f>
        <v>Málaga</v>
      </c>
      <c r="L1600" t="str">
        <f>_xlfn.XLOOKUP(datos_ventas[[#This Row],[Provincia]],Tabla2[Provincias],Tabla2[Comunidades],"no se encuentra")</f>
        <v>Andalucía</v>
      </c>
      <c r="M1600" t="s">
        <v>28</v>
      </c>
      <c r="N1600">
        <v>3</v>
      </c>
    </row>
    <row r="1601" spans="1:14" x14ac:dyDescent="0.25">
      <c r="A1601">
        <v>2600</v>
      </c>
      <c r="B1601" s="1">
        <v>45772</v>
      </c>
      <c r="C1601" s="4">
        <f>MONTH(datos_ventas[[#This Row],[Fecha]])</f>
        <v>4</v>
      </c>
      <c r="D1601" s="4">
        <f>WEEKNUM(datos_ventas[[#This Row],[Fecha]],2)</f>
        <v>17</v>
      </c>
      <c r="E1601" t="s">
        <v>24</v>
      </c>
      <c r="F1601" t="s">
        <v>25</v>
      </c>
      <c r="G1601">
        <v>2</v>
      </c>
      <c r="H1601">
        <v>51775</v>
      </c>
      <c r="I1601">
        <v>4063</v>
      </c>
      <c r="J1601" t="s">
        <v>32</v>
      </c>
      <c r="K1601" t="str">
        <f>_xlfn.XLOOKUP(datos_ventas[[#This Row],[Ciudad]],Tabla2[Ciudades],Tabla2[Provincias],"no se encuentra")</f>
        <v>Barcelona</v>
      </c>
      <c r="L1601" t="str">
        <f>_xlfn.XLOOKUP(datos_ventas[[#This Row],[Provincia]],Tabla2[Provincias],Tabla2[Comunidades],"no se encuentra")</f>
        <v>Cataluña</v>
      </c>
      <c r="M1601" t="s">
        <v>19</v>
      </c>
      <c r="N1601">
        <v>1</v>
      </c>
    </row>
    <row r="1602" spans="1:14" x14ac:dyDescent="0.25">
      <c r="A1602">
        <v>2601</v>
      </c>
      <c r="B1602" s="1">
        <v>45723</v>
      </c>
      <c r="C1602" s="4">
        <f>MONTH(datos_ventas[[#This Row],[Fecha]])</f>
        <v>3</v>
      </c>
      <c r="D1602" s="4">
        <f>WEEKNUM(datos_ventas[[#This Row],[Fecha]],2)</f>
        <v>10</v>
      </c>
      <c r="E1602" t="s">
        <v>16</v>
      </c>
      <c r="F1602" t="s">
        <v>11</v>
      </c>
      <c r="G1602">
        <v>5</v>
      </c>
      <c r="H1602">
        <v>90388</v>
      </c>
      <c r="I1602">
        <v>2218</v>
      </c>
      <c r="J1602" t="s">
        <v>32</v>
      </c>
      <c r="K1602" t="str">
        <f>_xlfn.XLOOKUP(datos_ventas[[#This Row],[Ciudad]],Tabla2[Ciudades],Tabla2[Provincias],"no se encuentra")</f>
        <v>Barcelona</v>
      </c>
      <c r="L1602" t="str">
        <f>_xlfn.XLOOKUP(datos_ventas[[#This Row],[Provincia]],Tabla2[Provincias],Tabla2[Comunidades],"no se encuentra")</f>
        <v>Cataluña</v>
      </c>
      <c r="M1602" t="s">
        <v>28</v>
      </c>
      <c r="N1602">
        <v>3</v>
      </c>
    </row>
    <row r="1603" spans="1:14" x14ac:dyDescent="0.25">
      <c r="A1603">
        <v>2602</v>
      </c>
      <c r="B1603" s="1">
        <v>45809</v>
      </c>
      <c r="C1603" s="4">
        <f>MONTH(datos_ventas[[#This Row],[Fecha]])</f>
        <v>6</v>
      </c>
      <c r="D1603" s="4">
        <f>WEEKNUM(datos_ventas[[#This Row],[Fecha]],2)</f>
        <v>22</v>
      </c>
      <c r="E1603" t="s">
        <v>20</v>
      </c>
      <c r="F1603" t="s">
        <v>21</v>
      </c>
      <c r="G1603">
        <v>5</v>
      </c>
      <c r="H1603">
        <v>100308</v>
      </c>
      <c r="I1603">
        <v>2037</v>
      </c>
      <c r="J1603" t="s">
        <v>32</v>
      </c>
      <c r="K1603" t="str">
        <f>_xlfn.XLOOKUP(datos_ventas[[#This Row],[Ciudad]],Tabla2[Ciudades],Tabla2[Provincias],"no se encuentra")</f>
        <v>Barcelona</v>
      </c>
      <c r="L1603" t="str">
        <f>_xlfn.XLOOKUP(datos_ventas[[#This Row],[Provincia]],Tabla2[Provincias],Tabla2[Comunidades],"no se encuentra")</f>
        <v>Cataluña</v>
      </c>
      <c r="M1603" t="s">
        <v>13</v>
      </c>
      <c r="N1603">
        <v>3</v>
      </c>
    </row>
    <row r="1604" spans="1:14" x14ac:dyDescent="0.25">
      <c r="A1604">
        <v>2603</v>
      </c>
      <c r="B1604" s="1">
        <v>45861</v>
      </c>
      <c r="C1604" s="4">
        <f>MONTH(datos_ventas[[#This Row],[Fecha]])</f>
        <v>7</v>
      </c>
      <c r="D1604" s="4">
        <f>WEEKNUM(datos_ventas[[#This Row],[Fecha]],2)</f>
        <v>30</v>
      </c>
      <c r="E1604" t="s">
        <v>10</v>
      </c>
      <c r="F1604" t="s">
        <v>11</v>
      </c>
      <c r="G1604">
        <v>2</v>
      </c>
      <c r="H1604">
        <v>32106</v>
      </c>
      <c r="I1604">
        <v>1581</v>
      </c>
      <c r="J1604" t="s">
        <v>12</v>
      </c>
      <c r="K1604" t="str">
        <f>_xlfn.XLOOKUP(datos_ventas[[#This Row],[Ciudad]],Tabla2[Ciudades],Tabla2[Provincias],"no se encuentra")</f>
        <v>Málaga</v>
      </c>
      <c r="L1604" t="str">
        <f>_xlfn.XLOOKUP(datos_ventas[[#This Row],[Provincia]],Tabla2[Provincias],Tabla2[Comunidades],"no se encuentra")</f>
        <v>Andalucía</v>
      </c>
      <c r="M1604" t="s">
        <v>28</v>
      </c>
      <c r="N1604">
        <v>3</v>
      </c>
    </row>
    <row r="1605" spans="1:14" x14ac:dyDescent="0.25">
      <c r="A1605">
        <v>2604</v>
      </c>
      <c r="B1605" s="1">
        <v>45762</v>
      </c>
      <c r="C1605" s="4">
        <f>MONTH(datos_ventas[[#This Row],[Fecha]])</f>
        <v>4</v>
      </c>
      <c r="D1605" s="4">
        <f>WEEKNUM(datos_ventas[[#This Row],[Fecha]],2)</f>
        <v>16</v>
      </c>
      <c r="E1605" t="s">
        <v>26</v>
      </c>
      <c r="F1605" t="s">
        <v>18</v>
      </c>
      <c r="G1605">
        <v>3</v>
      </c>
      <c r="H1605">
        <v>103316</v>
      </c>
      <c r="I1605">
        <v>2364</v>
      </c>
      <c r="J1605" t="s">
        <v>31</v>
      </c>
      <c r="K1605" t="str">
        <f>_xlfn.XLOOKUP(datos_ventas[[#This Row],[Ciudad]],Tabla2[Ciudades],Tabla2[Provincias],"no se encuentra")</f>
        <v>Vizcaya</v>
      </c>
      <c r="L1605" t="str">
        <f>_xlfn.XLOOKUP(datos_ventas[[#This Row],[Provincia]],Tabla2[Provincias],Tabla2[Comunidades],"no se encuentra")</f>
        <v>País Vasco</v>
      </c>
      <c r="M1605" t="s">
        <v>15</v>
      </c>
      <c r="N1605">
        <v>4</v>
      </c>
    </row>
    <row r="1606" spans="1:14" x14ac:dyDescent="0.25">
      <c r="A1606">
        <v>2605</v>
      </c>
      <c r="B1606" s="1">
        <v>45760</v>
      </c>
      <c r="C1606" s="4">
        <f>MONTH(datos_ventas[[#This Row],[Fecha]])</f>
        <v>4</v>
      </c>
      <c r="D1606" s="4">
        <f>WEEKNUM(datos_ventas[[#This Row],[Fecha]],2)</f>
        <v>15</v>
      </c>
      <c r="E1606" t="s">
        <v>10</v>
      </c>
      <c r="F1606" t="s">
        <v>11</v>
      </c>
      <c r="G1606">
        <v>1</v>
      </c>
      <c r="H1606">
        <v>91699</v>
      </c>
      <c r="I1606">
        <v>1524</v>
      </c>
      <c r="J1606" t="s">
        <v>31</v>
      </c>
      <c r="K1606" t="str">
        <f>_xlfn.XLOOKUP(datos_ventas[[#This Row],[Ciudad]],Tabla2[Ciudades],Tabla2[Provincias],"no se encuentra")</f>
        <v>Vizcaya</v>
      </c>
      <c r="L1606" t="str">
        <f>_xlfn.XLOOKUP(datos_ventas[[#This Row],[Provincia]],Tabla2[Provincias],Tabla2[Comunidades],"no se encuentra")</f>
        <v>País Vasco</v>
      </c>
      <c r="M1606" t="s">
        <v>13</v>
      </c>
      <c r="N1606">
        <v>5</v>
      </c>
    </row>
    <row r="1607" spans="1:14" x14ac:dyDescent="0.25">
      <c r="A1607">
        <v>2606</v>
      </c>
      <c r="B1607" s="1">
        <v>45846</v>
      </c>
      <c r="C1607" s="4">
        <f>MONTH(datos_ventas[[#This Row],[Fecha]])</f>
        <v>7</v>
      </c>
      <c r="D1607" s="4">
        <f>WEEKNUM(datos_ventas[[#This Row],[Fecha]],2)</f>
        <v>28</v>
      </c>
      <c r="E1607" t="s">
        <v>29</v>
      </c>
      <c r="F1607" t="s">
        <v>30</v>
      </c>
      <c r="G1607">
        <v>5</v>
      </c>
      <c r="H1607">
        <v>82524</v>
      </c>
      <c r="I1607">
        <v>2578</v>
      </c>
      <c r="J1607" t="s">
        <v>22</v>
      </c>
      <c r="K1607" t="str">
        <f>_xlfn.XLOOKUP(datos_ventas[[#This Row],[Ciudad]],Tabla2[Ciudades],Tabla2[Provincias],"no se encuentra")</f>
        <v>Valencia</v>
      </c>
      <c r="L1607" t="str">
        <f>_xlfn.XLOOKUP(datos_ventas[[#This Row],[Provincia]],Tabla2[Provincias],Tabla2[Comunidades],"no se encuentra")</f>
        <v>Comunidad Valenciana</v>
      </c>
      <c r="M1607" t="s">
        <v>28</v>
      </c>
      <c r="N1607">
        <v>4</v>
      </c>
    </row>
    <row r="1608" spans="1:14" x14ac:dyDescent="0.25">
      <c r="A1608">
        <v>2607</v>
      </c>
      <c r="B1608" s="1">
        <v>45695</v>
      </c>
      <c r="C1608" s="4">
        <f>MONTH(datos_ventas[[#This Row],[Fecha]])</f>
        <v>2</v>
      </c>
      <c r="D1608" s="4">
        <f>WEEKNUM(datos_ventas[[#This Row],[Fecha]],2)</f>
        <v>6</v>
      </c>
      <c r="E1608" t="s">
        <v>24</v>
      </c>
      <c r="F1608" t="s">
        <v>25</v>
      </c>
      <c r="G1608">
        <v>2</v>
      </c>
      <c r="H1608">
        <v>54423</v>
      </c>
      <c r="I1608">
        <v>2308</v>
      </c>
      <c r="J1608" t="s">
        <v>12</v>
      </c>
      <c r="K1608" t="str">
        <f>_xlfn.XLOOKUP(datos_ventas[[#This Row],[Ciudad]],Tabla2[Ciudades],Tabla2[Provincias],"no se encuentra")</f>
        <v>Málaga</v>
      </c>
      <c r="L1608" t="str">
        <f>_xlfn.XLOOKUP(datos_ventas[[#This Row],[Provincia]],Tabla2[Provincias],Tabla2[Comunidades],"no se encuentra")</f>
        <v>Andalucía</v>
      </c>
      <c r="M1608" t="s">
        <v>13</v>
      </c>
      <c r="N1608">
        <v>5</v>
      </c>
    </row>
    <row r="1609" spans="1:14" x14ac:dyDescent="0.25">
      <c r="A1609">
        <v>2608</v>
      </c>
      <c r="B1609" s="1">
        <v>45905</v>
      </c>
      <c r="C1609" s="4">
        <f>MONTH(datos_ventas[[#This Row],[Fecha]])</f>
        <v>9</v>
      </c>
      <c r="D1609" s="4">
        <f>WEEKNUM(datos_ventas[[#This Row],[Fecha]],2)</f>
        <v>36</v>
      </c>
      <c r="E1609" t="s">
        <v>17</v>
      </c>
      <c r="F1609" t="s">
        <v>18</v>
      </c>
      <c r="G1609">
        <v>5</v>
      </c>
      <c r="H1609">
        <v>103684</v>
      </c>
      <c r="I1609">
        <v>686</v>
      </c>
      <c r="J1609" t="s">
        <v>32</v>
      </c>
      <c r="K1609" t="str">
        <f>_xlfn.XLOOKUP(datos_ventas[[#This Row],[Ciudad]],Tabla2[Ciudades],Tabla2[Provincias],"no se encuentra")</f>
        <v>Barcelona</v>
      </c>
      <c r="L1609" t="str">
        <f>_xlfn.XLOOKUP(datos_ventas[[#This Row],[Provincia]],Tabla2[Provincias],Tabla2[Comunidades],"no se encuentra")</f>
        <v>Cataluña</v>
      </c>
      <c r="M1609" t="s">
        <v>28</v>
      </c>
      <c r="N1609">
        <v>3</v>
      </c>
    </row>
    <row r="1610" spans="1:14" x14ac:dyDescent="0.25">
      <c r="A1610">
        <v>2609</v>
      </c>
      <c r="B1610" s="1">
        <v>45825</v>
      </c>
      <c r="C1610" s="4">
        <f>MONTH(datos_ventas[[#This Row],[Fecha]])</f>
        <v>6</v>
      </c>
      <c r="D1610" s="4">
        <f>WEEKNUM(datos_ventas[[#This Row],[Fecha]],2)</f>
        <v>25</v>
      </c>
      <c r="E1610" t="s">
        <v>23</v>
      </c>
      <c r="F1610" t="s">
        <v>18</v>
      </c>
      <c r="G1610">
        <v>2</v>
      </c>
      <c r="H1610">
        <v>104132</v>
      </c>
      <c r="I1610">
        <v>2525</v>
      </c>
      <c r="J1610" t="s">
        <v>31</v>
      </c>
      <c r="K1610" t="str">
        <f>_xlfn.XLOOKUP(datos_ventas[[#This Row],[Ciudad]],Tabla2[Ciudades],Tabla2[Provincias],"no se encuentra")</f>
        <v>Vizcaya</v>
      </c>
      <c r="L1610" t="str">
        <f>_xlfn.XLOOKUP(datos_ventas[[#This Row],[Provincia]],Tabla2[Provincias],Tabla2[Comunidades],"no se encuentra")</f>
        <v>País Vasco</v>
      </c>
      <c r="M1610" t="s">
        <v>13</v>
      </c>
      <c r="N1610">
        <v>1</v>
      </c>
    </row>
    <row r="1611" spans="1:14" x14ac:dyDescent="0.25">
      <c r="A1611">
        <v>2610</v>
      </c>
      <c r="B1611" s="1">
        <v>45674</v>
      </c>
      <c r="C1611" s="4">
        <f>MONTH(datos_ventas[[#This Row],[Fecha]])</f>
        <v>1</v>
      </c>
      <c r="D1611" s="4">
        <f>WEEKNUM(datos_ventas[[#This Row],[Fecha]],2)</f>
        <v>3</v>
      </c>
      <c r="E1611" t="s">
        <v>16</v>
      </c>
      <c r="F1611" t="s">
        <v>11</v>
      </c>
      <c r="G1611">
        <v>4</v>
      </c>
      <c r="H1611">
        <v>77878</v>
      </c>
      <c r="I1611">
        <v>3594</v>
      </c>
      <c r="J1611" t="s">
        <v>31</v>
      </c>
      <c r="K1611" t="str">
        <f>_xlfn.XLOOKUP(datos_ventas[[#This Row],[Ciudad]],Tabla2[Ciudades],Tabla2[Provincias],"no se encuentra")</f>
        <v>Vizcaya</v>
      </c>
      <c r="L1611" t="str">
        <f>_xlfn.XLOOKUP(datos_ventas[[#This Row],[Provincia]],Tabla2[Provincias],Tabla2[Comunidades],"no se encuentra")</f>
        <v>País Vasco</v>
      </c>
      <c r="M1611" t="s">
        <v>19</v>
      </c>
      <c r="N1611">
        <v>2</v>
      </c>
    </row>
    <row r="1612" spans="1:14" x14ac:dyDescent="0.25">
      <c r="A1612">
        <v>2611</v>
      </c>
      <c r="B1612" s="1">
        <v>45799</v>
      </c>
      <c r="C1612" s="4">
        <f>MONTH(datos_ventas[[#This Row],[Fecha]])</f>
        <v>5</v>
      </c>
      <c r="D1612" s="4">
        <f>WEEKNUM(datos_ventas[[#This Row],[Fecha]],2)</f>
        <v>21</v>
      </c>
      <c r="E1612" t="s">
        <v>17</v>
      </c>
      <c r="F1612" t="s">
        <v>18</v>
      </c>
      <c r="G1612">
        <v>2</v>
      </c>
      <c r="H1612">
        <v>109423</v>
      </c>
      <c r="I1612">
        <v>4945</v>
      </c>
      <c r="J1612" t="s">
        <v>27</v>
      </c>
      <c r="K1612" t="str">
        <f>_xlfn.XLOOKUP(datos_ventas[[#This Row],[Ciudad]],Tabla2[Ciudades],Tabla2[Provincias],"no se encuentra")</f>
        <v>Sevilla</v>
      </c>
      <c r="L1612" t="str">
        <f>_xlfn.XLOOKUP(datos_ventas[[#This Row],[Provincia]],Tabla2[Provincias],Tabla2[Comunidades],"no se encuentra")</f>
        <v>Andalucía</v>
      </c>
      <c r="M1612" t="s">
        <v>19</v>
      </c>
      <c r="N1612">
        <v>1</v>
      </c>
    </row>
    <row r="1613" spans="1:14" x14ac:dyDescent="0.25">
      <c r="A1613">
        <v>2612</v>
      </c>
      <c r="B1613" s="1">
        <v>45967</v>
      </c>
      <c r="C1613" s="4">
        <f>MONTH(datos_ventas[[#This Row],[Fecha]])</f>
        <v>11</v>
      </c>
      <c r="D1613" s="4">
        <f>WEEKNUM(datos_ventas[[#This Row],[Fecha]],2)</f>
        <v>45</v>
      </c>
      <c r="E1613" t="s">
        <v>26</v>
      </c>
      <c r="F1613" t="s">
        <v>18</v>
      </c>
      <c r="G1613">
        <v>2</v>
      </c>
      <c r="H1613">
        <v>34945</v>
      </c>
      <c r="I1613">
        <v>4485</v>
      </c>
      <c r="J1613" t="s">
        <v>27</v>
      </c>
      <c r="K1613" t="str">
        <f>_xlfn.XLOOKUP(datos_ventas[[#This Row],[Ciudad]],Tabla2[Ciudades],Tabla2[Provincias],"no se encuentra")</f>
        <v>Sevilla</v>
      </c>
      <c r="L1613" t="str">
        <f>_xlfn.XLOOKUP(datos_ventas[[#This Row],[Provincia]],Tabla2[Provincias],Tabla2[Comunidades],"no se encuentra")</f>
        <v>Andalucía</v>
      </c>
      <c r="M1613" t="s">
        <v>19</v>
      </c>
      <c r="N1613">
        <v>2</v>
      </c>
    </row>
    <row r="1614" spans="1:14" x14ac:dyDescent="0.25">
      <c r="A1614">
        <v>2613</v>
      </c>
      <c r="B1614" s="1">
        <v>45760</v>
      </c>
      <c r="C1614" s="4">
        <f>MONTH(datos_ventas[[#This Row],[Fecha]])</f>
        <v>4</v>
      </c>
      <c r="D1614" s="4">
        <f>WEEKNUM(datos_ventas[[#This Row],[Fecha]],2)</f>
        <v>15</v>
      </c>
      <c r="E1614" t="s">
        <v>26</v>
      </c>
      <c r="F1614" t="s">
        <v>18</v>
      </c>
      <c r="G1614">
        <v>3</v>
      </c>
      <c r="H1614">
        <v>86432</v>
      </c>
      <c r="I1614">
        <v>1407</v>
      </c>
      <c r="J1614" t="s">
        <v>14</v>
      </c>
      <c r="K1614" t="str">
        <f>_xlfn.XLOOKUP(datos_ventas[[#This Row],[Ciudad]],Tabla2[Ciudades],Tabla2[Provincias],"no se encuentra")</f>
        <v>Madrid</v>
      </c>
      <c r="L1614" t="str">
        <f>_xlfn.XLOOKUP(datos_ventas[[#This Row],[Provincia]],Tabla2[Provincias],Tabla2[Comunidades],"no se encuentra")</f>
        <v>Comunidad de Madrid</v>
      </c>
      <c r="M1614" t="s">
        <v>19</v>
      </c>
      <c r="N1614">
        <v>3</v>
      </c>
    </row>
    <row r="1615" spans="1:14" x14ac:dyDescent="0.25">
      <c r="A1615">
        <v>2614</v>
      </c>
      <c r="B1615" s="1">
        <v>45833</v>
      </c>
      <c r="C1615" s="4">
        <f>MONTH(datos_ventas[[#This Row],[Fecha]])</f>
        <v>6</v>
      </c>
      <c r="D1615" s="4">
        <f>WEEKNUM(datos_ventas[[#This Row],[Fecha]],2)</f>
        <v>26</v>
      </c>
      <c r="E1615" t="s">
        <v>26</v>
      </c>
      <c r="F1615" t="s">
        <v>18</v>
      </c>
      <c r="G1615">
        <v>3</v>
      </c>
      <c r="H1615">
        <v>69914</v>
      </c>
      <c r="I1615">
        <v>1678</v>
      </c>
      <c r="J1615" t="s">
        <v>22</v>
      </c>
      <c r="K1615" t="str">
        <f>_xlfn.XLOOKUP(datos_ventas[[#This Row],[Ciudad]],Tabla2[Ciudades],Tabla2[Provincias],"no se encuentra")</f>
        <v>Valencia</v>
      </c>
      <c r="L1615" t="str">
        <f>_xlfn.XLOOKUP(datos_ventas[[#This Row],[Provincia]],Tabla2[Provincias],Tabla2[Comunidades],"no se encuentra")</f>
        <v>Comunidad Valenciana</v>
      </c>
      <c r="M1615" t="s">
        <v>15</v>
      </c>
      <c r="N1615">
        <v>3</v>
      </c>
    </row>
    <row r="1616" spans="1:14" x14ac:dyDescent="0.25">
      <c r="A1616">
        <v>2615</v>
      </c>
      <c r="B1616" s="1">
        <v>45749</v>
      </c>
      <c r="C1616" s="4">
        <f>MONTH(datos_ventas[[#This Row],[Fecha]])</f>
        <v>4</v>
      </c>
      <c r="D1616" s="4">
        <f>WEEKNUM(datos_ventas[[#This Row],[Fecha]],2)</f>
        <v>14</v>
      </c>
      <c r="E1616" t="s">
        <v>23</v>
      </c>
      <c r="F1616" t="s">
        <v>18</v>
      </c>
      <c r="G1616">
        <v>5</v>
      </c>
      <c r="H1616">
        <v>85149</v>
      </c>
      <c r="I1616">
        <v>2107</v>
      </c>
      <c r="J1616" t="s">
        <v>32</v>
      </c>
      <c r="K1616" t="str">
        <f>_xlfn.XLOOKUP(datos_ventas[[#This Row],[Ciudad]],Tabla2[Ciudades],Tabla2[Provincias],"no se encuentra")</f>
        <v>Barcelona</v>
      </c>
      <c r="L1616" t="str">
        <f>_xlfn.XLOOKUP(datos_ventas[[#This Row],[Provincia]],Tabla2[Provincias],Tabla2[Comunidades],"no se encuentra")</f>
        <v>Cataluña</v>
      </c>
      <c r="M1616" t="s">
        <v>13</v>
      </c>
      <c r="N1616">
        <v>3</v>
      </c>
    </row>
    <row r="1617" spans="1:14" x14ac:dyDescent="0.25">
      <c r="A1617">
        <v>2616</v>
      </c>
      <c r="B1617" s="1">
        <v>45881</v>
      </c>
      <c r="C1617" s="4">
        <f>MONTH(datos_ventas[[#This Row],[Fecha]])</f>
        <v>8</v>
      </c>
      <c r="D1617" s="4">
        <f>WEEKNUM(datos_ventas[[#This Row],[Fecha]],2)</f>
        <v>33</v>
      </c>
      <c r="E1617" t="s">
        <v>23</v>
      </c>
      <c r="F1617" t="s">
        <v>18</v>
      </c>
      <c r="G1617">
        <v>3</v>
      </c>
      <c r="H1617">
        <v>36851</v>
      </c>
      <c r="I1617">
        <v>2781</v>
      </c>
      <c r="J1617" t="s">
        <v>27</v>
      </c>
      <c r="K1617" t="str">
        <f>_xlfn.XLOOKUP(datos_ventas[[#This Row],[Ciudad]],Tabla2[Ciudades],Tabla2[Provincias],"no se encuentra")</f>
        <v>Sevilla</v>
      </c>
      <c r="L1617" t="str">
        <f>_xlfn.XLOOKUP(datos_ventas[[#This Row],[Provincia]],Tabla2[Provincias],Tabla2[Comunidades],"no se encuentra")</f>
        <v>Andalucía</v>
      </c>
      <c r="M1617" t="s">
        <v>19</v>
      </c>
      <c r="N1617">
        <v>5</v>
      </c>
    </row>
    <row r="1618" spans="1:14" x14ac:dyDescent="0.25">
      <c r="A1618">
        <v>2617</v>
      </c>
      <c r="B1618" s="1">
        <v>46019</v>
      </c>
      <c r="C1618" s="4">
        <f>MONTH(datos_ventas[[#This Row],[Fecha]])</f>
        <v>12</v>
      </c>
      <c r="D1618" s="4">
        <f>WEEKNUM(datos_ventas[[#This Row],[Fecha]],2)</f>
        <v>52</v>
      </c>
      <c r="E1618" t="s">
        <v>10</v>
      </c>
      <c r="F1618" t="s">
        <v>11</v>
      </c>
      <c r="G1618">
        <v>3</v>
      </c>
      <c r="H1618">
        <v>38781</v>
      </c>
      <c r="I1618">
        <v>267</v>
      </c>
      <c r="J1618" t="s">
        <v>31</v>
      </c>
      <c r="K1618" t="str">
        <f>_xlfn.XLOOKUP(datos_ventas[[#This Row],[Ciudad]],Tabla2[Ciudades],Tabla2[Provincias],"no se encuentra")</f>
        <v>Vizcaya</v>
      </c>
      <c r="L1618" t="str">
        <f>_xlfn.XLOOKUP(datos_ventas[[#This Row],[Provincia]],Tabla2[Provincias],Tabla2[Comunidades],"no se encuentra")</f>
        <v>País Vasco</v>
      </c>
      <c r="M1618" t="s">
        <v>28</v>
      </c>
      <c r="N1618">
        <v>2</v>
      </c>
    </row>
    <row r="1619" spans="1:14" x14ac:dyDescent="0.25">
      <c r="A1619">
        <v>2618</v>
      </c>
      <c r="B1619" s="1">
        <v>45829</v>
      </c>
      <c r="C1619" s="4">
        <f>MONTH(datos_ventas[[#This Row],[Fecha]])</f>
        <v>6</v>
      </c>
      <c r="D1619" s="4">
        <f>WEEKNUM(datos_ventas[[#This Row],[Fecha]],2)</f>
        <v>25</v>
      </c>
      <c r="E1619" t="s">
        <v>20</v>
      </c>
      <c r="F1619" t="s">
        <v>21</v>
      </c>
      <c r="G1619">
        <v>5</v>
      </c>
      <c r="H1619">
        <v>3286</v>
      </c>
      <c r="I1619">
        <v>2207</v>
      </c>
      <c r="J1619" t="s">
        <v>22</v>
      </c>
      <c r="K1619" t="str">
        <f>_xlfn.XLOOKUP(datos_ventas[[#This Row],[Ciudad]],Tabla2[Ciudades],Tabla2[Provincias],"no se encuentra")</f>
        <v>Valencia</v>
      </c>
      <c r="L1619" t="str">
        <f>_xlfn.XLOOKUP(datos_ventas[[#This Row],[Provincia]],Tabla2[Provincias],Tabla2[Comunidades],"no se encuentra")</f>
        <v>Comunidad Valenciana</v>
      </c>
      <c r="M1619" t="s">
        <v>13</v>
      </c>
      <c r="N1619">
        <v>3</v>
      </c>
    </row>
    <row r="1620" spans="1:14" x14ac:dyDescent="0.25">
      <c r="A1620">
        <v>2619</v>
      </c>
      <c r="B1620" s="1">
        <v>46004</v>
      </c>
      <c r="C1620" s="4">
        <f>MONTH(datos_ventas[[#This Row],[Fecha]])</f>
        <v>12</v>
      </c>
      <c r="D1620" s="4">
        <f>WEEKNUM(datos_ventas[[#This Row],[Fecha]],2)</f>
        <v>50</v>
      </c>
      <c r="E1620" t="s">
        <v>24</v>
      </c>
      <c r="F1620" t="s">
        <v>25</v>
      </c>
      <c r="G1620">
        <v>1</v>
      </c>
      <c r="H1620">
        <v>81902</v>
      </c>
      <c r="I1620">
        <v>507</v>
      </c>
      <c r="J1620" t="s">
        <v>12</v>
      </c>
      <c r="K1620" t="str">
        <f>_xlfn.XLOOKUP(datos_ventas[[#This Row],[Ciudad]],Tabla2[Ciudades],Tabla2[Provincias],"no se encuentra")</f>
        <v>Málaga</v>
      </c>
      <c r="L1620" t="str">
        <f>_xlfn.XLOOKUP(datos_ventas[[#This Row],[Provincia]],Tabla2[Provincias],Tabla2[Comunidades],"no se encuentra")</f>
        <v>Andalucía</v>
      </c>
      <c r="M1620" t="s">
        <v>19</v>
      </c>
      <c r="N1620">
        <v>5</v>
      </c>
    </row>
    <row r="1621" spans="1:14" x14ac:dyDescent="0.25">
      <c r="A1621">
        <v>2620</v>
      </c>
      <c r="B1621" s="1">
        <v>45976</v>
      </c>
      <c r="C1621" s="4">
        <f>MONTH(datos_ventas[[#This Row],[Fecha]])</f>
        <v>11</v>
      </c>
      <c r="D1621" s="4">
        <f>WEEKNUM(datos_ventas[[#This Row],[Fecha]],2)</f>
        <v>46</v>
      </c>
      <c r="E1621" t="s">
        <v>20</v>
      </c>
      <c r="F1621" t="s">
        <v>21</v>
      </c>
      <c r="G1621">
        <v>4</v>
      </c>
      <c r="H1621">
        <v>10247</v>
      </c>
      <c r="I1621">
        <v>4461</v>
      </c>
      <c r="J1621" t="s">
        <v>31</v>
      </c>
      <c r="K1621" t="str">
        <f>_xlfn.XLOOKUP(datos_ventas[[#This Row],[Ciudad]],Tabla2[Ciudades],Tabla2[Provincias],"no se encuentra")</f>
        <v>Vizcaya</v>
      </c>
      <c r="L1621" t="str">
        <f>_xlfn.XLOOKUP(datos_ventas[[#This Row],[Provincia]],Tabla2[Provincias],Tabla2[Comunidades],"no se encuentra")</f>
        <v>País Vasco</v>
      </c>
      <c r="M1621" t="s">
        <v>13</v>
      </c>
      <c r="N1621">
        <v>5</v>
      </c>
    </row>
    <row r="1622" spans="1:14" x14ac:dyDescent="0.25">
      <c r="A1622">
        <v>2621</v>
      </c>
      <c r="B1622" s="1">
        <v>45890</v>
      </c>
      <c r="C1622" s="4">
        <f>MONTH(datos_ventas[[#This Row],[Fecha]])</f>
        <v>8</v>
      </c>
      <c r="D1622" s="4">
        <f>WEEKNUM(datos_ventas[[#This Row],[Fecha]],2)</f>
        <v>34</v>
      </c>
      <c r="E1622" t="s">
        <v>16</v>
      </c>
      <c r="F1622" t="s">
        <v>11</v>
      </c>
      <c r="G1622">
        <v>4</v>
      </c>
      <c r="H1622">
        <v>71883</v>
      </c>
      <c r="I1622">
        <v>3874</v>
      </c>
      <c r="J1622" t="s">
        <v>14</v>
      </c>
      <c r="K1622" t="str">
        <f>_xlfn.XLOOKUP(datos_ventas[[#This Row],[Ciudad]],Tabla2[Ciudades],Tabla2[Provincias],"no se encuentra")</f>
        <v>Madrid</v>
      </c>
      <c r="L1622" t="str">
        <f>_xlfn.XLOOKUP(datos_ventas[[#This Row],[Provincia]],Tabla2[Provincias],Tabla2[Comunidades],"no se encuentra")</f>
        <v>Comunidad de Madrid</v>
      </c>
      <c r="M1622" t="s">
        <v>15</v>
      </c>
      <c r="N1622">
        <v>5</v>
      </c>
    </row>
    <row r="1623" spans="1:14" x14ac:dyDescent="0.25">
      <c r="A1623">
        <v>2622</v>
      </c>
      <c r="B1623" s="1">
        <v>45834</v>
      </c>
      <c r="C1623" s="4">
        <f>MONTH(datos_ventas[[#This Row],[Fecha]])</f>
        <v>6</v>
      </c>
      <c r="D1623" s="4">
        <f>WEEKNUM(datos_ventas[[#This Row],[Fecha]],2)</f>
        <v>26</v>
      </c>
      <c r="E1623" t="s">
        <v>10</v>
      </c>
      <c r="F1623" t="s">
        <v>11</v>
      </c>
      <c r="G1623">
        <v>4</v>
      </c>
      <c r="H1623">
        <v>103822</v>
      </c>
      <c r="I1623">
        <v>326</v>
      </c>
      <c r="J1623" t="s">
        <v>27</v>
      </c>
      <c r="K1623" t="str">
        <f>_xlfn.XLOOKUP(datos_ventas[[#This Row],[Ciudad]],Tabla2[Ciudades],Tabla2[Provincias],"no se encuentra")</f>
        <v>Sevilla</v>
      </c>
      <c r="L1623" t="str">
        <f>_xlfn.XLOOKUP(datos_ventas[[#This Row],[Provincia]],Tabla2[Provincias],Tabla2[Comunidades],"no se encuentra")</f>
        <v>Andalucía</v>
      </c>
      <c r="M1623" t="s">
        <v>15</v>
      </c>
      <c r="N1623">
        <v>4</v>
      </c>
    </row>
    <row r="1624" spans="1:14" x14ac:dyDescent="0.25">
      <c r="A1624">
        <v>2623</v>
      </c>
      <c r="B1624" s="1">
        <v>46015</v>
      </c>
      <c r="C1624" s="4">
        <f>MONTH(datos_ventas[[#This Row],[Fecha]])</f>
        <v>12</v>
      </c>
      <c r="D1624" s="4">
        <f>WEEKNUM(datos_ventas[[#This Row],[Fecha]],2)</f>
        <v>52</v>
      </c>
      <c r="E1624" t="s">
        <v>20</v>
      </c>
      <c r="F1624" t="s">
        <v>21</v>
      </c>
      <c r="G1624">
        <v>5</v>
      </c>
      <c r="H1624">
        <v>22672</v>
      </c>
      <c r="I1624">
        <v>3091</v>
      </c>
      <c r="J1624" t="s">
        <v>14</v>
      </c>
      <c r="K1624" t="str">
        <f>_xlfn.XLOOKUP(datos_ventas[[#This Row],[Ciudad]],Tabla2[Ciudades],Tabla2[Provincias],"no se encuentra")</f>
        <v>Madrid</v>
      </c>
      <c r="L1624" t="str">
        <f>_xlfn.XLOOKUP(datos_ventas[[#This Row],[Provincia]],Tabla2[Provincias],Tabla2[Comunidades],"no se encuentra")</f>
        <v>Comunidad de Madrid</v>
      </c>
      <c r="M1624" t="s">
        <v>28</v>
      </c>
      <c r="N1624">
        <v>5</v>
      </c>
    </row>
    <row r="1625" spans="1:14" x14ac:dyDescent="0.25">
      <c r="A1625">
        <v>2624</v>
      </c>
      <c r="B1625" s="1">
        <v>45869</v>
      </c>
      <c r="C1625" s="4">
        <f>MONTH(datos_ventas[[#This Row],[Fecha]])</f>
        <v>7</v>
      </c>
      <c r="D1625" s="4">
        <f>WEEKNUM(datos_ventas[[#This Row],[Fecha]],2)</f>
        <v>31</v>
      </c>
      <c r="E1625" t="s">
        <v>20</v>
      </c>
      <c r="F1625" t="s">
        <v>21</v>
      </c>
      <c r="G1625">
        <v>1</v>
      </c>
      <c r="H1625">
        <v>97679</v>
      </c>
      <c r="I1625">
        <v>4503</v>
      </c>
      <c r="J1625" t="s">
        <v>32</v>
      </c>
      <c r="K1625" t="str">
        <f>_xlfn.XLOOKUP(datos_ventas[[#This Row],[Ciudad]],Tabla2[Ciudades],Tabla2[Provincias],"no se encuentra")</f>
        <v>Barcelona</v>
      </c>
      <c r="L1625" t="str">
        <f>_xlfn.XLOOKUP(datos_ventas[[#This Row],[Provincia]],Tabla2[Provincias],Tabla2[Comunidades],"no se encuentra")</f>
        <v>Cataluña</v>
      </c>
      <c r="M1625" t="s">
        <v>19</v>
      </c>
      <c r="N1625">
        <v>3</v>
      </c>
    </row>
    <row r="1626" spans="1:14" x14ac:dyDescent="0.25">
      <c r="A1626">
        <v>2625</v>
      </c>
      <c r="B1626" s="1">
        <v>45838</v>
      </c>
      <c r="C1626" s="4">
        <f>MONTH(datos_ventas[[#This Row],[Fecha]])</f>
        <v>6</v>
      </c>
      <c r="D1626" s="4">
        <f>WEEKNUM(datos_ventas[[#This Row],[Fecha]],2)</f>
        <v>27</v>
      </c>
      <c r="E1626" t="s">
        <v>29</v>
      </c>
      <c r="F1626" t="s">
        <v>30</v>
      </c>
      <c r="G1626">
        <v>2</v>
      </c>
      <c r="H1626">
        <v>28206</v>
      </c>
      <c r="I1626">
        <v>4929</v>
      </c>
      <c r="J1626" t="s">
        <v>14</v>
      </c>
      <c r="K1626" t="str">
        <f>_xlfn.XLOOKUP(datos_ventas[[#This Row],[Ciudad]],Tabla2[Ciudades],Tabla2[Provincias],"no se encuentra")</f>
        <v>Madrid</v>
      </c>
      <c r="L1626" t="str">
        <f>_xlfn.XLOOKUP(datos_ventas[[#This Row],[Provincia]],Tabla2[Provincias],Tabla2[Comunidades],"no se encuentra")</f>
        <v>Comunidad de Madrid</v>
      </c>
      <c r="M1626" t="s">
        <v>28</v>
      </c>
      <c r="N1626">
        <v>3</v>
      </c>
    </row>
    <row r="1627" spans="1:14" x14ac:dyDescent="0.25">
      <c r="A1627">
        <v>2626</v>
      </c>
      <c r="B1627" s="1">
        <v>45810</v>
      </c>
      <c r="C1627" s="4">
        <f>MONTH(datos_ventas[[#This Row],[Fecha]])</f>
        <v>6</v>
      </c>
      <c r="D1627" s="4">
        <f>WEEKNUM(datos_ventas[[#This Row],[Fecha]],2)</f>
        <v>23</v>
      </c>
      <c r="E1627" t="s">
        <v>29</v>
      </c>
      <c r="F1627" t="s">
        <v>30</v>
      </c>
      <c r="G1627">
        <v>2</v>
      </c>
      <c r="H1627">
        <v>105303</v>
      </c>
      <c r="I1627">
        <v>4666</v>
      </c>
      <c r="J1627" t="s">
        <v>14</v>
      </c>
      <c r="K1627" t="str">
        <f>_xlfn.XLOOKUP(datos_ventas[[#This Row],[Ciudad]],Tabla2[Ciudades],Tabla2[Provincias],"no se encuentra")</f>
        <v>Madrid</v>
      </c>
      <c r="L1627" t="str">
        <f>_xlfn.XLOOKUP(datos_ventas[[#This Row],[Provincia]],Tabla2[Provincias],Tabla2[Comunidades],"no se encuentra")</f>
        <v>Comunidad de Madrid</v>
      </c>
      <c r="M1627" t="s">
        <v>15</v>
      </c>
      <c r="N1627">
        <v>4</v>
      </c>
    </row>
    <row r="1628" spans="1:14" x14ac:dyDescent="0.25">
      <c r="A1628">
        <v>2627</v>
      </c>
      <c r="B1628" s="1">
        <v>45951</v>
      </c>
      <c r="C1628" s="4">
        <f>MONTH(datos_ventas[[#This Row],[Fecha]])</f>
        <v>10</v>
      </c>
      <c r="D1628" s="4">
        <f>WEEKNUM(datos_ventas[[#This Row],[Fecha]],2)</f>
        <v>43</v>
      </c>
      <c r="E1628" t="s">
        <v>20</v>
      </c>
      <c r="F1628" t="s">
        <v>21</v>
      </c>
      <c r="G1628">
        <v>2</v>
      </c>
      <c r="H1628">
        <v>71915</v>
      </c>
      <c r="I1628">
        <v>3122</v>
      </c>
      <c r="J1628" t="s">
        <v>12</v>
      </c>
      <c r="K1628" t="str">
        <f>_xlfn.XLOOKUP(datos_ventas[[#This Row],[Ciudad]],Tabla2[Ciudades],Tabla2[Provincias],"no se encuentra")</f>
        <v>Málaga</v>
      </c>
      <c r="L1628" t="str">
        <f>_xlfn.XLOOKUP(datos_ventas[[#This Row],[Provincia]],Tabla2[Provincias],Tabla2[Comunidades],"no se encuentra")</f>
        <v>Andalucía</v>
      </c>
      <c r="M1628" t="s">
        <v>13</v>
      </c>
      <c r="N1628">
        <v>4</v>
      </c>
    </row>
    <row r="1629" spans="1:14" x14ac:dyDescent="0.25">
      <c r="A1629">
        <v>2628</v>
      </c>
      <c r="B1629" s="1">
        <v>45736</v>
      </c>
      <c r="C1629" s="4">
        <f>MONTH(datos_ventas[[#This Row],[Fecha]])</f>
        <v>3</v>
      </c>
      <c r="D1629" s="4">
        <f>WEEKNUM(datos_ventas[[#This Row],[Fecha]],2)</f>
        <v>12</v>
      </c>
      <c r="E1629" t="s">
        <v>24</v>
      </c>
      <c r="F1629" t="s">
        <v>25</v>
      </c>
      <c r="G1629">
        <v>1</v>
      </c>
      <c r="H1629">
        <v>1772</v>
      </c>
      <c r="I1629">
        <v>1929</v>
      </c>
      <c r="J1629" t="s">
        <v>12</v>
      </c>
      <c r="K1629" t="str">
        <f>_xlfn.XLOOKUP(datos_ventas[[#This Row],[Ciudad]],Tabla2[Ciudades],Tabla2[Provincias],"no se encuentra")</f>
        <v>Málaga</v>
      </c>
      <c r="L1629" t="str">
        <f>_xlfn.XLOOKUP(datos_ventas[[#This Row],[Provincia]],Tabla2[Provincias],Tabla2[Comunidades],"no se encuentra")</f>
        <v>Andalucía</v>
      </c>
      <c r="M1629" t="s">
        <v>15</v>
      </c>
      <c r="N1629">
        <v>4</v>
      </c>
    </row>
    <row r="1630" spans="1:14" x14ac:dyDescent="0.25">
      <c r="A1630">
        <v>2629</v>
      </c>
      <c r="B1630" s="1">
        <v>45924</v>
      </c>
      <c r="C1630" s="4">
        <f>MONTH(datos_ventas[[#This Row],[Fecha]])</f>
        <v>9</v>
      </c>
      <c r="D1630" s="4">
        <f>WEEKNUM(datos_ventas[[#This Row],[Fecha]],2)</f>
        <v>39</v>
      </c>
      <c r="E1630" t="s">
        <v>26</v>
      </c>
      <c r="F1630" t="s">
        <v>18</v>
      </c>
      <c r="G1630">
        <v>1</v>
      </c>
      <c r="H1630">
        <v>7889</v>
      </c>
      <c r="I1630">
        <v>2645</v>
      </c>
      <c r="J1630" t="s">
        <v>14</v>
      </c>
      <c r="K1630" t="str">
        <f>_xlfn.XLOOKUP(datos_ventas[[#This Row],[Ciudad]],Tabla2[Ciudades],Tabla2[Provincias],"no se encuentra")</f>
        <v>Madrid</v>
      </c>
      <c r="L1630" t="str">
        <f>_xlfn.XLOOKUP(datos_ventas[[#This Row],[Provincia]],Tabla2[Provincias],Tabla2[Comunidades],"no se encuentra")</f>
        <v>Comunidad de Madrid</v>
      </c>
      <c r="M1630" t="s">
        <v>28</v>
      </c>
      <c r="N1630">
        <v>2</v>
      </c>
    </row>
    <row r="1631" spans="1:14" x14ac:dyDescent="0.25">
      <c r="A1631">
        <v>2630</v>
      </c>
      <c r="B1631" s="1">
        <v>45730</v>
      </c>
      <c r="C1631" s="4">
        <f>MONTH(datos_ventas[[#This Row],[Fecha]])</f>
        <v>3</v>
      </c>
      <c r="D1631" s="4">
        <f>WEEKNUM(datos_ventas[[#This Row],[Fecha]],2)</f>
        <v>11</v>
      </c>
      <c r="E1631" t="s">
        <v>10</v>
      </c>
      <c r="F1631" t="s">
        <v>11</v>
      </c>
      <c r="G1631">
        <v>5</v>
      </c>
      <c r="H1631">
        <v>53499</v>
      </c>
      <c r="I1631">
        <v>2435</v>
      </c>
      <c r="J1631" t="s">
        <v>27</v>
      </c>
      <c r="K1631" t="str">
        <f>_xlfn.XLOOKUP(datos_ventas[[#This Row],[Ciudad]],Tabla2[Ciudades],Tabla2[Provincias],"no se encuentra")</f>
        <v>Sevilla</v>
      </c>
      <c r="L1631" t="str">
        <f>_xlfn.XLOOKUP(datos_ventas[[#This Row],[Provincia]],Tabla2[Provincias],Tabla2[Comunidades],"no se encuentra")</f>
        <v>Andalucía</v>
      </c>
      <c r="M1631" t="s">
        <v>19</v>
      </c>
      <c r="N1631">
        <v>4</v>
      </c>
    </row>
    <row r="1632" spans="1:14" x14ac:dyDescent="0.25">
      <c r="A1632">
        <v>2631</v>
      </c>
      <c r="B1632" s="1">
        <v>45713</v>
      </c>
      <c r="C1632" s="4">
        <f>MONTH(datos_ventas[[#This Row],[Fecha]])</f>
        <v>2</v>
      </c>
      <c r="D1632" s="4">
        <f>WEEKNUM(datos_ventas[[#This Row],[Fecha]],2)</f>
        <v>9</v>
      </c>
      <c r="E1632" t="s">
        <v>29</v>
      </c>
      <c r="F1632" t="s">
        <v>30</v>
      </c>
      <c r="G1632">
        <v>3</v>
      </c>
      <c r="H1632">
        <v>27942</v>
      </c>
      <c r="I1632">
        <v>3156</v>
      </c>
      <c r="J1632" t="s">
        <v>12</v>
      </c>
      <c r="K1632" t="str">
        <f>_xlfn.XLOOKUP(datos_ventas[[#This Row],[Ciudad]],Tabla2[Ciudades],Tabla2[Provincias],"no se encuentra")</f>
        <v>Málaga</v>
      </c>
      <c r="L1632" t="str">
        <f>_xlfn.XLOOKUP(datos_ventas[[#This Row],[Provincia]],Tabla2[Provincias],Tabla2[Comunidades],"no se encuentra")</f>
        <v>Andalucía</v>
      </c>
      <c r="M1632" t="s">
        <v>15</v>
      </c>
      <c r="N1632">
        <v>2</v>
      </c>
    </row>
    <row r="1633" spans="1:14" x14ac:dyDescent="0.25">
      <c r="A1633">
        <v>2632</v>
      </c>
      <c r="B1633" s="1">
        <v>45741</v>
      </c>
      <c r="C1633" s="4">
        <f>MONTH(datos_ventas[[#This Row],[Fecha]])</f>
        <v>3</v>
      </c>
      <c r="D1633" s="4">
        <f>WEEKNUM(datos_ventas[[#This Row],[Fecha]],2)</f>
        <v>13</v>
      </c>
      <c r="E1633" t="s">
        <v>24</v>
      </c>
      <c r="F1633" t="s">
        <v>25</v>
      </c>
      <c r="G1633">
        <v>2</v>
      </c>
      <c r="H1633">
        <v>11482</v>
      </c>
      <c r="I1633">
        <v>412</v>
      </c>
      <c r="J1633" t="s">
        <v>31</v>
      </c>
      <c r="K1633" t="str">
        <f>_xlfn.XLOOKUP(datos_ventas[[#This Row],[Ciudad]],Tabla2[Ciudades],Tabla2[Provincias],"no se encuentra")</f>
        <v>Vizcaya</v>
      </c>
      <c r="L1633" t="str">
        <f>_xlfn.XLOOKUP(datos_ventas[[#This Row],[Provincia]],Tabla2[Provincias],Tabla2[Comunidades],"no se encuentra")</f>
        <v>País Vasco</v>
      </c>
      <c r="M1633" t="s">
        <v>13</v>
      </c>
      <c r="N1633">
        <v>3</v>
      </c>
    </row>
    <row r="1634" spans="1:14" x14ac:dyDescent="0.25">
      <c r="A1634">
        <v>2633</v>
      </c>
      <c r="B1634" s="1">
        <v>45904</v>
      </c>
      <c r="C1634" s="4">
        <f>MONTH(datos_ventas[[#This Row],[Fecha]])</f>
        <v>9</v>
      </c>
      <c r="D1634" s="4">
        <f>WEEKNUM(datos_ventas[[#This Row],[Fecha]],2)</f>
        <v>36</v>
      </c>
      <c r="E1634" t="s">
        <v>24</v>
      </c>
      <c r="F1634" t="s">
        <v>25</v>
      </c>
      <c r="G1634">
        <v>1</v>
      </c>
      <c r="H1634">
        <v>72249</v>
      </c>
      <c r="I1634">
        <v>3826</v>
      </c>
      <c r="J1634" t="s">
        <v>14</v>
      </c>
      <c r="K1634" t="str">
        <f>_xlfn.XLOOKUP(datos_ventas[[#This Row],[Ciudad]],Tabla2[Ciudades],Tabla2[Provincias],"no se encuentra")</f>
        <v>Madrid</v>
      </c>
      <c r="L1634" t="str">
        <f>_xlfn.XLOOKUP(datos_ventas[[#This Row],[Provincia]],Tabla2[Provincias],Tabla2[Comunidades],"no se encuentra")</f>
        <v>Comunidad de Madrid</v>
      </c>
      <c r="M1634" t="s">
        <v>19</v>
      </c>
      <c r="N1634">
        <v>5</v>
      </c>
    </row>
    <row r="1635" spans="1:14" x14ac:dyDescent="0.25">
      <c r="A1635">
        <v>2634</v>
      </c>
      <c r="B1635" s="1">
        <v>45991</v>
      </c>
      <c r="C1635" s="4">
        <f>MONTH(datos_ventas[[#This Row],[Fecha]])</f>
        <v>11</v>
      </c>
      <c r="D1635" s="4">
        <f>WEEKNUM(datos_ventas[[#This Row],[Fecha]],2)</f>
        <v>48</v>
      </c>
      <c r="E1635" t="s">
        <v>10</v>
      </c>
      <c r="F1635" t="s">
        <v>11</v>
      </c>
      <c r="G1635">
        <v>1</v>
      </c>
      <c r="H1635">
        <v>112777</v>
      </c>
      <c r="I1635">
        <v>1496</v>
      </c>
      <c r="J1635" t="s">
        <v>32</v>
      </c>
      <c r="K1635" t="str">
        <f>_xlfn.XLOOKUP(datos_ventas[[#This Row],[Ciudad]],Tabla2[Ciudades],Tabla2[Provincias],"no se encuentra")</f>
        <v>Barcelona</v>
      </c>
      <c r="L1635" t="str">
        <f>_xlfn.XLOOKUP(datos_ventas[[#This Row],[Provincia]],Tabla2[Provincias],Tabla2[Comunidades],"no se encuentra")</f>
        <v>Cataluña</v>
      </c>
      <c r="M1635" t="s">
        <v>28</v>
      </c>
      <c r="N1635">
        <v>5</v>
      </c>
    </row>
    <row r="1636" spans="1:14" x14ac:dyDescent="0.25">
      <c r="A1636">
        <v>2635</v>
      </c>
      <c r="B1636" s="1">
        <v>45856</v>
      </c>
      <c r="C1636" s="4">
        <f>MONTH(datos_ventas[[#This Row],[Fecha]])</f>
        <v>7</v>
      </c>
      <c r="D1636" s="4">
        <f>WEEKNUM(datos_ventas[[#This Row],[Fecha]],2)</f>
        <v>29</v>
      </c>
      <c r="E1636" t="s">
        <v>10</v>
      </c>
      <c r="F1636" t="s">
        <v>11</v>
      </c>
      <c r="G1636">
        <v>4</v>
      </c>
      <c r="H1636">
        <v>74214</v>
      </c>
      <c r="I1636">
        <v>2813</v>
      </c>
      <c r="J1636" t="s">
        <v>31</v>
      </c>
      <c r="K1636" t="str">
        <f>_xlfn.XLOOKUP(datos_ventas[[#This Row],[Ciudad]],Tabla2[Ciudades],Tabla2[Provincias],"no se encuentra")</f>
        <v>Vizcaya</v>
      </c>
      <c r="L1636" t="str">
        <f>_xlfn.XLOOKUP(datos_ventas[[#This Row],[Provincia]],Tabla2[Provincias],Tabla2[Comunidades],"no se encuentra")</f>
        <v>País Vasco</v>
      </c>
      <c r="M1636" t="s">
        <v>13</v>
      </c>
      <c r="N1636">
        <v>5</v>
      </c>
    </row>
    <row r="1637" spans="1:14" x14ac:dyDescent="0.25">
      <c r="A1637">
        <v>2636</v>
      </c>
      <c r="B1637" s="1">
        <v>45798</v>
      </c>
      <c r="C1637" s="4">
        <f>MONTH(datos_ventas[[#This Row],[Fecha]])</f>
        <v>5</v>
      </c>
      <c r="D1637" s="4">
        <f>WEEKNUM(datos_ventas[[#This Row],[Fecha]],2)</f>
        <v>21</v>
      </c>
      <c r="E1637" t="s">
        <v>26</v>
      </c>
      <c r="F1637" t="s">
        <v>18</v>
      </c>
      <c r="G1637">
        <v>3</v>
      </c>
      <c r="H1637">
        <v>36305</v>
      </c>
      <c r="I1637">
        <v>1783</v>
      </c>
      <c r="J1637" t="s">
        <v>27</v>
      </c>
      <c r="K1637" t="str">
        <f>_xlfn.XLOOKUP(datos_ventas[[#This Row],[Ciudad]],Tabla2[Ciudades],Tabla2[Provincias],"no se encuentra")</f>
        <v>Sevilla</v>
      </c>
      <c r="L1637" t="str">
        <f>_xlfn.XLOOKUP(datos_ventas[[#This Row],[Provincia]],Tabla2[Provincias],Tabla2[Comunidades],"no se encuentra")</f>
        <v>Andalucía</v>
      </c>
      <c r="M1637" t="s">
        <v>19</v>
      </c>
      <c r="N1637">
        <v>3</v>
      </c>
    </row>
    <row r="1638" spans="1:14" x14ac:dyDescent="0.25">
      <c r="A1638">
        <v>2637</v>
      </c>
      <c r="B1638" s="1">
        <v>45768</v>
      </c>
      <c r="C1638" s="4">
        <f>MONTH(datos_ventas[[#This Row],[Fecha]])</f>
        <v>4</v>
      </c>
      <c r="D1638" s="4">
        <f>WEEKNUM(datos_ventas[[#This Row],[Fecha]],2)</f>
        <v>17</v>
      </c>
      <c r="E1638" t="s">
        <v>29</v>
      </c>
      <c r="F1638" t="s">
        <v>30</v>
      </c>
      <c r="G1638">
        <v>4</v>
      </c>
      <c r="H1638">
        <v>119253</v>
      </c>
      <c r="I1638">
        <v>1753</v>
      </c>
      <c r="J1638" t="s">
        <v>27</v>
      </c>
      <c r="K1638" t="str">
        <f>_xlfn.XLOOKUP(datos_ventas[[#This Row],[Ciudad]],Tabla2[Ciudades],Tabla2[Provincias],"no se encuentra")</f>
        <v>Sevilla</v>
      </c>
      <c r="L1638" t="str">
        <f>_xlfn.XLOOKUP(datos_ventas[[#This Row],[Provincia]],Tabla2[Provincias],Tabla2[Comunidades],"no se encuentra")</f>
        <v>Andalucía</v>
      </c>
      <c r="M1638" t="s">
        <v>15</v>
      </c>
      <c r="N1638">
        <v>2</v>
      </c>
    </row>
    <row r="1639" spans="1:14" x14ac:dyDescent="0.25">
      <c r="A1639">
        <v>2638</v>
      </c>
      <c r="B1639" s="1">
        <v>45719</v>
      </c>
      <c r="C1639" s="4">
        <f>MONTH(datos_ventas[[#This Row],[Fecha]])</f>
        <v>3</v>
      </c>
      <c r="D1639" s="4">
        <f>WEEKNUM(datos_ventas[[#This Row],[Fecha]],2)</f>
        <v>10</v>
      </c>
      <c r="E1639" t="s">
        <v>23</v>
      </c>
      <c r="F1639" t="s">
        <v>18</v>
      </c>
      <c r="G1639">
        <v>5</v>
      </c>
      <c r="H1639">
        <v>20378</v>
      </c>
      <c r="I1639">
        <v>4133</v>
      </c>
      <c r="J1639" t="s">
        <v>22</v>
      </c>
      <c r="K1639" t="str">
        <f>_xlfn.XLOOKUP(datos_ventas[[#This Row],[Ciudad]],Tabla2[Ciudades],Tabla2[Provincias],"no se encuentra")</f>
        <v>Valencia</v>
      </c>
      <c r="L1639" t="str">
        <f>_xlfn.XLOOKUP(datos_ventas[[#This Row],[Provincia]],Tabla2[Provincias],Tabla2[Comunidades],"no se encuentra")</f>
        <v>Comunidad Valenciana</v>
      </c>
      <c r="M1639" t="s">
        <v>13</v>
      </c>
      <c r="N1639">
        <v>3</v>
      </c>
    </row>
    <row r="1640" spans="1:14" x14ac:dyDescent="0.25">
      <c r="A1640">
        <v>2639</v>
      </c>
      <c r="B1640" s="1">
        <v>45714</v>
      </c>
      <c r="C1640" s="4">
        <f>MONTH(datos_ventas[[#This Row],[Fecha]])</f>
        <v>2</v>
      </c>
      <c r="D1640" s="4">
        <f>WEEKNUM(datos_ventas[[#This Row],[Fecha]],2)</f>
        <v>9</v>
      </c>
      <c r="E1640" t="s">
        <v>16</v>
      </c>
      <c r="F1640" t="s">
        <v>11</v>
      </c>
      <c r="G1640">
        <v>2</v>
      </c>
      <c r="H1640">
        <v>8029</v>
      </c>
      <c r="I1640">
        <v>679</v>
      </c>
      <c r="J1640" t="s">
        <v>32</v>
      </c>
      <c r="K1640" t="str">
        <f>_xlfn.XLOOKUP(datos_ventas[[#This Row],[Ciudad]],Tabla2[Ciudades],Tabla2[Provincias],"no se encuentra")</f>
        <v>Barcelona</v>
      </c>
      <c r="L1640" t="str">
        <f>_xlfn.XLOOKUP(datos_ventas[[#This Row],[Provincia]],Tabla2[Provincias],Tabla2[Comunidades],"no se encuentra")</f>
        <v>Cataluña</v>
      </c>
      <c r="M1640" t="s">
        <v>13</v>
      </c>
      <c r="N1640">
        <v>1</v>
      </c>
    </row>
    <row r="1641" spans="1:14" x14ac:dyDescent="0.25">
      <c r="A1641">
        <v>2640</v>
      </c>
      <c r="B1641" s="1">
        <v>45984</v>
      </c>
      <c r="C1641" s="4">
        <f>MONTH(datos_ventas[[#This Row],[Fecha]])</f>
        <v>11</v>
      </c>
      <c r="D1641" s="4">
        <f>WEEKNUM(datos_ventas[[#This Row],[Fecha]],2)</f>
        <v>47</v>
      </c>
      <c r="E1641" t="s">
        <v>23</v>
      </c>
      <c r="F1641" t="s">
        <v>18</v>
      </c>
      <c r="G1641">
        <v>1</v>
      </c>
      <c r="H1641">
        <v>119422</v>
      </c>
      <c r="I1641">
        <v>4418</v>
      </c>
      <c r="J1641" t="s">
        <v>27</v>
      </c>
      <c r="K1641" t="str">
        <f>_xlfn.XLOOKUP(datos_ventas[[#This Row],[Ciudad]],Tabla2[Ciudades],Tabla2[Provincias],"no se encuentra")</f>
        <v>Sevilla</v>
      </c>
      <c r="L1641" t="str">
        <f>_xlfn.XLOOKUP(datos_ventas[[#This Row],[Provincia]],Tabla2[Provincias],Tabla2[Comunidades],"no se encuentra")</f>
        <v>Andalucía</v>
      </c>
      <c r="M1641" t="s">
        <v>28</v>
      </c>
      <c r="N1641">
        <v>3</v>
      </c>
    </row>
    <row r="1642" spans="1:14" x14ac:dyDescent="0.25">
      <c r="A1642">
        <v>2641</v>
      </c>
      <c r="B1642" s="1">
        <v>46001</v>
      </c>
      <c r="C1642" s="4">
        <f>MONTH(datos_ventas[[#This Row],[Fecha]])</f>
        <v>12</v>
      </c>
      <c r="D1642" s="4">
        <f>WEEKNUM(datos_ventas[[#This Row],[Fecha]],2)</f>
        <v>50</v>
      </c>
      <c r="E1642" t="s">
        <v>23</v>
      </c>
      <c r="F1642" t="s">
        <v>18</v>
      </c>
      <c r="G1642">
        <v>4</v>
      </c>
      <c r="H1642">
        <v>12494</v>
      </c>
      <c r="I1642">
        <v>3676</v>
      </c>
      <c r="J1642" t="s">
        <v>22</v>
      </c>
      <c r="K1642" t="str">
        <f>_xlfn.XLOOKUP(datos_ventas[[#This Row],[Ciudad]],Tabla2[Ciudades],Tabla2[Provincias],"no se encuentra")</f>
        <v>Valencia</v>
      </c>
      <c r="L1642" t="str">
        <f>_xlfn.XLOOKUP(datos_ventas[[#This Row],[Provincia]],Tabla2[Provincias],Tabla2[Comunidades],"no se encuentra")</f>
        <v>Comunidad Valenciana</v>
      </c>
      <c r="M1642" t="s">
        <v>13</v>
      </c>
      <c r="N1642">
        <v>4</v>
      </c>
    </row>
    <row r="1643" spans="1:14" x14ac:dyDescent="0.25">
      <c r="A1643">
        <v>2642</v>
      </c>
      <c r="B1643" s="1">
        <v>45843</v>
      </c>
      <c r="C1643" s="4">
        <f>MONTH(datos_ventas[[#This Row],[Fecha]])</f>
        <v>7</v>
      </c>
      <c r="D1643" s="4">
        <f>WEEKNUM(datos_ventas[[#This Row],[Fecha]],2)</f>
        <v>27</v>
      </c>
      <c r="E1643" t="s">
        <v>16</v>
      </c>
      <c r="F1643" t="s">
        <v>11</v>
      </c>
      <c r="G1643">
        <v>1</v>
      </c>
      <c r="H1643">
        <v>110697</v>
      </c>
      <c r="I1643">
        <v>1471</v>
      </c>
      <c r="J1643" t="s">
        <v>14</v>
      </c>
      <c r="K1643" t="str">
        <f>_xlfn.XLOOKUP(datos_ventas[[#This Row],[Ciudad]],Tabla2[Ciudades],Tabla2[Provincias],"no se encuentra")</f>
        <v>Madrid</v>
      </c>
      <c r="L1643" t="str">
        <f>_xlfn.XLOOKUP(datos_ventas[[#This Row],[Provincia]],Tabla2[Provincias],Tabla2[Comunidades],"no se encuentra")</f>
        <v>Comunidad de Madrid</v>
      </c>
      <c r="M1643" t="s">
        <v>28</v>
      </c>
      <c r="N1643">
        <v>1</v>
      </c>
    </row>
    <row r="1644" spans="1:14" x14ac:dyDescent="0.25">
      <c r="A1644">
        <v>2643</v>
      </c>
      <c r="B1644" s="1">
        <v>45789</v>
      </c>
      <c r="C1644" s="4">
        <f>MONTH(datos_ventas[[#This Row],[Fecha]])</f>
        <v>5</v>
      </c>
      <c r="D1644" s="4">
        <f>WEEKNUM(datos_ventas[[#This Row],[Fecha]],2)</f>
        <v>20</v>
      </c>
      <c r="E1644" t="s">
        <v>16</v>
      </c>
      <c r="F1644" t="s">
        <v>11</v>
      </c>
      <c r="G1644">
        <v>1</v>
      </c>
      <c r="H1644">
        <v>8374</v>
      </c>
      <c r="I1644">
        <v>2655</v>
      </c>
      <c r="J1644" t="s">
        <v>27</v>
      </c>
      <c r="K1644" t="str">
        <f>_xlfn.XLOOKUP(datos_ventas[[#This Row],[Ciudad]],Tabla2[Ciudades],Tabla2[Provincias],"no se encuentra")</f>
        <v>Sevilla</v>
      </c>
      <c r="L1644" t="str">
        <f>_xlfn.XLOOKUP(datos_ventas[[#This Row],[Provincia]],Tabla2[Provincias],Tabla2[Comunidades],"no se encuentra")</f>
        <v>Andalucía</v>
      </c>
      <c r="M1644" t="s">
        <v>19</v>
      </c>
      <c r="N1644">
        <v>1</v>
      </c>
    </row>
    <row r="1645" spans="1:14" x14ac:dyDescent="0.25">
      <c r="A1645">
        <v>2644</v>
      </c>
      <c r="B1645" s="1">
        <v>45739</v>
      </c>
      <c r="C1645" s="4">
        <f>MONTH(datos_ventas[[#This Row],[Fecha]])</f>
        <v>3</v>
      </c>
      <c r="D1645" s="4">
        <f>WEEKNUM(datos_ventas[[#This Row],[Fecha]],2)</f>
        <v>12</v>
      </c>
      <c r="E1645" t="s">
        <v>16</v>
      </c>
      <c r="F1645" t="s">
        <v>11</v>
      </c>
      <c r="G1645">
        <v>3</v>
      </c>
      <c r="H1645">
        <v>8474</v>
      </c>
      <c r="I1645">
        <v>4224</v>
      </c>
      <c r="J1645" t="s">
        <v>22</v>
      </c>
      <c r="K1645" t="str">
        <f>_xlfn.XLOOKUP(datos_ventas[[#This Row],[Ciudad]],Tabla2[Ciudades],Tabla2[Provincias],"no se encuentra")</f>
        <v>Valencia</v>
      </c>
      <c r="L1645" t="str">
        <f>_xlfn.XLOOKUP(datos_ventas[[#This Row],[Provincia]],Tabla2[Provincias],Tabla2[Comunidades],"no se encuentra")</f>
        <v>Comunidad Valenciana</v>
      </c>
      <c r="M1645" t="s">
        <v>13</v>
      </c>
      <c r="N1645">
        <v>5</v>
      </c>
    </row>
    <row r="1646" spans="1:14" x14ac:dyDescent="0.25">
      <c r="A1646">
        <v>2645</v>
      </c>
      <c r="B1646" s="1">
        <v>46012</v>
      </c>
      <c r="C1646" s="4">
        <f>MONTH(datos_ventas[[#This Row],[Fecha]])</f>
        <v>12</v>
      </c>
      <c r="D1646" s="4">
        <f>WEEKNUM(datos_ventas[[#This Row],[Fecha]],2)</f>
        <v>51</v>
      </c>
      <c r="E1646" t="s">
        <v>24</v>
      </c>
      <c r="F1646" t="s">
        <v>25</v>
      </c>
      <c r="G1646">
        <v>2</v>
      </c>
      <c r="H1646">
        <v>56351</v>
      </c>
      <c r="I1646">
        <v>763</v>
      </c>
      <c r="J1646" t="s">
        <v>27</v>
      </c>
      <c r="K1646" t="str">
        <f>_xlfn.XLOOKUP(datos_ventas[[#This Row],[Ciudad]],Tabla2[Ciudades],Tabla2[Provincias],"no se encuentra")</f>
        <v>Sevilla</v>
      </c>
      <c r="L1646" t="str">
        <f>_xlfn.XLOOKUP(datos_ventas[[#This Row],[Provincia]],Tabla2[Provincias],Tabla2[Comunidades],"no se encuentra")</f>
        <v>Andalucía</v>
      </c>
      <c r="M1646" t="s">
        <v>13</v>
      </c>
      <c r="N1646">
        <v>2</v>
      </c>
    </row>
    <row r="1647" spans="1:14" x14ac:dyDescent="0.25">
      <c r="A1647">
        <v>2646</v>
      </c>
      <c r="B1647" s="1">
        <v>45941</v>
      </c>
      <c r="C1647" s="4">
        <f>MONTH(datos_ventas[[#This Row],[Fecha]])</f>
        <v>10</v>
      </c>
      <c r="D1647" s="4">
        <f>WEEKNUM(datos_ventas[[#This Row],[Fecha]],2)</f>
        <v>41</v>
      </c>
      <c r="E1647" t="s">
        <v>23</v>
      </c>
      <c r="F1647" t="s">
        <v>18</v>
      </c>
      <c r="G1647">
        <v>3</v>
      </c>
      <c r="H1647">
        <v>47908</v>
      </c>
      <c r="I1647">
        <v>2951</v>
      </c>
      <c r="J1647" t="s">
        <v>14</v>
      </c>
      <c r="K1647" t="str">
        <f>_xlfn.XLOOKUP(datos_ventas[[#This Row],[Ciudad]],Tabla2[Ciudades],Tabla2[Provincias],"no se encuentra")</f>
        <v>Madrid</v>
      </c>
      <c r="L1647" t="str">
        <f>_xlfn.XLOOKUP(datos_ventas[[#This Row],[Provincia]],Tabla2[Provincias],Tabla2[Comunidades],"no se encuentra")</f>
        <v>Comunidad de Madrid</v>
      </c>
      <c r="M1647" t="s">
        <v>19</v>
      </c>
      <c r="N1647">
        <v>4</v>
      </c>
    </row>
    <row r="1648" spans="1:14" x14ac:dyDescent="0.25">
      <c r="A1648">
        <v>2647</v>
      </c>
      <c r="B1648" s="1">
        <v>45923</v>
      </c>
      <c r="C1648" s="4">
        <f>MONTH(datos_ventas[[#This Row],[Fecha]])</f>
        <v>9</v>
      </c>
      <c r="D1648" s="4">
        <f>WEEKNUM(datos_ventas[[#This Row],[Fecha]],2)</f>
        <v>39</v>
      </c>
      <c r="E1648" t="s">
        <v>20</v>
      </c>
      <c r="F1648" t="s">
        <v>21</v>
      </c>
      <c r="G1648">
        <v>3</v>
      </c>
      <c r="H1648">
        <v>67121</v>
      </c>
      <c r="I1648">
        <v>2011</v>
      </c>
      <c r="J1648" t="s">
        <v>14</v>
      </c>
      <c r="K1648" t="str">
        <f>_xlfn.XLOOKUP(datos_ventas[[#This Row],[Ciudad]],Tabla2[Ciudades],Tabla2[Provincias],"no se encuentra")</f>
        <v>Madrid</v>
      </c>
      <c r="L1648" t="str">
        <f>_xlfn.XLOOKUP(datos_ventas[[#This Row],[Provincia]],Tabla2[Provincias],Tabla2[Comunidades],"no se encuentra")</f>
        <v>Comunidad de Madrid</v>
      </c>
      <c r="M1648" t="s">
        <v>28</v>
      </c>
      <c r="N1648">
        <v>2</v>
      </c>
    </row>
    <row r="1649" spans="1:14" x14ac:dyDescent="0.25">
      <c r="A1649">
        <v>2648</v>
      </c>
      <c r="B1649" s="1">
        <v>45877</v>
      </c>
      <c r="C1649" s="4">
        <f>MONTH(datos_ventas[[#This Row],[Fecha]])</f>
        <v>8</v>
      </c>
      <c r="D1649" s="4">
        <f>WEEKNUM(datos_ventas[[#This Row],[Fecha]],2)</f>
        <v>32</v>
      </c>
      <c r="E1649" t="s">
        <v>16</v>
      </c>
      <c r="F1649" t="s">
        <v>11</v>
      </c>
      <c r="G1649">
        <v>4</v>
      </c>
      <c r="H1649">
        <v>57646</v>
      </c>
      <c r="I1649">
        <v>2361</v>
      </c>
      <c r="J1649" t="s">
        <v>32</v>
      </c>
      <c r="K1649" t="str">
        <f>_xlfn.XLOOKUP(datos_ventas[[#This Row],[Ciudad]],Tabla2[Ciudades],Tabla2[Provincias],"no se encuentra")</f>
        <v>Barcelona</v>
      </c>
      <c r="L1649" t="str">
        <f>_xlfn.XLOOKUP(datos_ventas[[#This Row],[Provincia]],Tabla2[Provincias],Tabla2[Comunidades],"no se encuentra")</f>
        <v>Cataluña</v>
      </c>
      <c r="M1649" t="s">
        <v>28</v>
      </c>
      <c r="N1649">
        <v>4</v>
      </c>
    </row>
    <row r="1650" spans="1:14" x14ac:dyDescent="0.25">
      <c r="A1650">
        <v>2649</v>
      </c>
      <c r="B1650" s="1">
        <v>45884</v>
      </c>
      <c r="C1650" s="4">
        <f>MONTH(datos_ventas[[#This Row],[Fecha]])</f>
        <v>8</v>
      </c>
      <c r="D1650" s="4">
        <f>WEEKNUM(datos_ventas[[#This Row],[Fecha]],2)</f>
        <v>33</v>
      </c>
      <c r="E1650" t="s">
        <v>17</v>
      </c>
      <c r="F1650" t="s">
        <v>18</v>
      </c>
      <c r="G1650">
        <v>5</v>
      </c>
      <c r="H1650">
        <v>24305</v>
      </c>
      <c r="I1650">
        <v>1793</v>
      </c>
      <c r="J1650" t="s">
        <v>32</v>
      </c>
      <c r="K1650" t="str">
        <f>_xlfn.XLOOKUP(datos_ventas[[#This Row],[Ciudad]],Tabla2[Ciudades],Tabla2[Provincias],"no se encuentra")</f>
        <v>Barcelona</v>
      </c>
      <c r="L1650" t="str">
        <f>_xlfn.XLOOKUP(datos_ventas[[#This Row],[Provincia]],Tabla2[Provincias],Tabla2[Comunidades],"no se encuentra")</f>
        <v>Cataluña</v>
      </c>
      <c r="M1650" t="s">
        <v>13</v>
      </c>
      <c r="N1650">
        <v>5</v>
      </c>
    </row>
    <row r="1651" spans="1:14" x14ac:dyDescent="0.25">
      <c r="A1651">
        <v>2650</v>
      </c>
      <c r="B1651" s="1">
        <v>45694</v>
      </c>
      <c r="C1651" s="4">
        <f>MONTH(datos_ventas[[#This Row],[Fecha]])</f>
        <v>2</v>
      </c>
      <c r="D1651" s="4">
        <f>WEEKNUM(datos_ventas[[#This Row],[Fecha]],2)</f>
        <v>6</v>
      </c>
      <c r="E1651" t="s">
        <v>23</v>
      </c>
      <c r="F1651" t="s">
        <v>18</v>
      </c>
      <c r="G1651">
        <v>4</v>
      </c>
      <c r="H1651">
        <v>115815</v>
      </c>
      <c r="I1651">
        <v>604</v>
      </c>
      <c r="J1651" t="s">
        <v>27</v>
      </c>
      <c r="K1651" t="str">
        <f>_xlfn.XLOOKUP(datos_ventas[[#This Row],[Ciudad]],Tabla2[Ciudades],Tabla2[Provincias],"no se encuentra")</f>
        <v>Sevilla</v>
      </c>
      <c r="L1651" t="str">
        <f>_xlfn.XLOOKUP(datos_ventas[[#This Row],[Provincia]],Tabla2[Provincias],Tabla2[Comunidades],"no se encuentra")</f>
        <v>Andalucía</v>
      </c>
      <c r="M1651" t="s">
        <v>28</v>
      </c>
      <c r="N1651">
        <v>3</v>
      </c>
    </row>
    <row r="1652" spans="1:14" x14ac:dyDescent="0.25">
      <c r="A1652">
        <v>2651</v>
      </c>
      <c r="B1652" s="1">
        <v>45849</v>
      </c>
      <c r="C1652" s="4">
        <f>MONTH(datos_ventas[[#This Row],[Fecha]])</f>
        <v>7</v>
      </c>
      <c r="D1652" s="4">
        <f>WEEKNUM(datos_ventas[[#This Row],[Fecha]],2)</f>
        <v>28</v>
      </c>
      <c r="E1652" t="s">
        <v>20</v>
      </c>
      <c r="F1652" t="s">
        <v>21</v>
      </c>
      <c r="G1652">
        <v>4</v>
      </c>
      <c r="H1652">
        <v>107798</v>
      </c>
      <c r="I1652">
        <v>1227</v>
      </c>
      <c r="J1652" t="s">
        <v>22</v>
      </c>
      <c r="K1652" t="str">
        <f>_xlfn.XLOOKUP(datos_ventas[[#This Row],[Ciudad]],Tabla2[Ciudades],Tabla2[Provincias],"no se encuentra")</f>
        <v>Valencia</v>
      </c>
      <c r="L1652" t="str">
        <f>_xlfn.XLOOKUP(datos_ventas[[#This Row],[Provincia]],Tabla2[Provincias],Tabla2[Comunidades],"no se encuentra")</f>
        <v>Comunidad Valenciana</v>
      </c>
      <c r="M1652" t="s">
        <v>28</v>
      </c>
      <c r="N1652">
        <v>4</v>
      </c>
    </row>
    <row r="1653" spans="1:14" x14ac:dyDescent="0.25">
      <c r="A1653">
        <v>2652</v>
      </c>
      <c r="B1653" s="1">
        <v>45847</v>
      </c>
      <c r="C1653" s="4">
        <f>MONTH(datos_ventas[[#This Row],[Fecha]])</f>
        <v>7</v>
      </c>
      <c r="D1653" s="4">
        <f>WEEKNUM(datos_ventas[[#This Row],[Fecha]],2)</f>
        <v>28</v>
      </c>
      <c r="E1653" t="s">
        <v>24</v>
      </c>
      <c r="F1653" t="s">
        <v>25</v>
      </c>
      <c r="G1653">
        <v>1</v>
      </c>
      <c r="H1653">
        <v>84489</v>
      </c>
      <c r="I1653">
        <v>4038</v>
      </c>
      <c r="J1653" t="s">
        <v>32</v>
      </c>
      <c r="K1653" t="str">
        <f>_xlfn.XLOOKUP(datos_ventas[[#This Row],[Ciudad]],Tabla2[Ciudades],Tabla2[Provincias],"no se encuentra")</f>
        <v>Barcelona</v>
      </c>
      <c r="L1653" t="str">
        <f>_xlfn.XLOOKUP(datos_ventas[[#This Row],[Provincia]],Tabla2[Provincias],Tabla2[Comunidades],"no se encuentra")</f>
        <v>Cataluña</v>
      </c>
      <c r="M1653" t="s">
        <v>19</v>
      </c>
      <c r="N1653">
        <v>4</v>
      </c>
    </row>
    <row r="1654" spans="1:14" x14ac:dyDescent="0.25">
      <c r="A1654">
        <v>2653</v>
      </c>
      <c r="B1654" s="1">
        <v>45996</v>
      </c>
      <c r="C1654" s="4">
        <f>MONTH(datos_ventas[[#This Row],[Fecha]])</f>
        <v>12</v>
      </c>
      <c r="D1654" s="4">
        <f>WEEKNUM(datos_ventas[[#This Row],[Fecha]],2)</f>
        <v>49</v>
      </c>
      <c r="E1654" t="s">
        <v>29</v>
      </c>
      <c r="F1654" t="s">
        <v>30</v>
      </c>
      <c r="G1654">
        <v>2</v>
      </c>
      <c r="H1654">
        <v>82202</v>
      </c>
      <c r="I1654">
        <v>3857</v>
      </c>
      <c r="J1654" t="s">
        <v>14</v>
      </c>
      <c r="K1654" t="str">
        <f>_xlfn.XLOOKUP(datos_ventas[[#This Row],[Ciudad]],Tabla2[Ciudades],Tabla2[Provincias],"no se encuentra")</f>
        <v>Madrid</v>
      </c>
      <c r="L1654" t="str">
        <f>_xlfn.XLOOKUP(datos_ventas[[#This Row],[Provincia]],Tabla2[Provincias],Tabla2[Comunidades],"no se encuentra")</f>
        <v>Comunidad de Madrid</v>
      </c>
      <c r="M1654" t="s">
        <v>28</v>
      </c>
      <c r="N1654">
        <v>2</v>
      </c>
    </row>
    <row r="1655" spans="1:14" x14ac:dyDescent="0.25">
      <c r="A1655">
        <v>2654</v>
      </c>
      <c r="B1655" s="1">
        <v>45794</v>
      </c>
      <c r="C1655" s="4">
        <f>MONTH(datos_ventas[[#This Row],[Fecha]])</f>
        <v>5</v>
      </c>
      <c r="D1655" s="4">
        <f>WEEKNUM(datos_ventas[[#This Row],[Fecha]],2)</f>
        <v>20</v>
      </c>
      <c r="E1655" t="s">
        <v>20</v>
      </c>
      <c r="F1655" t="s">
        <v>21</v>
      </c>
      <c r="G1655">
        <v>3</v>
      </c>
      <c r="H1655">
        <v>53875</v>
      </c>
      <c r="I1655">
        <v>4241</v>
      </c>
      <c r="J1655" t="s">
        <v>31</v>
      </c>
      <c r="K1655" t="str">
        <f>_xlfn.XLOOKUP(datos_ventas[[#This Row],[Ciudad]],Tabla2[Ciudades],Tabla2[Provincias],"no se encuentra")</f>
        <v>Vizcaya</v>
      </c>
      <c r="L1655" t="str">
        <f>_xlfn.XLOOKUP(datos_ventas[[#This Row],[Provincia]],Tabla2[Provincias],Tabla2[Comunidades],"no se encuentra")</f>
        <v>País Vasco</v>
      </c>
      <c r="M1655" t="s">
        <v>19</v>
      </c>
      <c r="N1655">
        <v>2</v>
      </c>
    </row>
    <row r="1656" spans="1:14" x14ac:dyDescent="0.25">
      <c r="A1656">
        <v>2655</v>
      </c>
      <c r="B1656" s="1">
        <v>45778</v>
      </c>
      <c r="C1656" s="4">
        <f>MONTH(datos_ventas[[#This Row],[Fecha]])</f>
        <v>5</v>
      </c>
      <c r="D1656" s="4">
        <f>WEEKNUM(datos_ventas[[#This Row],[Fecha]],2)</f>
        <v>18</v>
      </c>
      <c r="E1656" t="s">
        <v>26</v>
      </c>
      <c r="F1656" t="s">
        <v>18</v>
      </c>
      <c r="G1656">
        <v>1</v>
      </c>
      <c r="H1656">
        <v>52152</v>
      </c>
      <c r="I1656">
        <v>4308</v>
      </c>
      <c r="J1656" t="s">
        <v>31</v>
      </c>
      <c r="K1656" t="str">
        <f>_xlfn.XLOOKUP(datos_ventas[[#This Row],[Ciudad]],Tabla2[Ciudades],Tabla2[Provincias],"no se encuentra")</f>
        <v>Vizcaya</v>
      </c>
      <c r="L1656" t="str">
        <f>_xlfn.XLOOKUP(datos_ventas[[#This Row],[Provincia]],Tabla2[Provincias],Tabla2[Comunidades],"no se encuentra")</f>
        <v>País Vasco</v>
      </c>
      <c r="M1656" t="s">
        <v>28</v>
      </c>
      <c r="N1656">
        <v>1</v>
      </c>
    </row>
    <row r="1657" spans="1:14" x14ac:dyDescent="0.25">
      <c r="A1657">
        <v>2656</v>
      </c>
      <c r="B1657" s="1">
        <v>46015</v>
      </c>
      <c r="C1657" s="4">
        <f>MONTH(datos_ventas[[#This Row],[Fecha]])</f>
        <v>12</v>
      </c>
      <c r="D1657" s="4">
        <f>WEEKNUM(datos_ventas[[#This Row],[Fecha]],2)</f>
        <v>52</v>
      </c>
      <c r="E1657" t="s">
        <v>20</v>
      </c>
      <c r="F1657" t="s">
        <v>21</v>
      </c>
      <c r="G1657">
        <v>4</v>
      </c>
      <c r="H1657">
        <v>999</v>
      </c>
      <c r="I1657">
        <v>343</v>
      </c>
      <c r="J1657" t="s">
        <v>31</v>
      </c>
      <c r="K1657" t="str">
        <f>_xlfn.XLOOKUP(datos_ventas[[#This Row],[Ciudad]],Tabla2[Ciudades],Tabla2[Provincias],"no se encuentra")</f>
        <v>Vizcaya</v>
      </c>
      <c r="L1657" t="str">
        <f>_xlfn.XLOOKUP(datos_ventas[[#This Row],[Provincia]],Tabla2[Provincias],Tabla2[Comunidades],"no se encuentra")</f>
        <v>País Vasco</v>
      </c>
      <c r="M1657" t="s">
        <v>19</v>
      </c>
      <c r="N1657">
        <v>2</v>
      </c>
    </row>
    <row r="1658" spans="1:14" x14ac:dyDescent="0.25">
      <c r="A1658">
        <v>2657</v>
      </c>
      <c r="B1658" s="1">
        <v>45669</v>
      </c>
      <c r="C1658" s="4">
        <f>MONTH(datos_ventas[[#This Row],[Fecha]])</f>
        <v>1</v>
      </c>
      <c r="D1658" s="4">
        <f>WEEKNUM(datos_ventas[[#This Row],[Fecha]],2)</f>
        <v>2</v>
      </c>
      <c r="E1658" t="s">
        <v>24</v>
      </c>
      <c r="F1658" t="s">
        <v>25</v>
      </c>
      <c r="G1658">
        <v>2</v>
      </c>
      <c r="H1658">
        <v>33376</v>
      </c>
      <c r="I1658">
        <v>3783</v>
      </c>
      <c r="J1658" t="s">
        <v>32</v>
      </c>
      <c r="K1658" t="str">
        <f>_xlfn.XLOOKUP(datos_ventas[[#This Row],[Ciudad]],Tabla2[Ciudades],Tabla2[Provincias],"no se encuentra")</f>
        <v>Barcelona</v>
      </c>
      <c r="L1658" t="str">
        <f>_xlfn.XLOOKUP(datos_ventas[[#This Row],[Provincia]],Tabla2[Provincias],Tabla2[Comunidades],"no se encuentra")</f>
        <v>Cataluña</v>
      </c>
      <c r="M1658" t="s">
        <v>13</v>
      </c>
      <c r="N1658">
        <v>2</v>
      </c>
    </row>
    <row r="1659" spans="1:14" x14ac:dyDescent="0.25">
      <c r="A1659">
        <v>2658</v>
      </c>
      <c r="B1659" s="1">
        <v>45925</v>
      </c>
      <c r="C1659" s="4">
        <f>MONTH(datos_ventas[[#This Row],[Fecha]])</f>
        <v>9</v>
      </c>
      <c r="D1659" s="4">
        <f>WEEKNUM(datos_ventas[[#This Row],[Fecha]],2)</f>
        <v>39</v>
      </c>
      <c r="E1659" t="s">
        <v>24</v>
      </c>
      <c r="F1659" t="s">
        <v>25</v>
      </c>
      <c r="G1659">
        <v>1</v>
      </c>
      <c r="H1659">
        <v>49928</v>
      </c>
      <c r="I1659">
        <v>1156</v>
      </c>
      <c r="J1659" t="s">
        <v>31</v>
      </c>
      <c r="K1659" t="str">
        <f>_xlfn.XLOOKUP(datos_ventas[[#This Row],[Ciudad]],Tabla2[Ciudades],Tabla2[Provincias],"no se encuentra")</f>
        <v>Vizcaya</v>
      </c>
      <c r="L1659" t="str">
        <f>_xlfn.XLOOKUP(datos_ventas[[#This Row],[Provincia]],Tabla2[Provincias],Tabla2[Comunidades],"no se encuentra")</f>
        <v>País Vasco</v>
      </c>
      <c r="M1659" t="s">
        <v>13</v>
      </c>
      <c r="N1659">
        <v>3</v>
      </c>
    </row>
    <row r="1660" spans="1:14" x14ac:dyDescent="0.25">
      <c r="A1660">
        <v>2659</v>
      </c>
      <c r="B1660" s="1">
        <v>45912</v>
      </c>
      <c r="C1660" s="4">
        <f>MONTH(datos_ventas[[#This Row],[Fecha]])</f>
        <v>9</v>
      </c>
      <c r="D1660" s="4">
        <f>WEEKNUM(datos_ventas[[#This Row],[Fecha]],2)</f>
        <v>37</v>
      </c>
      <c r="E1660" t="s">
        <v>23</v>
      </c>
      <c r="F1660" t="s">
        <v>18</v>
      </c>
      <c r="G1660">
        <v>1</v>
      </c>
      <c r="H1660">
        <v>69913</v>
      </c>
      <c r="I1660">
        <v>4041</v>
      </c>
      <c r="J1660" t="s">
        <v>22</v>
      </c>
      <c r="K1660" t="str">
        <f>_xlfn.XLOOKUP(datos_ventas[[#This Row],[Ciudad]],Tabla2[Ciudades],Tabla2[Provincias],"no se encuentra")</f>
        <v>Valencia</v>
      </c>
      <c r="L1660" t="str">
        <f>_xlfn.XLOOKUP(datos_ventas[[#This Row],[Provincia]],Tabla2[Provincias],Tabla2[Comunidades],"no se encuentra")</f>
        <v>Comunidad Valenciana</v>
      </c>
      <c r="M1660" t="s">
        <v>28</v>
      </c>
      <c r="N1660">
        <v>3</v>
      </c>
    </row>
    <row r="1661" spans="1:14" x14ac:dyDescent="0.25">
      <c r="A1661">
        <v>2660</v>
      </c>
      <c r="B1661" s="1">
        <v>45716</v>
      </c>
      <c r="C1661" s="4">
        <f>MONTH(datos_ventas[[#This Row],[Fecha]])</f>
        <v>2</v>
      </c>
      <c r="D1661" s="4">
        <f>WEEKNUM(datos_ventas[[#This Row],[Fecha]],2)</f>
        <v>9</v>
      </c>
      <c r="E1661" t="s">
        <v>29</v>
      </c>
      <c r="F1661" t="s">
        <v>30</v>
      </c>
      <c r="G1661">
        <v>3</v>
      </c>
      <c r="H1661">
        <v>59352</v>
      </c>
      <c r="I1661">
        <v>2675</v>
      </c>
      <c r="J1661" t="s">
        <v>22</v>
      </c>
      <c r="K1661" t="str">
        <f>_xlfn.XLOOKUP(datos_ventas[[#This Row],[Ciudad]],Tabla2[Ciudades],Tabla2[Provincias],"no se encuentra")</f>
        <v>Valencia</v>
      </c>
      <c r="L1661" t="str">
        <f>_xlfn.XLOOKUP(datos_ventas[[#This Row],[Provincia]],Tabla2[Provincias],Tabla2[Comunidades],"no se encuentra")</f>
        <v>Comunidad Valenciana</v>
      </c>
      <c r="M1661" t="s">
        <v>15</v>
      </c>
      <c r="N1661">
        <v>3</v>
      </c>
    </row>
    <row r="1662" spans="1:14" x14ac:dyDescent="0.25">
      <c r="A1662">
        <v>2661</v>
      </c>
      <c r="B1662" s="1">
        <v>45794</v>
      </c>
      <c r="C1662" s="4">
        <f>MONTH(datos_ventas[[#This Row],[Fecha]])</f>
        <v>5</v>
      </c>
      <c r="D1662" s="4">
        <f>WEEKNUM(datos_ventas[[#This Row],[Fecha]],2)</f>
        <v>20</v>
      </c>
      <c r="E1662" t="s">
        <v>10</v>
      </c>
      <c r="F1662" t="s">
        <v>11</v>
      </c>
      <c r="G1662">
        <v>2</v>
      </c>
      <c r="H1662">
        <v>7089</v>
      </c>
      <c r="I1662">
        <v>1437</v>
      </c>
      <c r="J1662" t="s">
        <v>22</v>
      </c>
      <c r="K1662" t="str">
        <f>_xlfn.XLOOKUP(datos_ventas[[#This Row],[Ciudad]],Tabla2[Ciudades],Tabla2[Provincias],"no se encuentra")</f>
        <v>Valencia</v>
      </c>
      <c r="L1662" t="str">
        <f>_xlfn.XLOOKUP(datos_ventas[[#This Row],[Provincia]],Tabla2[Provincias],Tabla2[Comunidades],"no se encuentra")</f>
        <v>Comunidad Valenciana</v>
      </c>
      <c r="M1662" t="s">
        <v>13</v>
      </c>
      <c r="N1662">
        <v>2</v>
      </c>
    </row>
    <row r="1663" spans="1:14" x14ac:dyDescent="0.25">
      <c r="A1663">
        <v>2662</v>
      </c>
      <c r="B1663" s="1">
        <v>45847</v>
      </c>
      <c r="C1663" s="4">
        <f>MONTH(datos_ventas[[#This Row],[Fecha]])</f>
        <v>7</v>
      </c>
      <c r="D1663" s="4">
        <f>WEEKNUM(datos_ventas[[#This Row],[Fecha]],2)</f>
        <v>28</v>
      </c>
      <c r="E1663" t="s">
        <v>20</v>
      </c>
      <c r="F1663" t="s">
        <v>21</v>
      </c>
      <c r="G1663">
        <v>2</v>
      </c>
      <c r="H1663">
        <v>71195</v>
      </c>
      <c r="I1663">
        <v>4726</v>
      </c>
      <c r="J1663" t="s">
        <v>31</v>
      </c>
      <c r="K1663" t="str">
        <f>_xlfn.XLOOKUP(datos_ventas[[#This Row],[Ciudad]],Tabla2[Ciudades],Tabla2[Provincias],"no se encuentra")</f>
        <v>Vizcaya</v>
      </c>
      <c r="L1663" t="str">
        <f>_xlfn.XLOOKUP(datos_ventas[[#This Row],[Provincia]],Tabla2[Provincias],Tabla2[Comunidades],"no se encuentra")</f>
        <v>País Vasco</v>
      </c>
      <c r="M1663" t="s">
        <v>19</v>
      </c>
      <c r="N1663">
        <v>3</v>
      </c>
    </row>
    <row r="1664" spans="1:14" x14ac:dyDescent="0.25">
      <c r="A1664">
        <v>2663</v>
      </c>
      <c r="B1664" s="1">
        <v>45700</v>
      </c>
      <c r="C1664" s="4">
        <f>MONTH(datos_ventas[[#This Row],[Fecha]])</f>
        <v>2</v>
      </c>
      <c r="D1664" s="4">
        <f>WEEKNUM(datos_ventas[[#This Row],[Fecha]],2)</f>
        <v>7</v>
      </c>
      <c r="E1664" t="s">
        <v>16</v>
      </c>
      <c r="F1664" t="s">
        <v>11</v>
      </c>
      <c r="G1664">
        <v>4</v>
      </c>
      <c r="H1664">
        <v>115598</v>
      </c>
      <c r="I1664">
        <v>3415</v>
      </c>
      <c r="J1664" t="s">
        <v>12</v>
      </c>
      <c r="K1664" t="str">
        <f>_xlfn.XLOOKUP(datos_ventas[[#This Row],[Ciudad]],Tabla2[Ciudades],Tabla2[Provincias],"no se encuentra")</f>
        <v>Málaga</v>
      </c>
      <c r="L1664" t="str">
        <f>_xlfn.XLOOKUP(datos_ventas[[#This Row],[Provincia]],Tabla2[Provincias],Tabla2[Comunidades],"no se encuentra")</f>
        <v>Andalucía</v>
      </c>
      <c r="M1664" t="s">
        <v>28</v>
      </c>
      <c r="N1664">
        <v>1</v>
      </c>
    </row>
    <row r="1665" spans="1:14" x14ac:dyDescent="0.25">
      <c r="A1665">
        <v>2664</v>
      </c>
      <c r="B1665" s="1">
        <v>45863</v>
      </c>
      <c r="C1665" s="4">
        <f>MONTH(datos_ventas[[#This Row],[Fecha]])</f>
        <v>7</v>
      </c>
      <c r="D1665" s="4">
        <f>WEEKNUM(datos_ventas[[#This Row],[Fecha]],2)</f>
        <v>30</v>
      </c>
      <c r="E1665" t="s">
        <v>20</v>
      </c>
      <c r="F1665" t="s">
        <v>21</v>
      </c>
      <c r="G1665">
        <v>4</v>
      </c>
      <c r="H1665">
        <v>102685</v>
      </c>
      <c r="I1665">
        <v>1153</v>
      </c>
      <c r="J1665" t="s">
        <v>32</v>
      </c>
      <c r="K1665" t="str">
        <f>_xlfn.XLOOKUP(datos_ventas[[#This Row],[Ciudad]],Tabla2[Ciudades],Tabla2[Provincias],"no se encuentra")</f>
        <v>Barcelona</v>
      </c>
      <c r="L1665" t="str">
        <f>_xlfn.XLOOKUP(datos_ventas[[#This Row],[Provincia]],Tabla2[Provincias],Tabla2[Comunidades],"no se encuentra")</f>
        <v>Cataluña</v>
      </c>
      <c r="M1665" t="s">
        <v>13</v>
      </c>
      <c r="N1665">
        <v>5</v>
      </c>
    </row>
    <row r="1666" spans="1:14" x14ac:dyDescent="0.25">
      <c r="A1666">
        <v>2665</v>
      </c>
      <c r="B1666" s="1">
        <v>45965</v>
      </c>
      <c r="C1666" s="4">
        <f>MONTH(datos_ventas[[#This Row],[Fecha]])</f>
        <v>11</v>
      </c>
      <c r="D1666" s="4">
        <f>WEEKNUM(datos_ventas[[#This Row],[Fecha]],2)</f>
        <v>45</v>
      </c>
      <c r="E1666" t="s">
        <v>20</v>
      </c>
      <c r="F1666" t="s">
        <v>21</v>
      </c>
      <c r="G1666">
        <v>3</v>
      </c>
      <c r="H1666">
        <v>68919</v>
      </c>
      <c r="I1666">
        <v>4534</v>
      </c>
      <c r="J1666" t="s">
        <v>27</v>
      </c>
      <c r="K1666" t="str">
        <f>_xlfn.XLOOKUP(datos_ventas[[#This Row],[Ciudad]],Tabla2[Ciudades],Tabla2[Provincias],"no se encuentra")</f>
        <v>Sevilla</v>
      </c>
      <c r="L1666" t="str">
        <f>_xlfn.XLOOKUP(datos_ventas[[#This Row],[Provincia]],Tabla2[Provincias],Tabla2[Comunidades],"no se encuentra")</f>
        <v>Andalucía</v>
      </c>
      <c r="M1666" t="s">
        <v>19</v>
      </c>
      <c r="N1666">
        <v>3</v>
      </c>
    </row>
    <row r="1667" spans="1:14" x14ac:dyDescent="0.25">
      <c r="A1667">
        <v>2666</v>
      </c>
      <c r="B1667" s="1">
        <v>45817</v>
      </c>
      <c r="C1667" s="4">
        <f>MONTH(datos_ventas[[#This Row],[Fecha]])</f>
        <v>6</v>
      </c>
      <c r="D1667" s="4">
        <f>WEEKNUM(datos_ventas[[#This Row],[Fecha]],2)</f>
        <v>24</v>
      </c>
      <c r="E1667" t="s">
        <v>16</v>
      </c>
      <c r="F1667" t="s">
        <v>11</v>
      </c>
      <c r="G1667">
        <v>3</v>
      </c>
      <c r="H1667">
        <v>83645</v>
      </c>
      <c r="I1667">
        <v>3005</v>
      </c>
      <c r="J1667" t="s">
        <v>14</v>
      </c>
      <c r="K1667" t="str">
        <f>_xlfn.XLOOKUP(datos_ventas[[#This Row],[Ciudad]],Tabla2[Ciudades],Tabla2[Provincias],"no se encuentra")</f>
        <v>Madrid</v>
      </c>
      <c r="L1667" t="str">
        <f>_xlfn.XLOOKUP(datos_ventas[[#This Row],[Provincia]],Tabla2[Provincias],Tabla2[Comunidades],"no se encuentra")</f>
        <v>Comunidad de Madrid</v>
      </c>
      <c r="M1667" t="s">
        <v>13</v>
      </c>
      <c r="N1667">
        <v>2</v>
      </c>
    </row>
    <row r="1668" spans="1:14" x14ac:dyDescent="0.25">
      <c r="A1668">
        <v>2667</v>
      </c>
      <c r="B1668" s="1">
        <v>45736</v>
      </c>
      <c r="C1668" s="4">
        <f>MONTH(datos_ventas[[#This Row],[Fecha]])</f>
        <v>3</v>
      </c>
      <c r="D1668" s="4">
        <f>WEEKNUM(datos_ventas[[#This Row],[Fecha]],2)</f>
        <v>12</v>
      </c>
      <c r="E1668" t="s">
        <v>29</v>
      </c>
      <c r="F1668" t="s">
        <v>30</v>
      </c>
      <c r="G1668">
        <v>1</v>
      </c>
      <c r="H1668">
        <v>83295</v>
      </c>
      <c r="I1668">
        <v>367</v>
      </c>
      <c r="J1668" t="s">
        <v>22</v>
      </c>
      <c r="K1668" t="str">
        <f>_xlfn.XLOOKUP(datos_ventas[[#This Row],[Ciudad]],Tabla2[Ciudades],Tabla2[Provincias],"no se encuentra")</f>
        <v>Valencia</v>
      </c>
      <c r="L1668" t="str">
        <f>_xlfn.XLOOKUP(datos_ventas[[#This Row],[Provincia]],Tabla2[Provincias],Tabla2[Comunidades],"no se encuentra")</f>
        <v>Comunidad Valenciana</v>
      </c>
      <c r="M1668" t="s">
        <v>28</v>
      </c>
      <c r="N1668">
        <v>5</v>
      </c>
    </row>
    <row r="1669" spans="1:14" x14ac:dyDescent="0.25">
      <c r="A1669">
        <v>2668</v>
      </c>
      <c r="B1669" s="1">
        <v>45736</v>
      </c>
      <c r="C1669" s="4">
        <f>MONTH(datos_ventas[[#This Row],[Fecha]])</f>
        <v>3</v>
      </c>
      <c r="D1669" s="4">
        <f>WEEKNUM(datos_ventas[[#This Row],[Fecha]],2)</f>
        <v>12</v>
      </c>
      <c r="E1669" t="s">
        <v>17</v>
      </c>
      <c r="F1669" t="s">
        <v>18</v>
      </c>
      <c r="G1669">
        <v>2</v>
      </c>
      <c r="H1669">
        <v>27626</v>
      </c>
      <c r="I1669">
        <v>4844</v>
      </c>
      <c r="J1669" t="s">
        <v>12</v>
      </c>
      <c r="K1669" t="str">
        <f>_xlfn.XLOOKUP(datos_ventas[[#This Row],[Ciudad]],Tabla2[Ciudades],Tabla2[Provincias],"no se encuentra")</f>
        <v>Málaga</v>
      </c>
      <c r="L1669" t="str">
        <f>_xlfn.XLOOKUP(datos_ventas[[#This Row],[Provincia]],Tabla2[Provincias],Tabla2[Comunidades],"no se encuentra")</f>
        <v>Andalucía</v>
      </c>
      <c r="M1669" t="s">
        <v>15</v>
      </c>
      <c r="N1669">
        <v>2</v>
      </c>
    </row>
    <row r="1670" spans="1:14" x14ac:dyDescent="0.25">
      <c r="A1670">
        <v>2669</v>
      </c>
      <c r="B1670" s="1">
        <v>46018</v>
      </c>
      <c r="C1670" s="4">
        <f>MONTH(datos_ventas[[#This Row],[Fecha]])</f>
        <v>12</v>
      </c>
      <c r="D1670" s="4">
        <f>WEEKNUM(datos_ventas[[#This Row],[Fecha]],2)</f>
        <v>52</v>
      </c>
      <c r="E1670" t="s">
        <v>29</v>
      </c>
      <c r="F1670" t="s">
        <v>30</v>
      </c>
      <c r="G1670">
        <v>1</v>
      </c>
      <c r="H1670">
        <v>103314</v>
      </c>
      <c r="I1670">
        <v>2036</v>
      </c>
      <c r="J1670" t="s">
        <v>12</v>
      </c>
      <c r="K1670" t="str">
        <f>_xlfn.XLOOKUP(datos_ventas[[#This Row],[Ciudad]],Tabla2[Ciudades],Tabla2[Provincias],"no se encuentra")</f>
        <v>Málaga</v>
      </c>
      <c r="L1670" t="str">
        <f>_xlfn.XLOOKUP(datos_ventas[[#This Row],[Provincia]],Tabla2[Provincias],Tabla2[Comunidades],"no se encuentra")</f>
        <v>Andalucía</v>
      </c>
      <c r="M1670" t="s">
        <v>15</v>
      </c>
      <c r="N1670">
        <v>2</v>
      </c>
    </row>
    <row r="1671" spans="1:14" x14ac:dyDescent="0.25">
      <c r="A1671">
        <v>2670</v>
      </c>
      <c r="B1671" s="1">
        <v>45858</v>
      </c>
      <c r="C1671" s="4">
        <f>MONTH(datos_ventas[[#This Row],[Fecha]])</f>
        <v>7</v>
      </c>
      <c r="D1671" s="4">
        <f>WEEKNUM(datos_ventas[[#This Row],[Fecha]],2)</f>
        <v>29</v>
      </c>
      <c r="E1671" t="s">
        <v>26</v>
      </c>
      <c r="F1671" t="s">
        <v>18</v>
      </c>
      <c r="G1671">
        <v>5</v>
      </c>
      <c r="H1671">
        <v>95527</v>
      </c>
      <c r="I1671">
        <v>2206</v>
      </c>
      <c r="J1671" t="s">
        <v>32</v>
      </c>
      <c r="K1671" t="str">
        <f>_xlfn.XLOOKUP(datos_ventas[[#This Row],[Ciudad]],Tabla2[Ciudades],Tabla2[Provincias],"no se encuentra")</f>
        <v>Barcelona</v>
      </c>
      <c r="L1671" t="str">
        <f>_xlfn.XLOOKUP(datos_ventas[[#This Row],[Provincia]],Tabla2[Provincias],Tabla2[Comunidades],"no se encuentra")</f>
        <v>Cataluña</v>
      </c>
      <c r="M1671" t="s">
        <v>19</v>
      </c>
      <c r="N1671">
        <v>3</v>
      </c>
    </row>
    <row r="1672" spans="1:14" x14ac:dyDescent="0.25">
      <c r="A1672">
        <v>2671</v>
      </c>
      <c r="B1672" s="1">
        <v>45747</v>
      </c>
      <c r="C1672" s="4">
        <f>MONTH(datos_ventas[[#This Row],[Fecha]])</f>
        <v>3</v>
      </c>
      <c r="D1672" s="4">
        <f>WEEKNUM(datos_ventas[[#This Row],[Fecha]],2)</f>
        <v>14</v>
      </c>
      <c r="E1672" t="s">
        <v>20</v>
      </c>
      <c r="F1672" t="s">
        <v>21</v>
      </c>
      <c r="G1672">
        <v>3</v>
      </c>
      <c r="H1672">
        <v>23174</v>
      </c>
      <c r="I1672">
        <v>4236</v>
      </c>
      <c r="J1672" t="s">
        <v>32</v>
      </c>
      <c r="K1672" t="str">
        <f>_xlfn.XLOOKUP(datos_ventas[[#This Row],[Ciudad]],Tabla2[Ciudades],Tabla2[Provincias],"no se encuentra")</f>
        <v>Barcelona</v>
      </c>
      <c r="L1672" t="str">
        <f>_xlfn.XLOOKUP(datos_ventas[[#This Row],[Provincia]],Tabla2[Provincias],Tabla2[Comunidades],"no se encuentra")</f>
        <v>Cataluña</v>
      </c>
      <c r="M1672" t="s">
        <v>19</v>
      </c>
      <c r="N1672">
        <v>2</v>
      </c>
    </row>
    <row r="1673" spans="1:14" x14ac:dyDescent="0.25">
      <c r="A1673">
        <v>2672</v>
      </c>
      <c r="B1673" s="1">
        <v>45713</v>
      </c>
      <c r="C1673" s="4">
        <f>MONTH(datos_ventas[[#This Row],[Fecha]])</f>
        <v>2</v>
      </c>
      <c r="D1673" s="4">
        <f>WEEKNUM(datos_ventas[[#This Row],[Fecha]],2)</f>
        <v>9</v>
      </c>
      <c r="E1673" t="s">
        <v>20</v>
      </c>
      <c r="F1673" t="s">
        <v>21</v>
      </c>
      <c r="G1673">
        <v>4</v>
      </c>
      <c r="H1673">
        <v>60908</v>
      </c>
      <c r="I1673">
        <v>3027</v>
      </c>
      <c r="J1673" t="s">
        <v>31</v>
      </c>
      <c r="K1673" t="str">
        <f>_xlfn.XLOOKUP(datos_ventas[[#This Row],[Ciudad]],Tabla2[Ciudades],Tabla2[Provincias],"no se encuentra")</f>
        <v>Vizcaya</v>
      </c>
      <c r="L1673" t="str">
        <f>_xlfn.XLOOKUP(datos_ventas[[#This Row],[Provincia]],Tabla2[Provincias],Tabla2[Comunidades],"no se encuentra")</f>
        <v>País Vasco</v>
      </c>
      <c r="M1673" t="s">
        <v>13</v>
      </c>
      <c r="N1673">
        <v>4</v>
      </c>
    </row>
    <row r="1674" spans="1:14" x14ac:dyDescent="0.25">
      <c r="A1674">
        <v>2673</v>
      </c>
      <c r="B1674" s="1">
        <v>45670</v>
      </c>
      <c r="C1674" s="4">
        <f>MONTH(datos_ventas[[#This Row],[Fecha]])</f>
        <v>1</v>
      </c>
      <c r="D1674" s="4">
        <f>WEEKNUM(datos_ventas[[#This Row],[Fecha]],2)</f>
        <v>3</v>
      </c>
      <c r="E1674" t="s">
        <v>23</v>
      </c>
      <c r="F1674" t="s">
        <v>18</v>
      </c>
      <c r="G1674">
        <v>4</v>
      </c>
      <c r="H1674">
        <v>10365</v>
      </c>
      <c r="I1674">
        <v>2343</v>
      </c>
      <c r="J1674" t="s">
        <v>32</v>
      </c>
      <c r="K1674" t="str">
        <f>_xlfn.XLOOKUP(datos_ventas[[#This Row],[Ciudad]],Tabla2[Ciudades],Tabla2[Provincias],"no se encuentra")</f>
        <v>Barcelona</v>
      </c>
      <c r="L1674" t="str">
        <f>_xlfn.XLOOKUP(datos_ventas[[#This Row],[Provincia]],Tabla2[Provincias],Tabla2[Comunidades],"no se encuentra")</f>
        <v>Cataluña</v>
      </c>
      <c r="M1674" t="s">
        <v>28</v>
      </c>
      <c r="N1674">
        <v>2</v>
      </c>
    </row>
    <row r="1675" spans="1:14" x14ac:dyDescent="0.25">
      <c r="A1675">
        <v>2674</v>
      </c>
      <c r="B1675" s="1">
        <v>45865</v>
      </c>
      <c r="C1675" s="4">
        <f>MONTH(datos_ventas[[#This Row],[Fecha]])</f>
        <v>7</v>
      </c>
      <c r="D1675" s="4">
        <f>WEEKNUM(datos_ventas[[#This Row],[Fecha]],2)</f>
        <v>30</v>
      </c>
      <c r="E1675" t="s">
        <v>29</v>
      </c>
      <c r="F1675" t="s">
        <v>30</v>
      </c>
      <c r="G1675">
        <v>3</v>
      </c>
      <c r="H1675">
        <v>52596</v>
      </c>
      <c r="I1675">
        <v>397</v>
      </c>
      <c r="J1675" t="s">
        <v>12</v>
      </c>
      <c r="K1675" t="str">
        <f>_xlfn.XLOOKUP(datos_ventas[[#This Row],[Ciudad]],Tabla2[Ciudades],Tabla2[Provincias],"no se encuentra")</f>
        <v>Málaga</v>
      </c>
      <c r="L1675" t="str">
        <f>_xlfn.XLOOKUP(datos_ventas[[#This Row],[Provincia]],Tabla2[Provincias],Tabla2[Comunidades],"no se encuentra")</f>
        <v>Andalucía</v>
      </c>
      <c r="M1675" t="s">
        <v>13</v>
      </c>
      <c r="N1675">
        <v>1</v>
      </c>
    </row>
    <row r="1676" spans="1:14" x14ac:dyDescent="0.25">
      <c r="A1676">
        <v>2675</v>
      </c>
      <c r="B1676" s="1">
        <v>45866</v>
      </c>
      <c r="C1676" s="4">
        <f>MONTH(datos_ventas[[#This Row],[Fecha]])</f>
        <v>7</v>
      </c>
      <c r="D1676" s="4">
        <f>WEEKNUM(datos_ventas[[#This Row],[Fecha]],2)</f>
        <v>31</v>
      </c>
      <c r="E1676" t="s">
        <v>17</v>
      </c>
      <c r="F1676" t="s">
        <v>18</v>
      </c>
      <c r="G1676">
        <v>1</v>
      </c>
      <c r="H1676">
        <v>99492</v>
      </c>
      <c r="I1676">
        <v>2228</v>
      </c>
      <c r="J1676" t="s">
        <v>27</v>
      </c>
      <c r="K1676" t="str">
        <f>_xlfn.XLOOKUP(datos_ventas[[#This Row],[Ciudad]],Tabla2[Ciudades],Tabla2[Provincias],"no se encuentra")</f>
        <v>Sevilla</v>
      </c>
      <c r="L1676" t="str">
        <f>_xlfn.XLOOKUP(datos_ventas[[#This Row],[Provincia]],Tabla2[Provincias],Tabla2[Comunidades],"no se encuentra")</f>
        <v>Andalucía</v>
      </c>
      <c r="M1676" t="s">
        <v>19</v>
      </c>
      <c r="N1676">
        <v>1</v>
      </c>
    </row>
    <row r="1677" spans="1:14" x14ac:dyDescent="0.25">
      <c r="A1677">
        <v>2676</v>
      </c>
      <c r="B1677" s="1">
        <v>45919</v>
      </c>
      <c r="C1677" s="4">
        <f>MONTH(datos_ventas[[#This Row],[Fecha]])</f>
        <v>9</v>
      </c>
      <c r="D1677" s="4">
        <f>WEEKNUM(datos_ventas[[#This Row],[Fecha]],2)</f>
        <v>38</v>
      </c>
      <c r="E1677" t="s">
        <v>24</v>
      </c>
      <c r="F1677" t="s">
        <v>25</v>
      </c>
      <c r="G1677">
        <v>5</v>
      </c>
      <c r="H1677">
        <v>26065</v>
      </c>
      <c r="I1677">
        <v>211</v>
      </c>
      <c r="J1677" t="s">
        <v>22</v>
      </c>
      <c r="K1677" t="str">
        <f>_xlfn.XLOOKUP(datos_ventas[[#This Row],[Ciudad]],Tabla2[Ciudades],Tabla2[Provincias],"no se encuentra")</f>
        <v>Valencia</v>
      </c>
      <c r="L1677" t="str">
        <f>_xlfn.XLOOKUP(datos_ventas[[#This Row],[Provincia]],Tabla2[Provincias],Tabla2[Comunidades],"no se encuentra")</f>
        <v>Comunidad Valenciana</v>
      </c>
      <c r="M1677" t="s">
        <v>15</v>
      </c>
      <c r="N1677">
        <v>2</v>
      </c>
    </row>
    <row r="1678" spans="1:14" x14ac:dyDescent="0.25">
      <c r="A1678">
        <v>2677</v>
      </c>
      <c r="B1678" s="1">
        <v>45896</v>
      </c>
      <c r="C1678" s="4">
        <f>MONTH(datos_ventas[[#This Row],[Fecha]])</f>
        <v>8</v>
      </c>
      <c r="D1678" s="4">
        <f>WEEKNUM(datos_ventas[[#This Row],[Fecha]],2)</f>
        <v>35</v>
      </c>
      <c r="E1678" t="s">
        <v>29</v>
      </c>
      <c r="F1678" t="s">
        <v>30</v>
      </c>
      <c r="G1678">
        <v>4</v>
      </c>
      <c r="H1678">
        <v>107189</v>
      </c>
      <c r="I1678">
        <v>159</v>
      </c>
      <c r="J1678" t="s">
        <v>32</v>
      </c>
      <c r="K1678" t="str">
        <f>_xlfn.XLOOKUP(datos_ventas[[#This Row],[Ciudad]],Tabla2[Ciudades],Tabla2[Provincias],"no se encuentra")</f>
        <v>Barcelona</v>
      </c>
      <c r="L1678" t="str">
        <f>_xlfn.XLOOKUP(datos_ventas[[#This Row],[Provincia]],Tabla2[Provincias],Tabla2[Comunidades],"no se encuentra")</f>
        <v>Cataluña</v>
      </c>
      <c r="M1678" t="s">
        <v>13</v>
      </c>
      <c r="N1678">
        <v>1</v>
      </c>
    </row>
    <row r="1679" spans="1:14" x14ac:dyDescent="0.25">
      <c r="A1679">
        <v>2678</v>
      </c>
      <c r="B1679" s="1">
        <v>45859</v>
      </c>
      <c r="C1679" s="4">
        <f>MONTH(datos_ventas[[#This Row],[Fecha]])</f>
        <v>7</v>
      </c>
      <c r="D1679" s="4">
        <f>WEEKNUM(datos_ventas[[#This Row],[Fecha]],2)</f>
        <v>30</v>
      </c>
      <c r="E1679" t="s">
        <v>10</v>
      </c>
      <c r="F1679" t="s">
        <v>11</v>
      </c>
      <c r="G1679">
        <v>2</v>
      </c>
      <c r="H1679">
        <v>38702</v>
      </c>
      <c r="I1679">
        <v>4012</v>
      </c>
      <c r="J1679" t="s">
        <v>22</v>
      </c>
      <c r="K1679" t="str">
        <f>_xlfn.XLOOKUP(datos_ventas[[#This Row],[Ciudad]],Tabla2[Ciudades],Tabla2[Provincias],"no se encuentra")</f>
        <v>Valencia</v>
      </c>
      <c r="L1679" t="str">
        <f>_xlfn.XLOOKUP(datos_ventas[[#This Row],[Provincia]],Tabla2[Provincias],Tabla2[Comunidades],"no se encuentra")</f>
        <v>Comunidad Valenciana</v>
      </c>
      <c r="M1679" t="s">
        <v>19</v>
      </c>
      <c r="N1679">
        <v>2</v>
      </c>
    </row>
    <row r="1680" spans="1:14" x14ac:dyDescent="0.25">
      <c r="A1680">
        <v>2679</v>
      </c>
      <c r="B1680" s="1">
        <v>45732</v>
      </c>
      <c r="C1680" s="4">
        <f>MONTH(datos_ventas[[#This Row],[Fecha]])</f>
        <v>3</v>
      </c>
      <c r="D1680" s="4">
        <f>WEEKNUM(datos_ventas[[#This Row],[Fecha]],2)</f>
        <v>11</v>
      </c>
      <c r="E1680" t="s">
        <v>16</v>
      </c>
      <c r="F1680" t="s">
        <v>11</v>
      </c>
      <c r="G1680">
        <v>2</v>
      </c>
      <c r="H1680">
        <v>109805</v>
      </c>
      <c r="I1680">
        <v>2984</v>
      </c>
      <c r="J1680" t="s">
        <v>14</v>
      </c>
      <c r="K1680" t="str">
        <f>_xlfn.XLOOKUP(datos_ventas[[#This Row],[Ciudad]],Tabla2[Ciudades],Tabla2[Provincias],"no se encuentra")</f>
        <v>Madrid</v>
      </c>
      <c r="L1680" t="str">
        <f>_xlfn.XLOOKUP(datos_ventas[[#This Row],[Provincia]],Tabla2[Provincias],Tabla2[Comunidades],"no se encuentra")</f>
        <v>Comunidad de Madrid</v>
      </c>
      <c r="M1680" t="s">
        <v>15</v>
      </c>
      <c r="N1680">
        <v>1</v>
      </c>
    </row>
    <row r="1681" spans="1:14" x14ac:dyDescent="0.25">
      <c r="A1681">
        <v>2680</v>
      </c>
      <c r="B1681" s="1">
        <v>45919</v>
      </c>
      <c r="C1681" s="4">
        <f>MONTH(datos_ventas[[#This Row],[Fecha]])</f>
        <v>9</v>
      </c>
      <c r="D1681" s="4">
        <f>WEEKNUM(datos_ventas[[#This Row],[Fecha]],2)</f>
        <v>38</v>
      </c>
      <c r="E1681" t="s">
        <v>20</v>
      </c>
      <c r="F1681" t="s">
        <v>21</v>
      </c>
      <c r="G1681">
        <v>4</v>
      </c>
      <c r="H1681">
        <v>87939</v>
      </c>
      <c r="I1681">
        <v>2755</v>
      </c>
      <c r="J1681" t="s">
        <v>27</v>
      </c>
      <c r="K1681" t="str">
        <f>_xlfn.XLOOKUP(datos_ventas[[#This Row],[Ciudad]],Tabla2[Ciudades],Tabla2[Provincias],"no se encuentra")</f>
        <v>Sevilla</v>
      </c>
      <c r="L1681" t="str">
        <f>_xlfn.XLOOKUP(datos_ventas[[#This Row],[Provincia]],Tabla2[Provincias],Tabla2[Comunidades],"no se encuentra")</f>
        <v>Andalucía</v>
      </c>
      <c r="M1681" t="s">
        <v>15</v>
      </c>
      <c r="N1681">
        <v>3</v>
      </c>
    </row>
    <row r="1682" spans="1:14" x14ac:dyDescent="0.25">
      <c r="A1682">
        <v>2681</v>
      </c>
      <c r="B1682" s="1">
        <v>45696</v>
      </c>
      <c r="C1682" s="4">
        <f>MONTH(datos_ventas[[#This Row],[Fecha]])</f>
        <v>2</v>
      </c>
      <c r="D1682" s="4">
        <f>WEEKNUM(datos_ventas[[#This Row],[Fecha]],2)</f>
        <v>6</v>
      </c>
      <c r="E1682" t="s">
        <v>23</v>
      </c>
      <c r="F1682" t="s">
        <v>18</v>
      </c>
      <c r="G1682">
        <v>5</v>
      </c>
      <c r="H1682">
        <v>112253</v>
      </c>
      <c r="I1682">
        <v>83</v>
      </c>
      <c r="J1682" t="s">
        <v>22</v>
      </c>
      <c r="K1682" t="str">
        <f>_xlfn.XLOOKUP(datos_ventas[[#This Row],[Ciudad]],Tabla2[Ciudades],Tabla2[Provincias],"no se encuentra")</f>
        <v>Valencia</v>
      </c>
      <c r="L1682" t="str">
        <f>_xlfn.XLOOKUP(datos_ventas[[#This Row],[Provincia]],Tabla2[Provincias],Tabla2[Comunidades],"no se encuentra")</f>
        <v>Comunidad Valenciana</v>
      </c>
      <c r="M1682" t="s">
        <v>13</v>
      </c>
      <c r="N1682">
        <v>3</v>
      </c>
    </row>
    <row r="1683" spans="1:14" x14ac:dyDescent="0.25">
      <c r="A1683">
        <v>2682</v>
      </c>
      <c r="B1683" s="1">
        <v>45659</v>
      </c>
      <c r="C1683" s="4">
        <f>MONTH(datos_ventas[[#This Row],[Fecha]])</f>
        <v>1</v>
      </c>
      <c r="D1683" s="4">
        <f>WEEKNUM(datos_ventas[[#This Row],[Fecha]],2)</f>
        <v>1</v>
      </c>
      <c r="E1683" t="s">
        <v>17</v>
      </c>
      <c r="F1683" t="s">
        <v>18</v>
      </c>
      <c r="G1683">
        <v>1</v>
      </c>
      <c r="H1683">
        <v>11701</v>
      </c>
      <c r="I1683">
        <v>2548</v>
      </c>
      <c r="J1683" t="s">
        <v>12</v>
      </c>
      <c r="K1683" t="str">
        <f>_xlfn.XLOOKUP(datos_ventas[[#This Row],[Ciudad]],Tabla2[Ciudades],Tabla2[Provincias],"no se encuentra")</f>
        <v>Málaga</v>
      </c>
      <c r="L1683" t="str">
        <f>_xlfn.XLOOKUP(datos_ventas[[#This Row],[Provincia]],Tabla2[Provincias],Tabla2[Comunidades],"no se encuentra")</f>
        <v>Andalucía</v>
      </c>
      <c r="M1683" t="s">
        <v>13</v>
      </c>
      <c r="N1683">
        <v>5</v>
      </c>
    </row>
    <row r="1684" spans="1:14" x14ac:dyDescent="0.25">
      <c r="A1684">
        <v>2683</v>
      </c>
      <c r="B1684" s="1">
        <v>45738</v>
      </c>
      <c r="C1684" s="4">
        <f>MONTH(datos_ventas[[#This Row],[Fecha]])</f>
        <v>3</v>
      </c>
      <c r="D1684" s="4">
        <f>WEEKNUM(datos_ventas[[#This Row],[Fecha]],2)</f>
        <v>12</v>
      </c>
      <c r="E1684" t="s">
        <v>29</v>
      </c>
      <c r="F1684" t="s">
        <v>30</v>
      </c>
      <c r="G1684">
        <v>4</v>
      </c>
      <c r="H1684">
        <v>11865</v>
      </c>
      <c r="I1684">
        <v>1558</v>
      </c>
      <c r="J1684" t="s">
        <v>22</v>
      </c>
      <c r="K1684" t="str">
        <f>_xlfn.XLOOKUP(datos_ventas[[#This Row],[Ciudad]],Tabla2[Ciudades],Tabla2[Provincias],"no se encuentra")</f>
        <v>Valencia</v>
      </c>
      <c r="L1684" t="str">
        <f>_xlfn.XLOOKUP(datos_ventas[[#This Row],[Provincia]],Tabla2[Provincias],Tabla2[Comunidades],"no se encuentra")</f>
        <v>Comunidad Valenciana</v>
      </c>
      <c r="M1684" t="s">
        <v>19</v>
      </c>
      <c r="N1684">
        <v>2</v>
      </c>
    </row>
    <row r="1685" spans="1:14" x14ac:dyDescent="0.25">
      <c r="A1685">
        <v>2684</v>
      </c>
      <c r="B1685" s="1">
        <v>45774</v>
      </c>
      <c r="C1685" s="4">
        <f>MONTH(datos_ventas[[#This Row],[Fecha]])</f>
        <v>4</v>
      </c>
      <c r="D1685" s="4">
        <f>WEEKNUM(datos_ventas[[#This Row],[Fecha]],2)</f>
        <v>17</v>
      </c>
      <c r="E1685" t="s">
        <v>10</v>
      </c>
      <c r="F1685" t="s">
        <v>11</v>
      </c>
      <c r="G1685">
        <v>4</v>
      </c>
      <c r="H1685">
        <v>73726</v>
      </c>
      <c r="I1685">
        <v>305</v>
      </c>
      <c r="J1685" t="s">
        <v>32</v>
      </c>
      <c r="K1685" t="str">
        <f>_xlfn.XLOOKUP(datos_ventas[[#This Row],[Ciudad]],Tabla2[Ciudades],Tabla2[Provincias],"no se encuentra")</f>
        <v>Barcelona</v>
      </c>
      <c r="L1685" t="str">
        <f>_xlfn.XLOOKUP(datos_ventas[[#This Row],[Provincia]],Tabla2[Provincias],Tabla2[Comunidades],"no se encuentra")</f>
        <v>Cataluña</v>
      </c>
      <c r="M1685" t="s">
        <v>28</v>
      </c>
      <c r="N1685">
        <v>3</v>
      </c>
    </row>
    <row r="1686" spans="1:14" x14ac:dyDescent="0.25">
      <c r="A1686">
        <v>2685</v>
      </c>
      <c r="B1686" s="1">
        <v>45900</v>
      </c>
      <c r="C1686" s="4">
        <f>MONTH(datos_ventas[[#This Row],[Fecha]])</f>
        <v>8</v>
      </c>
      <c r="D1686" s="4">
        <f>WEEKNUM(datos_ventas[[#This Row],[Fecha]],2)</f>
        <v>35</v>
      </c>
      <c r="E1686" t="s">
        <v>17</v>
      </c>
      <c r="F1686" t="s">
        <v>18</v>
      </c>
      <c r="G1686">
        <v>2</v>
      </c>
      <c r="H1686">
        <v>33447</v>
      </c>
      <c r="I1686">
        <v>3118</v>
      </c>
      <c r="J1686" t="s">
        <v>32</v>
      </c>
      <c r="K1686" t="str">
        <f>_xlfn.XLOOKUP(datos_ventas[[#This Row],[Ciudad]],Tabla2[Ciudades],Tabla2[Provincias],"no se encuentra")</f>
        <v>Barcelona</v>
      </c>
      <c r="L1686" t="str">
        <f>_xlfn.XLOOKUP(datos_ventas[[#This Row],[Provincia]],Tabla2[Provincias],Tabla2[Comunidades],"no se encuentra")</f>
        <v>Cataluña</v>
      </c>
      <c r="M1686" t="s">
        <v>19</v>
      </c>
      <c r="N1686">
        <v>3</v>
      </c>
    </row>
    <row r="1687" spans="1:14" x14ac:dyDescent="0.25">
      <c r="A1687">
        <v>2686</v>
      </c>
      <c r="B1687" s="1">
        <v>45719</v>
      </c>
      <c r="C1687" s="4">
        <f>MONTH(datos_ventas[[#This Row],[Fecha]])</f>
        <v>3</v>
      </c>
      <c r="D1687" s="4">
        <f>WEEKNUM(datos_ventas[[#This Row],[Fecha]],2)</f>
        <v>10</v>
      </c>
      <c r="E1687" t="s">
        <v>24</v>
      </c>
      <c r="F1687" t="s">
        <v>25</v>
      </c>
      <c r="G1687">
        <v>5</v>
      </c>
      <c r="H1687">
        <v>34413</v>
      </c>
      <c r="I1687">
        <v>1711</v>
      </c>
      <c r="J1687" t="s">
        <v>32</v>
      </c>
      <c r="K1687" t="str">
        <f>_xlfn.XLOOKUP(datos_ventas[[#This Row],[Ciudad]],Tabla2[Ciudades],Tabla2[Provincias],"no se encuentra")</f>
        <v>Barcelona</v>
      </c>
      <c r="L1687" t="str">
        <f>_xlfn.XLOOKUP(datos_ventas[[#This Row],[Provincia]],Tabla2[Provincias],Tabla2[Comunidades],"no se encuentra")</f>
        <v>Cataluña</v>
      </c>
      <c r="M1687" t="s">
        <v>13</v>
      </c>
      <c r="N1687">
        <v>4</v>
      </c>
    </row>
    <row r="1688" spans="1:14" x14ac:dyDescent="0.25">
      <c r="A1688">
        <v>2687</v>
      </c>
      <c r="B1688" s="1">
        <v>45757</v>
      </c>
      <c r="C1688" s="4">
        <f>MONTH(datos_ventas[[#This Row],[Fecha]])</f>
        <v>4</v>
      </c>
      <c r="D1688" s="4">
        <f>WEEKNUM(datos_ventas[[#This Row],[Fecha]],2)</f>
        <v>15</v>
      </c>
      <c r="E1688" t="s">
        <v>26</v>
      </c>
      <c r="F1688" t="s">
        <v>18</v>
      </c>
      <c r="G1688">
        <v>4</v>
      </c>
      <c r="H1688">
        <v>9209</v>
      </c>
      <c r="I1688">
        <v>2672</v>
      </c>
      <c r="J1688" t="s">
        <v>27</v>
      </c>
      <c r="K1688" t="str">
        <f>_xlfn.XLOOKUP(datos_ventas[[#This Row],[Ciudad]],Tabla2[Ciudades],Tabla2[Provincias],"no se encuentra")</f>
        <v>Sevilla</v>
      </c>
      <c r="L1688" t="str">
        <f>_xlfn.XLOOKUP(datos_ventas[[#This Row],[Provincia]],Tabla2[Provincias],Tabla2[Comunidades],"no se encuentra")</f>
        <v>Andalucía</v>
      </c>
      <c r="M1688" t="s">
        <v>15</v>
      </c>
      <c r="N1688">
        <v>3</v>
      </c>
    </row>
    <row r="1689" spans="1:14" x14ac:dyDescent="0.25">
      <c r="A1689">
        <v>2688</v>
      </c>
      <c r="B1689" s="1">
        <v>45877</v>
      </c>
      <c r="C1689" s="4">
        <f>MONTH(datos_ventas[[#This Row],[Fecha]])</f>
        <v>8</v>
      </c>
      <c r="D1689" s="4">
        <f>WEEKNUM(datos_ventas[[#This Row],[Fecha]],2)</f>
        <v>32</v>
      </c>
      <c r="E1689" t="s">
        <v>24</v>
      </c>
      <c r="F1689" t="s">
        <v>25</v>
      </c>
      <c r="G1689">
        <v>2</v>
      </c>
      <c r="H1689">
        <v>55085</v>
      </c>
      <c r="I1689">
        <v>2025</v>
      </c>
      <c r="J1689" t="s">
        <v>32</v>
      </c>
      <c r="K1689" t="str">
        <f>_xlfn.XLOOKUP(datos_ventas[[#This Row],[Ciudad]],Tabla2[Ciudades],Tabla2[Provincias],"no se encuentra")</f>
        <v>Barcelona</v>
      </c>
      <c r="L1689" t="str">
        <f>_xlfn.XLOOKUP(datos_ventas[[#This Row],[Provincia]],Tabla2[Provincias],Tabla2[Comunidades],"no se encuentra")</f>
        <v>Cataluña</v>
      </c>
      <c r="M1689" t="s">
        <v>19</v>
      </c>
      <c r="N1689">
        <v>5</v>
      </c>
    </row>
    <row r="1690" spans="1:14" x14ac:dyDescent="0.25">
      <c r="A1690">
        <v>2689</v>
      </c>
      <c r="B1690" s="1">
        <v>45818</v>
      </c>
      <c r="C1690" s="4">
        <f>MONTH(datos_ventas[[#This Row],[Fecha]])</f>
        <v>6</v>
      </c>
      <c r="D1690" s="4">
        <f>WEEKNUM(datos_ventas[[#This Row],[Fecha]],2)</f>
        <v>24</v>
      </c>
      <c r="E1690" t="s">
        <v>16</v>
      </c>
      <c r="F1690" t="s">
        <v>11</v>
      </c>
      <c r="G1690">
        <v>3</v>
      </c>
      <c r="H1690">
        <v>2490</v>
      </c>
      <c r="I1690">
        <v>1512</v>
      </c>
      <c r="J1690" t="s">
        <v>31</v>
      </c>
      <c r="K1690" t="str">
        <f>_xlfn.XLOOKUP(datos_ventas[[#This Row],[Ciudad]],Tabla2[Ciudades],Tabla2[Provincias],"no se encuentra")</f>
        <v>Vizcaya</v>
      </c>
      <c r="L1690" t="str">
        <f>_xlfn.XLOOKUP(datos_ventas[[#This Row],[Provincia]],Tabla2[Provincias],Tabla2[Comunidades],"no se encuentra")</f>
        <v>País Vasco</v>
      </c>
      <c r="M1690" t="s">
        <v>15</v>
      </c>
      <c r="N1690">
        <v>3</v>
      </c>
    </row>
    <row r="1691" spans="1:14" x14ac:dyDescent="0.25">
      <c r="A1691">
        <v>2690</v>
      </c>
      <c r="B1691" s="1">
        <v>45997</v>
      </c>
      <c r="C1691" s="4">
        <f>MONTH(datos_ventas[[#This Row],[Fecha]])</f>
        <v>12</v>
      </c>
      <c r="D1691" s="4">
        <f>WEEKNUM(datos_ventas[[#This Row],[Fecha]],2)</f>
        <v>49</v>
      </c>
      <c r="E1691" t="s">
        <v>17</v>
      </c>
      <c r="F1691" t="s">
        <v>18</v>
      </c>
      <c r="G1691">
        <v>1</v>
      </c>
      <c r="H1691">
        <v>100053</v>
      </c>
      <c r="I1691">
        <v>1385</v>
      </c>
      <c r="J1691" t="s">
        <v>32</v>
      </c>
      <c r="K1691" t="str">
        <f>_xlfn.XLOOKUP(datos_ventas[[#This Row],[Ciudad]],Tabla2[Ciudades],Tabla2[Provincias],"no se encuentra")</f>
        <v>Barcelona</v>
      </c>
      <c r="L1691" t="str">
        <f>_xlfn.XLOOKUP(datos_ventas[[#This Row],[Provincia]],Tabla2[Provincias],Tabla2[Comunidades],"no se encuentra")</f>
        <v>Cataluña</v>
      </c>
      <c r="M1691" t="s">
        <v>15</v>
      </c>
      <c r="N1691">
        <v>5</v>
      </c>
    </row>
    <row r="1692" spans="1:14" x14ac:dyDescent="0.25">
      <c r="A1692">
        <v>2691</v>
      </c>
      <c r="B1692" s="1">
        <v>45752</v>
      </c>
      <c r="C1692" s="4">
        <f>MONTH(datos_ventas[[#This Row],[Fecha]])</f>
        <v>4</v>
      </c>
      <c r="D1692" s="4">
        <f>WEEKNUM(datos_ventas[[#This Row],[Fecha]],2)</f>
        <v>14</v>
      </c>
      <c r="E1692" t="s">
        <v>24</v>
      </c>
      <c r="F1692" t="s">
        <v>25</v>
      </c>
      <c r="G1692">
        <v>3</v>
      </c>
      <c r="H1692">
        <v>9262</v>
      </c>
      <c r="I1692">
        <v>1619</v>
      </c>
      <c r="J1692" t="s">
        <v>22</v>
      </c>
      <c r="K1692" t="str">
        <f>_xlfn.XLOOKUP(datos_ventas[[#This Row],[Ciudad]],Tabla2[Ciudades],Tabla2[Provincias],"no se encuentra")</f>
        <v>Valencia</v>
      </c>
      <c r="L1692" t="str">
        <f>_xlfn.XLOOKUP(datos_ventas[[#This Row],[Provincia]],Tabla2[Provincias],Tabla2[Comunidades],"no se encuentra")</f>
        <v>Comunidad Valenciana</v>
      </c>
      <c r="M1692" t="s">
        <v>28</v>
      </c>
      <c r="N1692">
        <v>3</v>
      </c>
    </row>
    <row r="1693" spans="1:14" x14ac:dyDescent="0.25">
      <c r="A1693">
        <v>2692</v>
      </c>
      <c r="B1693" s="1">
        <v>45869</v>
      </c>
      <c r="C1693" s="4">
        <f>MONTH(datos_ventas[[#This Row],[Fecha]])</f>
        <v>7</v>
      </c>
      <c r="D1693" s="4">
        <f>WEEKNUM(datos_ventas[[#This Row],[Fecha]],2)</f>
        <v>31</v>
      </c>
      <c r="E1693" t="s">
        <v>24</v>
      </c>
      <c r="F1693" t="s">
        <v>25</v>
      </c>
      <c r="G1693">
        <v>2</v>
      </c>
      <c r="H1693">
        <v>4329</v>
      </c>
      <c r="I1693">
        <v>3927</v>
      </c>
      <c r="J1693" t="s">
        <v>27</v>
      </c>
      <c r="K1693" t="str">
        <f>_xlfn.XLOOKUP(datos_ventas[[#This Row],[Ciudad]],Tabla2[Ciudades],Tabla2[Provincias],"no se encuentra")</f>
        <v>Sevilla</v>
      </c>
      <c r="L1693" t="str">
        <f>_xlfn.XLOOKUP(datos_ventas[[#This Row],[Provincia]],Tabla2[Provincias],Tabla2[Comunidades],"no se encuentra")</f>
        <v>Andalucía</v>
      </c>
      <c r="M1693" t="s">
        <v>15</v>
      </c>
      <c r="N1693">
        <v>2</v>
      </c>
    </row>
    <row r="1694" spans="1:14" x14ac:dyDescent="0.25">
      <c r="A1694">
        <v>2693</v>
      </c>
      <c r="B1694" s="1">
        <v>45960</v>
      </c>
      <c r="C1694" s="4">
        <f>MONTH(datos_ventas[[#This Row],[Fecha]])</f>
        <v>10</v>
      </c>
      <c r="D1694" s="4">
        <f>WEEKNUM(datos_ventas[[#This Row],[Fecha]],2)</f>
        <v>44</v>
      </c>
      <c r="E1694" t="s">
        <v>24</v>
      </c>
      <c r="F1694" t="s">
        <v>25</v>
      </c>
      <c r="G1694">
        <v>5</v>
      </c>
      <c r="H1694">
        <v>72619</v>
      </c>
      <c r="I1694">
        <v>922</v>
      </c>
      <c r="J1694" t="s">
        <v>14</v>
      </c>
      <c r="K1694" t="str">
        <f>_xlfn.XLOOKUP(datos_ventas[[#This Row],[Ciudad]],Tabla2[Ciudades],Tabla2[Provincias],"no se encuentra")</f>
        <v>Madrid</v>
      </c>
      <c r="L1694" t="str">
        <f>_xlfn.XLOOKUP(datos_ventas[[#This Row],[Provincia]],Tabla2[Provincias],Tabla2[Comunidades],"no se encuentra")</f>
        <v>Comunidad de Madrid</v>
      </c>
      <c r="M1694" t="s">
        <v>13</v>
      </c>
      <c r="N1694">
        <v>4</v>
      </c>
    </row>
    <row r="1695" spans="1:14" x14ac:dyDescent="0.25">
      <c r="A1695">
        <v>2694</v>
      </c>
      <c r="B1695" s="1">
        <v>45813</v>
      </c>
      <c r="C1695" s="4">
        <f>MONTH(datos_ventas[[#This Row],[Fecha]])</f>
        <v>6</v>
      </c>
      <c r="D1695" s="4">
        <f>WEEKNUM(datos_ventas[[#This Row],[Fecha]],2)</f>
        <v>23</v>
      </c>
      <c r="E1695" t="s">
        <v>29</v>
      </c>
      <c r="F1695" t="s">
        <v>30</v>
      </c>
      <c r="G1695">
        <v>3</v>
      </c>
      <c r="H1695">
        <v>65604</v>
      </c>
      <c r="I1695">
        <v>2258</v>
      </c>
      <c r="J1695" t="s">
        <v>27</v>
      </c>
      <c r="K1695" t="str">
        <f>_xlfn.XLOOKUP(datos_ventas[[#This Row],[Ciudad]],Tabla2[Ciudades],Tabla2[Provincias],"no se encuentra")</f>
        <v>Sevilla</v>
      </c>
      <c r="L1695" t="str">
        <f>_xlfn.XLOOKUP(datos_ventas[[#This Row],[Provincia]],Tabla2[Provincias],Tabla2[Comunidades],"no se encuentra")</f>
        <v>Andalucía</v>
      </c>
      <c r="M1695" t="s">
        <v>19</v>
      </c>
      <c r="N1695">
        <v>5</v>
      </c>
    </row>
    <row r="1696" spans="1:14" x14ac:dyDescent="0.25">
      <c r="A1696">
        <v>2695</v>
      </c>
      <c r="B1696" s="1">
        <v>45825</v>
      </c>
      <c r="C1696" s="4">
        <f>MONTH(datos_ventas[[#This Row],[Fecha]])</f>
        <v>6</v>
      </c>
      <c r="D1696" s="4">
        <f>WEEKNUM(datos_ventas[[#This Row],[Fecha]],2)</f>
        <v>25</v>
      </c>
      <c r="E1696" t="s">
        <v>23</v>
      </c>
      <c r="F1696" t="s">
        <v>18</v>
      </c>
      <c r="G1696">
        <v>5</v>
      </c>
      <c r="H1696">
        <v>117692</v>
      </c>
      <c r="I1696">
        <v>3318</v>
      </c>
      <c r="J1696" t="s">
        <v>31</v>
      </c>
      <c r="K1696" t="str">
        <f>_xlfn.XLOOKUP(datos_ventas[[#This Row],[Ciudad]],Tabla2[Ciudades],Tabla2[Provincias],"no se encuentra")</f>
        <v>Vizcaya</v>
      </c>
      <c r="L1696" t="str">
        <f>_xlfn.XLOOKUP(datos_ventas[[#This Row],[Provincia]],Tabla2[Provincias],Tabla2[Comunidades],"no se encuentra")</f>
        <v>País Vasco</v>
      </c>
      <c r="M1696" t="s">
        <v>15</v>
      </c>
      <c r="N1696">
        <v>5</v>
      </c>
    </row>
    <row r="1697" spans="1:14" x14ac:dyDescent="0.25">
      <c r="A1697">
        <v>2696</v>
      </c>
      <c r="B1697" s="1">
        <v>45796</v>
      </c>
      <c r="C1697" s="4">
        <f>MONTH(datos_ventas[[#This Row],[Fecha]])</f>
        <v>5</v>
      </c>
      <c r="D1697" s="4">
        <f>WEEKNUM(datos_ventas[[#This Row],[Fecha]],2)</f>
        <v>21</v>
      </c>
      <c r="E1697" t="s">
        <v>29</v>
      </c>
      <c r="F1697" t="s">
        <v>30</v>
      </c>
      <c r="G1697">
        <v>5</v>
      </c>
      <c r="H1697">
        <v>86364</v>
      </c>
      <c r="I1697">
        <v>2632</v>
      </c>
      <c r="J1697" t="s">
        <v>14</v>
      </c>
      <c r="K1697" t="str">
        <f>_xlfn.XLOOKUP(datos_ventas[[#This Row],[Ciudad]],Tabla2[Ciudades],Tabla2[Provincias],"no se encuentra")</f>
        <v>Madrid</v>
      </c>
      <c r="L1697" t="str">
        <f>_xlfn.XLOOKUP(datos_ventas[[#This Row],[Provincia]],Tabla2[Provincias],Tabla2[Comunidades],"no se encuentra")</f>
        <v>Comunidad de Madrid</v>
      </c>
      <c r="M1697" t="s">
        <v>28</v>
      </c>
      <c r="N1697">
        <v>2</v>
      </c>
    </row>
    <row r="1698" spans="1:14" x14ac:dyDescent="0.25">
      <c r="A1698">
        <v>2697</v>
      </c>
      <c r="B1698" s="1">
        <v>45762</v>
      </c>
      <c r="C1698" s="4">
        <f>MONTH(datos_ventas[[#This Row],[Fecha]])</f>
        <v>4</v>
      </c>
      <c r="D1698" s="4">
        <f>WEEKNUM(datos_ventas[[#This Row],[Fecha]],2)</f>
        <v>16</v>
      </c>
      <c r="E1698" t="s">
        <v>17</v>
      </c>
      <c r="F1698" t="s">
        <v>18</v>
      </c>
      <c r="G1698">
        <v>5</v>
      </c>
      <c r="H1698">
        <v>119348</v>
      </c>
      <c r="I1698">
        <v>271</v>
      </c>
      <c r="J1698" t="s">
        <v>22</v>
      </c>
      <c r="K1698" t="str">
        <f>_xlfn.XLOOKUP(datos_ventas[[#This Row],[Ciudad]],Tabla2[Ciudades],Tabla2[Provincias],"no se encuentra")</f>
        <v>Valencia</v>
      </c>
      <c r="L1698" t="str">
        <f>_xlfn.XLOOKUP(datos_ventas[[#This Row],[Provincia]],Tabla2[Provincias],Tabla2[Comunidades],"no se encuentra")</f>
        <v>Comunidad Valenciana</v>
      </c>
      <c r="M1698" t="s">
        <v>28</v>
      </c>
      <c r="N1698">
        <v>2</v>
      </c>
    </row>
    <row r="1699" spans="1:14" x14ac:dyDescent="0.25">
      <c r="A1699">
        <v>2698</v>
      </c>
      <c r="B1699" s="1">
        <v>45736</v>
      </c>
      <c r="C1699" s="4">
        <f>MONTH(datos_ventas[[#This Row],[Fecha]])</f>
        <v>3</v>
      </c>
      <c r="D1699" s="4">
        <f>WEEKNUM(datos_ventas[[#This Row],[Fecha]],2)</f>
        <v>12</v>
      </c>
      <c r="E1699" t="s">
        <v>16</v>
      </c>
      <c r="F1699" t="s">
        <v>11</v>
      </c>
      <c r="G1699">
        <v>3</v>
      </c>
      <c r="H1699">
        <v>6679</v>
      </c>
      <c r="I1699">
        <v>1183</v>
      </c>
      <c r="J1699" t="s">
        <v>12</v>
      </c>
      <c r="K1699" t="str">
        <f>_xlfn.XLOOKUP(datos_ventas[[#This Row],[Ciudad]],Tabla2[Ciudades],Tabla2[Provincias],"no se encuentra")</f>
        <v>Málaga</v>
      </c>
      <c r="L1699" t="str">
        <f>_xlfn.XLOOKUP(datos_ventas[[#This Row],[Provincia]],Tabla2[Provincias],Tabla2[Comunidades],"no se encuentra")</f>
        <v>Andalucía</v>
      </c>
      <c r="M1699" t="s">
        <v>15</v>
      </c>
      <c r="N1699">
        <v>4</v>
      </c>
    </row>
    <row r="1700" spans="1:14" x14ac:dyDescent="0.25">
      <c r="A1700">
        <v>2699</v>
      </c>
      <c r="B1700" s="1">
        <v>45710</v>
      </c>
      <c r="C1700" s="4">
        <f>MONTH(datos_ventas[[#This Row],[Fecha]])</f>
        <v>2</v>
      </c>
      <c r="D1700" s="4">
        <f>WEEKNUM(datos_ventas[[#This Row],[Fecha]],2)</f>
        <v>8</v>
      </c>
      <c r="E1700" t="s">
        <v>29</v>
      </c>
      <c r="F1700" t="s">
        <v>30</v>
      </c>
      <c r="G1700">
        <v>3</v>
      </c>
      <c r="H1700">
        <v>104943</v>
      </c>
      <c r="I1700">
        <v>2604</v>
      </c>
      <c r="J1700" t="s">
        <v>22</v>
      </c>
      <c r="K1700" t="str">
        <f>_xlfn.XLOOKUP(datos_ventas[[#This Row],[Ciudad]],Tabla2[Ciudades],Tabla2[Provincias],"no se encuentra")</f>
        <v>Valencia</v>
      </c>
      <c r="L1700" t="str">
        <f>_xlfn.XLOOKUP(datos_ventas[[#This Row],[Provincia]],Tabla2[Provincias],Tabla2[Comunidades],"no se encuentra")</f>
        <v>Comunidad Valenciana</v>
      </c>
      <c r="M1700" t="s">
        <v>13</v>
      </c>
      <c r="N1700">
        <v>2</v>
      </c>
    </row>
    <row r="1701" spans="1:14" x14ac:dyDescent="0.25">
      <c r="A1701">
        <v>2700</v>
      </c>
      <c r="B1701" s="1">
        <v>45673</v>
      </c>
      <c r="C1701" s="4">
        <f>MONTH(datos_ventas[[#This Row],[Fecha]])</f>
        <v>1</v>
      </c>
      <c r="D1701" s="4">
        <f>WEEKNUM(datos_ventas[[#This Row],[Fecha]],2)</f>
        <v>3</v>
      </c>
      <c r="E1701" t="s">
        <v>20</v>
      </c>
      <c r="F1701" t="s">
        <v>21</v>
      </c>
      <c r="G1701">
        <v>5</v>
      </c>
      <c r="H1701">
        <v>55163</v>
      </c>
      <c r="I1701">
        <v>1709</v>
      </c>
      <c r="J1701" t="s">
        <v>32</v>
      </c>
      <c r="K1701" t="str">
        <f>_xlfn.XLOOKUP(datos_ventas[[#This Row],[Ciudad]],Tabla2[Ciudades],Tabla2[Provincias],"no se encuentra")</f>
        <v>Barcelona</v>
      </c>
      <c r="L1701" t="str">
        <f>_xlfn.XLOOKUP(datos_ventas[[#This Row],[Provincia]],Tabla2[Provincias],Tabla2[Comunidades],"no se encuentra")</f>
        <v>Cataluña</v>
      </c>
      <c r="M1701" t="s">
        <v>15</v>
      </c>
      <c r="N1701">
        <v>1</v>
      </c>
    </row>
    <row r="1702" spans="1:14" x14ac:dyDescent="0.25">
      <c r="A1702">
        <v>2701</v>
      </c>
      <c r="B1702" s="1">
        <v>45903</v>
      </c>
      <c r="C1702" s="4">
        <f>MONTH(datos_ventas[[#This Row],[Fecha]])</f>
        <v>9</v>
      </c>
      <c r="D1702" s="4">
        <f>WEEKNUM(datos_ventas[[#This Row],[Fecha]],2)</f>
        <v>36</v>
      </c>
      <c r="E1702" t="s">
        <v>16</v>
      </c>
      <c r="F1702" t="s">
        <v>11</v>
      </c>
      <c r="G1702">
        <v>2</v>
      </c>
      <c r="H1702">
        <v>49587</v>
      </c>
      <c r="I1702">
        <v>2263</v>
      </c>
      <c r="J1702" t="s">
        <v>31</v>
      </c>
      <c r="K1702" t="str">
        <f>_xlfn.XLOOKUP(datos_ventas[[#This Row],[Ciudad]],Tabla2[Ciudades],Tabla2[Provincias],"no se encuentra")</f>
        <v>Vizcaya</v>
      </c>
      <c r="L1702" t="str">
        <f>_xlfn.XLOOKUP(datos_ventas[[#This Row],[Provincia]],Tabla2[Provincias],Tabla2[Comunidades],"no se encuentra")</f>
        <v>País Vasco</v>
      </c>
      <c r="M1702" t="s">
        <v>28</v>
      </c>
      <c r="N1702">
        <v>3</v>
      </c>
    </row>
    <row r="1703" spans="1:14" x14ac:dyDescent="0.25">
      <c r="A1703">
        <v>2702</v>
      </c>
      <c r="B1703" s="1">
        <v>45666</v>
      </c>
      <c r="C1703" s="4">
        <f>MONTH(datos_ventas[[#This Row],[Fecha]])</f>
        <v>1</v>
      </c>
      <c r="D1703" s="4">
        <f>WEEKNUM(datos_ventas[[#This Row],[Fecha]],2)</f>
        <v>2</v>
      </c>
      <c r="E1703" t="s">
        <v>17</v>
      </c>
      <c r="F1703" t="s">
        <v>18</v>
      </c>
      <c r="G1703">
        <v>1</v>
      </c>
      <c r="H1703">
        <v>70938</v>
      </c>
      <c r="I1703">
        <v>4653</v>
      </c>
      <c r="J1703" t="s">
        <v>32</v>
      </c>
      <c r="K1703" t="str">
        <f>_xlfn.XLOOKUP(datos_ventas[[#This Row],[Ciudad]],Tabla2[Ciudades],Tabla2[Provincias],"no se encuentra")</f>
        <v>Barcelona</v>
      </c>
      <c r="L1703" t="str">
        <f>_xlfn.XLOOKUP(datos_ventas[[#This Row],[Provincia]],Tabla2[Provincias],Tabla2[Comunidades],"no se encuentra")</f>
        <v>Cataluña</v>
      </c>
      <c r="M1703" t="s">
        <v>15</v>
      </c>
      <c r="N1703">
        <v>5</v>
      </c>
    </row>
    <row r="1704" spans="1:14" x14ac:dyDescent="0.25">
      <c r="A1704">
        <v>2703</v>
      </c>
      <c r="B1704" s="1">
        <v>45799</v>
      </c>
      <c r="C1704" s="4">
        <f>MONTH(datos_ventas[[#This Row],[Fecha]])</f>
        <v>5</v>
      </c>
      <c r="D1704" s="4">
        <f>WEEKNUM(datos_ventas[[#This Row],[Fecha]],2)</f>
        <v>21</v>
      </c>
      <c r="E1704" t="s">
        <v>16</v>
      </c>
      <c r="F1704" t="s">
        <v>11</v>
      </c>
      <c r="G1704">
        <v>1</v>
      </c>
      <c r="H1704">
        <v>24889</v>
      </c>
      <c r="I1704">
        <v>1431</v>
      </c>
      <c r="J1704" t="s">
        <v>22</v>
      </c>
      <c r="K1704" t="str">
        <f>_xlfn.XLOOKUP(datos_ventas[[#This Row],[Ciudad]],Tabla2[Ciudades],Tabla2[Provincias],"no se encuentra")</f>
        <v>Valencia</v>
      </c>
      <c r="L1704" t="str">
        <f>_xlfn.XLOOKUP(datos_ventas[[#This Row],[Provincia]],Tabla2[Provincias],Tabla2[Comunidades],"no se encuentra")</f>
        <v>Comunidad Valenciana</v>
      </c>
      <c r="M1704" t="s">
        <v>28</v>
      </c>
      <c r="N1704">
        <v>1</v>
      </c>
    </row>
    <row r="1705" spans="1:14" x14ac:dyDescent="0.25">
      <c r="A1705">
        <v>2704</v>
      </c>
      <c r="B1705" s="1">
        <v>45758</v>
      </c>
      <c r="C1705" s="4">
        <f>MONTH(datos_ventas[[#This Row],[Fecha]])</f>
        <v>4</v>
      </c>
      <c r="D1705" s="4">
        <f>WEEKNUM(datos_ventas[[#This Row],[Fecha]],2)</f>
        <v>15</v>
      </c>
      <c r="E1705" t="s">
        <v>29</v>
      </c>
      <c r="F1705" t="s">
        <v>30</v>
      </c>
      <c r="G1705">
        <v>2</v>
      </c>
      <c r="H1705">
        <v>110773</v>
      </c>
      <c r="I1705">
        <v>3971</v>
      </c>
      <c r="J1705" t="s">
        <v>31</v>
      </c>
      <c r="K1705" t="str">
        <f>_xlfn.XLOOKUP(datos_ventas[[#This Row],[Ciudad]],Tabla2[Ciudades],Tabla2[Provincias],"no se encuentra")</f>
        <v>Vizcaya</v>
      </c>
      <c r="L1705" t="str">
        <f>_xlfn.XLOOKUP(datos_ventas[[#This Row],[Provincia]],Tabla2[Provincias],Tabla2[Comunidades],"no se encuentra")</f>
        <v>País Vasco</v>
      </c>
      <c r="M1705" t="s">
        <v>19</v>
      </c>
      <c r="N1705">
        <v>1</v>
      </c>
    </row>
    <row r="1706" spans="1:14" x14ac:dyDescent="0.25">
      <c r="A1706">
        <v>2705</v>
      </c>
      <c r="B1706" s="1">
        <v>45923</v>
      </c>
      <c r="C1706" s="4">
        <f>MONTH(datos_ventas[[#This Row],[Fecha]])</f>
        <v>9</v>
      </c>
      <c r="D1706" s="4">
        <f>WEEKNUM(datos_ventas[[#This Row],[Fecha]],2)</f>
        <v>39</v>
      </c>
      <c r="E1706" t="s">
        <v>29</v>
      </c>
      <c r="F1706" t="s">
        <v>30</v>
      </c>
      <c r="G1706">
        <v>5</v>
      </c>
      <c r="H1706">
        <v>56791</v>
      </c>
      <c r="I1706">
        <v>343</v>
      </c>
      <c r="J1706" t="s">
        <v>27</v>
      </c>
      <c r="K1706" t="str">
        <f>_xlfn.XLOOKUP(datos_ventas[[#This Row],[Ciudad]],Tabla2[Ciudades],Tabla2[Provincias],"no se encuentra")</f>
        <v>Sevilla</v>
      </c>
      <c r="L1706" t="str">
        <f>_xlfn.XLOOKUP(datos_ventas[[#This Row],[Provincia]],Tabla2[Provincias],Tabla2[Comunidades],"no se encuentra")</f>
        <v>Andalucía</v>
      </c>
      <c r="M1706" t="s">
        <v>28</v>
      </c>
      <c r="N1706">
        <v>1</v>
      </c>
    </row>
    <row r="1707" spans="1:14" x14ac:dyDescent="0.25">
      <c r="A1707">
        <v>2706</v>
      </c>
      <c r="B1707" s="1">
        <v>45968</v>
      </c>
      <c r="C1707" s="4">
        <f>MONTH(datos_ventas[[#This Row],[Fecha]])</f>
        <v>11</v>
      </c>
      <c r="D1707" s="4">
        <f>WEEKNUM(datos_ventas[[#This Row],[Fecha]],2)</f>
        <v>45</v>
      </c>
      <c r="E1707" t="s">
        <v>26</v>
      </c>
      <c r="F1707" t="s">
        <v>18</v>
      </c>
      <c r="G1707">
        <v>3</v>
      </c>
      <c r="H1707">
        <v>6498</v>
      </c>
      <c r="I1707">
        <v>3696</v>
      </c>
      <c r="J1707" t="s">
        <v>22</v>
      </c>
      <c r="K1707" t="str">
        <f>_xlfn.XLOOKUP(datos_ventas[[#This Row],[Ciudad]],Tabla2[Ciudades],Tabla2[Provincias],"no se encuentra")</f>
        <v>Valencia</v>
      </c>
      <c r="L1707" t="str">
        <f>_xlfn.XLOOKUP(datos_ventas[[#This Row],[Provincia]],Tabla2[Provincias],Tabla2[Comunidades],"no se encuentra")</f>
        <v>Comunidad Valenciana</v>
      </c>
      <c r="M1707" t="s">
        <v>28</v>
      </c>
      <c r="N1707">
        <v>5</v>
      </c>
    </row>
    <row r="1708" spans="1:14" x14ac:dyDescent="0.25">
      <c r="A1708">
        <v>2707</v>
      </c>
      <c r="B1708" s="1">
        <v>45961</v>
      </c>
      <c r="C1708" s="4">
        <f>MONTH(datos_ventas[[#This Row],[Fecha]])</f>
        <v>10</v>
      </c>
      <c r="D1708" s="4">
        <f>WEEKNUM(datos_ventas[[#This Row],[Fecha]],2)</f>
        <v>44</v>
      </c>
      <c r="E1708" t="s">
        <v>17</v>
      </c>
      <c r="F1708" t="s">
        <v>18</v>
      </c>
      <c r="G1708">
        <v>4</v>
      </c>
      <c r="H1708">
        <v>115173</v>
      </c>
      <c r="I1708">
        <v>2516</v>
      </c>
      <c r="J1708" t="s">
        <v>22</v>
      </c>
      <c r="K1708" t="str">
        <f>_xlfn.XLOOKUP(datos_ventas[[#This Row],[Ciudad]],Tabla2[Ciudades],Tabla2[Provincias],"no se encuentra")</f>
        <v>Valencia</v>
      </c>
      <c r="L1708" t="str">
        <f>_xlfn.XLOOKUP(datos_ventas[[#This Row],[Provincia]],Tabla2[Provincias],Tabla2[Comunidades],"no se encuentra")</f>
        <v>Comunidad Valenciana</v>
      </c>
      <c r="M1708" t="s">
        <v>28</v>
      </c>
      <c r="N1708">
        <v>4</v>
      </c>
    </row>
    <row r="1709" spans="1:14" x14ac:dyDescent="0.25">
      <c r="A1709">
        <v>2708</v>
      </c>
      <c r="B1709" s="1">
        <v>45983</v>
      </c>
      <c r="C1709" s="4">
        <f>MONTH(datos_ventas[[#This Row],[Fecha]])</f>
        <v>11</v>
      </c>
      <c r="D1709" s="4">
        <f>WEEKNUM(datos_ventas[[#This Row],[Fecha]],2)</f>
        <v>47</v>
      </c>
      <c r="E1709" t="s">
        <v>24</v>
      </c>
      <c r="F1709" t="s">
        <v>25</v>
      </c>
      <c r="G1709">
        <v>1</v>
      </c>
      <c r="H1709">
        <v>68497</v>
      </c>
      <c r="I1709">
        <v>3585</v>
      </c>
      <c r="J1709" t="s">
        <v>12</v>
      </c>
      <c r="K1709" t="str">
        <f>_xlfn.XLOOKUP(datos_ventas[[#This Row],[Ciudad]],Tabla2[Ciudades],Tabla2[Provincias],"no se encuentra")</f>
        <v>Málaga</v>
      </c>
      <c r="L1709" t="str">
        <f>_xlfn.XLOOKUP(datos_ventas[[#This Row],[Provincia]],Tabla2[Provincias],Tabla2[Comunidades],"no se encuentra")</f>
        <v>Andalucía</v>
      </c>
      <c r="M1709" t="s">
        <v>19</v>
      </c>
      <c r="N1709">
        <v>2</v>
      </c>
    </row>
    <row r="1710" spans="1:14" x14ac:dyDescent="0.25">
      <c r="A1710">
        <v>2709</v>
      </c>
      <c r="B1710" s="1">
        <v>45749</v>
      </c>
      <c r="C1710" s="4">
        <f>MONTH(datos_ventas[[#This Row],[Fecha]])</f>
        <v>4</v>
      </c>
      <c r="D1710" s="4">
        <f>WEEKNUM(datos_ventas[[#This Row],[Fecha]],2)</f>
        <v>14</v>
      </c>
      <c r="E1710" t="s">
        <v>20</v>
      </c>
      <c r="F1710" t="s">
        <v>21</v>
      </c>
      <c r="G1710">
        <v>1</v>
      </c>
      <c r="H1710">
        <v>14862</v>
      </c>
      <c r="I1710">
        <v>858</v>
      </c>
      <c r="J1710" t="s">
        <v>14</v>
      </c>
      <c r="K1710" t="str">
        <f>_xlfn.XLOOKUP(datos_ventas[[#This Row],[Ciudad]],Tabla2[Ciudades],Tabla2[Provincias],"no se encuentra")</f>
        <v>Madrid</v>
      </c>
      <c r="L1710" t="str">
        <f>_xlfn.XLOOKUP(datos_ventas[[#This Row],[Provincia]],Tabla2[Provincias],Tabla2[Comunidades],"no se encuentra")</f>
        <v>Comunidad de Madrid</v>
      </c>
      <c r="M1710" t="s">
        <v>15</v>
      </c>
      <c r="N1710">
        <v>1</v>
      </c>
    </row>
    <row r="1711" spans="1:14" x14ac:dyDescent="0.25">
      <c r="A1711">
        <v>2710</v>
      </c>
      <c r="B1711" s="1">
        <v>45784</v>
      </c>
      <c r="C1711" s="4">
        <f>MONTH(datos_ventas[[#This Row],[Fecha]])</f>
        <v>5</v>
      </c>
      <c r="D1711" s="4">
        <f>WEEKNUM(datos_ventas[[#This Row],[Fecha]],2)</f>
        <v>19</v>
      </c>
      <c r="E1711" t="s">
        <v>20</v>
      </c>
      <c r="F1711" t="s">
        <v>21</v>
      </c>
      <c r="G1711">
        <v>5</v>
      </c>
      <c r="H1711">
        <v>87169</v>
      </c>
      <c r="I1711">
        <v>2446</v>
      </c>
      <c r="J1711" t="s">
        <v>22</v>
      </c>
      <c r="K1711" t="str">
        <f>_xlfn.XLOOKUP(datos_ventas[[#This Row],[Ciudad]],Tabla2[Ciudades],Tabla2[Provincias],"no se encuentra")</f>
        <v>Valencia</v>
      </c>
      <c r="L1711" t="str">
        <f>_xlfn.XLOOKUP(datos_ventas[[#This Row],[Provincia]],Tabla2[Provincias],Tabla2[Comunidades],"no se encuentra")</f>
        <v>Comunidad Valenciana</v>
      </c>
      <c r="M1711" t="s">
        <v>28</v>
      </c>
      <c r="N1711">
        <v>3</v>
      </c>
    </row>
    <row r="1712" spans="1:14" x14ac:dyDescent="0.25">
      <c r="A1712">
        <v>2711</v>
      </c>
      <c r="B1712" s="1">
        <v>45768</v>
      </c>
      <c r="C1712" s="4">
        <f>MONTH(datos_ventas[[#This Row],[Fecha]])</f>
        <v>4</v>
      </c>
      <c r="D1712" s="4">
        <f>WEEKNUM(datos_ventas[[#This Row],[Fecha]],2)</f>
        <v>17</v>
      </c>
      <c r="E1712" t="s">
        <v>23</v>
      </c>
      <c r="F1712" t="s">
        <v>18</v>
      </c>
      <c r="G1712">
        <v>2</v>
      </c>
      <c r="H1712">
        <v>91964</v>
      </c>
      <c r="I1712">
        <v>4365</v>
      </c>
      <c r="J1712" t="s">
        <v>22</v>
      </c>
      <c r="K1712" t="str">
        <f>_xlfn.XLOOKUP(datos_ventas[[#This Row],[Ciudad]],Tabla2[Ciudades],Tabla2[Provincias],"no se encuentra")</f>
        <v>Valencia</v>
      </c>
      <c r="L1712" t="str">
        <f>_xlfn.XLOOKUP(datos_ventas[[#This Row],[Provincia]],Tabla2[Provincias],Tabla2[Comunidades],"no se encuentra")</f>
        <v>Comunidad Valenciana</v>
      </c>
      <c r="M1712" t="s">
        <v>19</v>
      </c>
      <c r="N1712">
        <v>5</v>
      </c>
    </row>
    <row r="1713" spans="1:14" x14ac:dyDescent="0.25">
      <c r="A1713">
        <v>2712</v>
      </c>
      <c r="B1713" s="1">
        <v>45766</v>
      </c>
      <c r="C1713" s="4">
        <f>MONTH(datos_ventas[[#This Row],[Fecha]])</f>
        <v>4</v>
      </c>
      <c r="D1713" s="4">
        <f>WEEKNUM(datos_ventas[[#This Row],[Fecha]],2)</f>
        <v>16</v>
      </c>
      <c r="E1713" t="s">
        <v>17</v>
      </c>
      <c r="F1713" t="s">
        <v>18</v>
      </c>
      <c r="G1713">
        <v>2</v>
      </c>
      <c r="H1713">
        <v>67719</v>
      </c>
      <c r="I1713">
        <v>2795</v>
      </c>
      <c r="J1713" t="s">
        <v>32</v>
      </c>
      <c r="K1713" t="str">
        <f>_xlfn.XLOOKUP(datos_ventas[[#This Row],[Ciudad]],Tabla2[Ciudades],Tabla2[Provincias],"no se encuentra")</f>
        <v>Barcelona</v>
      </c>
      <c r="L1713" t="str">
        <f>_xlfn.XLOOKUP(datos_ventas[[#This Row],[Provincia]],Tabla2[Provincias],Tabla2[Comunidades],"no se encuentra")</f>
        <v>Cataluña</v>
      </c>
      <c r="M1713" t="s">
        <v>28</v>
      </c>
      <c r="N1713">
        <v>1</v>
      </c>
    </row>
    <row r="1714" spans="1:14" x14ac:dyDescent="0.25">
      <c r="A1714">
        <v>2713</v>
      </c>
      <c r="B1714" s="1">
        <v>45821</v>
      </c>
      <c r="C1714" s="4">
        <f>MONTH(datos_ventas[[#This Row],[Fecha]])</f>
        <v>6</v>
      </c>
      <c r="D1714" s="4">
        <f>WEEKNUM(datos_ventas[[#This Row],[Fecha]],2)</f>
        <v>24</v>
      </c>
      <c r="E1714" t="s">
        <v>17</v>
      </c>
      <c r="F1714" t="s">
        <v>18</v>
      </c>
      <c r="G1714">
        <v>1</v>
      </c>
      <c r="H1714">
        <v>18255</v>
      </c>
      <c r="I1714">
        <v>4388</v>
      </c>
      <c r="J1714" t="s">
        <v>31</v>
      </c>
      <c r="K1714" t="str">
        <f>_xlfn.XLOOKUP(datos_ventas[[#This Row],[Ciudad]],Tabla2[Ciudades],Tabla2[Provincias],"no se encuentra")</f>
        <v>Vizcaya</v>
      </c>
      <c r="L1714" t="str">
        <f>_xlfn.XLOOKUP(datos_ventas[[#This Row],[Provincia]],Tabla2[Provincias],Tabla2[Comunidades],"no se encuentra")</f>
        <v>País Vasco</v>
      </c>
      <c r="M1714" t="s">
        <v>19</v>
      </c>
      <c r="N1714">
        <v>2</v>
      </c>
    </row>
    <row r="1715" spans="1:14" x14ac:dyDescent="0.25">
      <c r="A1715">
        <v>2714</v>
      </c>
      <c r="B1715" s="1">
        <v>45768</v>
      </c>
      <c r="C1715" s="4">
        <f>MONTH(datos_ventas[[#This Row],[Fecha]])</f>
        <v>4</v>
      </c>
      <c r="D1715" s="4">
        <f>WEEKNUM(datos_ventas[[#This Row],[Fecha]],2)</f>
        <v>17</v>
      </c>
      <c r="E1715" t="s">
        <v>23</v>
      </c>
      <c r="F1715" t="s">
        <v>18</v>
      </c>
      <c r="G1715">
        <v>3</v>
      </c>
      <c r="H1715">
        <v>31313</v>
      </c>
      <c r="I1715">
        <v>2219</v>
      </c>
      <c r="J1715" t="s">
        <v>22</v>
      </c>
      <c r="K1715" t="str">
        <f>_xlfn.XLOOKUP(datos_ventas[[#This Row],[Ciudad]],Tabla2[Ciudades],Tabla2[Provincias],"no se encuentra")</f>
        <v>Valencia</v>
      </c>
      <c r="L1715" t="str">
        <f>_xlfn.XLOOKUP(datos_ventas[[#This Row],[Provincia]],Tabla2[Provincias],Tabla2[Comunidades],"no se encuentra")</f>
        <v>Comunidad Valenciana</v>
      </c>
      <c r="M1715" t="s">
        <v>19</v>
      </c>
      <c r="N1715">
        <v>3</v>
      </c>
    </row>
    <row r="1716" spans="1:14" x14ac:dyDescent="0.25">
      <c r="A1716">
        <v>2715</v>
      </c>
      <c r="B1716" s="1">
        <v>45947</v>
      </c>
      <c r="C1716" s="4">
        <f>MONTH(datos_ventas[[#This Row],[Fecha]])</f>
        <v>10</v>
      </c>
      <c r="D1716" s="4">
        <f>WEEKNUM(datos_ventas[[#This Row],[Fecha]],2)</f>
        <v>42</v>
      </c>
      <c r="E1716" t="s">
        <v>17</v>
      </c>
      <c r="F1716" t="s">
        <v>18</v>
      </c>
      <c r="G1716">
        <v>5</v>
      </c>
      <c r="H1716">
        <v>19435</v>
      </c>
      <c r="I1716">
        <v>978</v>
      </c>
      <c r="J1716" t="s">
        <v>31</v>
      </c>
      <c r="K1716" t="str">
        <f>_xlfn.XLOOKUP(datos_ventas[[#This Row],[Ciudad]],Tabla2[Ciudades],Tabla2[Provincias],"no se encuentra")</f>
        <v>Vizcaya</v>
      </c>
      <c r="L1716" t="str">
        <f>_xlfn.XLOOKUP(datos_ventas[[#This Row],[Provincia]],Tabla2[Provincias],Tabla2[Comunidades],"no se encuentra")</f>
        <v>País Vasco</v>
      </c>
      <c r="M1716" t="s">
        <v>13</v>
      </c>
      <c r="N1716">
        <v>2</v>
      </c>
    </row>
    <row r="1717" spans="1:14" x14ac:dyDescent="0.25">
      <c r="A1717">
        <v>2716</v>
      </c>
      <c r="B1717" s="1">
        <v>45757</v>
      </c>
      <c r="C1717" s="4">
        <f>MONTH(datos_ventas[[#This Row],[Fecha]])</f>
        <v>4</v>
      </c>
      <c r="D1717" s="4">
        <f>WEEKNUM(datos_ventas[[#This Row],[Fecha]],2)</f>
        <v>15</v>
      </c>
      <c r="E1717" t="s">
        <v>24</v>
      </c>
      <c r="F1717" t="s">
        <v>25</v>
      </c>
      <c r="G1717">
        <v>1</v>
      </c>
      <c r="H1717">
        <v>68605</v>
      </c>
      <c r="I1717">
        <v>546</v>
      </c>
      <c r="J1717" t="s">
        <v>12</v>
      </c>
      <c r="K1717" t="str">
        <f>_xlfn.XLOOKUP(datos_ventas[[#This Row],[Ciudad]],Tabla2[Ciudades],Tabla2[Provincias],"no se encuentra")</f>
        <v>Málaga</v>
      </c>
      <c r="L1717" t="str">
        <f>_xlfn.XLOOKUP(datos_ventas[[#This Row],[Provincia]],Tabla2[Provincias],Tabla2[Comunidades],"no se encuentra")</f>
        <v>Andalucía</v>
      </c>
      <c r="M1717" t="s">
        <v>13</v>
      </c>
      <c r="N1717">
        <v>2</v>
      </c>
    </row>
    <row r="1718" spans="1:14" x14ac:dyDescent="0.25">
      <c r="A1718">
        <v>2717</v>
      </c>
      <c r="B1718" s="1">
        <v>45760</v>
      </c>
      <c r="C1718" s="4">
        <f>MONTH(datos_ventas[[#This Row],[Fecha]])</f>
        <v>4</v>
      </c>
      <c r="D1718" s="4">
        <f>WEEKNUM(datos_ventas[[#This Row],[Fecha]],2)</f>
        <v>15</v>
      </c>
      <c r="E1718" t="s">
        <v>26</v>
      </c>
      <c r="F1718" t="s">
        <v>18</v>
      </c>
      <c r="G1718">
        <v>5</v>
      </c>
      <c r="H1718">
        <v>74363</v>
      </c>
      <c r="I1718">
        <v>959</v>
      </c>
      <c r="J1718" t="s">
        <v>12</v>
      </c>
      <c r="K1718" t="str">
        <f>_xlfn.XLOOKUP(datos_ventas[[#This Row],[Ciudad]],Tabla2[Ciudades],Tabla2[Provincias],"no se encuentra")</f>
        <v>Málaga</v>
      </c>
      <c r="L1718" t="str">
        <f>_xlfn.XLOOKUP(datos_ventas[[#This Row],[Provincia]],Tabla2[Provincias],Tabla2[Comunidades],"no se encuentra")</f>
        <v>Andalucía</v>
      </c>
      <c r="M1718" t="s">
        <v>28</v>
      </c>
      <c r="N1718">
        <v>3</v>
      </c>
    </row>
    <row r="1719" spans="1:14" x14ac:dyDescent="0.25">
      <c r="A1719">
        <v>2718</v>
      </c>
      <c r="B1719" s="1">
        <v>45765</v>
      </c>
      <c r="C1719" s="4">
        <f>MONTH(datos_ventas[[#This Row],[Fecha]])</f>
        <v>4</v>
      </c>
      <c r="D1719" s="4">
        <f>WEEKNUM(datos_ventas[[#This Row],[Fecha]],2)</f>
        <v>16</v>
      </c>
      <c r="E1719" t="s">
        <v>26</v>
      </c>
      <c r="F1719" t="s">
        <v>18</v>
      </c>
      <c r="G1719">
        <v>4</v>
      </c>
      <c r="H1719">
        <v>8042</v>
      </c>
      <c r="I1719">
        <v>2471</v>
      </c>
      <c r="J1719" t="s">
        <v>31</v>
      </c>
      <c r="K1719" t="str">
        <f>_xlfn.XLOOKUP(datos_ventas[[#This Row],[Ciudad]],Tabla2[Ciudades],Tabla2[Provincias],"no se encuentra")</f>
        <v>Vizcaya</v>
      </c>
      <c r="L1719" t="str">
        <f>_xlfn.XLOOKUP(datos_ventas[[#This Row],[Provincia]],Tabla2[Provincias],Tabla2[Comunidades],"no se encuentra")</f>
        <v>País Vasco</v>
      </c>
      <c r="M1719" t="s">
        <v>15</v>
      </c>
      <c r="N1719">
        <v>2</v>
      </c>
    </row>
    <row r="1720" spans="1:14" x14ac:dyDescent="0.25">
      <c r="A1720">
        <v>2719</v>
      </c>
      <c r="B1720" s="1">
        <v>45963</v>
      </c>
      <c r="C1720" s="4">
        <f>MONTH(datos_ventas[[#This Row],[Fecha]])</f>
        <v>11</v>
      </c>
      <c r="D1720" s="4">
        <f>WEEKNUM(datos_ventas[[#This Row],[Fecha]],2)</f>
        <v>44</v>
      </c>
      <c r="E1720" t="s">
        <v>20</v>
      </c>
      <c r="F1720" t="s">
        <v>21</v>
      </c>
      <c r="G1720">
        <v>2</v>
      </c>
      <c r="H1720">
        <v>79057</v>
      </c>
      <c r="I1720">
        <v>2628</v>
      </c>
      <c r="J1720" t="s">
        <v>22</v>
      </c>
      <c r="K1720" t="str">
        <f>_xlfn.XLOOKUP(datos_ventas[[#This Row],[Ciudad]],Tabla2[Ciudades],Tabla2[Provincias],"no se encuentra")</f>
        <v>Valencia</v>
      </c>
      <c r="L1720" t="str">
        <f>_xlfn.XLOOKUP(datos_ventas[[#This Row],[Provincia]],Tabla2[Provincias],Tabla2[Comunidades],"no se encuentra")</f>
        <v>Comunidad Valenciana</v>
      </c>
      <c r="M1720" t="s">
        <v>15</v>
      </c>
      <c r="N1720">
        <v>5</v>
      </c>
    </row>
    <row r="1721" spans="1:14" x14ac:dyDescent="0.25">
      <c r="A1721">
        <v>2720</v>
      </c>
      <c r="B1721" s="1">
        <v>45928</v>
      </c>
      <c r="C1721" s="4">
        <f>MONTH(datos_ventas[[#This Row],[Fecha]])</f>
        <v>9</v>
      </c>
      <c r="D1721" s="4">
        <f>WEEKNUM(datos_ventas[[#This Row],[Fecha]],2)</f>
        <v>39</v>
      </c>
      <c r="E1721" t="s">
        <v>29</v>
      </c>
      <c r="F1721" t="s">
        <v>30</v>
      </c>
      <c r="G1721">
        <v>4</v>
      </c>
      <c r="H1721">
        <v>11527</v>
      </c>
      <c r="I1721">
        <v>1549</v>
      </c>
      <c r="J1721" t="s">
        <v>32</v>
      </c>
      <c r="K1721" t="str">
        <f>_xlfn.XLOOKUP(datos_ventas[[#This Row],[Ciudad]],Tabla2[Ciudades],Tabla2[Provincias],"no se encuentra")</f>
        <v>Barcelona</v>
      </c>
      <c r="L1721" t="str">
        <f>_xlfn.XLOOKUP(datos_ventas[[#This Row],[Provincia]],Tabla2[Provincias],Tabla2[Comunidades],"no se encuentra")</f>
        <v>Cataluña</v>
      </c>
      <c r="M1721" t="s">
        <v>15</v>
      </c>
      <c r="N1721">
        <v>5</v>
      </c>
    </row>
    <row r="1722" spans="1:14" x14ac:dyDescent="0.25">
      <c r="A1722">
        <v>2721</v>
      </c>
      <c r="B1722" s="1">
        <v>45831</v>
      </c>
      <c r="C1722" s="4">
        <f>MONTH(datos_ventas[[#This Row],[Fecha]])</f>
        <v>6</v>
      </c>
      <c r="D1722" s="4">
        <f>WEEKNUM(datos_ventas[[#This Row],[Fecha]],2)</f>
        <v>26</v>
      </c>
      <c r="E1722" t="s">
        <v>24</v>
      </c>
      <c r="F1722" t="s">
        <v>25</v>
      </c>
      <c r="G1722">
        <v>1</v>
      </c>
      <c r="H1722">
        <v>60964</v>
      </c>
      <c r="I1722">
        <v>4206</v>
      </c>
      <c r="J1722" t="s">
        <v>14</v>
      </c>
      <c r="K1722" t="str">
        <f>_xlfn.XLOOKUP(datos_ventas[[#This Row],[Ciudad]],Tabla2[Ciudades],Tabla2[Provincias],"no se encuentra")</f>
        <v>Madrid</v>
      </c>
      <c r="L1722" t="str">
        <f>_xlfn.XLOOKUP(datos_ventas[[#This Row],[Provincia]],Tabla2[Provincias],Tabla2[Comunidades],"no se encuentra")</f>
        <v>Comunidad de Madrid</v>
      </c>
      <c r="M1722" t="s">
        <v>28</v>
      </c>
      <c r="N1722">
        <v>3</v>
      </c>
    </row>
    <row r="1723" spans="1:14" x14ac:dyDescent="0.25">
      <c r="A1723">
        <v>2722</v>
      </c>
      <c r="B1723" s="1">
        <v>45944</v>
      </c>
      <c r="C1723" s="4">
        <f>MONTH(datos_ventas[[#This Row],[Fecha]])</f>
        <v>10</v>
      </c>
      <c r="D1723" s="4">
        <f>WEEKNUM(datos_ventas[[#This Row],[Fecha]],2)</f>
        <v>42</v>
      </c>
      <c r="E1723" t="s">
        <v>10</v>
      </c>
      <c r="F1723" t="s">
        <v>11</v>
      </c>
      <c r="G1723">
        <v>4</v>
      </c>
      <c r="H1723">
        <v>98316</v>
      </c>
      <c r="I1723">
        <v>4987</v>
      </c>
      <c r="J1723" t="s">
        <v>31</v>
      </c>
      <c r="K1723" t="str">
        <f>_xlfn.XLOOKUP(datos_ventas[[#This Row],[Ciudad]],Tabla2[Ciudades],Tabla2[Provincias],"no se encuentra")</f>
        <v>Vizcaya</v>
      </c>
      <c r="L1723" t="str">
        <f>_xlfn.XLOOKUP(datos_ventas[[#This Row],[Provincia]],Tabla2[Provincias],Tabla2[Comunidades],"no se encuentra")</f>
        <v>País Vasco</v>
      </c>
      <c r="M1723" t="s">
        <v>13</v>
      </c>
      <c r="N1723">
        <v>3</v>
      </c>
    </row>
    <row r="1724" spans="1:14" x14ac:dyDescent="0.25">
      <c r="A1724">
        <v>2723</v>
      </c>
      <c r="B1724" s="1">
        <v>45977</v>
      </c>
      <c r="C1724" s="4">
        <f>MONTH(datos_ventas[[#This Row],[Fecha]])</f>
        <v>11</v>
      </c>
      <c r="D1724" s="4">
        <f>WEEKNUM(datos_ventas[[#This Row],[Fecha]],2)</f>
        <v>46</v>
      </c>
      <c r="E1724" t="s">
        <v>29</v>
      </c>
      <c r="F1724" t="s">
        <v>30</v>
      </c>
      <c r="G1724">
        <v>5</v>
      </c>
      <c r="H1724">
        <v>101214</v>
      </c>
      <c r="I1724">
        <v>4287</v>
      </c>
      <c r="J1724" t="s">
        <v>32</v>
      </c>
      <c r="K1724" t="str">
        <f>_xlfn.XLOOKUP(datos_ventas[[#This Row],[Ciudad]],Tabla2[Ciudades],Tabla2[Provincias],"no se encuentra")</f>
        <v>Barcelona</v>
      </c>
      <c r="L1724" t="str">
        <f>_xlfn.XLOOKUP(datos_ventas[[#This Row],[Provincia]],Tabla2[Provincias],Tabla2[Comunidades],"no se encuentra")</f>
        <v>Cataluña</v>
      </c>
      <c r="M1724" t="s">
        <v>19</v>
      </c>
      <c r="N1724">
        <v>2</v>
      </c>
    </row>
    <row r="1725" spans="1:14" x14ac:dyDescent="0.25">
      <c r="A1725">
        <v>2724</v>
      </c>
      <c r="B1725" s="1">
        <v>45956</v>
      </c>
      <c r="C1725" s="4">
        <f>MONTH(datos_ventas[[#This Row],[Fecha]])</f>
        <v>10</v>
      </c>
      <c r="D1725" s="4">
        <f>WEEKNUM(datos_ventas[[#This Row],[Fecha]],2)</f>
        <v>43</v>
      </c>
      <c r="E1725" t="s">
        <v>26</v>
      </c>
      <c r="F1725" t="s">
        <v>18</v>
      </c>
      <c r="G1725">
        <v>1</v>
      </c>
      <c r="H1725">
        <v>73588</v>
      </c>
      <c r="I1725">
        <v>3222</v>
      </c>
      <c r="J1725" t="s">
        <v>32</v>
      </c>
      <c r="K1725" t="str">
        <f>_xlfn.XLOOKUP(datos_ventas[[#This Row],[Ciudad]],Tabla2[Ciudades],Tabla2[Provincias],"no se encuentra")</f>
        <v>Barcelona</v>
      </c>
      <c r="L1725" t="str">
        <f>_xlfn.XLOOKUP(datos_ventas[[#This Row],[Provincia]],Tabla2[Provincias],Tabla2[Comunidades],"no se encuentra")</f>
        <v>Cataluña</v>
      </c>
      <c r="M1725" t="s">
        <v>28</v>
      </c>
      <c r="N1725">
        <v>4</v>
      </c>
    </row>
    <row r="1726" spans="1:14" x14ac:dyDescent="0.25">
      <c r="A1726">
        <v>2725</v>
      </c>
      <c r="B1726" s="1">
        <v>45952</v>
      </c>
      <c r="C1726" s="4">
        <f>MONTH(datos_ventas[[#This Row],[Fecha]])</f>
        <v>10</v>
      </c>
      <c r="D1726" s="4">
        <f>WEEKNUM(datos_ventas[[#This Row],[Fecha]],2)</f>
        <v>43</v>
      </c>
      <c r="E1726" t="s">
        <v>20</v>
      </c>
      <c r="F1726" t="s">
        <v>21</v>
      </c>
      <c r="G1726">
        <v>4</v>
      </c>
      <c r="H1726">
        <v>3749</v>
      </c>
      <c r="I1726">
        <v>1635</v>
      </c>
      <c r="J1726" t="s">
        <v>22</v>
      </c>
      <c r="K1726" t="str">
        <f>_xlfn.XLOOKUP(datos_ventas[[#This Row],[Ciudad]],Tabla2[Ciudades],Tabla2[Provincias],"no se encuentra")</f>
        <v>Valencia</v>
      </c>
      <c r="L1726" t="str">
        <f>_xlfn.XLOOKUP(datos_ventas[[#This Row],[Provincia]],Tabla2[Provincias],Tabla2[Comunidades],"no se encuentra")</f>
        <v>Comunidad Valenciana</v>
      </c>
      <c r="M1726" t="s">
        <v>15</v>
      </c>
      <c r="N1726">
        <v>3</v>
      </c>
    </row>
    <row r="1727" spans="1:14" x14ac:dyDescent="0.25">
      <c r="A1727">
        <v>2726</v>
      </c>
      <c r="B1727" s="1">
        <v>45910</v>
      </c>
      <c r="C1727" s="4">
        <f>MONTH(datos_ventas[[#This Row],[Fecha]])</f>
        <v>9</v>
      </c>
      <c r="D1727" s="4">
        <f>WEEKNUM(datos_ventas[[#This Row],[Fecha]],2)</f>
        <v>37</v>
      </c>
      <c r="E1727" t="s">
        <v>24</v>
      </c>
      <c r="F1727" t="s">
        <v>25</v>
      </c>
      <c r="G1727">
        <v>1</v>
      </c>
      <c r="H1727">
        <v>7242</v>
      </c>
      <c r="I1727">
        <v>1834</v>
      </c>
      <c r="J1727" t="s">
        <v>31</v>
      </c>
      <c r="K1727" t="str">
        <f>_xlfn.XLOOKUP(datos_ventas[[#This Row],[Ciudad]],Tabla2[Ciudades],Tabla2[Provincias],"no se encuentra")</f>
        <v>Vizcaya</v>
      </c>
      <c r="L1727" t="str">
        <f>_xlfn.XLOOKUP(datos_ventas[[#This Row],[Provincia]],Tabla2[Provincias],Tabla2[Comunidades],"no se encuentra")</f>
        <v>País Vasco</v>
      </c>
      <c r="M1727" t="s">
        <v>15</v>
      </c>
      <c r="N1727">
        <v>1</v>
      </c>
    </row>
    <row r="1728" spans="1:14" x14ac:dyDescent="0.25">
      <c r="A1728">
        <v>2727</v>
      </c>
      <c r="B1728" s="1">
        <v>46017</v>
      </c>
      <c r="C1728" s="4">
        <f>MONTH(datos_ventas[[#This Row],[Fecha]])</f>
        <v>12</v>
      </c>
      <c r="D1728" s="4">
        <f>WEEKNUM(datos_ventas[[#This Row],[Fecha]],2)</f>
        <v>52</v>
      </c>
      <c r="E1728" t="s">
        <v>29</v>
      </c>
      <c r="F1728" t="s">
        <v>30</v>
      </c>
      <c r="G1728">
        <v>4</v>
      </c>
      <c r="H1728">
        <v>28814</v>
      </c>
      <c r="I1728">
        <v>2099</v>
      </c>
      <c r="J1728" t="s">
        <v>32</v>
      </c>
      <c r="K1728" t="str">
        <f>_xlfn.XLOOKUP(datos_ventas[[#This Row],[Ciudad]],Tabla2[Ciudades],Tabla2[Provincias],"no se encuentra")</f>
        <v>Barcelona</v>
      </c>
      <c r="L1728" t="str">
        <f>_xlfn.XLOOKUP(datos_ventas[[#This Row],[Provincia]],Tabla2[Provincias],Tabla2[Comunidades],"no se encuentra")</f>
        <v>Cataluña</v>
      </c>
      <c r="M1728" t="s">
        <v>13</v>
      </c>
      <c r="N1728">
        <v>5</v>
      </c>
    </row>
    <row r="1729" spans="1:14" x14ac:dyDescent="0.25">
      <c r="A1729">
        <v>2728</v>
      </c>
      <c r="B1729" s="1">
        <v>45784</v>
      </c>
      <c r="C1729" s="4">
        <f>MONTH(datos_ventas[[#This Row],[Fecha]])</f>
        <v>5</v>
      </c>
      <c r="D1729" s="4">
        <f>WEEKNUM(datos_ventas[[#This Row],[Fecha]],2)</f>
        <v>19</v>
      </c>
      <c r="E1729" t="s">
        <v>10</v>
      </c>
      <c r="F1729" t="s">
        <v>11</v>
      </c>
      <c r="G1729">
        <v>1</v>
      </c>
      <c r="H1729">
        <v>3687</v>
      </c>
      <c r="I1729">
        <v>483</v>
      </c>
      <c r="J1729" t="s">
        <v>27</v>
      </c>
      <c r="K1729" t="str">
        <f>_xlfn.XLOOKUP(datos_ventas[[#This Row],[Ciudad]],Tabla2[Ciudades],Tabla2[Provincias],"no se encuentra")</f>
        <v>Sevilla</v>
      </c>
      <c r="L1729" t="str">
        <f>_xlfn.XLOOKUP(datos_ventas[[#This Row],[Provincia]],Tabla2[Provincias],Tabla2[Comunidades],"no se encuentra")</f>
        <v>Andalucía</v>
      </c>
      <c r="M1729" t="s">
        <v>28</v>
      </c>
      <c r="N1729">
        <v>4</v>
      </c>
    </row>
    <row r="1730" spans="1:14" x14ac:dyDescent="0.25">
      <c r="A1730">
        <v>2729</v>
      </c>
      <c r="B1730" s="1">
        <v>45977</v>
      </c>
      <c r="C1730" s="4">
        <f>MONTH(datos_ventas[[#This Row],[Fecha]])</f>
        <v>11</v>
      </c>
      <c r="D1730" s="4">
        <f>WEEKNUM(datos_ventas[[#This Row],[Fecha]],2)</f>
        <v>46</v>
      </c>
      <c r="E1730" t="s">
        <v>20</v>
      </c>
      <c r="F1730" t="s">
        <v>21</v>
      </c>
      <c r="G1730">
        <v>1</v>
      </c>
      <c r="H1730">
        <v>97875</v>
      </c>
      <c r="I1730">
        <v>1647</v>
      </c>
      <c r="J1730" t="s">
        <v>14</v>
      </c>
      <c r="K1730" t="str">
        <f>_xlfn.XLOOKUP(datos_ventas[[#This Row],[Ciudad]],Tabla2[Ciudades],Tabla2[Provincias],"no se encuentra")</f>
        <v>Madrid</v>
      </c>
      <c r="L1730" t="str">
        <f>_xlfn.XLOOKUP(datos_ventas[[#This Row],[Provincia]],Tabla2[Provincias],Tabla2[Comunidades],"no se encuentra")</f>
        <v>Comunidad de Madrid</v>
      </c>
      <c r="M1730" t="s">
        <v>19</v>
      </c>
      <c r="N1730">
        <v>2</v>
      </c>
    </row>
    <row r="1731" spans="1:14" x14ac:dyDescent="0.25">
      <c r="A1731">
        <v>2730</v>
      </c>
      <c r="B1731" s="1">
        <v>45928</v>
      </c>
      <c r="C1731" s="4">
        <f>MONTH(datos_ventas[[#This Row],[Fecha]])</f>
        <v>9</v>
      </c>
      <c r="D1731" s="4">
        <f>WEEKNUM(datos_ventas[[#This Row],[Fecha]],2)</f>
        <v>39</v>
      </c>
      <c r="E1731" t="s">
        <v>20</v>
      </c>
      <c r="F1731" t="s">
        <v>21</v>
      </c>
      <c r="G1731">
        <v>2</v>
      </c>
      <c r="H1731">
        <v>78244</v>
      </c>
      <c r="I1731">
        <v>2961</v>
      </c>
      <c r="J1731" t="s">
        <v>31</v>
      </c>
      <c r="K1731" t="str">
        <f>_xlfn.XLOOKUP(datos_ventas[[#This Row],[Ciudad]],Tabla2[Ciudades],Tabla2[Provincias],"no se encuentra")</f>
        <v>Vizcaya</v>
      </c>
      <c r="L1731" t="str">
        <f>_xlfn.XLOOKUP(datos_ventas[[#This Row],[Provincia]],Tabla2[Provincias],Tabla2[Comunidades],"no se encuentra")</f>
        <v>País Vasco</v>
      </c>
      <c r="M1731" t="s">
        <v>13</v>
      </c>
      <c r="N1731">
        <v>5</v>
      </c>
    </row>
    <row r="1732" spans="1:14" x14ac:dyDescent="0.25">
      <c r="A1732">
        <v>2731</v>
      </c>
      <c r="B1732" s="1">
        <v>46010</v>
      </c>
      <c r="C1732" s="4">
        <f>MONTH(datos_ventas[[#This Row],[Fecha]])</f>
        <v>12</v>
      </c>
      <c r="D1732" s="4">
        <f>WEEKNUM(datos_ventas[[#This Row],[Fecha]],2)</f>
        <v>51</v>
      </c>
      <c r="E1732" t="s">
        <v>29</v>
      </c>
      <c r="F1732" t="s">
        <v>30</v>
      </c>
      <c r="G1732">
        <v>1</v>
      </c>
      <c r="H1732">
        <v>116722</v>
      </c>
      <c r="I1732">
        <v>1802</v>
      </c>
      <c r="J1732" t="s">
        <v>32</v>
      </c>
      <c r="K1732" t="str">
        <f>_xlfn.XLOOKUP(datos_ventas[[#This Row],[Ciudad]],Tabla2[Ciudades],Tabla2[Provincias],"no se encuentra")</f>
        <v>Barcelona</v>
      </c>
      <c r="L1732" t="str">
        <f>_xlfn.XLOOKUP(datos_ventas[[#This Row],[Provincia]],Tabla2[Provincias],Tabla2[Comunidades],"no se encuentra")</f>
        <v>Cataluña</v>
      </c>
      <c r="M1732" t="s">
        <v>28</v>
      </c>
      <c r="N1732">
        <v>2</v>
      </c>
    </row>
    <row r="1733" spans="1:14" x14ac:dyDescent="0.25">
      <c r="A1733">
        <v>2732</v>
      </c>
      <c r="B1733" s="1">
        <v>45853</v>
      </c>
      <c r="C1733" s="4">
        <f>MONTH(datos_ventas[[#This Row],[Fecha]])</f>
        <v>7</v>
      </c>
      <c r="D1733" s="4">
        <f>WEEKNUM(datos_ventas[[#This Row],[Fecha]],2)</f>
        <v>29</v>
      </c>
      <c r="E1733" t="s">
        <v>23</v>
      </c>
      <c r="F1733" t="s">
        <v>18</v>
      </c>
      <c r="G1733">
        <v>3</v>
      </c>
      <c r="H1733">
        <v>61292</v>
      </c>
      <c r="I1733">
        <v>4618</v>
      </c>
      <c r="J1733" t="s">
        <v>22</v>
      </c>
      <c r="K1733" t="str">
        <f>_xlfn.XLOOKUP(datos_ventas[[#This Row],[Ciudad]],Tabla2[Ciudades],Tabla2[Provincias],"no se encuentra")</f>
        <v>Valencia</v>
      </c>
      <c r="L1733" t="str">
        <f>_xlfn.XLOOKUP(datos_ventas[[#This Row],[Provincia]],Tabla2[Provincias],Tabla2[Comunidades],"no se encuentra")</f>
        <v>Comunidad Valenciana</v>
      </c>
      <c r="M1733" t="s">
        <v>19</v>
      </c>
      <c r="N1733">
        <v>3</v>
      </c>
    </row>
    <row r="1734" spans="1:14" x14ac:dyDescent="0.25">
      <c r="A1734">
        <v>2733</v>
      </c>
      <c r="B1734" s="1">
        <v>45993</v>
      </c>
      <c r="C1734" s="4">
        <f>MONTH(datos_ventas[[#This Row],[Fecha]])</f>
        <v>12</v>
      </c>
      <c r="D1734" s="4">
        <f>WEEKNUM(datos_ventas[[#This Row],[Fecha]],2)</f>
        <v>49</v>
      </c>
      <c r="E1734" t="s">
        <v>29</v>
      </c>
      <c r="F1734" t="s">
        <v>30</v>
      </c>
      <c r="G1734">
        <v>5</v>
      </c>
      <c r="H1734">
        <v>100206</v>
      </c>
      <c r="I1734">
        <v>4361</v>
      </c>
      <c r="J1734" t="s">
        <v>32</v>
      </c>
      <c r="K1734" t="str">
        <f>_xlfn.XLOOKUP(datos_ventas[[#This Row],[Ciudad]],Tabla2[Ciudades],Tabla2[Provincias],"no se encuentra")</f>
        <v>Barcelona</v>
      </c>
      <c r="L1734" t="str">
        <f>_xlfn.XLOOKUP(datos_ventas[[#This Row],[Provincia]],Tabla2[Provincias],Tabla2[Comunidades],"no se encuentra")</f>
        <v>Cataluña</v>
      </c>
      <c r="M1734" t="s">
        <v>15</v>
      </c>
      <c r="N1734">
        <v>2</v>
      </c>
    </row>
    <row r="1735" spans="1:14" x14ac:dyDescent="0.25">
      <c r="A1735">
        <v>2734</v>
      </c>
      <c r="B1735" s="1">
        <v>45874</v>
      </c>
      <c r="C1735" s="4">
        <f>MONTH(datos_ventas[[#This Row],[Fecha]])</f>
        <v>8</v>
      </c>
      <c r="D1735" s="4">
        <f>WEEKNUM(datos_ventas[[#This Row],[Fecha]],2)</f>
        <v>32</v>
      </c>
      <c r="E1735" t="s">
        <v>20</v>
      </c>
      <c r="F1735" t="s">
        <v>21</v>
      </c>
      <c r="G1735">
        <v>5</v>
      </c>
      <c r="H1735">
        <v>44072</v>
      </c>
      <c r="I1735">
        <v>3467</v>
      </c>
      <c r="J1735" t="s">
        <v>22</v>
      </c>
      <c r="K1735" t="str">
        <f>_xlfn.XLOOKUP(datos_ventas[[#This Row],[Ciudad]],Tabla2[Ciudades],Tabla2[Provincias],"no se encuentra")</f>
        <v>Valencia</v>
      </c>
      <c r="L1735" t="str">
        <f>_xlfn.XLOOKUP(datos_ventas[[#This Row],[Provincia]],Tabla2[Provincias],Tabla2[Comunidades],"no se encuentra")</f>
        <v>Comunidad Valenciana</v>
      </c>
      <c r="M1735" t="s">
        <v>15</v>
      </c>
      <c r="N1735">
        <v>2</v>
      </c>
    </row>
    <row r="1736" spans="1:14" x14ac:dyDescent="0.25">
      <c r="A1736">
        <v>2735</v>
      </c>
      <c r="B1736" s="1">
        <v>45932</v>
      </c>
      <c r="C1736" s="4">
        <f>MONTH(datos_ventas[[#This Row],[Fecha]])</f>
        <v>10</v>
      </c>
      <c r="D1736" s="4">
        <f>WEEKNUM(datos_ventas[[#This Row],[Fecha]],2)</f>
        <v>40</v>
      </c>
      <c r="E1736" t="s">
        <v>17</v>
      </c>
      <c r="F1736" t="s">
        <v>18</v>
      </c>
      <c r="G1736">
        <v>4</v>
      </c>
      <c r="H1736">
        <v>14918</v>
      </c>
      <c r="I1736">
        <v>999</v>
      </c>
      <c r="J1736" t="s">
        <v>14</v>
      </c>
      <c r="K1736" t="str">
        <f>_xlfn.XLOOKUP(datos_ventas[[#This Row],[Ciudad]],Tabla2[Ciudades],Tabla2[Provincias],"no se encuentra")</f>
        <v>Madrid</v>
      </c>
      <c r="L1736" t="str">
        <f>_xlfn.XLOOKUP(datos_ventas[[#This Row],[Provincia]],Tabla2[Provincias],Tabla2[Comunidades],"no se encuentra")</f>
        <v>Comunidad de Madrid</v>
      </c>
      <c r="M1736" t="s">
        <v>28</v>
      </c>
      <c r="N1736">
        <v>5</v>
      </c>
    </row>
    <row r="1737" spans="1:14" x14ac:dyDescent="0.25">
      <c r="A1737">
        <v>2736</v>
      </c>
      <c r="B1737" s="1">
        <v>45904</v>
      </c>
      <c r="C1737" s="4">
        <f>MONTH(datos_ventas[[#This Row],[Fecha]])</f>
        <v>9</v>
      </c>
      <c r="D1737" s="4">
        <f>WEEKNUM(datos_ventas[[#This Row],[Fecha]],2)</f>
        <v>36</v>
      </c>
      <c r="E1737" t="s">
        <v>10</v>
      </c>
      <c r="F1737" t="s">
        <v>11</v>
      </c>
      <c r="G1737">
        <v>1</v>
      </c>
      <c r="H1737">
        <v>50462</v>
      </c>
      <c r="I1737">
        <v>2198</v>
      </c>
      <c r="J1737" t="s">
        <v>27</v>
      </c>
      <c r="K1737" t="str">
        <f>_xlfn.XLOOKUP(datos_ventas[[#This Row],[Ciudad]],Tabla2[Ciudades],Tabla2[Provincias],"no se encuentra")</f>
        <v>Sevilla</v>
      </c>
      <c r="L1737" t="str">
        <f>_xlfn.XLOOKUP(datos_ventas[[#This Row],[Provincia]],Tabla2[Provincias],Tabla2[Comunidades],"no se encuentra")</f>
        <v>Andalucía</v>
      </c>
      <c r="M1737" t="s">
        <v>19</v>
      </c>
      <c r="N1737">
        <v>3</v>
      </c>
    </row>
    <row r="1738" spans="1:14" x14ac:dyDescent="0.25">
      <c r="A1738">
        <v>2737</v>
      </c>
      <c r="B1738" s="1">
        <v>45765</v>
      </c>
      <c r="C1738" s="4">
        <f>MONTH(datos_ventas[[#This Row],[Fecha]])</f>
        <v>4</v>
      </c>
      <c r="D1738" s="4">
        <f>WEEKNUM(datos_ventas[[#This Row],[Fecha]],2)</f>
        <v>16</v>
      </c>
      <c r="E1738" t="s">
        <v>29</v>
      </c>
      <c r="F1738" t="s">
        <v>30</v>
      </c>
      <c r="G1738">
        <v>2</v>
      </c>
      <c r="H1738">
        <v>78378</v>
      </c>
      <c r="I1738">
        <v>1236</v>
      </c>
      <c r="J1738" t="s">
        <v>31</v>
      </c>
      <c r="K1738" t="str">
        <f>_xlfn.XLOOKUP(datos_ventas[[#This Row],[Ciudad]],Tabla2[Ciudades],Tabla2[Provincias],"no se encuentra")</f>
        <v>Vizcaya</v>
      </c>
      <c r="L1738" t="str">
        <f>_xlfn.XLOOKUP(datos_ventas[[#This Row],[Provincia]],Tabla2[Provincias],Tabla2[Comunidades],"no se encuentra")</f>
        <v>País Vasco</v>
      </c>
      <c r="M1738" t="s">
        <v>13</v>
      </c>
      <c r="N1738">
        <v>5</v>
      </c>
    </row>
    <row r="1739" spans="1:14" x14ac:dyDescent="0.25">
      <c r="A1739">
        <v>2738</v>
      </c>
      <c r="B1739" s="1">
        <v>45896</v>
      </c>
      <c r="C1739" s="4">
        <f>MONTH(datos_ventas[[#This Row],[Fecha]])</f>
        <v>8</v>
      </c>
      <c r="D1739" s="4">
        <f>WEEKNUM(datos_ventas[[#This Row],[Fecha]],2)</f>
        <v>35</v>
      </c>
      <c r="E1739" t="s">
        <v>16</v>
      </c>
      <c r="F1739" t="s">
        <v>11</v>
      </c>
      <c r="G1739">
        <v>5</v>
      </c>
      <c r="H1739">
        <v>14902</v>
      </c>
      <c r="I1739">
        <v>1776</v>
      </c>
      <c r="J1739" t="s">
        <v>27</v>
      </c>
      <c r="K1739" t="str">
        <f>_xlfn.XLOOKUP(datos_ventas[[#This Row],[Ciudad]],Tabla2[Ciudades],Tabla2[Provincias],"no se encuentra")</f>
        <v>Sevilla</v>
      </c>
      <c r="L1739" t="str">
        <f>_xlfn.XLOOKUP(datos_ventas[[#This Row],[Provincia]],Tabla2[Provincias],Tabla2[Comunidades],"no se encuentra")</f>
        <v>Andalucía</v>
      </c>
      <c r="M1739" t="s">
        <v>15</v>
      </c>
      <c r="N1739">
        <v>1</v>
      </c>
    </row>
    <row r="1740" spans="1:14" x14ac:dyDescent="0.25">
      <c r="A1740">
        <v>2739</v>
      </c>
      <c r="B1740" s="1">
        <v>45757</v>
      </c>
      <c r="C1740" s="4">
        <f>MONTH(datos_ventas[[#This Row],[Fecha]])</f>
        <v>4</v>
      </c>
      <c r="D1740" s="4">
        <f>WEEKNUM(datos_ventas[[#This Row],[Fecha]],2)</f>
        <v>15</v>
      </c>
      <c r="E1740" t="s">
        <v>29</v>
      </c>
      <c r="F1740" t="s">
        <v>30</v>
      </c>
      <c r="G1740">
        <v>4</v>
      </c>
      <c r="H1740">
        <v>99337</v>
      </c>
      <c r="I1740">
        <v>351</v>
      </c>
      <c r="J1740" t="s">
        <v>12</v>
      </c>
      <c r="K1740" t="str">
        <f>_xlfn.XLOOKUP(datos_ventas[[#This Row],[Ciudad]],Tabla2[Ciudades],Tabla2[Provincias],"no se encuentra")</f>
        <v>Málaga</v>
      </c>
      <c r="L1740" t="str">
        <f>_xlfn.XLOOKUP(datos_ventas[[#This Row],[Provincia]],Tabla2[Provincias],Tabla2[Comunidades],"no se encuentra")</f>
        <v>Andalucía</v>
      </c>
      <c r="M1740" t="s">
        <v>15</v>
      </c>
      <c r="N1740">
        <v>1</v>
      </c>
    </row>
    <row r="1741" spans="1:14" x14ac:dyDescent="0.25">
      <c r="A1741">
        <v>2740</v>
      </c>
      <c r="B1741" s="1">
        <v>45974</v>
      </c>
      <c r="C1741" s="4">
        <f>MONTH(datos_ventas[[#This Row],[Fecha]])</f>
        <v>11</v>
      </c>
      <c r="D1741" s="4">
        <f>WEEKNUM(datos_ventas[[#This Row],[Fecha]],2)</f>
        <v>46</v>
      </c>
      <c r="E1741" t="s">
        <v>17</v>
      </c>
      <c r="F1741" t="s">
        <v>18</v>
      </c>
      <c r="G1741">
        <v>3</v>
      </c>
      <c r="H1741">
        <v>23137</v>
      </c>
      <c r="I1741">
        <v>4428</v>
      </c>
      <c r="J1741" t="s">
        <v>14</v>
      </c>
      <c r="K1741" t="str">
        <f>_xlfn.XLOOKUP(datos_ventas[[#This Row],[Ciudad]],Tabla2[Ciudades],Tabla2[Provincias],"no se encuentra")</f>
        <v>Madrid</v>
      </c>
      <c r="L1741" t="str">
        <f>_xlfn.XLOOKUP(datos_ventas[[#This Row],[Provincia]],Tabla2[Provincias],Tabla2[Comunidades],"no se encuentra")</f>
        <v>Comunidad de Madrid</v>
      </c>
      <c r="M1741" t="s">
        <v>28</v>
      </c>
      <c r="N1741">
        <v>4</v>
      </c>
    </row>
    <row r="1742" spans="1:14" x14ac:dyDescent="0.25">
      <c r="A1742">
        <v>2741</v>
      </c>
      <c r="B1742" s="1">
        <v>45951</v>
      </c>
      <c r="C1742" s="4">
        <f>MONTH(datos_ventas[[#This Row],[Fecha]])</f>
        <v>10</v>
      </c>
      <c r="D1742" s="4">
        <f>WEEKNUM(datos_ventas[[#This Row],[Fecha]],2)</f>
        <v>43</v>
      </c>
      <c r="E1742" t="s">
        <v>26</v>
      </c>
      <c r="F1742" t="s">
        <v>18</v>
      </c>
      <c r="G1742">
        <v>4</v>
      </c>
      <c r="H1742">
        <v>20657</v>
      </c>
      <c r="I1742">
        <v>1052</v>
      </c>
      <c r="J1742" t="s">
        <v>31</v>
      </c>
      <c r="K1742" t="str">
        <f>_xlfn.XLOOKUP(datos_ventas[[#This Row],[Ciudad]],Tabla2[Ciudades],Tabla2[Provincias],"no se encuentra")</f>
        <v>Vizcaya</v>
      </c>
      <c r="L1742" t="str">
        <f>_xlfn.XLOOKUP(datos_ventas[[#This Row],[Provincia]],Tabla2[Provincias],Tabla2[Comunidades],"no se encuentra")</f>
        <v>País Vasco</v>
      </c>
      <c r="M1742" t="s">
        <v>15</v>
      </c>
      <c r="N1742">
        <v>1</v>
      </c>
    </row>
    <row r="1743" spans="1:14" x14ac:dyDescent="0.25">
      <c r="A1743">
        <v>2742</v>
      </c>
      <c r="B1743" s="1">
        <v>45801</v>
      </c>
      <c r="C1743" s="4">
        <f>MONTH(datos_ventas[[#This Row],[Fecha]])</f>
        <v>5</v>
      </c>
      <c r="D1743" s="4">
        <f>WEEKNUM(datos_ventas[[#This Row],[Fecha]],2)</f>
        <v>21</v>
      </c>
      <c r="E1743" t="s">
        <v>23</v>
      </c>
      <c r="F1743" t="s">
        <v>18</v>
      </c>
      <c r="G1743">
        <v>5</v>
      </c>
      <c r="H1743">
        <v>60993</v>
      </c>
      <c r="I1743">
        <v>3961</v>
      </c>
      <c r="J1743" t="s">
        <v>14</v>
      </c>
      <c r="K1743" t="str">
        <f>_xlfn.XLOOKUP(datos_ventas[[#This Row],[Ciudad]],Tabla2[Ciudades],Tabla2[Provincias],"no se encuentra")</f>
        <v>Madrid</v>
      </c>
      <c r="L1743" t="str">
        <f>_xlfn.XLOOKUP(datos_ventas[[#This Row],[Provincia]],Tabla2[Provincias],Tabla2[Comunidades],"no se encuentra")</f>
        <v>Comunidad de Madrid</v>
      </c>
      <c r="M1743" t="s">
        <v>15</v>
      </c>
      <c r="N1743">
        <v>2</v>
      </c>
    </row>
    <row r="1744" spans="1:14" x14ac:dyDescent="0.25">
      <c r="A1744">
        <v>2743</v>
      </c>
      <c r="B1744" s="1">
        <v>45694</v>
      </c>
      <c r="C1744" s="4">
        <f>MONTH(datos_ventas[[#This Row],[Fecha]])</f>
        <v>2</v>
      </c>
      <c r="D1744" s="4">
        <f>WEEKNUM(datos_ventas[[#This Row],[Fecha]],2)</f>
        <v>6</v>
      </c>
      <c r="E1744" t="s">
        <v>20</v>
      </c>
      <c r="F1744" t="s">
        <v>21</v>
      </c>
      <c r="G1744">
        <v>5</v>
      </c>
      <c r="H1744">
        <v>1604</v>
      </c>
      <c r="I1744">
        <v>3963</v>
      </c>
      <c r="J1744" t="s">
        <v>22</v>
      </c>
      <c r="K1744" t="str">
        <f>_xlfn.XLOOKUP(datos_ventas[[#This Row],[Ciudad]],Tabla2[Ciudades],Tabla2[Provincias],"no se encuentra")</f>
        <v>Valencia</v>
      </c>
      <c r="L1744" t="str">
        <f>_xlfn.XLOOKUP(datos_ventas[[#This Row],[Provincia]],Tabla2[Provincias],Tabla2[Comunidades],"no se encuentra")</f>
        <v>Comunidad Valenciana</v>
      </c>
      <c r="M1744" t="s">
        <v>13</v>
      </c>
      <c r="N1744">
        <v>3</v>
      </c>
    </row>
    <row r="1745" spans="1:14" x14ac:dyDescent="0.25">
      <c r="A1745">
        <v>2744</v>
      </c>
      <c r="B1745" s="1">
        <v>45921</v>
      </c>
      <c r="C1745" s="4">
        <f>MONTH(datos_ventas[[#This Row],[Fecha]])</f>
        <v>9</v>
      </c>
      <c r="D1745" s="4">
        <f>WEEKNUM(datos_ventas[[#This Row],[Fecha]],2)</f>
        <v>38</v>
      </c>
      <c r="E1745" t="s">
        <v>10</v>
      </c>
      <c r="F1745" t="s">
        <v>11</v>
      </c>
      <c r="G1745">
        <v>5</v>
      </c>
      <c r="H1745">
        <v>4481</v>
      </c>
      <c r="I1745">
        <v>732</v>
      </c>
      <c r="J1745" t="s">
        <v>27</v>
      </c>
      <c r="K1745" t="str">
        <f>_xlfn.XLOOKUP(datos_ventas[[#This Row],[Ciudad]],Tabla2[Ciudades],Tabla2[Provincias],"no se encuentra")</f>
        <v>Sevilla</v>
      </c>
      <c r="L1745" t="str">
        <f>_xlfn.XLOOKUP(datos_ventas[[#This Row],[Provincia]],Tabla2[Provincias],Tabla2[Comunidades],"no se encuentra")</f>
        <v>Andalucía</v>
      </c>
      <c r="M1745" t="s">
        <v>19</v>
      </c>
      <c r="N1745">
        <v>1</v>
      </c>
    </row>
    <row r="1746" spans="1:14" x14ac:dyDescent="0.25">
      <c r="A1746">
        <v>2745</v>
      </c>
      <c r="B1746" s="1">
        <v>45683</v>
      </c>
      <c r="C1746" s="4">
        <f>MONTH(datos_ventas[[#This Row],[Fecha]])</f>
        <v>1</v>
      </c>
      <c r="D1746" s="4">
        <f>WEEKNUM(datos_ventas[[#This Row],[Fecha]],2)</f>
        <v>4</v>
      </c>
      <c r="E1746" t="s">
        <v>17</v>
      </c>
      <c r="F1746" t="s">
        <v>18</v>
      </c>
      <c r="G1746">
        <v>1</v>
      </c>
      <c r="H1746">
        <v>11583</v>
      </c>
      <c r="I1746">
        <v>1601</v>
      </c>
      <c r="J1746" t="s">
        <v>22</v>
      </c>
      <c r="K1746" t="str">
        <f>_xlfn.XLOOKUP(datos_ventas[[#This Row],[Ciudad]],Tabla2[Ciudades],Tabla2[Provincias],"no se encuentra")</f>
        <v>Valencia</v>
      </c>
      <c r="L1746" t="str">
        <f>_xlfn.XLOOKUP(datos_ventas[[#This Row],[Provincia]],Tabla2[Provincias],Tabla2[Comunidades],"no se encuentra")</f>
        <v>Comunidad Valenciana</v>
      </c>
      <c r="M1746" t="s">
        <v>28</v>
      </c>
      <c r="N1746">
        <v>2</v>
      </c>
    </row>
    <row r="1747" spans="1:14" x14ac:dyDescent="0.25">
      <c r="A1747">
        <v>2746</v>
      </c>
      <c r="B1747" s="1">
        <v>45673</v>
      </c>
      <c r="C1747" s="4">
        <f>MONTH(datos_ventas[[#This Row],[Fecha]])</f>
        <v>1</v>
      </c>
      <c r="D1747" s="4">
        <f>WEEKNUM(datos_ventas[[#This Row],[Fecha]],2)</f>
        <v>3</v>
      </c>
      <c r="E1747" t="s">
        <v>10</v>
      </c>
      <c r="F1747" t="s">
        <v>11</v>
      </c>
      <c r="G1747">
        <v>2</v>
      </c>
      <c r="H1747">
        <v>6543</v>
      </c>
      <c r="I1747">
        <v>2273</v>
      </c>
      <c r="J1747" t="s">
        <v>27</v>
      </c>
      <c r="K1747" t="str">
        <f>_xlfn.XLOOKUP(datos_ventas[[#This Row],[Ciudad]],Tabla2[Ciudades],Tabla2[Provincias],"no se encuentra")</f>
        <v>Sevilla</v>
      </c>
      <c r="L1747" t="str">
        <f>_xlfn.XLOOKUP(datos_ventas[[#This Row],[Provincia]],Tabla2[Provincias],Tabla2[Comunidades],"no se encuentra")</f>
        <v>Andalucía</v>
      </c>
      <c r="M1747" t="s">
        <v>15</v>
      </c>
      <c r="N1747">
        <v>4</v>
      </c>
    </row>
    <row r="1748" spans="1:14" x14ac:dyDescent="0.25">
      <c r="A1748">
        <v>2747</v>
      </c>
      <c r="B1748" s="1">
        <v>45850</v>
      </c>
      <c r="C1748" s="4">
        <f>MONTH(datos_ventas[[#This Row],[Fecha]])</f>
        <v>7</v>
      </c>
      <c r="D1748" s="4">
        <f>WEEKNUM(datos_ventas[[#This Row],[Fecha]],2)</f>
        <v>28</v>
      </c>
      <c r="E1748" t="s">
        <v>24</v>
      </c>
      <c r="F1748" t="s">
        <v>25</v>
      </c>
      <c r="G1748">
        <v>3</v>
      </c>
      <c r="H1748">
        <v>70393</v>
      </c>
      <c r="I1748">
        <v>3419</v>
      </c>
      <c r="J1748" t="s">
        <v>14</v>
      </c>
      <c r="K1748" t="str">
        <f>_xlfn.XLOOKUP(datos_ventas[[#This Row],[Ciudad]],Tabla2[Ciudades],Tabla2[Provincias],"no se encuentra")</f>
        <v>Madrid</v>
      </c>
      <c r="L1748" t="str">
        <f>_xlfn.XLOOKUP(datos_ventas[[#This Row],[Provincia]],Tabla2[Provincias],Tabla2[Comunidades],"no se encuentra")</f>
        <v>Comunidad de Madrid</v>
      </c>
      <c r="M1748" t="s">
        <v>13</v>
      </c>
      <c r="N1748">
        <v>2</v>
      </c>
    </row>
    <row r="1749" spans="1:14" x14ac:dyDescent="0.25">
      <c r="A1749">
        <v>2748</v>
      </c>
      <c r="B1749" s="1">
        <v>45695</v>
      </c>
      <c r="C1749" s="4">
        <f>MONTH(datos_ventas[[#This Row],[Fecha]])</f>
        <v>2</v>
      </c>
      <c r="D1749" s="4">
        <f>WEEKNUM(datos_ventas[[#This Row],[Fecha]],2)</f>
        <v>6</v>
      </c>
      <c r="E1749" t="s">
        <v>23</v>
      </c>
      <c r="F1749" t="s">
        <v>18</v>
      </c>
      <c r="G1749">
        <v>4</v>
      </c>
      <c r="H1749">
        <v>69629</v>
      </c>
      <c r="I1749">
        <v>4503</v>
      </c>
      <c r="J1749" t="s">
        <v>31</v>
      </c>
      <c r="K1749" t="str">
        <f>_xlfn.XLOOKUP(datos_ventas[[#This Row],[Ciudad]],Tabla2[Ciudades],Tabla2[Provincias],"no se encuentra")</f>
        <v>Vizcaya</v>
      </c>
      <c r="L1749" t="str">
        <f>_xlfn.XLOOKUP(datos_ventas[[#This Row],[Provincia]],Tabla2[Provincias],Tabla2[Comunidades],"no se encuentra")</f>
        <v>País Vasco</v>
      </c>
      <c r="M1749" t="s">
        <v>13</v>
      </c>
      <c r="N1749">
        <v>4</v>
      </c>
    </row>
    <row r="1750" spans="1:14" x14ac:dyDescent="0.25">
      <c r="A1750">
        <v>2749</v>
      </c>
      <c r="B1750" s="1">
        <v>45670</v>
      </c>
      <c r="C1750" s="4">
        <f>MONTH(datos_ventas[[#This Row],[Fecha]])</f>
        <v>1</v>
      </c>
      <c r="D1750" s="4">
        <f>WEEKNUM(datos_ventas[[#This Row],[Fecha]],2)</f>
        <v>3</v>
      </c>
      <c r="E1750" t="s">
        <v>16</v>
      </c>
      <c r="F1750" t="s">
        <v>11</v>
      </c>
      <c r="G1750">
        <v>5</v>
      </c>
      <c r="H1750">
        <v>98298</v>
      </c>
      <c r="I1750">
        <v>1284</v>
      </c>
      <c r="J1750" t="s">
        <v>32</v>
      </c>
      <c r="K1750" t="str">
        <f>_xlfn.XLOOKUP(datos_ventas[[#This Row],[Ciudad]],Tabla2[Ciudades],Tabla2[Provincias],"no se encuentra")</f>
        <v>Barcelona</v>
      </c>
      <c r="L1750" t="str">
        <f>_xlfn.XLOOKUP(datos_ventas[[#This Row],[Provincia]],Tabla2[Provincias],Tabla2[Comunidades],"no se encuentra")</f>
        <v>Cataluña</v>
      </c>
      <c r="M1750" t="s">
        <v>13</v>
      </c>
      <c r="N1750">
        <v>5</v>
      </c>
    </row>
    <row r="1751" spans="1:14" x14ac:dyDescent="0.25">
      <c r="A1751">
        <v>2750</v>
      </c>
      <c r="B1751" s="1">
        <v>45815</v>
      </c>
      <c r="C1751" s="4">
        <f>MONTH(datos_ventas[[#This Row],[Fecha]])</f>
        <v>6</v>
      </c>
      <c r="D1751" s="4">
        <f>WEEKNUM(datos_ventas[[#This Row],[Fecha]],2)</f>
        <v>23</v>
      </c>
      <c r="E1751" t="s">
        <v>26</v>
      </c>
      <c r="F1751" t="s">
        <v>18</v>
      </c>
      <c r="G1751">
        <v>3</v>
      </c>
      <c r="H1751">
        <v>43338</v>
      </c>
      <c r="I1751">
        <v>4699</v>
      </c>
      <c r="J1751" t="s">
        <v>27</v>
      </c>
      <c r="K1751" t="str">
        <f>_xlfn.XLOOKUP(datos_ventas[[#This Row],[Ciudad]],Tabla2[Ciudades],Tabla2[Provincias],"no se encuentra")</f>
        <v>Sevilla</v>
      </c>
      <c r="L1751" t="str">
        <f>_xlfn.XLOOKUP(datos_ventas[[#This Row],[Provincia]],Tabla2[Provincias],Tabla2[Comunidades],"no se encuentra")</f>
        <v>Andalucía</v>
      </c>
      <c r="M1751" t="s">
        <v>15</v>
      </c>
      <c r="N1751">
        <v>3</v>
      </c>
    </row>
    <row r="1752" spans="1:14" x14ac:dyDescent="0.25">
      <c r="A1752">
        <v>2751</v>
      </c>
      <c r="B1752" s="1">
        <v>45819</v>
      </c>
      <c r="C1752" s="4">
        <f>MONTH(datos_ventas[[#This Row],[Fecha]])</f>
        <v>6</v>
      </c>
      <c r="D1752" s="4">
        <f>WEEKNUM(datos_ventas[[#This Row],[Fecha]],2)</f>
        <v>24</v>
      </c>
      <c r="E1752" t="s">
        <v>23</v>
      </c>
      <c r="F1752" t="s">
        <v>18</v>
      </c>
      <c r="G1752">
        <v>1</v>
      </c>
      <c r="H1752">
        <v>80339</v>
      </c>
      <c r="I1752">
        <v>2362</v>
      </c>
      <c r="J1752" t="s">
        <v>32</v>
      </c>
      <c r="K1752" t="str">
        <f>_xlfn.XLOOKUP(datos_ventas[[#This Row],[Ciudad]],Tabla2[Ciudades],Tabla2[Provincias],"no se encuentra")</f>
        <v>Barcelona</v>
      </c>
      <c r="L1752" t="str">
        <f>_xlfn.XLOOKUP(datos_ventas[[#This Row],[Provincia]],Tabla2[Provincias],Tabla2[Comunidades],"no se encuentra")</f>
        <v>Cataluña</v>
      </c>
      <c r="M1752" t="s">
        <v>15</v>
      </c>
      <c r="N1752">
        <v>1</v>
      </c>
    </row>
    <row r="1753" spans="1:14" x14ac:dyDescent="0.25">
      <c r="A1753">
        <v>2752</v>
      </c>
      <c r="B1753" s="1">
        <v>45874</v>
      </c>
      <c r="C1753" s="4">
        <f>MONTH(datos_ventas[[#This Row],[Fecha]])</f>
        <v>8</v>
      </c>
      <c r="D1753" s="4">
        <f>WEEKNUM(datos_ventas[[#This Row],[Fecha]],2)</f>
        <v>32</v>
      </c>
      <c r="E1753" t="s">
        <v>20</v>
      </c>
      <c r="F1753" t="s">
        <v>21</v>
      </c>
      <c r="G1753">
        <v>1</v>
      </c>
      <c r="H1753">
        <v>114617</v>
      </c>
      <c r="I1753">
        <v>1081</v>
      </c>
      <c r="J1753" t="s">
        <v>27</v>
      </c>
      <c r="K1753" t="str">
        <f>_xlfn.XLOOKUP(datos_ventas[[#This Row],[Ciudad]],Tabla2[Ciudades],Tabla2[Provincias],"no se encuentra")</f>
        <v>Sevilla</v>
      </c>
      <c r="L1753" t="str">
        <f>_xlfn.XLOOKUP(datos_ventas[[#This Row],[Provincia]],Tabla2[Provincias],Tabla2[Comunidades],"no se encuentra")</f>
        <v>Andalucía</v>
      </c>
      <c r="M1753" t="s">
        <v>15</v>
      </c>
      <c r="N1753">
        <v>3</v>
      </c>
    </row>
    <row r="1754" spans="1:14" x14ac:dyDescent="0.25">
      <c r="A1754">
        <v>2753</v>
      </c>
      <c r="B1754" s="1">
        <v>45973</v>
      </c>
      <c r="C1754" s="4">
        <f>MONTH(datos_ventas[[#This Row],[Fecha]])</f>
        <v>11</v>
      </c>
      <c r="D1754" s="4">
        <f>WEEKNUM(datos_ventas[[#This Row],[Fecha]],2)</f>
        <v>46</v>
      </c>
      <c r="E1754" t="s">
        <v>29</v>
      </c>
      <c r="F1754" t="s">
        <v>30</v>
      </c>
      <c r="G1754">
        <v>1</v>
      </c>
      <c r="H1754">
        <v>85137</v>
      </c>
      <c r="I1754">
        <v>4687</v>
      </c>
      <c r="J1754" t="s">
        <v>22</v>
      </c>
      <c r="K1754" t="str">
        <f>_xlfn.XLOOKUP(datos_ventas[[#This Row],[Ciudad]],Tabla2[Ciudades],Tabla2[Provincias],"no se encuentra")</f>
        <v>Valencia</v>
      </c>
      <c r="L1754" t="str">
        <f>_xlfn.XLOOKUP(datos_ventas[[#This Row],[Provincia]],Tabla2[Provincias],Tabla2[Comunidades],"no se encuentra")</f>
        <v>Comunidad Valenciana</v>
      </c>
      <c r="M1754" t="s">
        <v>15</v>
      </c>
      <c r="N1754">
        <v>1</v>
      </c>
    </row>
    <row r="1755" spans="1:14" x14ac:dyDescent="0.25">
      <c r="A1755">
        <v>2754</v>
      </c>
      <c r="B1755" s="1">
        <v>45986</v>
      </c>
      <c r="C1755" s="4">
        <f>MONTH(datos_ventas[[#This Row],[Fecha]])</f>
        <v>11</v>
      </c>
      <c r="D1755" s="4">
        <f>WEEKNUM(datos_ventas[[#This Row],[Fecha]],2)</f>
        <v>48</v>
      </c>
      <c r="E1755" t="s">
        <v>20</v>
      </c>
      <c r="F1755" t="s">
        <v>21</v>
      </c>
      <c r="G1755">
        <v>3</v>
      </c>
      <c r="H1755">
        <v>11724</v>
      </c>
      <c r="I1755">
        <v>2559</v>
      </c>
      <c r="J1755" t="s">
        <v>12</v>
      </c>
      <c r="K1755" t="str">
        <f>_xlfn.XLOOKUP(datos_ventas[[#This Row],[Ciudad]],Tabla2[Ciudades],Tabla2[Provincias],"no se encuentra")</f>
        <v>Málaga</v>
      </c>
      <c r="L1755" t="str">
        <f>_xlfn.XLOOKUP(datos_ventas[[#This Row],[Provincia]],Tabla2[Provincias],Tabla2[Comunidades],"no se encuentra")</f>
        <v>Andalucía</v>
      </c>
      <c r="M1755" t="s">
        <v>15</v>
      </c>
      <c r="N1755">
        <v>1</v>
      </c>
    </row>
    <row r="1756" spans="1:14" x14ac:dyDescent="0.25">
      <c r="A1756">
        <v>2755</v>
      </c>
      <c r="B1756" s="1">
        <v>45742</v>
      </c>
      <c r="C1756" s="4">
        <f>MONTH(datos_ventas[[#This Row],[Fecha]])</f>
        <v>3</v>
      </c>
      <c r="D1756" s="4">
        <f>WEEKNUM(datos_ventas[[#This Row],[Fecha]],2)</f>
        <v>13</v>
      </c>
      <c r="E1756" t="s">
        <v>10</v>
      </c>
      <c r="F1756" t="s">
        <v>11</v>
      </c>
      <c r="G1756">
        <v>5</v>
      </c>
      <c r="H1756">
        <v>32897</v>
      </c>
      <c r="I1756">
        <v>2039</v>
      </c>
      <c r="J1756" t="s">
        <v>32</v>
      </c>
      <c r="K1756" t="str">
        <f>_xlfn.XLOOKUP(datos_ventas[[#This Row],[Ciudad]],Tabla2[Ciudades],Tabla2[Provincias],"no se encuentra")</f>
        <v>Barcelona</v>
      </c>
      <c r="L1756" t="str">
        <f>_xlfn.XLOOKUP(datos_ventas[[#This Row],[Provincia]],Tabla2[Provincias],Tabla2[Comunidades],"no se encuentra")</f>
        <v>Cataluña</v>
      </c>
      <c r="M1756" t="s">
        <v>15</v>
      </c>
      <c r="N1756">
        <v>2</v>
      </c>
    </row>
    <row r="1757" spans="1:14" x14ac:dyDescent="0.25">
      <c r="A1757">
        <v>2756</v>
      </c>
      <c r="B1757" s="1">
        <v>45840</v>
      </c>
      <c r="C1757" s="4">
        <f>MONTH(datos_ventas[[#This Row],[Fecha]])</f>
        <v>7</v>
      </c>
      <c r="D1757" s="4">
        <f>WEEKNUM(datos_ventas[[#This Row],[Fecha]],2)</f>
        <v>27</v>
      </c>
      <c r="E1757" t="s">
        <v>23</v>
      </c>
      <c r="F1757" t="s">
        <v>18</v>
      </c>
      <c r="G1757">
        <v>3</v>
      </c>
      <c r="H1757">
        <v>118313</v>
      </c>
      <c r="I1757">
        <v>1688</v>
      </c>
      <c r="J1757" t="s">
        <v>14</v>
      </c>
      <c r="K1757" t="str">
        <f>_xlfn.XLOOKUP(datos_ventas[[#This Row],[Ciudad]],Tabla2[Ciudades],Tabla2[Provincias],"no se encuentra")</f>
        <v>Madrid</v>
      </c>
      <c r="L1757" t="str">
        <f>_xlfn.XLOOKUP(datos_ventas[[#This Row],[Provincia]],Tabla2[Provincias],Tabla2[Comunidades],"no se encuentra")</f>
        <v>Comunidad de Madrid</v>
      </c>
      <c r="M1757" t="s">
        <v>13</v>
      </c>
      <c r="N1757">
        <v>4</v>
      </c>
    </row>
    <row r="1758" spans="1:14" x14ac:dyDescent="0.25">
      <c r="A1758">
        <v>2757</v>
      </c>
      <c r="B1758" s="1">
        <v>45965</v>
      </c>
      <c r="C1758" s="4">
        <f>MONTH(datos_ventas[[#This Row],[Fecha]])</f>
        <v>11</v>
      </c>
      <c r="D1758" s="4">
        <f>WEEKNUM(datos_ventas[[#This Row],[Fecha]],2)</f>
        <v>45</v>
      </c>
      <c r="E1758" t="s">
        <v>24</v>
      </c>
      <c r="F1758" t="s">
        <v>25</v>
      </c>
      <c r="G1758">
        <v>4</v>
      </c>
      <c r="H1758">
        <v>33915</v>
      </c>
      <c r="I1758">
        <v>2649</v>
      </c>
      <c r="J1758" t="s">
        <v>31</v>
      </c>
      <c r="K1758" t="str">
        <f>_xlfn.XLOOKUP(datos_ventas[[#This Row],[Ciudad]],Tabla2[Ciudades],Tabla2[Provincias],"no se encuentra")</f>
        <v>Vizcaya</v>
      </c>
      <c r="L1758" t="str">
        <f>_xlfn.XLOOKUP(datos_ventas[[#This Row],[Provincia]],Tabla2[Provincias],Tabla2[Comunidades],"no se encuentra")</f>
        <v>País Vasco</v>
      </c>
      <c r="M1758" t="s">
        <v>13</v>
      </c>
      <c r="N1758">
        <v>4</v>
      </c>
    </row>
    <row r="1759" spans="1:14" x14ac:dyDescent="0.25">
      <c r="A1759">
        <v>2758</v>
      </c>
      <c r="B1759" s="1">
        <v>45798</v>
      </c>
      <c r="C1759" s="4">
        <f>MONTH(datos_ventas[[#This Row],[Fecha]])</f>
        <v>5</v>
      </c>
      <c r="D1759" s="4">
        <f>WEEKNUM(datos_ventas[[#This Row],[Fecha]],2)</f>
        <v>21</v>
      </c>
      <c r="E1759" t="s">
        <v>23</v>
      </c>
      <c r="F1759" t="s">
        <v>18</v>
      </c>
      <c r="G1759">
        <v>3</v>
      </c>
      <c r="H1759">
        <v>66179</v>
      </c>
      <c r="I1759">
        <v>4401</v>
      </c>
      <c r="J1759" t="s">
        <v>22</v>
      </c>
      <c r="K1759" t="str">
        <f>_xlfn.XLOOKUP(datos_ventas[[#This Row],[Ciudad]],Tabla2[Ciudades],Tabla2[Provincias],"no se encuentra")</f>
        <v>Valencia</v>
      </c>
      <c r="L1759" t="str">
        <f>_xlfn.XLOOKUP(datos_ventas[[#This Row],[Provincia]],Tabla2[Provincias],Tabla2[Comunidades],"no se encuentra")</f>
        <v>Comunidad Valenciana</v>
      </c>
      <c r="M1759" t="s">
        <v>13</v>
      </c>
      <c r="N1759">
        <v>1</v>
      </c>
    </row>
    <row r="1760" spans="1:14" x14ac:dyDescent="0.25">
      <c r="A1760">
        <v>2759</v>
      </c>
      <c r="B1760" s="1">
        <v>45709</v>
      </c>
      <c r="C1760" s="4">
        <f>MONTH(datos_ventas[[#This Row],[Fecha]])</f>
        <v>2</v>
      </c>
      <c r="D1760" s="4">
        <f>WEEKNUM(datos_ventas[[#This Row],[Fecha]],2)</f>
        <v>8</v>
      </c>
      <c r="E1760" t="s">
        <v>26</v>
      </c>
      <c r="F1760" t="s">
        <v>18</v>
      </c>
      <c r="G1760">
        <v>5</v>
      </c>
      <c r="H1760">
        <v>12223</v>
      </c>
      <c r="I1760">
        <v>2688</v>
      </c>
      <c r="J1760" t="s">
        <v>32</v>
      </c>
      <c r="K1760" t="str">
        <f>_xlfn.XLOOKUP(datos_ventas[[#This Row],[Ciudad]],Tabla2[Ciudades],Tabla2[Provincias],"no se encuentra")</f>
        <v>Barcelona</v>
      </c>
      <c r="L1760" t="str">
        <f>_xlfn.XLOOKUP(datos_ventas[[#This Row],[Provincia]],Tabla2[Provincias],Tabla2[Comunidades],"no se encuentra")</f>
        <v>Cataluña</v>
      </c>
      <c r="M1760" t="s">
        <v>13</v>
      </c>
      <c r="N1760">
        <v>5</v>
      </c>
    </row>
    <row r="1761" spans="1:14" x14ac:dyDescent="0.25">
      <c r="A1761">
        <v>2760</v>
      </c>
      <c r="B1761" s="1">
        <v>45927</v>
      </c>
      <c r="C1761" s="4">
        <f>MONTH(datos_ventas[[#This Row],[Fecha]])</f>
        <v>9</v>
      </c>
      <c r="D1761" s="4">
        <f>WEEKNUM(datos_ventas[[#This Row],[Fecha]],2)</f>
        <v>39</v>
      </c>
      <c r="E1761" t="s">
        <v>16</v>
      </c>
      <c r="F1761" t="s">
        <v>11</v>
      </c>
      <c r="G1761">
        <v>2</v>
      </c>
      <c r="H1761">
        <v>118622</v>
      </c>
      <c r="I1761">
        <v>397</v>
      </c>
      <c r="J1761" t="s">
        <v>32</v>
      </c>
      <c r="K1761" t="str">
        <f>_xlfn.XLOOKUP(datos_ventas[[#This Row],[Ciudad]],Tabla2[Ciudades],Tabla2[Provincias],"no se encuentra")</f>
        <v>Barcelona</v>
      </c>
      <c r="L1761" t="str">
        <f>_xlfn.XLOOKUP(datos_ventas[[#This Row],[Provincia]],Tabla2[Provincias],Tabla2[Comunidades],"no se encuentra")</f>
        <v>Cataluña</v>
      </c>
      <c r="M1761" t="s">
        <v>15</v>
      </c>
      <c r="N1761">
        <v>3</v>
      </c>
    </row>
    <row r="1762" spans="1:14" x14ac:dyDescent="0.25">
      <c r="A1762">
        <v>2761</v>
      </c>
      <c r="B1762" s="1">
        <v>45747</v>
      </c>
      <c r="C1762" s="4">
        <f>MONTH(datos_ventas[[#This Row],[Fecha]])</f>
        <v>3</v>
      </c>
      <c r="D1762" s="4">
        <f>WEEKNUM(datos_ventas[[#This Row],[Fecha]],2)</f>
        <v>14</v>
      </c>
      <c r="E1762" t="s">
        <v>29</v>
      </c>
      <c r="F1762" t="s">
        <v>30</v>
      </c>
      <c r="G1762">
        <v>4</v>
      </c>
      <c r="H1762">
        <v>23391</v>
      </c>
      <c r="I1762">
        <v>4122</v>
      </c>
      <c r="J1762" t="s">
        <v>12</v>
      </c>
      <c r="K1762" t="str">
        <f>_xlfn.XLOOKUP(datos_ventas[[#This Row],[Ciudad]],Tabla2[Ciudades],Tabla2[Provincias],"no se encuentra")</f>
        <v>Málaga</v>
      </c>
      <c r="L1762" t="str">
        <f>_xlfn.XLOOKUP(datos_ventas[[#This Row],[Provincia]],Tabla2[Provincias],Tabla2[Comunidades],"no se encuentra")</f>
        <v>Andalucía</v>
      </c>
      <c r="M1762" t="s">
        <v>19</v>
      </c>
      <c r="N1762">
        <v>2</v>
      </c>
    </row>
    <row r="1763" spans="1:14" x14ac:dyDescent="0.25">
      <c r="A1763">
        <v>2762</v>
      </c>
      <c r="B1763" s="1">
        <v>45688</v>
      </c>
      <c r="C1763" s="4">
        <f>MONTH(datos_ventas[[#This Row],[Fecha]])</f>
        <v>1</v>
      </c>
      <c r="D1763" s="4">
        <f>WEEKNUM(datos_ventas[[#This Row],[Fecha]],2)</f>
        <v>5</v>
      </c>
      <c r="E1763" t="s">
        <v>26</v>
      </c>
      <c r="F1763" t="s">
        <v>18</v>
      </c>
      <c r="G1763">
        <v>4</v>
      </c>
      <c r="H1763">
        <v>6570</v>
      </c>
      <c r="I1763">
        <v>1839</v>
      </c>
      <c r="J1763" t="s">
        <v>12</v>
      </c>
      <c r="K1763" t="str">
        <f>_xlfn.XLOOKUP(datos_ventas[[#This Row],[Ciudad]],Tabla2[Ciudades],Tabla2[Provincias],"no se encuentra")</f>
        <v>Málaga</v>
      </c>
      <c r="L1763" t="str">
        <f>_xlfn.XLOOKUP(datos_ventas[[#This Row],[Provincia]],Tabla2[Provincias],Tabla2[Comunidades],"no se encuentra")</f>
        <v>Andalucía</v>
      </c>
      <c r="M1763" t="s">
        <v>15</v>
      </c>
      <c r="N1763">
        <v>1</v>
      </c>
    </row>
    <row r="1764" spans="1:14" x14ac:dyDescent="0.25">
      <c r="A1764">
        <v>2763</v>
      </c>
      <c r="B1764" s="1">
        <v>45885</v>
      </c>
      <c r="C1764" s="4">
        <f>MONTH(datos_ventas[[#This Row],[Fecha]])</f>
        <v>8</v>
      </c>
      <c r="D1764" s="4">
        <f>WEEKNUM(datos_ventas[[#This Row],[Fecha]],2)</f>
        <v>33</v>
      </c>
      <c r="E1764" t="s">
        <v>10</v>
      </c>
      <c r="F1764" t="s">
        <v>11</v>
      </c>
      <c r="G1764">
        <v>4</v>
      </c>
      <c r="H1764">
        <v>72299</v>
      </c>
      <c r="I1764">
        <v>1249</v>
      </c>
      <c r="J1764" t="s">
        <v>32</v>
      </c>
      <c r="K1764" t="str">
        <f>_xlfn.XLOOKUP(datos_ventas[[#This Row],[Ciudad]],Tabla2[Ciudades],Tabla2[Provincias],"no se encuentra")</f>
        <v>Barcelona</v>
      </c>
      <c r="L1764" t="str">
        <f>_xlfn.XLOOKUP(datos_ventas[[#This Row],[Provincia]],Tabla2[Provincias],Tabla2[Comunidades],"no se encuentra")</f>
        <v>Cataluña</v>
      </c>
      <c r="M1764" t="s">
        <v>19</v>
      </c>
      <c r="N1764">
        <v>5</v>
      </c>
    </row>
    <row r="1765" spans="1:14" x14ac:dyDescent="0.25">
      <c r="A1765">
        <v>2764</v>
      </c>
      <c r="B1765" s="1">
        <v>45829</v>
      </c>
      <c r="C1765" s="4">
        <f>MONTH(datos_ventas[[#This Row],[Fecha]])</f>
        <v>6</v>
      </c>
      <c r="D1765" s="4">
        <f>WEEKNUM(datos_ventas[[#This Row],[Fecha]],2)</f>
        <v>25</v>
      </c>
      <c r="E1765" t="s">
        <v>26</v>
      </c>
      <c r="F1765" t="s">
        <v>18</v>
      </c>
      <c r="G1765">
        <v>1</v>
      </c>
      <c r="H1765">
        <v>103607</v>
      </c>
      <c r="I1765">
        <v>2076</v>
      </c>
      <c r="J1765" t="s">
        <v>31</v>
      </c>
      <c r="K1765" t="str">
        <f>_xlfn.XLOOKUP(datos_ventas[[#This Row],[Ciudad]],Tabla2[Ciudades],Tabla2[Provincias],"no se encuentra")</f>
        <v>Vizcaya</v>
      </c>
      <c r="L1765" t="str">
        <f>_xlfn.XLOOKUP(datos_ventas[[#This Row],[Provincia]],Tabla2[Provincias],Tabla2[Comunidades],"no se encuentra")</f>
        <v>País Vasco</v>
      </c>
      <c r="M1765" t="s">
        <v>28</v>
      </c>
      <c r="N1765">
        <v>3</v>
      </c>
    </row>
    <row r="1766" spans="1:14" x14ac:dyDescent="0.25">
      <c r="A1766">
        <v>2765</v>
      </c>
      <c r="B1766" s="1">
        <v>45971</v>
      </c>
      <c r="C1766" s="4">
        <f>MONTH(datos_ventas[[#This Row],[Fecha]])</f>
        <v>11</v>
      </c>
      <c r="D1766" s="4">
        <f>WEEKNUM(datos_ventas[[#This Row],[Fecha]],2)</f>
        <v>46</v>
      </c>
      <c r="E1766" t="s">
        <v>10</v>
      </c>
      <c r="F1766" t="s">
        <v>11</v>
      </c>
      <c r="G1766">
        <v>5</v>
      </c>
      <c r="H1766">
        <v>4230</v>
      </c>
      <c r="I1766">
        <v>4339</v>
      </c>
      <c r="J1766" t="s">
        <v>27</v>
      </c>
      <c r="K1766" t="str">
        <f>_xlfn.XLOOKUP(datos_ventas[[#This Row],[Ciudad]],Tabla2[Ciudades],Tabla2[Provincias],"no se encuentra")</f>
        <v>Sevilla</v>
      </c>
      <c r="L1766" t="str">
        <f>_xlfn.XLOOKUP(datos_ventas[[#This Row],[Provincia]],Tabla2[Provincias],Tabla2[Comunidades],"no se encuentra")</f>
        <v>Andalucía</v>
      </c>
      <c r="M1766" t="s">
        <v>19</v>
      </c>
      <c r="N1766">
        <v>5</v>
      </c>
    </row>
    <row r="1767" spans="1:14" x14ac:dyDescent="0.25">
      <c r="A1767">
        <v>2766</v>
      </c>
      <c r="B1767" s="1">
        <v>45667</v>
      </c>
      <c r="C1767" s="4">
        <f>MONTH(datos_ventas[[#This Row],[Fecha]])</f>
        <v>1</v>
      </c>
      <c r="D1767" s="4">
        <f>WEEKNUM(datos_ventas[[#This Row],[Fecha]],2)</f>
        <v>2</v>
      </c>
      <c r="E1767" t="s">
        <v>24</v>
      </c>
      <c r="F1767" t="s">
        <v>25</v>
      </c>
      <c r="G1767">
        <v>2</v>
      </c>
      <c r="H1767">
        <v>114902</v>
      </c>
      <c r="I1767">
        <v>704</v>
      </c>
      <c r="J1767" t="s">
        <v>32</v>
      </c>
      <c r="K1767" t="str">
        <f>_xlfn.XLOOKUP(datos_ventas[[#This Row],[Ciudad]],Tabla2[Ciudades],Tabla2[Provincias],"no se encuentra")</f>
        <v>Barcelona</v>
      </c>
      <c r="L1767" t="str">
        <f>_xlfn.XLOOKUP(datos_ventas[[#This Row],[Provincia]],Tabla2[Provincias],Tabla2[Comunidades],"no se encuentra")</f>
        <v>Cataluña</v>
      </c>
      <c r="M1767" t="s">
        <v>19</v>
      </c>
      <c r="N1767">
        <v>4</v>
      </c>
    </row>
    <row r="1768" spans="1:14" x14ac:dyDescent="0.25">
      <c r="A1768">
        <v>2767</v>
      </c>
      <c r="B1768" s="1">
        <v>45679</v>
      </c>
      <c r="C1768" s="4">
        <f>MONTH(datos_ventas[[#This Row],[Fecha]])</f>
        <v>1</v>
      </c>
      <c r="D1768" s="4">
        <f>WEEKNUM(datos_ventas[[#This Row],[Fecha]],2)</f>
        <v>4</v>
      </c>
      <c r="E1768" t="s">
        <v>23</v>
      </c>
      <c r="F1768" t="s">
        <v>18</v>
      </c>
      <c r="G1768">
        <v>5</v>
      </c>
      <c r="H1768">
        <v>35619</v>
      </c>
      <c r="I1768">
        <v>2473</v>
      </c>
      <c r="J1768" t="s">
        <v>14</v>
      </c>
      <c r="K1768" t="str">
        <f>_xlfn.XLOOKUP(datos_ventas[[#This Row],[Ciudad]],Tabla2[Ciudades],Tabla2[Provincias],"no se encuentra")</f>
        <v>Madrid</v>
      </c>
      <c r="L1768" t="str">
        <f>_xlfn.XLOOKUP(datos_ventas[[#This Row],[Provincia]],Tabla2[Provincias],Tabla2[Comunidades],"no se encuentra")</f>
        <v>Comunidad de Madrid</v>
      </c>
      <c r="M1768" t="s">
        <v>28</v>
      </c>
      <c r="N1768">
        <v>5</v>
      </c>
    </row>
    <row r="1769" spans="1:14" x14ac:dyDescent="0.25">
      <c r="A1769">
        <v>2768</v>
      </c>
      <c r="B1769" s="1">
        <v>45687</v>
      </c>
      <c r="C1769" s="4">
        <f>MONTH(datos_ventas[[#This Row],[Fecha]])</f>
        <v>1</v>
      </c>
      <c r="D1769" s="4">
        <f>WEEKNUM(datos_ventas[[#This Row],[Fecha]],2)</f>
        <v>5</v>
      </c>
      <c r="E1769" t="s">
        <v>23</v>
      </c>
      <c r="F1769" t="s">
        <v>18</v>
      </c>
      <c r="G1769">
        <v>3</v>
      </c>
      <c r="H1769">
        <v>31064</v>
      </c>
      <c r="I1769">
        <v>3011</v>
      </c>
      <c r="J1769" t="s">
        <v>12</v>
      </c>
      <c r="K1769" t="str">
        <f>_xlfn.XLOOKUP(datos_ventas[[#This Row],[Ciudad]],Tabla2[Ciudades],Tabla2[Provincias],"no se encuentra")</f>
        <v>Málaga</v>
      </c>
      <c r="L1769" t="str">
        <f>_xlfn.XLOOKUP(datos_ventas[[#This Row],[Provincia]],Tabla2[Provincias],Tabla2[Comunidades],"no se encuentra")</f>
        <v>Andalucía</v>
      </c>
      <c r="M1769" t="s">
        <v>13</v>
      </c>
      <c r="N1769">
        <v>2</v>
      </c>
    </row>
    <row r="1770" spans="1:14" x14ac:dyDescent="0.25">
      <c r="A1770">
        <v>2769</v>
      </c>
      <c r="B1770" s="1">
        <v>45802</v>
      </c>
      <c r="C1770" s="4">
        <f>MONTH(datos_ventas[[#This Row],[Fecha]])</f>
        <v>5</v>
      </c>
      <c r="D1770" s="4">
        <f>WEEKNUM(datos_ventas[[#This Row],[Fecha]],2)</f>
        <v>21</v>
      </c>
      <c r="E1770" t="s">
        <v>20</v>
      </c>
      <c r="F1770" t="s">
        <v>21</v>
      </c>
      <c r="G1770">
        <v>2</v>
      </c>
      <c r="H1770">
        <v>77654</v>
      </c>
      <c r="I1770">
        <v>782</v>
      </c>
      <c r="J1770" t="s">
        <v>22</v>
      </c>
      <c r="K1770" t="str">
        <f>_xlfn.XLOOKUP(datos_ventas[[#This Row],[Ciudad]],Tabla2[Ciudades],Tabla2[Provincias],"no se encuentra")</f>
        <v>Valencia</v>
      </c>
      <c r="L1770" t="str">
        <f>_xlfn.XLOOKUP(datos_ventas[[#This Row],[Provincia]],Tabla2[Provincias],Tabla2[Comunidades],"no se encuentra")</f>
        <v>Comunidad Valenciana</v>
      </c>
      <c r="M1770" t="s">
        <v>15</v>
      </c>
      <c r="N1770">
        <v>1</v>
      </c>
    </row>
    <row r="1771" spans="1:14" x14ac:dyDescent="0.25">
      <c r="A1771">
        <v>2770</v>
      </c>
      <c r="B1771" s="1">
        <v>45661</v>
      </c>
      <c r="C1771" s="4">
        <f>MONTH(datos_ventas[[#This Row],[Fecha]])</f>
        <v>1</v>
      </c>
      <c r="D1771" s="4">
        <f>WEEKNUM(datos_ventas[[#This Row],[Fecha]],2)</f>
        <v>1</v>
      </c>
      <c r="E1771" t="s">
        <v>16</v>
      </c>
      <c r="F1771" t="s">
        <v>11</v>
      </c>
      <c r="G1771">
        <v>4</v>
      </c>
      <c r="H1771">
        <v>71223</v>
      </c>
      <c r="I1771">
        <v>2683</v>
      </c>
      <c r="J1771" t="s">
        <v>12</v>
      </c>
      <c r="K1771" t="str">
        <f>_xlfn.XLOOKUP(datos_ventas[[#This Row],[Ciudad]],Tabla2[Ciudades],Tabla2[Provincias],"no se encuentra")</f>
        <v>Málaga</v>
      </c>
      <c r="L1771" t="str">
        <f>_xlfn.XLOOKUP(datos_ventas[[#This Row],[Provincia]],Tabla2[Provincias],Tabla2[Comunidades],"no se encuentra")</f>
        <v>Andalucía</v>
      </c>
      <c r="M1771" t="s">
        <v>28</v>
      </c>
      <c r="N1771">
        <v>2</v>
      </c>
    </row>
    <row r="1772" spans="1:14" x14ac:dyDescent="0.25">
      <c r="A1772">
        <v>2771</v>
      </c>
      <c r="B1772" s="1">
        <v>45916</v>
      </c>
      <c r="C1772" s="4">
        <f>MONTH(datos_ventas[[#This Row],[Fecha]])</f>
        <v>9</v>
      </c>
      <c r="D1772" s="4">
        <f>WEEKNUM(datos_ventas[[#This Row],[Fecha]],2)</f>
        <v>38</v>
      </c>
      <c r="E1772" t="s">
        <v>24</v>
      </c>
      <c r="F1772" t="s">
        <v>25</v>
      </c>
      <c r="G1772">
        <v>1</v>
      </c>
      <c r="H1772">
        <v>12427</v>
      </c>
      <c r="I1772">
        <v>1395</v>
      </c>
      <c r="J1772" t="s">
        <v>12</v>
      </c>
      <c r="K1772" t="str">
        <f>_xlfn.XLOOKUP(datos_ventas[[#This Row],[Ciudad]],Tabla2[Ciudades],Tabla2[Provincias],"no se encuentra")</f>
        <v>Málaga</v>
      </c>
      <c r="L1772" t="str">
        <f>_xlfn.XLOOKUP(datos_ventas[[#This Row],[Provincia]],Tabla2[Provincias],Tabla2[Comunidades],"no se encuentra")</f>
        <v>Andalucía</v>
      </c>
      <c r="M1772" t="s">
        <v>19</v>
      </c>
      <c r="N1772">
        <v>5</v>
      </c>
    </row>
    <row r="1773" spans="1:14" x14ac:dyDescent="0.25">
      <c r="A1773">
        <v>2772</v>
      </c>
      <c r="B1773" s="1">
        <v>45778</v>
      </c>
      <c r="C1773" s="4">
        <f>MONTH(datos_ventas[[#This Row],[Fecha]])</f>
        <v>5</v>
      </c>
      <c r="D1773" s="4">
        <f>WEEKNUM(datos_ventas[[#This Row],[Fecha]],2)</f>
        <v>18</v>
      </c>
      <c r="E1773" t="s">
        <v>24</v>
      </c>
      <c r="F1773" t="s">
        <v>25</v>
      </c>
      <c r="G1773">
        <v>1</v>
      </c>
      <c r="H1773">
        <v>29158</v>
      </c>
      <c r="I1773">
        <v>1389</v>
      </c>
      <c r="J1773" t="s">
        <v>27</v>
      </c>
      <c r="K1773" t="str">
        <f>_xlfn.XLOOKUP(datos_ventas[[#This Row],[Ciudad]],Tabla2[Ciudades],Tabla2[Provincias],"no se encuentra")</f>
        <v>Sevilla</v>
      </c>
      <c r="L1773" t="str">
        <f>_xlfn.XLOOKUP(datos_ventas[[#This Row],[Provincia]],Tabla2[Provincias],Tabla2[Comunidades],"no se encuentra")</f>
        <v>Andalucía</v>
      </c>
      <c r="M1773" t="s">
        <v>28</v>
      </c>
      <c r="N1773">
        <v>3</v>
      </c>
    </row>
    <row r="1774" spans="1:14" x14ac:dyDescent="0.25">
      <c r="A1774">
        <v>2773</v>
      </c>
      <c r="B1774" s="1">
        <v>45728</v>
      </c>
      <c r="C1774" s="4">
        <f>MONTH(datos_ventas[[#This Row],[Fecha]])</f>
        <v>3</v>
      </c>
      <c r="D1774" s="4">
        <f>WEEKNUM(datos_ventas[[#This Row],[Fecha]],2)</f>
        <v>11</v>
      </c>
      <c r="E1774" t="s">
        <v>10</v>
      </c>
      <c r="F1774" t="s">
        <v>11</v>
      </c>
      <c r="G1774">
        <v>2</v>
      </c>
      <c r="H1774">
        <v>65667</v>
      </c>
      <c r="I1774">
        <v>178</v>
      </c>
      <c r="J1774" t="s">
        <v>12</v>
      </c>
      <c r="K1774" t="str">
        <f>_xlfn.XLOOKUP(datos_ventas[[#This Row],[Ciudad]],Tabla2[Ciudades],Tabla2[Provincias],"no se encuentra")</f>
        <v>Málaga</v>
      </c>
      <c r="L1774" t="str">
        <f>_xlfn.XLOOKUP(datos_ventas[[#This Row],[Provincia]],Tabla2[Provincias],Tabla2[Comunidades],"no se encuentra")</f>
        <v>Andalucía</v>
      </c>
      <c r="M1774" t="s">
        <v>15</v>
      </c>
      <c r="N1774">
        <v>5</v>
      </c>
    </row>
    <row r="1775" spans="1:14" x14ac:dyDescent="0.25">
      <c r="A1775">
        <v>2774</v>
      </c>
      <c r="B1775" s="1">
        <v>45879</v>
      </c>
      <c r="C1775" s="4">
        <f>MONTH(datos_ventas[[#This Row],[Fecha]])</f>
        <v>8</v>
      </c>
      <c r="D1775" s="4">
        <f>WEEKNUM(datos_ventas[[#This Row],[Fecha]],2)</f>
        <v>32</v>
      </c>
      <c r="E1775" t="s">
        <v>23</v>
      </c>
      <c r="F1775" t="s">
        <v>18</v>
      </c>
      <c r="G1775">
        <v>2</v>
      </c>
      <c r="H1775">
        <v>101421</v>
      </c>
      <c r="I1775">
        <v>2712</v>
      </c>
      <c r="J1775" t="s">
        <v>12</v>
      </c>
      <c r="K1775" t="str">
        <f>_xlfn.XLOOKUP(datos_ventas[[#This Row],[Ciudad]],Tabla2[Ciudades],Tabla2[Provincias],"no se encuentra")</f>
        <v>Málaga</v>
      </c>
      <c r="L1775" t="str">
        <f>_xlfn.XLOOKUP(datos_ventas[[#This Row],[Provincia]],Tabla2[Provincias],Tabla2[Comunidades],"no se encuentra")</f>
        <v>Andalucía</v>
      </c>
      <c r="M1775" t="s">
        <v>28</v>
      </c>
      <c r="N1775">
        <v>5</v>
      </c>
    </row>
    <row r="1776" spans="1:14" x14ac:dyDescent="0.25">
      <c r="A1776">
        <v>2775</v>
      </c>
      <c r="B1776" s="1">
        <v>45913</v>
      </c>
      <c r="C1776" s="4">
        <f>MONTH(datos_ventas[[#This Row],[Fecha]])</f>
        <v>9</v>
      </c>
      <c r="D1776" s="4">
        <f>WEEKNUM(datos_ventas[[#This Row],[Fecha]],2)</f>
        <v>37</v>
      </c>
      <c r="E1776" t="s">
        <v>10</v>
      </c>
      <c r="F1776" t="s">
        <v>11</v>
      </c>
      <c r="G1776">
        <v>5</v>
      </c>
      <c r="H1776">
        <v>41835</v>
      </c>
      <c r="I1776">
        <v>1289</v>
      </c>
      <c r="J1776" t="s">
        <v>27</v>
      </c>
      <c r="K1776" t="str">
        <f>_xlfn.XLOOKUP(datos_ventas[[#This Row],[Ciudad]],Tabla2[Ciudades],Tabla2[Provincias],"no se encuentra")</f>
        <v>Sevilla</v>
      </c>
      <c r="L1776" t="str">
        <f>_xlfn.XLOOKUP(datos_ventas[[#This Row],[Provincia]],Tabla2[Provincias],Tabla2[Comunidades],"no se encuentra")</f>
        <v>Andalucía</v>
      </c>
      <c r="M1776" t="s">
        <v>15</v>
      </c>
      <c r="N1776">
        <v>5</v>
      </c>
    </row>
    <row r="1777" spans="1:14" x14ac:dyDescent="0.25">
      <c r="A1777">
        <v>2776</v>
      </c>
      <c r="B1777" s="1">
        <v>45856</v>
      </c>
      <c r="C1777" s="4">
        <f>MONTH(datos_ventas[[#This Row],[Fecha]])</f>
        <v>7</v>
      </c>
      <c r="D1777" s="4">
        <f>WEEKNUM(datos_ventas[[#This Row],[Fecha]],2)</f>
        <v>29</v>
      </c>
      <c r="E1777" t="s">
        <v>29</v>
      </c>
      <c r="F1777" t="s">
        <v>30</v>
      </c>
      <c r="G1777">
        <v>4</v>
      </c>
      <c r="H1777">
        <v>66414</v>
      </c>
      <c r="I1777">
        <v>4323</v>
      </c>
      <c r="J1777" t="s">
        <v>12</v>
      </c>
      <c r="K1777" t="str">
        <f>_xlfn.XLOOKUP(datos_ventas[[#This Row],[Ciudad]],Tabla2[Ciudades],Tabla2[Provincias],"no se encuentra")</f>
        <v>Málaga</v>
      </c>
      <c r="L1777" t="str">
        <f>_xlfn.XLOOKUP(datos_ventas[[#This Row],[Provincia]],Tabla2[Provincias],Tabla2[Comunidades],"no se encuentra")</f>
        <v>Andalucía</v>
      </c>
      <c r="M1777" t="s">
        <v>19</v>
      </c>
      <c r="N1777">
        <v>2</v>
      </c>
    </row>
    <row r="1778" spans="1:14" x14ac:dyDescent="0.25">
      <c r="A1778">
        <v>2777</v>
      </c>
      <c r="B1778" s="1">
        <v>45808</v>
      </c>
      <c r="C1778" s="4">
        <f>MONTH(datos_ventas[[#This Row],[Fecha]])</f>
        <v>5</v>
      </c>
      <c r="D1778" s="4">
        <f>WEEKNUM(datos_ventas[[#This Row],[Fecha]],2)</f>
        <v>22</v>
      </c>
      <c r="E1778" t="s">
        <v>23</v>
      </c>
      <c r="F1778" t="s">
        <v>18</v>
      </c>
      <c r="G1778">
        <v>5</v>
      </c>
      <c r="H1778">
        <v>43555</v>
      </c>
      <c r="I1778">
        <v>3897</v>
      </c>
      <c r="J1778" t="s">
        <v>12</v>
      </c>
      <c r="K1778" t="str">
        <f>_xlfn.XLOOKUP(datos_ventas[[#This Row],[Ciudad]],Tabla2[Ciudades],Tabla2[Provincias],"no se encuentra")</f>
        <v>Málaga</v>
      </c>
      <c r="L1778" t="str">
        <f>_xlfn.XLOOKUP(datos_ventas[[#This Row],[Provincia]],Tabla2[Provincias],Tabla2[Comunidades],"no se encuentra")</f>
        <v>Andalucía</v>
      </c>
      <c r="M1778" t="s">
        <v>15</v>
      </c>
      <c r="N1778">
        <v>2</v>
      </c>
    </row>
    <row r="1779" spans="1:14" x14ac:dyDescent="0.25">
      <c r="A1779">
        <v>2778</v>
      </c>
      <c r="B1779" s="1">
        <v>45829</v>
      </c>
      <c r="C1779" s="4">
        <f>MONTH(datos_ventas[[#This Row],[Fecha]])</f>
        <v>6</v>
      </c>
      <c r="D1779" s="4">
        <f>WEEKNUM(datos_ventas[[#This Row],[Fecha]],2)</f>
        <v>25</v>
      </c>
      <c r="E1779" t="s">
        <v>26</v>
      </c>
      <c r="F1779" t="s">
        <v>18</v>
      </c>
      <c r="G1779">
        <v>2</v>
      </c>
      <c r="H1779">
        <v>62357</v>
      </c>
      <c r="I1779">
        <v>4485</v>
      </c>
      <c r="J1779" t="s">
        <v>32</v>
      </c>
      <c r="K1779" t="str">
        <f>_xlfn.XLOOKUP(datos_ventas[[#This Row],[Ciudad]],Tabla2[Ciudades],Tabla2[Provincias],"no se encuentra")</f>
        <v>Barcelona</v>
      </c>
      <c r="L1779" t="str">
        <f>_xlfn.XLOOKUP(datos_ventas[[#This Row],[Provincia]],Tabla2[Provincias],Tabla2[Comunidades],"no se encuentra")</f>
        <v>Cataluña</v>
      </c>
      <c r="M1779" t="s">
        <v>28</v>
      </c>
      <c r="N1779">
        <v>3</v>
      </c>
    </row>
    <row r="1780" spans="1:14" x14ac:dyDescent="0.25">
      <c r="A1780">
        <v>2779</v>
      </c>
      <c r="B1780" s="1">
        <v>45941</v>
      </c>
      <c r="C1780" s="4">
        <f>MONTH(datos_ventas[[#This Row],[Fecha]])</f>
        <v>10</v>
      </c>
      <c r="D1780" s="4">
        <f>WEEKNUM(datos_ventas[[#This Row],[Fecha]],2)</f>
        <v>41</v>
      </c>
      <c r="E1780" t="s">
        <v>10</v>
      </c>
      <c r="F1780" t="s">
        <v>11</v>
      </c>
      <c r="G1780">
        <v>2</v>
      </c>
      <c r="H1780">
        <v>20219</v>
      </c>
      <c r="I1780">
        <v>4724</v>
      </c>
      <c r="J1780" t="s">
        <v>14</v>
      </c>
      <c r="K1780" t="str">
        <f>_xlfn.XLOOKUP(datos_ventas[[#This Row],[Ciudad]],Tabla2[Ciudades],Tabla2[Provincias],"no se encuentra")</f>
        <v>Madrid</v>
      </c>
      <c r="L1780" t="str">
        <f>_xlfn.XLOOKUP(datos_ventas[[#This Row],[Provincia]],Tabla2[Provincias],Tabla2[Comunidades],"no se encuentra")</f>
        <v>Comunidad de Madrid</v>
      </c>
      <c r="M1780" t="s">
        <v>28</v>
      </c>
      <c r="N1780">
        <v>1</v>
      </c>
    </row>
    <row r="1781" spans="1:14" x14ac:dyDescent="0.25">
      <c r="A1781">
        <v>2780</v>
      </c>
      <c r="B1781" s="1">
        <v>45779</v>
      </c>
      <c r="C1781" s="4">
        <f>MONTH(datos_ventas[[#This Row],[Fecha]])</f>
        <v>5</v>
      </c>
      <c r="D1781" s="4">
        <f>WEEKNUM(datos_ventas[[#This Row],[Fecha]],2)</f>
        <v>18</v>
      </c>
      <c r="E1781" t="s">
        <v>10</v>
      </c>
      <c r="F1781" t="s">
        <v>11</v>
      </c>
      <c r="G1781">
        <v>3</v>
      </c>
      <c r="H1781">
        <v>72263</v>
      </c>
      <c r="I1781">
        <v>3432</v>
      </c>
      <c r="J1781" t="s">
        <v>27</v>
      </c>
      <c r="K1781" t="str">
        <f>_xlfn.XLOOKUP(datos_ventas[[#This Row],[Ciudad]],Tabla2[Ciudades],Tabla2[Provincias],"no se encuentra")</f>
        <v>Sevilla</v>
      </c>
      <c r="L1781" t="str">
        <f>_xlfn.XLOOKUP(datos_ventas[[#This Row],[Provincia]],Tabla2[Provincias],Tabla2[Comunidades],"no se encuentra")</f>
        <v>Andalucía</v>
      </c>
      <c r="M1781" t="s">
        <v>15</v>
      </c>
      <c r="N1781">
        <v>4</v>
      </c>
    </row>
    <row r="1782" spans="1:14" x14ac:dyDescent="0.25">
      <c r="A1782">
        <v>2781</v>
      </c>
      <c r="B1782" s="1">
        <v>45818</v>
      </c>
      <c r="C1782" s="4">
        <f>MONTH(datos_ventas[[#This Row],[Fecha]])</f>
        <v>6</v>
      </c>
      <c r="D1782" s="4">
        <f>WEEKNUM(datos_ventas[[#This Row],[Fecha]],2)</f>
        <v>24</v>
      </c>
      <c r="E1782" t="s">
        <v>17</v>
      </c>
      <c r="F1782" t="s">
        <v>18</v>
      </c>
      <c r="G1782">
        <v>3</v>
      </c>
      <c r="H1782">
        <v>110208</v>
      </c>
      <c r="I1782">
        <v>2916</v>
      </c>
      <c r="J1782" t="s">
        <v>32</v>
      </c>
      <c r="K1782" t="str">
        <f>_xlfn.XLOOKUP(datos_ventas[[#This Row],[Ciudad]],Tabla2[Ciudades],Tabla2[Provincias],"no se encuentra")</f>
        <v>Barcelona</v>
      </c>
      <c r="L1782" t="str">
        <f>_xlfn.XLOOKUP(datos_ventas[[#This Row],[Provincia]],Tabla2[Provincias],Tabla2[Comunidades],"no se encuentra")</f>
        <v>Cataluña</v>
      </c>
      <c r="M1782" t="s">
        <v>13</v>
      </c>
      <c r="N1782">
        <v>4</v>
      </c>
    </row>
    <row r="1783" spans="1:14" x14ac:dyDescent="0.25">
      <c r="A1783">
        <v>2782</v>
      </c>
      <c r="B1783" s="1">
        <v>45908</v>
      </c>
      <c r="C1783" s="4">
        <f>MONTH(datos_ventas[[#This Row],[Fecha]])</f>
        <v>9</v>
      </c>
      <c r="D1783" s="4">
        <f>WEEKNUM(datos_ventas[[#This Row],[Fecha]],2)</f>
        <v>37</v>
      </c>
      <c r="E1783" t="s">
        <v>10</v>
      </c>
      <c r="F1783" t="s">
        <v>11</v>
      </c>
      <c r="G1783">
        <v>1</v>
      </c>
      <c r="H1783">
        <v>100289</v>
      </c>
      <c r="I1783">
        <v>1191</v>
      </c>
      <c r="J1783" t="s">
        <v>12</v>
      </c>
      <c r="K1783" t="str">
        <f>_xlfn.XLOOKUP(datos_ventas[[#This Row],[Ciudad]],Tabla2[Ciudades],Tabla2[Provincias],"no se encuentra")</f>
        <v>Málaga</v>
      </c>
      <c r="L1783" t="str">
        <f>_xlfn.XLOOKUP(datos_ventas[[#This Row],[Provincia]],Tabla2[Provincias],Tabla2[Comunidades],"no se encuentra")</f>
        <v>Andalucía</v>
      </c>
      <c r="M1783" t="s">
        <v>15</v>
      </c>
      <c r="N1783">
        <v>1</v>
      </c>
    </row>
    <row r="1784" spans="1:14" x14ac:dyDescent="0.25">
      <c r="A1784">
        <v>2783</v>
      </c>
      <c r="B1784" s="1">
        <v>46009</v>
      </c>
      <c r="C1784" s="4">
        <f>MONTH(datos_ventas[[#This Row],[Fecha]])</f>
        <v>12</v>
      </c>
      <c r="D1784" s="4">
        <f>WEEKNUM(datos_ventas[[#This Row],[Fecha]],2)</f>
        <v>51</v>
      </c>
      <c r="E1784" t="s">
        <v>16</v>
      </c>
      <c r="F1784" t="s">
        <v>11</v>
      </c>
      <c r="G1784">
        <v>4</v>
      </c>
      <c r="H1784">
        <v>105575</v>
      </c>
      <c r="I1784">
        <v>3658</v>
      </c>
      <c r="J1784" t="s">
        <v>31</v>
      </c>
      <c r="K1784" t="str">
        <f>_xlfn.XLOOKUP(datos_ventas[[#This Row],[Ciudad]],Tabla2[Ciudades],Tabla2[Provincias],"no se encuentra")</f>
        <v>Vizcaya</v>
      </c>
      <c r="L1784" t="str">
        <f>_xlfn.XLOOKUP(datos_ventas[[#This Row],[Provincia]],Tabla2[Provincias],Tabla2[Comunidades],"no se encuentra")</f>
        <v>País Vasco</v>
      </c>
      <c r="M1784" t="s">
        <v>28</v>
      </c>
      <c r="N1784">
        <v>3</v>
      </c>
    </row>
    <row r="1785" spans="1:14" x14ac:dyDescent="0.25">
      <c r="A1785">
        <v>2784</v>
      </c>
      <c r="B1785" s="1">
        <v>45882</v>
      </c>
      <c r="C1785" s="4">
        <f>MONTH(datos_ventas[[#This Row],[Fecha]])</f>
        <v>8</v>
      </c>
      <c r="D1785" s="4">
        <f>WEEKNUM(datos_ventas[[#This Row],[Fecha]],2)</f>
        <v>33</v>
      </c>
      <c r="E1785" t="s">
        <v>24</v>
      </c>
      <c r="F1785" t="s">
        <v>25</v>
      </c>
      <c r="G1785">
        <v>5</v>
      </c>
      <c r="H1785">
        <v>108288</v>
      </c>
      <c r="I1785">
        <v>1659</v>
      </c>
      <c r="J1785" t="s">
        <v>14</v>
      </c>
      <c r="K1785" t="str">
        <f>_xlfn.XLOOKUP(datos_ventas[[#This Row],[Ciudad]],Tabla2[Ciudades],Tabla2[Provincias],"no se encuentra")</f>
        <v>Madrid</v>
      </c>
      <c r="L1785" t="str">
        <f>_xlfn.XLOOKUP(datos_ventas[[#This Row],[Provincia]],Tabla2[Provincias],Tabla2[Comunidades],"no se encuentra")</f>
        <v>Comunidad de Madrid</v>
      </c>
      <c r="M1785" t="s">
        <v>15</v>
      </c>
      <c r="N1785">
        <v>4</v>
      </c>
    </row>
    <row r="1786" spans="1:14" x14ac:dyDescent="0.25">
      <c r="A1786">
        <v>2785</v>
      </c>
      <c r="B1786" s="1">
        <v>45759</v>
      </c>
      <c r="C1786" s="4">
        <f>MONTH(datos_ventas[[#This Row],[Fecha]])</f>
        <v>4</v>
      </c>
      <c r="D1786" s="4">
        <f>WEEKNUM(datos_ventas[[#This Row],[Fecha]],2)</f>
        <v>15</v>
      </c>
      <c r="E1786" t="s">
        <v>20</v>
      </c>
      <c r="F1786" t="s">
        <v>21</v>
      </c>
      <c r="G1786">
        <v>3</v>
      </c>
      <c r="H1786">
        <v>101399</v>
      </c>
      <c r="I1786">
        <v>1687</v>
      </c>
      <c r="J1786" t="s">
        <v>32</v>
      </c>
      <c r="K1786" t="str">
        <f>_xlfn.XLOOKUP(datos_ventas[[#This Row],[Ciudad]],Tabla2[Ciudades],Tabla2[Provincias],"no se encuentra")</f>
        <v>Barcelona</v>
      </c>
      <c r="L1786" t="str">
        <f>_xlfn.XLOOKUP(datos_ventas[[#This Row],[Provincia]],Tabla2[Provincias],Tabla2[Comunidades],"no se encuentra")</f>
        <v>Cataluña</v>
      </c>
      <c r="M1786" t="s">
        <v>28</v>
      </c>
      <c r="N1786">
        <v>2</v>
      </c>
    </row>
    <row r="1787" spans="1:14" x14ac:dyDescent="0.25">
      <c r="A1787">
        <v>2786</v>
      </c>
      <c r="B1787" s="1">
        <v>45938</v>
      </c>
      <c r="C1787" s="4">
        <f>MONTH(datos_ventas[[#This Row],[Fecha]])</f>
        <v>10</v>
      </c>
      <c r="D1787" s="4">
        <f>WEEKNUM(datos_ventas[[#This Row],[Fecha]],2)</f>
        <v>41</v>
      </c>
      <c r="E1787" t="s">
        <v>23</v>
      </c>
      <c r="F1787" t="s">
        <v>18</v>
      </c>
      <c r="G1787">
        <v>2</v>
      </c>
      <c r="H1787">
        <v>84151</v>
      </c>
      <c r="I1787">
        <v>2386</v>
      </c>
      <c r="J1787" t="s">
        <v>31</v>
      </c>
      <c r="K1787" t="str">
        <f>_xlfn.XLOOKUP(datos_ventas[[#This Row],[Ciudad]],Tabla2[Ciudades],Tabla2[Provincias],"no se encuentra")</f>
        <v>Vizcaya</v>
      </c>
      <c r="L1787" t="str">
        <f>_xlfn.XLOOKUP(datos_ventas[[#This Row],[Provincia]],Tabla2[Provincias],Tabla2[Comunidades],"no se encuentra")</f>
        <v>País Vasco</v>
      </c>
      <c r="M1787" t="s">
        <v>13</v>
      </c>
      <c r="N1787">
        <v>1</v>
      </c>
    </row>
    <row r="1788" spans="1:14" x14ac:dyDescent="0.25">
      <c r="A1788">
        <v>2787</v>
      </c>
      <c r="B1788" s="1">
        <v>45868</v>
      </c>
      <c r="C1788" s="4">
        <f>MONTH(datos_ventas[[#This Row],[Fecha]])</f>
        <v>7</v>
      </c>
      <c r="D1788" s="4">
        <f>WEEKNUM(datos_ventas[[#This Row],[Fecha]],2)</f>
        <v>31</v>
      </c>
      <c r="E1788" t="s">
        <v>29</v>
      </c>
      <c r="F1788" t="s">
        <v>30</v>
      </c>
      <c r="G1788">
        <v>3</v>
      </c>
      <c r="H1788">
        <v>10844</v>
      </c>
      <c r="I1788">
        <v>1692</v>
      </c>
      <c r="J1788" t="s">
        <v>12</v>
      </c>
      <c r="K1788" t="str">
        <f>_xlfn.XLOOKUP(datos_ventas[[#This Row],[Ciudad]],Tabla2[Ciudades],Tabla2[Provincias],"no se encuentra")</f>
        <v>Málaga</v>
      </c>
      <c r="L1788" t="str">
        <f>_xlfn.XLOOKUP(datos_ventas[[#This Row],[Provincia]],Tabla2[Provincias],Tabla2[Comunidades],"no se encuentra")</f>
        <v>Andalucía</v>
      </c>
      <c r="M1788" t="s">
        <v>28</v>
      </c>
      <c r="N1788">
        <v>1</v>
      </c>
    </row>
    <row r="1789" spans="1:14" x14ac:dyDescent="0.25">
      <c r="A1789">
        <v>2788</v>
      </c>
      <c r="B1789" s="1">
        <v>46018</v>
      </c>
      <c r="C1789" s="4">
        <f>MONTH(datos_ventas[[#This Row],[Fecha]])</f>
        <v>12</v>
      </c>
      <c r="D1789" s="4">
        <f>WEEKNUM(datos_ventas[[#This Row],[Fecha]],2)</f>
        <v>52</v>
      </c>
      <c r="E1789" t="s">
        <v>24</v>
      </c>
      <c r="F1789" t="s">
        <v>25</v>
      </c>
      <c r="G1789">
        <v>1</v>
      </c>
      <c r="H1789">
        <v>50217</v>
      </c>
      <c r="I1789">
        <v>480</v>
      </c>
      <c r="J1789" t="s">
        <v>27</v>
      </c>
      <c r="K1789" t="str">
        <f>_xlfn.XLOOKUP(datos_ventas[[#This Row],[Ciudad]],Tabla2[Ciudades],Tabla2[Provincias],"no se encuentra")</f>
        <v>Sevilla</v>
      </c>
      <c r="L1789" t="str">
        <f>_xlfn.XLOOKUP(datos_ventas[[#This Row],[Provincia]],Tabla2[Provincias],Tabla2[Comunidades],"no se encuentra")</f>
        <v>Andalucía</v>
      </c>
      <c r="M1789" t="s">
        <v>28</v>
      </c>
      <c r="N1789">
        <v>1</v>
      </c>
    </row>
    <row r="1790" spans="1:14" x14ac:dyDescent="0.25">
      <c r="A1790">
        <v>2789</v>
      </c>
      <c r="B1790" s="1">
        <v>45662</v>
      </c>
      <c r="C1790" s="4">
        <f>MONTH(datos_ventas[[#This Row],[Fecha]])</f>
        <v>1</v>
      </c>
      <c r="D1790" s="4">
        <f>WEEKNUM(datos_ventas[[#This Row],[Fecha]],2)</f>
        <v>1</v>
      </c>
      <c r="E1790" t="s">
        <v>23</v>
      </c>
      <c r="F1790" t="s">
        <v>18</v>
      </c>
      <c r="G1790">
        <v>2</v>
      </c>
      <c r="H1790">
        <v>55755</v>
      </c>
      <c r="I1790">
        <v>298</v>
      </c>
      <c r="J1790" t="s">
        <v>12</v>
      </c>
      <c r="K1790" t="str">
        <f>_xlfn.XLOOKUP(datos_ventas[[#This Row],[Ciudad]],Tabla2[Ciudades],Tabla2[Provincias],"no se encuentra")</f>
        <v>Málaga</v>
      </c>
      <c r="L1790" t="str">
        <f>_xlfn.XLOOKUP(datos_ventas[[#This Row],[Provincia]],Tabla2[Provincias],Tabla2[Comunidades],"no se encuentra")</f>
        <v>Andalucía</v>
      </c>
      <c r="M1790" t="s">
        <v>15</v>
      </c>
      <c r="N1790">
        <v>3</v>
      </c>
    </row>
    <row r="1791" spans="1:14" x14ac:dyDescent="0.25">
      <c r="A1791">
        <v>2790</v>
      </c>
      <c r="B1791" s="1">
        <v>45804</v>
      </c>
      <c r="C1791" s="4">
        <f>MONTH(datos_ventas[[#This Row],[Fecha]])</f>
        <v>5</v>
      </c>
      <c r="D1791" s="4">
        <f>WEEKNUM(datos_ventas[[#This Row],[Fecha]],2)</f>
        <v>22</v>
      </c>
      <c r="E1791" t="s">
        <v>26</v>
      </c>
      <c r="F1791" t="s">
        <v>18</v>
      </c>
      <c r="G1791">
        <v>3</v>
      </c>
      <c r="H1791">
        <v>90959</v>
      </c>
      <c r="I1791">
        <v>2785</v>
      </c>
      <c r="J1791" t="s">
        <v>27</v>
      </c>
      <c r="K1791" t="str">
        <f>_xlfn.XLOOKUP(datos_ventas[[#This Row],[Ciudad]],Tabla2[Ciudades],Tabla2[Provincias],"no se encuentra")</f>
        <v>Sevilla</v>
      </c>
      <c r="L1791" t="str">
        <f>_xlfn.XLOOKUP(datos_ventas[[#This Row],[Provincia]],Tabla2[Provincias],Tabla2[Comunidades],"no se encuentra")</f>
        <v>Andalucía</v>
      </c>
      <c r="M1791" t="s">
        <v>13</v>
      </c>
      <c r="N1791">
        <v>5</v>
      </c>
    </row>
    <row r="1792" spans="1:14" x14ac:dyDescent="0.25">
      <c r="A1792">
        <v>2791</v>
      </c>
      <c r="B1792" s="1">
        <v>45969</v>
      </c>
      <c r="C1792" s="4">
        <f>MONTH(datos_ventas[[#This Row],[Fecha]])</f>
        <v>11</v>
      </c>
      <c r="D1792" s="4">
        <f>WEEKNUM(datos_ventas[[#This Row],[Fecha]],2)</f>
        <v>45</v>
      </c>
      <c r="E1792" t="s">
        <v>16</v>
      </c>
      <c r="F1792" t="s">
        <v>11</v>
      </c>
      <c r="G1792">
        <v>1</v>
      </c>
      <c r="H1792">
        <v>45844</v>
      </c>
      <c r="I1792">
        <v>3526</v>
      </c>
      <c r="J1792" t="s">
        <v>12</v>
      </c>
      <c r="K1792" t="str">
        <f>_xlfn.XLOOKUP(datos_ventas[[#This Row],[Ciudad]],Tabla2[Ciudades],Tabla2[Provincias],"no se encuentra")</f>
        <v>Málaga</v>
      </c>
      <c r="L1792" t="str">
        <f>_xlfn.XLOOKUP(datos_ventas[[#This Row],[Provincia]],Tabla2[Provincias],Tabla2[Comunidades],"no se encuentra")</f>
        <v>Andalucía</v>
      </c>
      <c r="M1792" t="s">
        <v>28</v>
      </c>
      <c r="N1792">
        <v>3</v>
      </c>
    </row>
    <row r="1793" spans="1:14" x14ac:dyDescent="0.25">
      <c r="A1793">
        <v>2792</v>
      </c>
      <c r="B1793" s="1">
        <v>45756</v>
      </c>
      <c r="C1793" s="4">
        <f>MONTH(datos_ventas[[#This Row],[Fecha]])</f>
        <v>4</v>
      </c>
      <c r="D1793" s="4">
        <f>WEEKNUM(datos_ventas[[#This Row],[Fecha]],2)</f>
        <v>15</v>
      </c>
      <c r="E1793" t="s">
        <v>26</v>
      </c>
      <c r="F1793" t="s">
        <v>18</v>
      </c>
      <c r="G1793">
        <v>5</v>
      </c>
      <c r="H1793">
        <v>8376</v>
      </c>
      <c r="I1793">
        <v>1962</v>
      </c>
      <c r="J1793" t="s">
        <v>31</v>
      </c>
      <c r="K1793" t="str">
        <f>_xlfn.XLOOKUP(datos_ventas[[#This Row],[Ciudad]],Tabla2[Ciudades],Tabla2[Provincias],"no se encuentra")</f>
        <v>Vizcaya</v>
      </c>
      <c r="L1793" t="str">
        <f>_xlfn.XLOOKUP(datos_ventas[[#This Row],[Provincia]],Tabla2[Provincias],Tabla2[Comunidades],"no se encuentra")</f>
        <v>País Vasco</v>
      </c>
      <c r="M1793" t="s">
        <v>15</v>
      </c>
      <c r="N1793">
        <v>5</v>
      </c>
    </row>
    <row r="1794" spans="1:14" x14ac:dyDescent="0.25">
      <c r="A1794">
        <v>2793</v>
      </c>
      <c r="B1794" s="1">
        <v>45870</v>
      </c>
      <c r="C1794" s="4">
        <f>MONTH(datos_ventas[[#This Row],[Fecha]])</f>
        <v>8</v>
      </c>
      <c r="D1794" s="4">
        <f>WEEKNUM(datos_ventas[[#This Row],[Fecha]],2)</f>
        <v>31</v>
      </c>
      <c r="E1794" t="s">
        <v>23</v>
      </c>
      <c r="F1794" t="s">
        <v>18</v>
      </c>
      <c r="G1794">
        <v>1</v>
      </c>
      <c r="H1794">
        <v>72305</v>
      </c>
      <c r="I1794">
        <v>3697</v>
      </c>
      <c r="J1794" t="s">
        <v>31</v>
      </c>
      <c r="K1794" t="str">
        <f>_xlfn.XLOOKUP(datos_ventas[[#This Row],[Ciudad]],Tabla2[Ciudades],Tabla2[Provincias],"no se encuentra")</f>
        <v>Vizcaya</v>
      </c>
      <c r="L1794" t="str">
        <f>_xlfn.XLOOKUP(datos_ventas[[#This Row],[Provincia]],Tabla2[Provincias],Tabla2[Comunidades],"no se encuentra")</f>
        <v>País Vasco</v>
      </c>
      <c r="M1794" t="s">
        <v>15</v>
      </c>
      <c r="N1794">
        <v>5</v>
      </c>
    </row>
    <row r="1795" spans="1:14" x14ac:dyDescent="0.25">
      <c r="A1795">
        <v>2794</v>
      </c>
      <c r="B1795" s="1">
        <v>45682</v>
      </c>
      <c r="C1795" s="4">
        <f>MONTH(datos_ventas[[#This Row],[Fecha]])</f>
        <v>1</v>
      </c>
      <c r="D1795" s="4">
        <f>WEEKNUM(datos_ventas[[#This Row],[Fecha]],2)</f>
        <v>4</v>
      </c>
      <c r="E1795" t="s">
        <v>17</v>
      </c>
      <c r="F1795" t="s">
        <v>18</v>
      </c>
      <c r="G1795">
        <v>3</v>
      </c>
      <c r="H1795">
        <v>87701</v>
      </c>
      <c r="I1795">
        <v>3818</v>
      </c>
      <c r="J1795" t="s">
        <v>14</v>
      </c>
      <c r="K1795" t="str">
        <f>_xlfn.XLOOKUP(datos_ventas[[#This Row],[Ciudad]],Tabla2[Ciudades],Tabla2[Provincias],"no se encuentra")</f>
        <v>Madrid</v>
      </c>
      <c r="L1795" t="str">
        <f>_xlfn.XLOOKUP(datos_ventas[[#This Row],[Provincia]],Tabla2[Provincias],Tabla2[Comunidades],"no se encuentra")</f>
        <v>Comunidad de Madrid</v>
      </c>
      <c r="M1795" t="s">
        <v>19</v>
      </c>
      <c r="N1795">
        <v>4</v>
      </c>
    </row>
    <row r="1796" spans="1:14" x14ac:dyDescent="0.25">
      <c r="A1796">
        <v>2795</v>
      </c>
      <c r="B1796" s="1">
        <v>45803</v>
      </c>
      <c r="C1796" s="4">
        <f>MONTH(datos_ventas[[#This Row],[Fecha]])</f>
        <v>5</v>
      </c>
      <c r="D1796" s="4">
        <f>WEEKNUM(datos_ventas[[#This Row],[Fecha]],2)</f>
        <v>22</v>
      </c>
      <c r="E1796" t="s">
        <v>29</v>
      </c>
      <c r="F1796" t="s">
        <v>30</v>
      </c>
      <c r="G1796">
        <v>1</v>
      </c>
      <c r="H1796">
        <v>117112</v>
      </c>
      <c r="I1796">
        <v>3173</v>
      </c>
      <c r="J1796" t="s">
        <v>27</v>
      </c>
      <c r="K1796" t="str">
        <f>_xlfn.XLOOKUP(datos_ventas[[#This Row],[Ciudad]],Tabla2[Ciudades],Tabla2[Provincias],"no se encuentra")</f>
        <v>Sevilla</v>
      </c>
      <c r="L1796" t="str">
        <f>_xlfn.XLOOKUP(datos_ventas[[#This Row],[Provincia]],Tabla2[Provincias],Tabla2[Comunidades],"no se encuentra")</f>
        <v>Andalucía</v>
      </c>
      <c r="M1796" t="s">
        <v>28</v>
      </c>
      <c r="N1796">
        <v>5</v>
      </c>
    </row>
    <row r="1797" spans="1:14" x14ac:dyDescent="0.25">
      <c r="A1797">
        <v>2796</v>
      </c>
      <c r="B1797" s="1">
        <v>45877</v>
      </c>
      <c r="C1797" s="4">
        <f>MONTH(datos_ventas[[#This Row],[Fecha]])</f>
        <v>8</v>
      </c>
      <c r="D1797" s="4">
        <f>WEEKNUM(datos_ventas[[#This Row],[Fecha]],2)</f>
        <v>32</v>
      </c>
      <c r="E1797" t="s">
        <v>16</v>
      </c>
      <c r="F1797" t="s">
        <v>11</v>
      </c>
      <c r="G1797">
        <v>3</v>
      </c>
      <c r="H1797">
        <v>100836</v>
      </c>
      <c r="I1797">
        <v>431</v>
      </c>
      <c r="J1797" t="s">
        <v>27</v>
      </c>
      <c r="K1797" t="str">
        <f>_xlfn.XLOOKUP(datos_ventas[[#This Row],[Ciudad]],Tabla2[Ciudades],Tabla2[Provincias],"no se encuentra")</f>
        <v>Sevilla</v>
      </c>
      <c r="L1797" t="str">
        <f>_xlfn.XLOOKUP(datos_ventas[[#This Row],[Provincia]],Tabla2[Provincias],Tabla2[Comunidades],"no se encuentra")</f>
        <v>Andalucía</v>
      </c>
      <c r="M1797" t="s">
        <v>19</v>
      </c>
      <c r="N1797">
        <v>1</v>
      </c>
    </row>
    <row r="1798" spans="1:14" x14ac:dyDescent="0.25">
      <c r="A1798">
        <v>2797</v>
      </c>
      <c r="B1798" s="1">
        <v>45786</v>
      </c>
      <c r="C1798" s="4">
        <f>MONTH(datos_ventas[[#This Row],[Fecha]])</f>
        <v>5</v>
      </c>
      <c r="D1798" s="4">
        <f>WEEKNUM(datos_ventas[[#This Row],[Fecha]],2)</f>
        <v>19</v>
      </c>
      <c r="E1798" t="s">
        <v>20</v>
      </c>
      <c r="F1798" t="s">
        <v>21</v>
      </c>
      <c r="G1798">
        <v>1</v>
      </c>
      <c r="H1798">
        <v>44446</v>
      </c>
      <c r="I1798">
        <v>2437</v>
      </c>
      <c r="J1798" t="s">
        <v>32</v>
      </c>
      <c r="K1798" t="str">
        <f>_xlfn.XLOOKUP(datos_ventas[[#This Row],[Ciudad]],Tabla2[Ciudades],Tabla2[Provincias],"no se encuentra")</f>
        <v>Barcelona</v>
      </c>
      <c r="L1798" t="str">
        <f>_xlfn.XLOOKUP(datos_ventas[[#This Row],[Provincia]],Tabla2[Provincias],Tabla2[Comunidades],"no se encuentra")</f>
        <v>Cataluña</v>
      </c>
      <c r="M1798" t="s">
        <v>28</v>
      </c>
      <c r="N1798">
        <v>5</v>
      </c>
    </row>
    <row r="1799" spans="1:14" x14ac:dyDescent="0.25">
      <c r="A1799">
        <v>2798</v>
      </c>
      <c r="B1799" s="1">
        <v>45957</v>
      </c>
      <c r="C1799" s="4">
        <f>MONTH(datos_ventas[[#This Row],[Fecha]])</f>
        <v>10</v>
      </c>
      <c r="D1799" s="4">
        <f>WEEKNUM(datos_ventas[[#This Row],[Fecha]],2)</f>
        <v>44</v>
      </c>
      <c r="E1799" t="s">
        <v>24</v>
      </c>
      <c r="F1799" t="s">
        <v>25</v>
      </c>
      <c r="G1799">
        <v>2</v>
      </c>
      <c r="H1799">
        <v>62012</v>
      </c>
      <c r="I1799">
        <v>340</v>
      </c>
      <c r="J1799" t="s">
        <v>31</v>
      </c>
      <c r="K1799" t="str">
        <f>_xlfn.XLOOKUP(datos_ventas[[#This Row],[Ciudad]],Tabla2[Ciudades],Tabla2[Provincias],"no se encuentra")</f>
        <v>Vizcaya</v>
      </c>
      <c r="L1799" t="str">
        <f>_xlfn.XLOOKUP(datos_ventas[[#This Row],[Provincia]],Tabla2[Provincias],Tabla2[Comunidades],"no se encuentra")</f>
        <v>País Vasco</v>
      </c>
      <c r="M1799" t="s">
        <v>13</v>
      </c>
      <c r="N1799">
        <v>5</v>
      </c>
    </row>
    <row r="1800" spans="1:14" x14ac:dyDescent="0.25">
      <c r="A1800">
        <v>2799</v>
      </c>
      <c r="B1800" s="1">
        <v>45963</v>
      </c>
      <c r="C1800" s="4">
        <f>MONTH(datos_ventas[[#This Row],[Fecha]])</f>
        <v>11</v>
      </c>
      <c r="D1800" s="4">
        <f>WEEKNUM(datos_ventas[[#This Row],[Fecha]],2)</f>
        <v>44</v>
      </c>
      <c r="E1800" t="s">
        <v>16</v>
      </c>
      <c r="F1800" t="s">
        <v>11</v>
      </c>
      <c r="G1800">
        <v>2</v>
      </c>
      <c r="H1800">
        <v>75451</v>
      </c>
      <c r="I1800">
        <v>865</v>
      </c>
      <c r="J1800" t="s">
        <v>12</v>
      </c>
      <c r="K1800" t="str">
        <f>_xlfn.XLOOKUP(datos_ventas[[#This Row],[Ciudad]],Tabla2[Ciudades],Tabla2[Provincias],"no se encuentra")</f>
        <v>Málaga</v>
      </c>
      <c r="L1800" t="str">
        <f>_xlfn.XLOOKUP(datos_ventas[[#This Row],[Provincia]],Tabla2[Provincias],Tabla2[Comunidades],"no se encuentra")</f>
        <v>Andalucía</v>
      </c>
      <c r="M1800" t="s">
        <v>19</v>
      </c>
      <c r="N1800">
        <v>4</v>
      </c>
    </row>
    <row r="1801" spans="1:14" x14ac:dyDescent="0.25">
      <c r="A1801">
        <v>2800</v>
      </c>
      <c r="B1801" s="1">
        <v>45919</v>
      </c>
      <c r="C1801" s="4">
        <f>MONTH(datos_ventas[[#This Row],[Fecha]])</f>
        <v>9</v>
      </c>
      <c r="D1801" s="4">
        <f>WEEKNUM(datos_ventas[[#This Row],[Fecha]],2)</f>
        <v>38</v>
      </c>
      <c r="E1801" t="s">
        <v>24</v>
      </c>
      <c r="F1801" t="s">
        <v>25</v>
      </c>
      <c r="G1801">
        <v>5</v>
      </c>
      <c r="H1801">
        <v>81434</v>
      </c>
      <c r="I1801">
        <v>569</v>
      </c>
      <c r="J1801" t="s">
        <v>27</v>
      </c>
      <c r="K1801" t="str">
        <f>_xlfn.XLOOKUP(datos_ventas[[#This Row],[Ciudad]],Tabla2[Ciudades],Tabla2[Provincias],"no se encuentra")</f>
        <v>Sevilla</v>
      </c>
      <c r="L1801" t="str">
        <f>_xlfn.XLOOKUP(datos_ventas[[#This Row],[Provincia]],Tabla2[Provincias],Tabla2[Comunidades],"no se encuentra")</f>
        <v>Andalucía</v>
      </c>
      <c r="M1801" t="s">
        <v>28</v>
      </c>
      <c r="N1801">
        <v>1</v>
      </c>
    </row>
    <row r="1802" spans="1:14" x14ac:dyDescent="0.25">
      <c r="A1802">
        <v>2801</v>
      </c>
      <c r="B1802" s="1">
        <v>45693</v>
      </c>
      <c r="C1802" s="4">
        <f>MONTH(datos_ventas[[#This Row],[Fecha]])</f>
        <v>2</v>
      </c>
      <c r="D1802" s="4">
        <f>WEEKNUM(datos_ventas[[#This Row],[Fecha]],2)</f>
        <v>6</v>
      </c>
      <c r="E1802" t="s">
        <v>26</v>
      </c>
      <c r="F1802" t="s">
        <v>18</v>
      </c>
      <c r="G1802">
        <v>2</v>
      </c>
      <c r="H1802">
        <v>3607</v>
      </c>
      <c r="I1802">
        <v>3306</v>
      </c>
      <c r="J1802" t="s">
        <v>27</v>
      </c>
      <c r="K1802" t="str">
        <f>_xlfn.XLOOKUP(datos_ventas[[#This Row],[Ciudad]],Tabla2[Ciudades],Tabla2[Provincias],"no se encuentra")</f>
        <v>Sevilla</v>
      </c>
      <c r="L1802" t="str">
        <f>_xlfn.XLOOKUP(datos_ventas[[#This Row],[Provincia]],Tabla2[Provincias],Tabla2[Comunidades],"no se encuentra")</f>
        <v>Andalucía</v>
      </c>
      <c r="M1802" t="s">
        <v>13</v>
      </c>
      <c r="N1802">
        <v>1</v>
      </c>
    </row>
    <row r="1803" spans="1:14" x14ac:dyDescent="0.25">
      <c r="A1803">
        <v>2802</v>
      </c>
      <c r="B1803" s="1">
        <v>45980</v>
      </c>
      <c r="C1803" s="4">
        <f>MONTH(datos_ventas[[#This Row],[Fecha]])</f>
        <v>11</v>
      </c>
      <c r="D1803" s="4">
        <f>WEEKNUM(datos_ventas[[#This Row],[Fecha]],2)</f>
        <v>47</v>
      </c>
      <c r="E1803" t="s">
        <v>26</v>
      </c>
      <c r="F1803" t="s">
        <v>18</v>
      </c>
      <c r="G1803">
        <v>1</v>
      </c>
      <c r="H1803">
        <v>6515</v>
      </c>
      <c r="I1803">
        <v>2146</v>
      </c>
      <c r="J1803" t="s">
        <v>31</v>
      </c>
      <c r="K1803" t="str">
        <f>_xlfn.XLOOKUP(datos_ventas[[#This Row],[Ciudad]],Tabla2[Ciudades],Tabla2[Provincias],"no se encuentra")</f>
        <v>Vizcaya</v>
      </c>
      <c r="L1803" t="str">
        <f>_xlfn.XLOOKUP(datos_ventas[[#This Row],[Provincia]],Tabla2[Provincias],Tabla2[Comunidades],"no se encuentra")</f>
        <v>País Vasco</v>
      </c>
      <c r="M1803" t="s">
        <v>13</v>
      </c>
      <c r="N1803">
        <v>1</v>
      </c>
    </row>
    <row r="1804" spans="1:14" x14ac:dyDescent="0.25">
      <c r="A1804">
        <v>2803</v>
      </c>
      <c r="B1804" s="1">
        <v>45697</v>
      </c>
      <c r="C1804" s="4">
        <f>MONTH(datos_ventas[[#This Row],[Fecha]])</f>
        <v>2</v>
      </c>
      <c r="D1804" s="4">
        <f>WEEKNUM(datos_ventas[[#This Row],[Fecha]],2)</f>
        <v>6</v>
      </c>
      <c r="E1804" t="s">
        <v>29</v>
      </c>
      <c r="F1804" t="s">
        <v>30</v>
      </c>
      <c r="G1804">
        <v>2</v>
      </c>
      <c r="H1804">
        <v>46128</v>
      </c>
      <c r="I1804">
        <v>1615</v>
      </c>
      <c r="J1804" t="s">
        <v>22</v>
      </c>
      <c r="K1804" t="str">
        <f>_xlfn.XLOOKUP(datos_ventas[[#This Row],[Ciudad]],Tabla2[Ciudades],Tabla2[Provincias],"no se encuentra")</f>
        <v>Valencia</v>
      </c>
      <c r="L1804" t="str">
        <f>_xlfn.XLOOKUP(datos_ventas[[#This Row],[Provincia]],Tabla2[Provincias],Tabla2[Comunidades],"no se encuentra")</f>
        <v>Comunidad Valenciana</v>
      </c>
      <c r="M1804" t="s">
        <v>28</v>
      </c>
      <c r="N1804">
        <v>5</v>
      </c>
    </row>
    <row r="1805" spans="1:14" x14ac:dyDescent="0.25">
      <c r="A1805">
        <v>2804</v>
      </c>
      <c r="B1805" s="1">
        <v>45843</v>
      </c>
      <c r="C1805" s="4">
        <f>MONTH(datos_ventas[[#This Row],[Fecha]])</f>
        <v>7</v>
      </c>
      <c r="D1805" s="4">
        <f>WEEKNUM(datos_ventas[[#This Row],[Fecha]],2)</f>
        <v>27</v>
      </c>
      <c r="E1805" t="s">
        <v>24</v>
      </c>
      <c r="F1805" t="s">
        <v>25</v>
      </c>
      <c r="G1805">
        <v>4</v>
      </c>
      <c r="H1805">
        <v>40373</v>
      </c>
      <c r="I1805">
        <v>1385</v>
      </c>
      <c r="J1805" t="s">
        <v>32</v>
      </c>
      <c r="K1805" t="str">
        <f>_xlfn.XLOOKUP(datos_ventas[[#This Row],[Ciudad]],Tabla2[Ciudades],Tabla2[Provincias],"no se encuentra")</f>
        <v>Barcelona</v>
      </c>
      <c r="L1805" t="str">
        <f>_xlfn.XLOOKUP(datos_ventas[[#This Row],[Provincia]],Tabla2[Provincias],Tabla2[Comunidades],"no se encuentra")</f>
        <v>Cataluña</v>
      </c>
      <c r="M1805" t="s">
        <v>19</v>
      </c>
      <c r="N1805">
        <v>4</v>
      </c>
    </row>
    <row r="1806" spans="1:14" x14ac:dyDescent="0.25">
      <c r="A1806">
        <v>2805</v>
      </c>
      <c r="B1806" s="1">
        <v>45727</v>
      </c>
      <c r="C1806" s="4">
        <f>MONTH(datos_ventas[[#This Row],[Fecha]])</f>
        <v>3</v>
      </c>
      <c r="D1806" s="4">
        <f>WEEKNUM(datos_ventas[[#This Row],[Fecha]],2)</f>
        <v>11</v>
      </c>
      <c r="E1806" t="s">
        <v>23</v>
      </c>
      <c r="F1806" t="s">
        <v>18</v>
      </c>
      <c r="G1806">
        <v>1</v>
      </c>
      <c r="H1806">
        <v>25083</v>
      </c>
      <c r="I1806">
        <v>1445</v>
      </c>
      <c r="J1806" t="s">
        <v>14</v>
      </c>
      <c r="K1806" t="str">
        <f>_xlfn.XLOOKUP(datos_ventas[[#This Row],[Ciudad]],Tabla2[Ciudades],Tabla2[Provincias],"no se encuentra")</f>
        <v>Madrid</v>
      </c>
      <c r="L1806" t="str">
        <f>_xlfn.XLOOKUP(datos_ventas[[#This Row],[Provincia]],Tabla2[Provincias],Tabla2[Comunidades],"no se encuentra")</f>
        <v>Comunidad de Madrid</v>
      </c>
      <c r="M1806" t="s">
        <v>15</v>
      </c>
      <c r="N1806">
        <v>1</v>
      </c>
    </row>
    <row r="1807" spans="1:14" x14ac:dyDescent="0.25">
      <c r="A1807">
        <v>2806</v>
      </c>
      <c r="B1807" s="1">
        <v>45668</v>
      </c>
      <c r="C1807" s="4">
        <f>MONTH(datos_ventas[[#This Row],[Fecha]])</f>
        <v>1</v>
      </c>
      <c r="D1807" s="4">
        <f>WEEKNUM(datos_ventas[[#This Row],[Fecha]],2)</f>
        <v>2</v>
      </c>
      <c r="E1807" t="s">
        <v>23</v>
      </c>
      <c r="F1807" t="s">
        <v>18</v>
      </c>
      <c r="G1807">
        <v>5</v>
      </c>
      <c r="H1807">
        <v>2003</v>
      </c>
      <c r="I1807">
        <v>2288</v>
      </c>
      <c r="J1807" t="s">
        <v>27</v>
      </c>
      <c r="K1807" t="str">
        <f>_xlfn.XLOOKUP(datos_ventas[[#This Row],[Ciudad]],Tabla2[Ciudades],Tabla2[Provincias],"no se encuentra")</f>
        <v>Sevilla</v>
      </c>
      <c r="L1807" t="str">
        <f>_xlfn.XLOOKUP(datos_ventas[[#This Row],[Provincia]],Tabla2[Provincias],Tabla2[Comunidades],"no se encuentra")</f>
        <v>Andalucía</v>
      </c>
      <c r="M1807" t="s">
        <v>28</v>
      </c>
      <c r="N1807">
        <v>2</v>
      </c>
    </row>
    <row r="1808" spans="1:14" x14ac:dyDescent="0.25">
      <c r="A1808">
        <v>2807</v>
      </c>
      <c r="B1808" s="1">
        <v>45816</v>
      </c>
      <c r="C1808" s="4">
        <f>MONTH(datos_ventas[[#This Row],[Fecha]])</f>
        <v>6</v>
      </c>
      <c r="D1808" s="4">
        <f>WEEKNUM(datos_ventas[[#This Row],[Fecha]],2)</f>
        <v>23</v>
      </c>
      <c r="E1808" t="s">
        <v>20</v>
      </c>
      <c r="F1808" t="s">
        <v>21</v>
      </c>
      <c r="G1808">
        <v>3</v>
      </c>
      <c r="H1808">
        <v>61286</v>
      </c>
      <c r="I1808">
        <v>1088</v>
      </c>
      <c r="J1808" t="s">
        <v>12</v>
      </c>
      <c r="K1808" t="str">
        <f>_xlfn.XLOOKUP(datos_ventas[[#This Row],[Ciudad]],Tabla2[Ciudades],Tabla2[Provincias],"no se encuentra")</f>
        <v>Málaga</v>
      </c>
      <c r="L1808" t="str">
        <f>_xlfn.XLOOKUP(datos_ventas[[#This Row],[Provincia]],Tabla2[Provincias],Tabla2[Comunidades],"no se encuentra")</f>
        <v>Andalucía</v>
      </c>
      <c r="M1808" t="s">
        <v>28</v>
      </c>
      <c r="N1808">
        <v>3</v>
      </c>
    </row>
    <row r="1809" spans="1:14" x14ac:dyDescent="0.25">
      <c r="A1809">
        <v>2808</v>
      </c>
      <c r="B1809" s="1">
        <v>45947</v>
      </c>
      <c r="C1809" s="4">
        <f>MONTH(datos_ventas[[#This Row],[Fecha]])</f>
        <v>10</v>
      </c>
      <c r="D1809" s="4">
        <f>WEEKNUM(datos_ventas[[#This Row],[Fecha]],2)</f>
        <v>42</v>
      </c>
      <c r="E1809" t="s">
        <v>29</v>
      </c>
      <c r="F1809" t="s">
        <v>30</v>
      </c>
      <c r="G1809">
        <v>1</v>
      </c>
      <c r="H1809">
        <v>23491</v>
      </c>
      <c r="I1809">
        <v>361</v>
      </c>
      <c r="J1809" t="s">
        <v>14</v>
      </c>
      <c r="K1809" t="str">
        <f>_xlfn.XLOOKUP(datos_ventas[[#This Row],[Ciudad]],Tabla2[Ciudades],Tabla2[Provincias],"no se encuentra")</f>
        <v>Madrid</v>
      </c>
      <c r="L1809" t="str">
        <f>_xlfn.XLOOKUP(datos_ventas[[#This Row],[Provincia]],Tabla2[Provincias],Tabla2[Comunidades],"no se encuentra")</f>
        <v>Comunidad de Madrid</v>
      </c>
      <c r="M1809" t="s">
        <v>19</v>
      </c>
      <c r="N1809">
        <v>5</v>
      </c>
    </row>
    <row r="1810" spans="1:14" x14ac:dyDescent="0.25">
      <c r="A1810">
        <v>2809</v>
      </c>
      <c r="B1810" s="1">
        <v>45849</v>
      </c>
      <c r="C1810" s="4">
        <f>MONTH(datos_ventas[[#This Row],[Fecha]])</f>
        <v>7</v>
      </c>
      <c r="D1810" s="4">
        <f>WEEKNUM(datos_ventas[[#This Row],[Fecha]],2)</f>
        <v>28</v>
      </c>
      <c r="E1810" t="s">
        <v>16</v>
      </c>
      <c r="F1810" t="s">
        <v>11</v>
      </c>
      <c r="G1810">
        <v>2</v>
      </c>
      <c r="H1810">
        <v>115662</v>
      </c>
      <c r="I1810">
        <v>4667</v>
      </c>
      <c r="J1810" t="s">
        <v>27</v>
      </c>
      <c r="K1810" t="str">
        <f>_xlfn.XLOOKUP(datos_ventas[[#This Row],[Ciudad]],Tabla2[Ciudades],Tabla2[Provincias],"no se encuentra")</f>
        <v>Sevilla</v>
      </c>
      <c r="L1810" t="str">
        <f>_xlfn.XLOOKUP(datos_ventas[[#This Row],[Provincia]],Tabla2[Provincias],Tabla2[Comunidades],"no se encuentra")</f>
        <v>Andalucía</v>
      </c>
      <c r="M1810" t="s">
        <v>28</v>
      </c>
      <c r="N1810">
        <v>5</v>
      </c>
    </row>
    <row r="1811" spans="1:14" x14ac:dyDescent="0.25">
      <c r="A1811">
        <v>2810</v>
      </c>
      <c r="B1811" s="1">
        <v>45869</v>
      </c>
      <c r="C1811" s="4">
        <f>MONTH(datos_ventas[[#This Row],[Fecha]])</f>
        <v>7</v>
      </c>
      <c r="D1811" s="4">
        <f>WEEKNUM(datos_ventas[[#This Row],[Fecha]],2)</f>
        <v>31</v>
      </c>
      <c r="E1811" t="s">
        <v>20</v>
      </c>
      <c r="F1811" t="s">
        <v>21</v>
      </c>
      <c r="G1811">
        <v>3</v>
      </c>
      <c r="H1811">
        <v>119745</v>
      </c>
      <c r="I1811">
        <v>55</v>
      </c>
      <c r="J1811" t="s">
        <v>32</v>
      </c>
      <c r="K1811" t="str">
        <f>_xlfn.XLOOKUP(datos_ventas[[#This Row],[Ciudad]],Tabla2[Ciudades],Tabla2[Provincias],"no se encuentra")</f>
        <v>Barcelona</v>
      </c>
      <c r="L1811" t="str">
        <f>_xlfn.XLOOKUP(datos_ventas[[#This Row],[Provincia]],Tabla2[Provincias],Tabla2[Comunidades],"no se encuentra")</f>
        <v>Cataluña</v>
      </c>
      <c r="M1811" t="s">
        <v>28</v>
      </c>
      <c r="N1811">
        <v>3</v>
      </c>
    </row>
    <row r="1812" spans="1:14" x14ac:dyDescent="0.25">
      <c r="A1812">
        <v>2811</v>
      </c>
      <c r="B1812" s="1">
        <v>45823</v>
      </c>
      <c r="C1812" s="4">
        <f>MONTH(datos_ventas[[#This Row],[Fecha]])</f>
        <v>6</v>
      </c>
      <c r="D1812" s="4">
        <f>WEEKNUM(datos_ventas[[#This Row],[Fecha]],2)</f>
        <v>24</v>
      </c>
      <c r="E1812" t="s">
        <v>26</v>
      </c>
      <c r="F1812" t="s">
        <v>18</v>
      </c>
      <c r="G1812">
        <v>3</v>
      </c>
      <c r="H1812">
        <v>7044</v>
      </c>
      <c r="I1812">
        <v>769</v>
      </c>
      <c r="J1812" t="s">
        <v>31</v>
      </c>
      <c r="K1812" t="str">
        <f>_xlfn.XLOOKUP(datos_ventas[[#This Row],[Ciudad]],Tabla2[Ciudades],Tabla2[Provincias],"no se encuentra")</f>
        <v>Vizcaya</v>
      </c>
      <c r="L1812" t="str">
        <f>_xlfn.XLOOKUP(datos_ventas[[#This Row],[Provincia]],Tabla2[Provincias],Tabla2[Comunidades],"no se encuentra")</f>
        <v>País Vasco</v>
      </c>
      <c r="M1812" t="s">
        <v>13</v>
      </c>
      <c r="N1812">
        <v>5</v>
      </c>
    </row>
    <row r="1813" spans="1:14" x14ac:dyDescent="0.25">
      <c r="A1813">
        <v>2812</v>
      </c>
      <c r="B1813" s="1">
        <v>45688</v>
      </c>
      <c r="C1813" s="4">
        <f>MONTH(datos_ventas[[#This Row],[Fecha]])</f>
        <v>1</v>
      </c>
      <c r="D1813" s="4">
        <f>WEEKNUM(datos_ventas[[#This Row],[Fecha]],2)</f>
        <v>5</v>
      </c>
      <c r="E1813" t="s">
        <v>10</v>
      </c>
      <c r="F1813" t="s">
        <v>11</v>
      </c>
      <c r="G1813">
        <v>2</v>
      </c>
      <c r="H1813">
        <v>61984</v>
      </c>
      <c r="I1813">
        <v>1925</v>
      </c>
      <c r="J1813" t="s">
        <v>12</v>
      </c>
      <c r="K1813" t="str">
        <f>_xlfn.XLOOKUP(datos_ventas[[#This Row],[Ciudad]],Tabla2[Ciudades],Tabla2[Provincias],"no se encuentra")</f>
        <v>Málaga</v>
      </c>
      <c r="L1813" t="str">
        <f>_xlfn.XLOOKUP(datos_ventas[[#This Row],[Provincia]],Tabla2[Provincias],Tabla2[Comunidades],"no se encuentra")</f>
        <v>Andalucía</v>
      </c>
      <c r="M1813" t="s">
        <v>19</v>
      </c>
      <c r="N1813">
        <v>4</v>
      </c>
    </row>
    <row r="1814" spans="1:14" x14ac:dyDescent="0.25">
      <c r="A1814">
        <v>2813</v>
      </c>
      <c r="B1814" s="1">
        <v>45757</v>
      </c>
      <c r="C1814" s="4">
        <f>MONTH(datos_ventas[[#This Row],[Fecha]])</f>
        <v>4</v>
      </c>
      <c r="D1814" s="4">
        <f>WEEKNUM(datos_ventas[[#This Row],[Fecha]],2)</f>
        <v>15</v>
      </c>
      <c r="E1814" t="s">
        <v>10</v>
      </c>
      <c r="F1814" t="s">
        <v>11</v>
      </c>
      <c r="G1814">
        <v>1</v>
      </c>
      <c r="H1814">
        <v>107296</v>
      </c>
      <c r="I1814">
        <v>4159</v>
      </c>
      <c r="J1814" t="s">
        <v>12</v>
      </c>
      <c r="K1814" t="str">
        <f>_xlfn.XLOOKUP(datos_ventas[[#This Row],[Ciudad]],Tabla2[Ciudades],Tabla2[Provincias],"no se encuentra")</f>
        <v>Málaga</v>
      </c>
      <c r="L1814" t="str">
        <f>_xlfn.XLOOKUP(datos_ventas[[#This Row],[Provincia]],Tabla2[Provincias],Tabla2[Comunidades],"no se encuentra")</f>
        <v>Andalucía</v>
      </c>
      <c r="M1814" t="s">
        <v>15</v>
      </c>
      <c r="N1814">
        <v>4</v>
      </c>
    </row>
    <row r="1815" spans="1:14" x14ac:dyDescent="0.25">
      <c r="A1815">
        <v>2814</v>
      </c>
      <c r="B1815" s="1">
        <v>45984</v>
      </c>
      <c r="C1815" s="4">
        <f>MONTH(datos_ventas[[#This Row],[Fecha]])</f>
        <v>11</v>
      </c>
      <c r="D1815" s="4">
        <f>WEEKNUM(datos_ventas[[#This Row],[Fecha]],2)</f>
        <v>47</v>
      </c>
      <c r="E1815" t="s">
        <v>20</v>
      </c>
      <c r="F1815" t="s">
        <v>21</v>
      </c>
      <c r="G1815">
        <v>2</v>
      </c>
      <c r="H1815">
        <v>1345</v>
      </c>
      <c r="I1815">
        <v>1098</v>
      </c>
      <c r="J1815" t="s">
        <v>27</v>
      </c>
      <c r="K1815" t="str">
        <f>_xlfn.XLOOKUP(datos_ventas[[#This Row],[Ciudad]],Tabla2[Ciudades],Tabla2[Provincias],"no se encuentra")</f>
        <v>Sevilla</v>
      </c>
      <c r="L1815" t="str">
        <f>_xlfn.XLOOKUP(datos_ventas[[#This Row],[Provincia]],Tabla2[Provincias],Tabla2[Comunidades],"no se encuentra")</f>
        <v>Andalucía</v>
      </c>
      <c r="M1815" t="s">
        <v>19</v>
      </c>
      <c r="N1815">
        <v>5</v>
      </c>
    </row>
    <row r="1816" spans="1:14" x14ac:dyDescent="0.25">
      <c r="A1816">
        <v>2815</v>
      </c>
      <c r="B1816" s="1">
        <v>45912</v>
      </c>
      <c r="C1816" s="4">
        <f>MONTH(datos_ventas[[#This Row],[Fecha]])</f>
        <v>9</v>
      </c>
      <c r="D1816" s="4">
        <f>WEEKNUM(datos_ventas[[#This Row],[Fecha]],2)</f>
        <v>37</v>
      </c>
      <c r="E1816" t="s">
        <v>20</v>
      </c>
      <c r="F1816" t="s">
        <v>21</v>
      </c>
      <c r="G1816">
        <v>5</v>
      </c>
      <c r="H1816">
        <v>85403</v>
      </c>
      <c r="I1816">
        <v>2966</v>
      </c>
      <c r="J1816" t="s">
        <v>22</v>
      </c>
      <c r="K1816" t="str">
        <f>_xlfn.XLOOKUP(datos_ventas[[#This Row],[Ciudad]],Tabla2[Ciudades],Tabla2[Provincias],"no se encuentra")</f>
        <v>Valencia</v>
      </c>
      <c r="L1816" t="str">
        <f>_xlfn.XLOOKUP(datos_ventas[[#This Row],[Provincia]],Tabla2[Provincias],Tabla2[Comunidades],"no se encuentra")</f>
        <v>Comunidad Valenciana</v>
      </c>
      <c r="M1816" t="s">
        <v>28</v>
      </c>
      <c r="N1816">
        <v>3</v>
      </c>
    </row>
    <row r="1817" spans="1:14" x14ac:dyDescent="0.25">
      <c r="A1817">
        <v>2816</v>
      </c>
      <c r="B1817" s="1">
        <v>45999</v>
      </c>
      <c r="C1817" s="4">
        <f>MONTH(datos_ventas[[#This Row],[Fecha]])</f>
        <v>12</v>
      </c>
      <c r="D1817" s="4">
        <f>WEEKNUM(datos_ventas[[#This Row],[Fecha]],2)</f>
        <v>50</v>
      </c>
      <c r="E1817" t="s">
        <v>17</v>
      </c>
      <c r="F1817" t="s">
        <v>18</v>
      </c>
      <c r="G1817">
        <v>4</v>
      </c>
      <c r="H1817">
        <v>53849</v>
      </c>
      <c r="I1817">
        <v>4759</v>
      </c>
      <c r="J1817" t="s">
        <v>27</v>
      </c>
      <c r="K1817" t="str">
        <f>_xlfn.XLOOKUP(datos_ventas[[#This Row],[Ciudad]],Tabla2[Ciudades],Tabla2[Provincias],"no se encuentra")</f>
        <v>Sevilla</v>
      </c>
      <c r="L1817" t="str">
        <f>_xlfn.XLOOKUP(datos_ventas[[#This Row],[Provincia]],Tabla2[Provincias],Tabla2[Comunidades],"no se encuentra")</f>
        <v>Andalucía</v>
      </c>
      <c r="M1817" t="s">
        <v>19</v>
      </c>
      <c r="N1817">
        <v>3</v>
      </c>
    </row>
    <row r="1818" spans="1:14" x14ac:dyDescent="0.25">
      <c r="A1818">
        <v>2817</v>
      </c>
      <c r="B1818" s="1">
        <v>45742</v>
      </c>
      <c r="C1818" s="4">
        <f>MONTH(datos_ventas[[#This Row],[Fecha]])</f>
        <v>3</v>
      </c>
      <c r="D1818" s="4">
        <f>WEEKNUM(datos_ventas[[#This Row],[Fecha]],2)</f>
        <v>13</v>
      </c>
      <c r="E1818" t="s">
        <v>24</v>
      </c>
      <c r="F1818" t="s">
        <v>25</v>
      </c>
      <c r="G1818">
        <v>5</v>
      </c>
      <c r="H1818">
        <v>32297</v>
      </c>
      <c r="I1818">
        <v>3655</v>
      </c>
      <c r="J1818" t="s">
        <v>14</v>
      </c>
      <c r="K1818" t="str">
        <f>_xlfn.XLOOKUP(datos_ventas[[#This Row],[Ciudad]],Tabla2[Ciudades],Tabla2[Provincias],"no se encuentra")</f>
        <v>Madrid</v>
      </c>
      <c r="L1818" t="str">
        <f>_xlfn.XLOOKUP(datos_ventas[[#This Row],[Provincia]],Tabla2[Provincias],Tabla2[Comunidades],"no se encuentra")</f>
        <v>Comunidad de Madrid</v>
      </c>
      <c r="M1818" t="s">
        <v>28</v>
      </c>
      <c r="N1818">
        <v>4</v>
      </c>
    </row>
    <row r="1819" spans="1:14" x14ac:dyDescent="0.25">
      <c r="A1819">
        <v>2818</v>
      </c>
      <c r="B1819" s="1">
        <v>45729</v>
      </c>
      <c r="C1819" s="4">
        <f>MONTH(datos_ventas[[#This Row],[Fecha]])</f>
        <v>3</v>
      </c>
      <c r="D1819" s="4">
        <f>WEEKNUM(datos_ventas[[#This Row],[Fecha]],2)</f>
        <v>11</v>
      </c>
      <c r="E1819" t="s">
        <v>16</v>
      </c>
      <c r="F1819" t="s">
        <v>11</v>
      </c>
      <c r="G1819">
        <v>5</v>
      </c>
      <c r="H1819">
        <v>83031</v>
      </c>
      <c r="I1819">
        <v>1381</v>
      </c>
      <c r="J1819" t="s">
        <v>14</v>
      </c>
      <c r="K1819" t="str">
        <f>_xlfn.XLOOKUP(datos_ventas[[#This Row],[Ciudad]],Tabla2[Ciudades],Tabla2[Provincias],"no se encuentra")</f>
        <v>Madrid</v>
      </c>
      <c r="L1819" t="str">
        <f>_xlfn.XLOOKUP(datos_ventas[[#This Row],[Provincia]],Tabla2[Provincias],Tabla2[Comunidades],"no se encuentra")</f>
        <v>Comunidad de Madrid</v>
      </c>
      <c r="M1819" t="s">
        <v>28</v>
      </c>
      <c r="N1819">
        <v>2</v>
      </c>
    </row>
    <row r="1820" spans="1:14" x14ac:dyDescent="0.25">
      <c r="A1820">
        <v>2819</v>
      </c>
      <c r="B1820" s="1">
        <v>45797</v>
      </c>
      <c r="C1820" s="4">
        <f>MONTH(datos_ventas[[#This Row],[Fecha]])</f>
        <v>5</v>
      </c>
      <c r="D1820" s="4">
        <f>WEEKNUM(datos_ventas[[#This Row],[Fecha]],2)</f>
        <v>21</v>
      </c>
      <c r="E1820" t="s">
        <v>10</v>
      </c>
      <c r="F1820" t="s">
        <v>11</v>
      </c>
      <c r="G1820">
        <v>4</v>
      </c>
      <c r="H1820">
        <v>83375</v>
      </c>
      <c r="I1820">
        <v>4168</v>
      </c>
      <c r="J1820" t="s">
        <v>27</v>
      </c>
      <c r="K1820" t="str">
        <f>_xlfn.XLOOKUP(datos_ventas[[#This Row],[Ciudad]],Tabla2[Ciudades],Tabla2[Provincias],"no se encuentra")</f>
        <v>Sevilla</v>
      </c>
      <c r="L1820" t="str">
        <f>_xlfn.XLOOKUP(datos_ventas[[#This Row],[Provincia]],Tabla2[Provincias],Tabla2[Comunidades],"no se encuentra")</f>
        <v>Andalucía</v>
      </c>
      <c r="M1820" t="s">
        <v>13</v>
      </c>
      <c r="N1820">
        <v>2</v>
      </c>
    </row>
    <row r="1821" spans="1:14" x14ac:dyDescent="0.25">
      <c r="A1821">
        <v>2820</v>
      </c>
      <c r="B1821" s="1">
        <v>45802</v>
      </c>
      <c r="C1821" s="4">
        <f>MONTH(datos_ventas[[#This Row],[Fecha]])</f>
        <v>5</v>
      </c>
      <c r="D1821" s="4">
        <f>WEEKNUM(datos_ventas[[#This Row],[Fecha]],2)</f>
        <v>21</v>
      </c>
      <c r="E1821" t="s">
        <v>17</v>
      </c>
      <c r="F1821" t="s">
        <v>18</v>
      </c>
      <c r="G1821">
        <v>4</v>
      </c>
      <c r="H1821">
        <v>112115</v>
      </c>
      <c r="I1821">
        <v>333</v>
      </c>
      <c r="J1821" t="s">
        <v>32</v>
      </c>
      <c r="K1821" t="str">
        <f>_xlfn.XLOOKUP(datos_ventas[[#This Row],[Ciudad]],Tabla2[Ciudades],Tabla2[Provincias],"no se encuentra")</f>
        <v>Barcelona</v>
      </c>
      <c r="L1821" t="str">
        <f>_xlfn.XLOOKUP(datos_ventas[[#This Row],[Provincia]],Tabla2[Provincias],Tabla2[Comunidades],"no se encuentra")</f>
        <v>Cataluña</v>
      </c>
      <c r="M1821" t="s">
        <v>15</v>
      </c>
      <c r="N1821">
        <v>4</v>
      </c>
    </row>
    <row r="1822" spans="1:14" x14ac:dyDescent="0.25">
      <c r="A1822">
        <v>2821</v>
      </c>
      <c r="B1822" s="1">
        <v>45992</v>
      </c>
      <c r="C1822" s="4">
        <f>MONTH(datos_ventas[[#This Row],[Fecha]])</f>
        <v>12</v>
      </c>
      <c r="D1822" s="4">
        <f>WEEKNUM(datos_ventas[[#This Row],[Fecha]],2)</f>
        <v>49</v>
      </c>
      <c r="E1822" t="s">
        <v>24</v>
      </c>
      <c r="F1822" t="s">
        <v>25</v>
      </c>
      <c r="G1822">
        <v>1</v>
      </c>
      <c r="H1822">
        <v>5367</v>
      </c>
      <c r="I1822">
        <v>1146</v>
      </c>
      <c r="J1822" t="s">
        <v>22</v>
      </c>
      <c r="K1822" t="str">
        <f>_xlfn.XLOOKUP(datos_ventas[[#This Row],[Ciudad]],Tabla2[Ciudades],Tabla2[Provincias],"no se encuentra")</f>
        <v>Valencia</v>
      </c>
      <c r="L1822" t="str">
        <f>_xlfn.XLOOKUP(datos_ventas[[#This Row],[Provincia]],Tabla2[Provincias],Tabla2[Comunidades],"no se encuentra")</f>
        <v>Comunidad Valenciana</v>
      </c>
      <c r="M1822" t="s">
        <v>13</v>
      </c>
      <c r="N1822">
        <v>1</v>
      </c>
    </row>
    <row r="1823" spans="1:14" x14ac:dyDescent="0.25">
      <c r="A1823">
        <v>2822</v>
      </c>
      <c r="B1823" s="1">
        <v>45849</v>
      </c>
      <c r="C1823" s="4">
        <f>MONTH(datos_ventas[[#This Row],[Fecha]])</f>
        <v>7</v>
      </c>
      <c r="D1823" s="4">
        <f>WEEKNUM(datos_ventas[[#This Row],[Fecha]],2)</f>
        <v>28</v>
      </c>
      <c r="E1823" t="s">
        <v>10</v>
      </c>
      <c r="F1823" t="s">
        <v>11</v>
      </c>
      <c r="G1823">
        <v>2</v>
      </c>
      <c r="H1823">
        <v>41721</v>
      </c>
      <c r="I1823">
        <v>4725</v>
      </c>
      <c r="J1823" t="s">
        <v>12</v>
      </c>
      <c r="K1823" t="str">
        <f>_xlfn.XLOOKUP(datos_ventas[[#This Row],[Ciudad]],Tabla2[Ciudades],Tabla2[Provincias],"no se encuentra")</f>
        <v>Málaga</v>
      </c>
      <c r="L1823" t="str">
        <f>_xlfn.XLOOKUP(datos_ventas[[#This Row],[Provincia]],Tabla2[Provincias],Tabla2[Comunidades],"no se encuentra")</f>
        <v>Andalucía</v>
      </c>
      <c r="M1823" t="s">
        <v>13</v>
      </c>
      <c r="N1823">
        <v>2</v>
      </c>
    </row>
    <row r="1824" spans="1:14" x14ac:dyDescent="0.25">
      <c r="A1824">
        <v>2823</v>
      </c>
      <c r="B1824" s="1">
        <v>45845</v>
      </c>
      <c r="C1824" s="4">
        <f>MONTH(datos_ventas[[#This Row],[Fecha]])</f>
        <v>7</v>
      </c>
      <c r="D1824" s="4">
        <f>WEEKNUM(datos_ventas[[#This Row],[Fecha]],2)</f>
        <v>28</v>
      </c>
      <c r="E1824" t="s">
        <v>17</v>
      </c>
      <c r="F1824" t="s">
        <v>18</v>
      </c>
      <c r="G1824">
        <v>4</v>
      </c>
      <c r="H1824">
        <v>100754</v>
      </c>
      <c r="I1824">
        <v>436</v>
      </c>
      <c r="J1824" t="s">
        <v>22</v>
      </c>
      <c r="K1824" t="str">
        <f>_xlfn.XLOOKUP(datos_ventas[[#This Row],[Ciudad]],Tabla2[Ciudades],Tabla2[Provincias],"no se encuentra")</f>
        <v>Valencia</v>
      </c>
      <c r="L1824" t="str">
        <f>_xlfn.XLOOKUP(datos_ventas[[#This Row],[Provincia]],Tabla2[Provincias],Tabla2[Comunidades],"no se encuentra")</f>
        <v>Comunidad Valenciana</v>
      </c>
      <c r="M1824" t="s">
        <v>13</v>
      </c>
      <c r="N1824">
        <v>1</v>
      </c>
    </row>
    <row r="1825" spans="1:14" x14ac:dyDescent="0.25">
      <c r="A1825">
        <v>2824</v>
      </c>
      <c r="B1825" s="1">
        <v>45792</v>
      </c>
      <c r="C1825" s="4">
        <f>MONTH(datos_ventas[[#This Row],[Fecha]])</f>
        <v>5</v>
      </c>
      <c r="D1825" s="4">
        <f>WEEKNUM(datos_ventas[[#This Row],[Fecha]],2)</f>
        <v>20</v>
      </c>
      <c r="E1825" t="s">
        <v>17</v>
      </c>
      <c r="F1825" t="s">
        <v>18</v>
      </c>
      <c r="G1825">
        <v>3</v>
      </c>
      <c r="H1825">
        <v>59587</v>
      </c>
      <c r="I1825">
        <v>3352</v>
      </c>
      <c r="J1825" t="s">
        <v>12</v>
      </c>
      <c r="K1825" t="str">
        <f>_xlfn.XLOOKUP(datos_ventas[[#This Row],[Ciudad]],Tabla2[Ciudades],Tabla2[Provincias],"no se encuentra")</f>
        <v>Málaga</v>
      </c>
      <c r="L1825" t="str">
        <f>_xlfn.XLOOKUP(datos_ventas[[#This Row],[Provincia]],Tabla2[Provincias],Tabla2[Comunidades],"no se encuentra")</f>
        <v>Andalucía</v>
      </c>
      <c r="M1825" t="s">
        <v>13</v>
      </c>
      <c r="N1825">
        <v>3</v>
      </c>
    </row>
    <row r="1826" spans="1:14" x14ac:dyDescent="0.25">
      <c r="A1826">
        <v>2825</v>
      </c>
      <c r="B1826" s="1">
        <v>45773</v>
      </c>
      <c r="C1826" s="4">
        <f>MONTH(datos_ventas[[#This Row],[Fecha]])</f>
        <v>4</v>
      </c>
      <c r="D1826" s="4">
        <f>WEEKNUM(datos_ventas[[#This Row],[Fecha]],2)</f>
        <v>17</v>
      </c>
      <c r="E1826" t="s">
        <v>20</v>
      </c>
      <c r="F1826" t="s">
        <v>21</v>
      </c>
      <c r="G1826">
        <v>2</v>
      </c>
      <c r="H1826">
        <v>3376</v>
      </c>
      <c r="I1826">
        <v>1865</v>
      </c>
      <c r="J1826" t="s">
        <v>12</v>
      </c>
      <c r="K1826" t="str">
        <f>_xlfn.XLOOKUP(datos_ventas[[#This Row],[Ciudad]],Tabla2[Ciudades],Tabla2[Provincias],"no se encuentra")</f>
        <v>Málaga</v>
      </c>
      <c r="L1826" t="str">
        <f>_xlfn.XLOOKUP(datos_ventas[[#This Row],[Provincia]],Tabla2[Provincias],Tabla2[Comunidades],"no se encuentra")</f>
        <v>Andalucía</v>
      </c>
      <c r="M1826" t="s">
        <v>19</v>
      </c>
      <c r="N1826">
        <v>1</v>
      </c>
    </row>
    <row r="1827" spans="1:14" x14ac:dyDescent="0.25">
      <c r="A1827">
        <v>2826</v>
      </c>
      <c r="B1827" s="1">
        <v>45837</v>
      </c>
      <c r="C1827" s="4">
        <f>MONTH(datos_ventas[[#This Row],[Fecha]])</f>
        <v>6</v>
      </c>
      <c r="D1827" s="4">
        <f>WEEKNUM(datos_ventas[[#This Row],[Fecha]],2)</f>
        <v>26</v>
      </c>
      <c r="E1827" t="s">
        <v>16</v>
      </c>
      <c r="F1827" t="s">
        <v>11</v>
      </c>
      <c r="G1827">
        <v>5</v>
      </c>
      <c r="H1827">
        <v>52216</v>
      </c>
      <c r="I1827">
        <v>314</v>
      </c>
      <c r="J1827" t="s">
        <v>12</v>
      </c>
      <c r="K1827" t="str">
        <f>_xlfn.XLOOKUP(datos_ventas[[#This Row],[Ciudad]],Tabla2[Ciudades],Tabla2[Provincias],"no se encuentra")</f>
        <v>Málaga</v>
      </c>
      <c r="L1827" t="str">
        <f>_xlfn.XLOOKUP(datos_ventas[[#This Row],[Provincia]],Tabla2[Provincias],Tabla2[Comunidades],"no se encuentra")</f>
        <v>Andalucía</v>
      </c>
      <c r="M1827" t="s">
        <v>19</v>
      </c>
      <c r="N1827">
        <v>4</v>
      </c>
    </row>
    <row r="1828" spans="1:14" x14ac:dyDescent="0.25">
      <c r="A1828">
        <v>2827</v>
      </c>
      <c r="B1828" s="1">
        <v>45842</v>
      </c>
      <c r="C1828" s="4">
        <f>MONTH(datos_ventas[[#This Row],[Fecha]])</f>
        <v>7</v>
      </c>
      <c r="D1828" s="4">
        <f>WEEKNUM(datos_ventas[[#This Row],[Fecha]],2)</f>
        <v>27</v>
      </c>
      <c r="E1828" t="s">
        <v>20</v>
      </c>
      <c r="F1828" t="s">
        <v>21</v>
      </c>
      <c r="G1828">
        <v>2</v>
      </c>
      <c r="H1828">
        <v>10884</v>
      </c>
      <c r="I1828">
        <v>2369</v>
      </c>
      <c r="J1828" t="s">
        <v>22</v>
      </c>
      <c r="K1828" t="str">
        <f>_xlfn.XLOOKUP(datos_ventas[[#This Row],[Ciudad]],Tabla2[Ciudades],Tabla2[Provincias],"no se encuentra")</f>
        <v>Valencia</v>
      </c>
      <c r="L1828" t="str">
        <f>_xlfn.XLOOKUP(datos_ventas[[#This Row],[Provincia]],Tabla2[Provincias],Tabla2[Comunidades],"no se encuentra")</f>
        <v>Comunidad Valenciana</v>
      </c>
      <c r="M1828" t="s">
        <v>19</v>
      </c>
      <c r="N1828">
        <v>3</v>
      </c>
    </row>
    <row r="1829" spans="1:14" x14ac:dyDescent="0.25">
      <c r="A1829">
        <v>2828</v>
      </c>
      <c r="B1829" s="1">
        <v>46013</v>
      </c>
      <c r="C1829" s="4">
        <f>MONTH(datos_ventas[[#This Row],[Fecha]])</f>
        <v>12</v>
      </c>
      <c r="D1829" s="4">
        <f>WEEKNUM(datos_ventas[[#This Row],[Fecha]],2)</f>
        <v>52</v>
      </c>
      <c r="E1829" t="s">
        <v>10</v>
      </c>
      <c r="F1829" t="s">
        <v>11</v>
      </c>
      <c r="G1829">
        <v>4</v>
      </c>
      <c r="H1829">
        <v>92436</v>
      </c>
      <c r="I1829">
        <v>3047</v>
      </c>
      <c r="J1829" t="s">
        <v>22</v>
      </c>
      <c r="K1829" t="str">
        <f>_xlfn.XLOOKUP(datos_ventas[[#This Row],[Ciudad]],Tabla2[Ciudades],Tabla2[Provincias],"no se encuentra")</f>
        <v>Valencia</v>
      </c>
      <c r="L1829" t="str">
        <f>_xlfn.XLOOKUP(datos_ventas[[#This Row],[Provincia]],Tabla2[Provincias],Tabla2[Comunidades],"no se encuentra")</f>
        <v>Comunidad Valenciana</v>
      </c>
      <c r="M1829" t="s">
        <v>19</v>
      </c>
      <c r="N1829">
        <v>5</v>
      </c>
    </row>
    <row r="1830" spans="1:14" x14ac:dyDescent="0.25">
      <c r="A1830">
        <v>2829</v>
      </c>
      <c r="B1830" s="1">
        <v>45730</v>
      </c>
      <c r="C1830" s="4">
        <f>MONTH(datos_ventas[[#This Row],[Fecha]])</f>
        <v>3</v>
      </c>
      <c r="D1830" s="4">
        <f>WEEKNUM(datos_ventas[[#This Row],[Fecha]],2)</f>
        <v>11</v>
      </c>
      <c r="E1830" t="s">
        <v>17</v>
      </c>
      <c r="F1830" t="s">
        <v>18</v>
      </c>
      <c r="G1830">
        <v>2</v>
      </c>
      <c r="H1830">
        <v>96742</v>
      </c>
      <c r="I1830">
        <v>2583</v>
      </c>
      <c r="J1830" t="s">
        <v>31</v>
      </c>
      <c r="K1830" t="str">
        <f>_xlfn.XLOOKUP(datos_ventas[[#This Row],[Ciudad]],Tabla2[Ciudades],Tabla2[Provincias],"no se encuentra")</f>
        <v>Vizcaya</v>
      </c>
      <c r="L1830" t="str">
        <f>_xlfn.XLOOKUP(datos_ventas[[#This Row],[Provincia]],Tabla2[Provincias],Tabla2[Comunidades],"no se encuentra")</f>
        <v>País Vasco</v>
      </c>
      <c r="M1830" t="s">
        <v>19</v>
      </c>
      <c r="N1830">
        <v>5</v>
      </c>
    </row>
    <row r="1831" spans="1:14" x14ac:dyDescent="0.25">
      <c r="A1831">
        <v>2830</v>
      </c>
      <c r="B1831" s="1">
        <v>45896</v>
      </c>
      <c r="C1831" s="4">
        <f>MONTH(datos_ventas[[#This Row],[Fecha]])</f>
        <v>8</v>
      </c>
      <c r="D1831" s="4">
        <f>WEEKNUM(datos_ventas[[#This Row],[Fecha]],2)</f>
        <v>35</v>
      </c>
      <c r="E1831" t="s">
        <v>24</v>
      </c>
      <c r="F1831" t="s">
        <v>25</v>
      </c>
      <c r="G1831">
        <v>1</v>
      </c>
      <c r="H1831">
        <v>108642</v>
      </c>
      <c r="I1831">
        <v>3072</v>
      </c>
      <c r="J1831" t="s">
        <v>27</v>
      </c>
      <c r="K1831" t="str">
        <f>_xlfn.XLOOKUP(datos_ventas[[#This Row],[Ciudad]],Tabla2[Ciudades],Tabla2[Provincias],"no se encuentra")</f>
        <v>Sevilla</v>
      </c>
      <c r="L1831" t="str">
        <f>_xlfn.XLOOKUP(datos_ventas[[#This Row],[Provincia]],Tabla2[Provincias],Tabla2[Comunidades],"no se encuentra")</f>
        <v>Andalucía</v>
      </c>
      <c r="M1831" t="s">
        <v>13</v>
      </c>
      <c r="N1831">
        <v>2</v>
      </c>
    </row>
    <row r="1832" spans="1:14" x14ac:dyDescent="0.25">
      <c r="A1832">
        <v>2831</v>
      </c>
      <c r="B1832" s="1">
        <v>45750</v>
      </c>
      <c r="C1832" s="4">
        <f>MONTH(datos_ventas[[#This Row],[Fecha]])</f>
        <v>4</v>
      </c>
      <c r="D1832" s="4">
        <f>WEEKNUM(datos_ventas[[#This Row],[Fecha]],2)</f>
        <v>14</v>
      </c>
      <c r="E1832" t="s">
        <v>29</v>
      </c>
      <c r="F1832" t="s">
        <v>30</v>
      </c>
      <c r="G1832">
        <v>4</v>
      </c>
      <c r="H1832">
        <v>95778</v>
      </c>
      <c r="I1832">
        <v>367</v>
      </c>
      <c r="J1832" t="s">
        <v>22</v>
      </c>
      <c r="K1832" t="str">
        <f>_xlfn.XLOOKUP(datos_ventas[[#This Row],[Ciudad]],Tabla2[Ciudades],Tabla2[Provincias],"no se encuentra")</f>
        <v>Valencia</v>
      </c>
      <c r="L1832" t="str">
        <f>_xlfn.XLOOKUP(datos_ventas[[#This Row],[Provincia]],Tabla2[Provincias],Tabla2[Comunidades],"no se encuentra")</f>
        <v>Comunidad Valenciana</v>
      </c>
      <c r="M1832" t="s">
        <v>15</v>
      </c>
      <c r="N1832">
        <v>3</v>
      </c>
    </row>
    <row r="1833" spans="1:14" x14ac:dyDescent="0.25">
      <c r="A1833">
        <v>2832</v>
      </c>
      <c r="B1833" s="1">
        <v>45936</v>
      </c>
      <c r="C1833" s="4">
        <f>MONTH(datos_ventas[[#This Row],[Fecha]])</f>
        <v>10</v>
      </c>
      <c r="D1833" s="4">
        <f>WEEKNUM(datos_ventas[[#This Row],[Fecha]],2)</f>
        <v>41</v>
      </c>
      <c r="E1833" t="s">
        <v>26</v>
      </c>
      <c r="F1833" t="s">
        <v>18</v>
      </c>
      <c r="G1833">
        <v>1</v>
      </c>
      <c r="H1833">
        <v>82802</v>
      </c>
      <c r="I1833">
        <v>55</v>
      </c>
      <c r="J1833" t="s">
        <v>22</v>
      </c>
      <c r="K1833" t="str">
        <f>_xlfn.XLOOKUP(datos_ventas[[#This Row],[Ciudad]],Tabla2[Ciudades],Tabla2[Provincias],"no se encuentra")</f>
        <v>Valencia</v>
      </c>
      <c r="L1833" t="str">
        <f>_xlfn.XLOOKUP(datos_ventas[[#This Row],[Provincia]],Tabla2[Provincias],Tabla2[Comunidades],"no se encuentra")</f>
        <v>Comunidad Valenciana</v>
      </c>
      <c r="M1833" t="s">
        <v>19</v>
      </c>
      <c r="N1833">
        <v>3</v>
      </c>
    </row>
    <row r="1834" spans="1:14" x14ac:dyDescent="0.25">
      <c r="A1834">
        <v>2833</v>
      </c>
      <c r="B1834" s="1">
        <v>45999</v>
      </c>
      <c r="C1834" s="4">
        <f>MONTH(datos_ventas[[#This Row],[Fecha]])</f>
        <v>12</v>
      </c>
      <c r="D1834" s="4">
        <f>WEEKNUM(datos_ventas[[#This Row],[Fecha]],2)</f>
        <v>50</v>
      </c>
      <c r="E1834" t="s">
        <v>23</v>
      </c>
      <c r="F1834" t="s">
        <v>18</v>
      </c>
      <c r="G1834">
        <v>4</v>
      </c>
      <c r="H1834">
        <v>53887</v>
      </c>
      <c r="I1834">
        <v>4562</v>
      </c>
      <c r="J1834" t="s">
        <v>22</v>
      </c>
      <c r="K1834" t="str">
        <f>_xlfn.XLOOKUP(datos_ventas[[#This Row],[Ciudad]],Tabla2[Ciudades],Tabla2[Provincias],"no se encuentra")</f>
        <v>Valencia</v>
      </c>
      <c r="L1834" t="str">
        <f>_xlfn.XLOOKUP(datos_ventas[[#This Row],[Provincia]],Tabla2[Provincias],Tabla2[Comunidades],"no se encuentra")</f>
        <v>Comunidad Valenciana</v>
      </c>
      <c r="M1834" t="s">
        <v>13</v>
      </c>
      <c r="N1834">
        <v>4</v>
      </c>
    </row>
    <row r="1835" spans="1:14" x14ac:dyDescent="0.25">
      <c r="A1835">
        <v>2834</v>
      </c>
      <c r="B1835" s="1">
        <v>45840</v>
      </c>
      <c r="C1835" s="4">
        <f>MONTH(datos_ventas[[#This Row],[Fecha]])</f>
        <v>7</v>
      </c>
      <c r="D1835" s="4">
        <f>WEEKNUM(datos_ventas[[#This Row],[Fecha]],2)</f>
        <v>27</v>
      </c>
      <c r="E1835" t="s">
        <v>17</v>
      </c>
      <c r="F1835" t="s">
        <v>18</v>
      </c>
      <c r="G1835">
        <v>4</v>
      </c>
      <c r="H1835">
        <v>112695</v>
      </c>
      <c r="I1835">
        <v>3458</v>
      </c>
      <c r="J1835" t="s">
        <v>22</v>
      </c>
      <c r="K1835" t="str">
        <f>_xlfn.XLOOKUP(datos_ventas[[#This Row],[Ciudad]],Tabla2[Ciudades],Tabla2[Provincias],"no se encuentra")</f>
        <v>Valencia</v>
      </c>
      <c r="L1835" t="str">
        <f>_xlfn.XLOOKUP(datos_ventas[[#This Row],[Provincia]],Tabla2[Provincias],Tabla2[Comunidades],"no se encuentra")</f>
        <v>Comunidad Valenciana</v>
      </c>
      <c r="M1835" t="s">
        <v>28</v>
      </c>
      <c r="N1835">
        <v>3</v>
      </c>
    </row>
    <row r="1836" spans="1:14" x14ac:dyDescent="0.25">
      <c r="A1836">
        <v>2835</v>
      </c>
      <c r="B1836" s="1">
        <v>45712</v>
      </c>
      <c r="C1836" s="4">
        <f>MONTH(datos_ventas[[#This Row],[Fecha]])</f>
        <v>2</v>
      </c>
      <c r="D1836" s="4">
        <f>WEEKNUM(datos_ventas[[#This Row],[Fecha]],2)</f>
        <v>9</v>
      </c>
      <c r="E1836" t="s">
        <v>24</v>
      </c>
      <c r="F1836" t="s">
        <v>25</v>
      </c>
      <c r="G1836">
        <v>1</v>
      </c>
      <c r="H1836">
        <v>99873</v>
      </c>
      <c r="I1836">
        <v>1812</v>
      </c>
      <c r="J1836" t="s">
        <v>14</v>
      </c>
      <c r="K1836" t="str">
        <f>_xlfn.XLOOKUP(datos_ventas[[#This Row],[Ciudad]],Tabla2[Ciudades],Tabla2[Provincias],"no se encuentra")</f>
        <v>Madrid</v>
      </c>
      <c r="L1836" t="str">
        <f>_xlfn.XLOOKUP(datos_ventas[[#This Row],[Provincia]],Tabla2[Provincias],Tabla2[Comunidades],"no se encuentra")</f>
        <v>Comunidad de Madrid</v>
      </c>
      <c r="M1836" t="s">
        <v>13</v>
      </c>
      <c r="N1836">
        <v>2</v>
      </c>
    </row>
    <row r="1837" spans="1:14" x14ac:dyDescent="0.25">
      <c r="A1837">
        <v>2836</v>
      </c>
      <c r="B1837" s="1">
        <v>45853</v>
      </c>
      <c r="C1837" s="4">
        <f>MONTH(datos_ventas[[#This Row],[Fecha]])</f>
        <v>7</v>
      </c>
      <c r="D1837" s="4">
        <f>WEEKNUM(datos_ventas[[#This Row],[Fecha]],2)</f>
        <v>29</v>
      </c>
      <c r="E1837" t="s">
        <v>24</v>
      </c>
      <c r="F1837" t="s">
        <v>25</v>
      </c>
      <c r="G1837">
        <v>5</v>
      </c>
      <c r="H1837">
        <v>29277</v>
      </c>
      <c r="I1837">
        <v>383</v>
      </c>
      <c r="J1837" t="s">
        <v>12</v>
      </c>
      <c r="K1837" t="str">
        <f>_xlfn.XLOOKUP(datos_ventas[[#This Row],[Ciudad]],Tabla2[Ciudades],Tabla2[Provincias],"no se encuentra")</f>
        <v>Málaga</v>
      </c>
      <c r="L1837" t="str">
        <f>_xlfn.XLOOKUP(datos_ventas[[#This Row],[Provincia]],Tabla2[Provincias],Tabla2[Comunidades],"no se encuentra")</f>
        <v>Andalucía</v>
      </c>
      <c r="M1837" t="s">
        <v>13</v>
      </c>
      <c r="N1837">
        <v>5</v>
      </c>
    </row>
    <row r="1838" spans="1:14" x14ac:dyDescent="0.25">
      <c r="A1838">
        <v>2837</v>
      </c>
      <c r="B1838" s="1">
        <v>46016</v>
      </c>
      <c r="C1838" s="4">
        <f>MONTH(datos_ventas[[#This Row],[Fecha]])</f>
        <v>12</v>
      </c>
      <c r="D1838" s="4">
        <f>WEEKNUM(datos_ventas[[#This Row],[Fecha]],2)</f>
        <v>52</v>
      </c>
      <c r="E1838" t="s">
        <v>10</v>
      </c>
      <c r="F1838" t="s">
        <v>11</v>
      </c>
      <c r="G1838">
        <v>5</v>
      </c>
      <c r="H1838">
        <v>86908</v>
      </c>
      <c r="I1838">
        <v>1999</v>
      </c>
      <c r="J1838" t="s">
        <v>12</v>
      </c>
      <c r="K1838" t="str">
        <f>_xlfn.XLOOKUP(datos_ventas[[#This Row],[Ciudad]],Tabla2[Ciudades],Tabla2[Provincias],"no se encuentra")</f>
        <v>Málaga</v>
      </c>
      <c r="L1838" t="str">
        <f>_xlfn.XLOOKUP(datos_ventas[[#This Row],[Provincia]],Tabla2[Provincias],Tabla2[Comunidades],"no se encuentra")</f>
        <v>Andalucía</v>
      </c>
      <c r="M1838" t="s">
        <v>28</v>
      </c>
      <c r="N1838">
        <v>1</v>
      </c>
    </row>
    <row r="1839" spans="1:14" x14ac:dyDescent="0.25">
      <c r="A1839">
        <v>2838</v>
      </c>
      <c r="B1839" s="1">
        <v>46018</v>
      </c>
      <c r="C1839" s="4">
        <f>MONTH(datos_ventas[[#This Row],[Fecha]])</f>
        <v>12</v>
      </c>
      <c r="D1839" s="4">
        <f>WEEKNUM(datos_ventas[[#This Row],[Fecha]],2)</f>
        <v>52</v>
      </c>
      <c r="E1839" t="s">
        <v>24</v>
      </c>
      <c r="F1839" t="s">
        <v>25</v>
      </c>
      <c r="G1839">
        <v>4</v>
      </c>
      <c r="H1839">
        <v>105333</v>
      </c>
      <c r="I1839">
        <v>613</v>
      </c>
      <c r="J1839" t="s">
        <v>27</v>
      </c>
      <c r="K1839" t="str">
        <f>_xlfn.XLOOKUP(datos_ventas[[#This Row],[Ciudad]],Tabla2[Ciudades],Tabla2[Provincias],"no se encuentra")</f>
        <v>Sevilla</v>
      </c>
      <c r="L1839" t="str">
        <f>_xlfn.XLOOKUP(datos_ventas[[#This Row],[Provincia]],Tabla2[Provincias],Tabla2[Comunidades],"no se encuentra")</f>
        <v>Andalucía</v>
      </c>
      <c r="M1839" t="s">
        <v>19</v>
      </c>
      <c r="N1839">
        <v>5</v>
      </c>
    </row>
    <row r="1840" spans="1:14" x14ac:dyDescent="0.25">
      <c r="A1840">
        <v>2839</v>
      </c>
      <c r="B1840" s="1">
        <v>45852</v>
      </c>
      <c r="C1840" s="4">
        <f>MONTH(datos_ventas[[#This Row],[Fecha]])</f>
        <v>7</v>
      </c>
      <c r="D1840" s="4">
        <f>WEEKNUM(datos_ventas[[#This Row],[Fecha]],2)</f>
        <v>29</v>
      </c>
      <c r="E1840" t="s">
        <v>24</v>
      </c>
      <c r="F1840" t="s">
        <v>25</v>
      </c>
      <c r="G1840">
        <v>1</v>
      </c>
      <c r="H1840">
        <v>13334</v>
      </c>
      <c r="I1840">
        <v>539</v>
      </c>
      <c r="J1840" t="s">
        <v>27</v>
      </c>
      <c r="K1840" t="str">
        <f>_xlfn.XLOOKUP(datos_ventas[[#This Row],[Ciudad]],Tabla2[Ciudades],Tabla2[Provincias],"no se encuentra")</f>
        <v>Sevilla</v>
      </c>
      <c r="L1840" t="str">
        <f>_xlfn.XLOOKUP(datos_ventas[[#This Row],[Provincia]],Tabla2[Provincias],Tabla2[Comunidades],"no se encuentra")</f>
        <v>Andalucía</v>
      </c>
      <c r="M1840" t="s">
        <v>13</v>
      </c>
      <c r="N1840">
        <v>5</v>
      </c>
    </row>
    <row r="1841" spans="1:14" x14ac:dyDescent="0.25">
      <c r="A1841">
        <v>2840</v>
      </c>
      <c r="B1841" s="1">
        <v>45804</v>
      </c>
      <c r="C1841" s="4">
        <f>MONTH(datos_ventas[[#This Row],[Fecha]])</f>
        <v>5</v>
      </c>
      <c r="D1841" s="4">
        <f>WEEKNUM(datos_ventas[[#This Row],[Fecha]],2)</f>
        <v>22</v>
      </c>
      <c r="E1841" t="s">
        <v>26</v>
      </c>
      <c r="F1841" t="s">
        <v>18</v>
      </c>
      <c r="G1841">
        <v>3</v>
      </c>
      <c r="H1841">
        <v>32318</v>
      </c>
      <c r="I1841">
        <v>4574</v>
      </c>
      <c r="J1841" t="s">
        <v>32</v>
      </c>
      <c r="K1841" t="str">
        <f>_xlfn.XLOOKUP(datos_ventas[[#This Row],[Ciudad]],Tabla2[Ciudades],Tabla2[Provincias],"no se encuentra")</f>
        <v>Barcelona</v>
      </c>
      <c r="L1841" t="str">
        <f>_xlfn.XLOOKUP(datos_ventas[[#This Row],[Provincia]],Tabla2[Provincias],Tabla2[Comunidades],"no se encuentra")</f>
        <v>Cataluña</v>
      </c>
      <c r="M1841" t="s">
        <v>13</v>
      </c>
      <c r="N1841">
        <v>3</v>
      </c>
    </row>
    <row r="1842" spans="1:14" x14ac:dyDescent="0.25">
      <c r="A1842">
        <v>2841</v>
      </c>
      <c r="B1842" s="1">
        <v>45827</v>
      </c>
      <c r="C1842" s="4">
        <f>MONTH(datos_ventas[[#This Row],[Fecha]])</f>
        <v>6</v>
      </c>
      <c r="D1842" s="4">
        <f>WEEKNUM(datos_ventas[[#This Row],[Fecha]],2)</f>
        <v>25</v>
      </c>
      <c r="E1842" t="s">
        <v>23</v>
      </c>
      <c r="F1842" t="s">
        <v>18</v>
      </c>
      <c r="G1842">
        <v>3</v>
      </c>
      <c r="H1842">
        <v>56812</v>
      </c>
      <c r="I1842">
        <v>1212</v>
      </c>
      <c r="J1842" t="s">
        <v>14</v>
      </c>
      <c r="K1842" t="str">
        <f>_xlfn.XLOOKUP(datos_ventas[[#This Row],[Ciudad]],Tabla2[Ciudades],Tabla2[Provincias],"no se encuentra")</f>
        <v>Madrid</v>
      </c>
      <c r="L1842" t="str">
        <f>_xlfn.XLOOKUP(datos_ventas[[#This Row],[Provincia]],Tabla2[Provincias],Tabla2[Comunidades],"no se encuentra")</f>
        <v>Comunidad de Madrid</v>
      </c>
      <c r="M1842" t="s">
        <v>13</v>
      </c>
      <c r="N1842">
        <v>5</v>
      </c>
    </row>
    <row r="1843" spans="1:14" x14ac:dyDescent="0.25">
      <c r="A1843">
        <v>2842</v>
      </c>
      <c r="B1843" s="1">
        <v>45775</v>
      </c>
      <c r="C1843" s="4">
        <f>MONTH(datos_ventas[[#This Row],[Fecha]])</f>
        <v>4</v>
      </c>
      <c r="D1843" s="4">
        <f>WEEKNUM(datos_ventas[[#This Row],[Fecha]],2)</f>
        <v>18</v>
      </c>
      <c r="E1843" t="s">
        <v>10</v>
      </c>
      <c r="F1843" t="s">
        <v>11</v>
      </c>
      <c r="G1843">
        <v>1</v>
      </c>
      <c r="H1843">
        <v>68228</v>
      </c>
      <c r="I1843">
        <v>3437</v>
      </c>
      <c r="J1843" t="s">
        <v>22</v>
      </c>
      <c r="K1843" t="str">
        <f>_xlfn.XLOOKUP(datos_ventas[[#This Row],[Ciudad]],Tabla2[Ciudades],Tabla2[Provincias],"no se encuentra")</f>
        <v>Valencia</v>
      </c>
      <c r="L1843" t="str">
        <f>_xlfn.XLOOKUP(datos_ventas[[#This Row],[Provincia]],Tabla2[Provincias],Tabla2[Comunidades],"no se encuentra")</f>
        <v>Comunidad Valenciana</v>
      </c>
      <c r="M1843" t="s">
        <v>28</v>
      </c>
      <c r="N1843">
        <v>4</v>
      </c>
    </row>
    <row r="1844" spans="1:14" x14ac:dyDescent="0.25">
      <c r="A1844">
        <v>2843</v>
      </c>
      <c r="B1844" s="1">
        <v>45825</v>
      </c>
      <c r="C1844" s="4">
        <f>MONTH(datos_ventas[[#This Row],[Fecha]])</f>
        <v>6</v>
      </c>
      <c r="D1844" s="4">
        <f>WEEKNUM(datos_ventas[[#This Row],[Fecha]],2)</f>
        <v>25</v>
      </c>
      <c r="E1844" t="s">
        <v>17</v>
      </c>
      <c r="F1844" t="s">
        <v>18</v>
      </c>
      <c r="G1844">
        <v>4</v>
      </c>
      <c r="H1844">
        <v>82231</v>
      </c>
      <c r="I1844">
        <v>1339</v>
      </c>
      <c r="J1844" t="s">
        <v>31</v>
      </c>
      <c r="K1844" t="str">
        <f>_xlfn.XLOOKUP(datos_ventas[[#This Row],[Ciudad]],Tabla2[Ciudades],Tabla2[Provincias],"no se encuentra")</f>
        <v>Vizcaya</v>
      </c>
      <c r="L1844" t="str">
        <f>_xlfn.XLOOKUP(datos_ventas[[#This Row],[Provincia]],Tabla2[Provincias],Tabla2[Comunidades],"no se encuentra")</f>
        <v>País Vasco</v>
      </c>
      <c r="M1844" t="s">
        <v>19</v>
      </c>
      <c r="N1844">
        <v>3</v>
      </c>
    </row>
    <row r="1845" spans="1:14" x14ac:dyDescent="0.25">
      <c r="A1845">
        <v>2844</v>
      </c>
      <c r="B1845" s="1">
        <v>45895</v>
      </c>
      <c r="C1845" s="4">
        <f>MONTH(datos_ventas[[#This Row],[Fecha]])</f>
        <v>8</v>
      </c>
      <c r="D1845" s="4">
        <f>WEEKNUM(datos_ventas[[#This Row],[Fecha]],2)</f>
        <v>35</v>
      </c>
      <c r="E1845" t="s">
        <v>23</v>
      </c>
      <c r="F1845" t="s">
        <v>18</v>
      </c>
      <c r="G1845">
        <v>5</v>
      </c>
      <c r="H1845">
        <v>50681</v>
      </c>
      <c r="I1845">
        <v>1993</v>
      </c>
      <c r="J1845" t="s">
        <v>32</v>
      </c>
      <c r="K1845" t="str">
        <f>_xlfn.XLOOKUP(datos_ventas[[#This Row],[Ciudad]],Tabla2[Ciudades],Tabla2[Provincias],"no se encuentra")</f>
        <v>Barcelona</v>
      </c>
      <c r="L1845" t="str">
        <f>_xlfn.XLOOKUP(datos_ventas[[#This Row],[Provincia]],Tabla2[Provincias],Tabla2[Comunidades],"no se encuentra")</f>
        <v>Cataluña</v>
      </c>
      <c r="M1845" t="s">
        <v>13</v>
      </c>
      <c r="N1845">
        <v>2</v>
      </c>
    </row>
    <row r="1846" spans="1:14" x14ac:dyDescent="0.25">
      <c r="A1846">
        <v>2845</v>
      </c>
      <c r="B1846" s="1">
        <v>45950</v>
      </c>
      <c r="C1846" s="4">
        <f>MONTH(datos_ventas[[#This Row],[Fecha]])</f>
        <v>10</v>
      </c>
      <c r="D1846" s="4">
        <f>WEEKNUM(datos_ventas[[#This Row],[Fecha]],2)</f>
        <v>43</v>
      </c>
      <c r="E1846" t="s">
        <v>29</v>
      </c>
      <c r="F1846" t="s">
        <v>30</v>
      </c>
      <c r="G1846">
        <v>4</v>
      </c>
      <c r="H1846">
        <v>77367</v>
      </c>
      <c r="I1846">
        <v>801</v>
      </c>
      <c r="J1846" t="s">
        <v>22</v>
      </c>
      <c r="K1846" t="str">
        <f>_xlfn.XLOOKUP(datos_ventas[[#This Row],[Ciudad]],Tabla2[Ciudades],Tabla2[Provincias],"no se encuentra")</f>
        <v>Valencia</v>
      </c>
      <c r="L1846" t="str">
        <f>_xlfn.XLOOKUP(datos_ventas[[#This Row],[Provincia]],Tabla2[Provincias],Tabla2[Comunidades],"no se encuentra")</f>
        <v>Comunidad Valenciana</v>
      </c>
      <c r="M1846" t="s">
        <v>15</v>
      </c>
      <c r="N1846">
        <v>3</v>
      </c>
    </row>
    <row r="1847" spans="1:14" x14ac:dyDescent="0.25">
      <c r="A1847">
        <v>2846</v>
      </c>
      <c r="B1847" s="1">
        <v>45825</v>
      </c>
      <c r="C1847" s="4">
        <f>MONTH(datos_ventas[[#This Row],[Fecha]])</f>
        <v>6</v>
      </c>
      <c r="D1847" s="4">
        <f>WEEKNUM(datos_ventas[[#This Row],[Fecha]],2)</f>
        <v>25</v>
      </c>
      <c r="E1847" t="s">
        <v>23</v>
      </c>
      <c r="F1847" t="s">
        <v>18</v>
      </c>
      <c r="G1847">
        <v>3</v>
      </c>
      <c r="H1847">
        <v>102249</v>
      </c>
      <c r="I1847">
        <v>3789</v>
      </c>
      <c r="J1847" t="s">
        <v>12</v>
      </c>
      <c r="K1847" t="str">
        <f>_xlfn.XLOOKUP(datos_ventas[[#This Row],[Ciudad]],Tabla2[Ciudades],Tabla2[Provincias],"no se encuentra")</f>
        <v>Málaga</v>
      </c>
      <c r="L1847" t="str">
        <f>_xlfn.XLOOKUP(datos_ventas[[#This Row],[Provincia]],Tabla2[Provincias],Tabla2[Comunidades],"no se encuentra")</f>
        <v>Andalucía</v>
      </c>
      <c r="M1847" t="s">
        <v>19</v>
      </c>
      <c r="N1847">
        <v>1</v>
      </c>
    </row>
    <row r="1848" spans="1:14" x14ac:dyDescent="0.25">
      <c r="A1848">
        <v>2847</v>
      </c>
      <c r="B1848" s="1">
        <v>45882</v>
      </c>
      <c r="C1848" s="4">
        <f>MONTH(datos_ventas[[#This Row],[Fecha]])</f>
        <v>8</v>
      </c>
      <c r="D1848" s="4">
        <f>WEEKNUM(datos_ventas[[#This Row],[Fecha]],2)</f>
        <v>33</v>
      </c>
      <c r="E1848" t="s">
        <v>20</v>
      </c>
      <c r="F1848" t="s">
        <v>21</v>
      </c>
      <c r="G1848">
        <v>1</v>
      </c>
      <c r="H1848">
        <v>32968</v>
      </c>
      <c r="I1848">
        <v>1181</v>
      </c>
      <c r="J1848" t="s">
        <v>14</v>
      </c>
      <c r="K1848" t="str">
        <f>_xlfn.XLOOKUP(datos_ventas[[#This Row],[Ciudad]],Tabla2[Ciudades],Tabla2[Provincias],"no se encuentra")</f>
        <v>Madrid</v>
      </c>
      <c r="L1848" t="str">
        <f>_xlfn.XLOOKUP(datos_ventas[[#This Row],[Provincia]],Tabla2[Provincias],Tabla2[Comunidades],"no se encuentra")</f>
        <v>Comunidad de Madrid</v>
      </c>
      <c r="M1848" t="s">
        <v>19</v>
      </c>
      <c r="N1848">
        <v>5</v>
      </c>
    </row>
    <row r="1849" spans="1:14" x14ac:dyDescent="0.25">
      <c r="A1849">
        <v>2848</v>
      </c>
      <c r="B1849" s="1">
        <v>45921</v>
      </c>
      <c r="C1849" s="4">
        <f>MONTH(datos_ventas[[#This Row],[Fecha]])</f>
        <v>9</v>
      </c>
      <c r="D1849" s="4">
        <f>WEEKNUM(datos_ventas[[#This Row],[Fecha]],2)</f>
        <v>38</v>
      </c>
      <c r="E1849" t="s">
        <v>16</v>
      </c>
      <c r="F1849" t="s">
        <v>11</v>
      </c>
      <c r="G1849">
        <v>1</v>
      </c>
      <c r="H1849">
        <v>88008</v>
      </c>
      <c r="I1849">
        <v>4733</v>
      </c>
      <c r="J1849" t="s">
        <v>14</v>
      </c>
      <c r="K1849" t="str">
        <f>_xlfn.XLOOKUP(datos_ventas[[#This Row],[Ciudad]],Tabla2[Ciudades],Tabla2[Provincias],"no se encuentra")</f>
        <v>Madrid</v>
      </c>
      <c r="L1849" t="str">
        <f>_xlfn.XLOOKUP(datos_ventas[[#This Row],[Provincia]],Tabla2[Provincias],Tabla2[Comunidades],"no se encuentra")</f>
        <v>Comunidad de Madrid</v>
      </c>
      <c r="M1849" t="s">
        <v>28</v>
      </c>
      <c r="N1849">
        <v>5</v>
      </c>
    </row>
    <row r="1850" spans="1:14" x14ac:dyDescent="0.25">
      <c r="A1850">
        <v>2849</v>
      </c>
      <c r="B1850" s="1">
        <v>45715</v>
      </c>
      <c r="C1850" s="4">
        <f>MONTH(datos_ventas[[#This Row],[Fecha]])</f>
        <v>2</v>
      </c>
      <c r="D1850" s="4">
        <f>WEEKNUM(datos_ventas[[#This Row],[Fecha]],2)</f>
        <v>9</v>
      </c>
      <c r="E1850" t="s">
        <v>24</v>
      </c>
      <c r="F1850" t="s">
        <v>25</v>
      </c>
      <c r="G1850">
        <v>3</v>
      </c>
      <c r="H1850">
        <v>86366</v>
      </c>
      <c r="I1850">
        <v>4187</v>
      </c>
      <c r="J1850" t="s">
        <v>27</v>
      </c>
      <c r="K1850" t="str">
        <f>_xlfn.XLOOKUP(datos_ventas[[#This Row],[Ciudad]],Tabla2[Ciudades],Tabla2[Provincias],"no se encuentra")</f>
        <v>Sevilla</v>
      </c>
      <c r="L1850" t="str">
        <f>_xlfn.XLOOKUP(datos_ventas[[#This Row],[Provincia]],Tabla2[Provincias],Tabla2[Comunidades],"no se encuentra")</f>
        <v>Andalucía</v>
      </c>
      <c r="M1850" t="s">
        <v>28</v>
      </c>
      <c r="N1850">
        <v>2</v>
      </c>
    </row>
    <row r="1851" spans="1:14" x14ac:dyDescent="0.25">
      <c r="A1851">
        <v>2850</v>
      </c>
      <c r="B1851" s="1">
        <v>45978</v>
      </c>
      <c r="C1851" s="4">
        <f>MONTH(datos_ventas[[#This Row],[Fecha]])</f>
        <v>11</v>
      </c>
      <c r="D1851" s="4">
        <f>WEEKNUM(datos_ventas[[#This Row],[Fecha]],2)</f>
        <v>47</v>
      </c>
      <c r="E1851" t="s">
        <v>17</v>
      </c>
      <c r="F1851" t="s">
        <v>18</v>
      </c>
      <c r="G1851">
        <v>2</v>
      </c>
      <c r="H1851">
        <v>9759</v>
      </c>
      <c r="I1851">
        <v>1104</v>
      </c>
      <c r="J1851" t="s">
        <v>32</v>
      </c>
      <c r="K1851" t="str">
        <f>_xlfn.XLOOKUP(datos_ventas[[#This Row],[Ciudad]],Tabla2[Ciudades],Tabla2[Provincias],"no se encuentra")</f>
        <v>Barcelona</v>
      </c>
      <c r="L1851" t="str">
        <f>_xlfn.XLOOKUP(datos_ventas[[#This Row],[Provincia]],Tabla2[Provincias],Tabla2[Comunidades],"no se encuentra")</f>
        <v>Cataluña</v>
      </c>
      <c r="M1851" t="s">
        <v>15</v>
      </c>
      <c r="N1851">
        <v>1</v>
      </c>
    </row>
    <row r="1852" spans="1:14" x14ac:dyDescent="0.25">
      <c r="A1852">
        <v>2851</v>
      </c>
      <c r="B1852" s="1">
        <v>45806</v>
      </c>
      <c r="C1852" s="4">
        <f>MONTH(datos_ventas[[#This Row],[Fecha]])</f>
        <v>5</v>
      </c>
      <c r="D1852" s="4">
        <f>WEEKNUM(datos_ventas[[#This Row],[Fecha]],2)</f>
        <v>22</v>
      </c>
      <c r="E1852" t="s">
        <v>23</v>
      </c>
      <c r="F1852" t="s">
        <v>18</v>
      </c>
      <c r="G1852">
        <v>5</v>
      </c>
      <c r="H1852">
        <v>81902</v>
      </c>
      <c r="I1852">
        <v>4817</v>
      </c>
      <c r="J1852" t="s">
        <v>27</v>
      </c>
      <c r="K1852" t="str">
        <f>_xlfn.XLOOKUP(datos_ventas[[#This Row],[Ciudad]],Tabla2[Ciudades],Tabla2[Provincias],"no se encuentra")</f>
        <v>Sevilla</v>
      </c>
      <c r="L1852" t="str">
        <f>_xlfn.XLOOKUP(datos_ventas[[#This Row],[Provincia]],Tabla2[Provincias],Tabla2[Comunidades],"no se encuentra")</f>
        <v>Andalucía</v>
      </c>
      <c r="M1852" t="s">
        <v>15</v>
      </c>
      <c r="N1852">
        <v>2</v>
      </c>
    </row>
    <row r="1853" spans="1:14" x14ac:dyDescent="0.25">
      <c r="A1853">
        <v>2852</v>
      </c>
      <c r="B1853" s="1">
        <v>45768</v>
      </c>
      <c r="C1853" s="4">
        <f>MONTH(datos_ventas[[#This Row],[Fecha]])</f>
        <v>4</v>
      </c>
      <c r="D1853" s="4">
        <f>WEEKNUM(datos_ventas[[#This Row],[Fecha]],2)</f>
        <v>17</v>
      </c>
      <c r="E1853" t="s">
        <v>17</v>
      </c>
      <c r="F1853" t="s">
        <v>18</v>
      </c>
      <c r="G1853">
        <v>2</v>
      </c>
      <c r="H1853">
        <v>79704</v>
      </c>
      <c r="I1853">
        <v>2994</v>
      </c>
      <c r="J1853" t="s">
        <v>12</v>
      </c>
      <c r="K1853" t="str">
        <f>_xlfn.XLOOKUP(datos_ventas[[#This Row],[Ciudad]],Tabla2[Ciudades],Tabla2[Provincias],"no se encuentra")</f>
        <v>Málaga</v>
      </c>
      <c r="L1853" t="str">
        <f>_xlfn.XLOOKUP(datos_ventas[[#This Row],[Provincia]],Tabla2[Provincias],Tabla2[Comunidades],"no se encuentra")</f>
        <v>Andalucía</v>
      </c>
      <c r="M1853" t="s">
        <v>28</v>
      </c>
      <c r="N1853">
        <v>1</v>
      </c>
    </row>
    <row r="1854" spans="1:14" x14ac:dyDescent="0.25">
      <c r="A1854">
        <v>2853</v>
      </c>
      <c r="B1854" s="1">
        <v>45821</v>
      </c>
      <c r="C1854" s="4">
        <f>MONTH(datos_ventas[[#This Row],[Fecha]])</f>
        <v>6</v>
      </c>
      <c r="D1854" s="4">
        <f>WEEKNUM(datos_ventas[[#This Row],[Fecha]],2)</f>
        <v>24</v>
      </c>
      <c r="E1854" t="s">
        <v>20</v>
      </c>
      <c r="F1854" t="s">
        <v>21</v>
      </c>
      <c r="G1854">
        <v>5</v>
      </c>
      <c r="H1854">
        <v>86211</v>
      </c>
      <c r="I1854">
        <v>512</v>
      </c>
      <c r="J1854" t="s">
        <v>27</v>
      </c>
      <c r="K1854" t="str">
        <f>_xlfn.XLOOKUP(datos_ventas[[#This Row],[Ciudad]],Tabla2[Ciudades],Tabla2[Provincias],"no se encuentra")</f>
        <v>Sevilla</v>
      </c>
      <c r="L1854" t="str">
        <f>_xlfn.XLOOKUP(datos_ventas[[#This Row],[Provincia]],Tabla2[Provincias],Tabla2[Comunidades],"no se encuentra")</f>
        <v>Andalucía</v>
      </c>
      <c r="M1854" t="s">
        <v>13</v>
      </c>
      <c r="N1854">
        <v>1</v>
      </c>
    </row>
    <row r="1855" spans="1:14" x14ac:dyDescent="0.25">
      <c r="A1855">
        <v>2854</v>
      </c>
      <c r="B1855" s="1">
        <v>45828</v>
      </c>
      <c r="C1855" s="4">
        <f>MONTH(datos_ventas[[#This Row],[Fecha]])</f>
        <v>6</v>
      </c>
      <c r="D1855" s="4">
        <f>WEEKNUM(datos_ventas[[#This Row],[Fecha]],2)</f>
        <v>25</v>
      </c>
      <c r="E1855" t="s">
        <v>10</v>
      </c>
      <c r="F1855" t="s">
        <v>11</v>
      </c>
      <c r="G1855">
        <v>3</v>
      </c>
      <c r="H1855">
        <v>71425</v>
      </c>
      <c r="I1855">
        <v>681</v>
      </c>
      <c r="J1855" t="s">
        <v>14</v>
      </c>
      <c r="K1855" t="str">
        <f>_xlfn.XLOOKUP(datos_ventas[[#This Row],[Ciudad]],Tabla2[Ciudades],Tabla2[Provincias],"no se encuentra")</f>
        <v>Madrid</v>
      </c>
      <c r="L1855" t="str">
        <f>_xlfn.XLOOKUP(datos_ventas[[#This Row],[Provincia]],Tabla2[Provincias],Tabla2[Comunidades],"no se encuentra")</f>
        <v>Comunidad de Madrid</v>
      </c>
      <c r="M1855" t="s">
        <v>13</v>
      </c>
      <c r="N1855">
        <v>3</v>
      </c>
    </row>
    <row r="1856" spans="1:14" x14ac:dyDescent="0.25">
      <c r="A1856">
        <v>2855</v>
      </c>
      <c r="B1856" s="1">
        <v>45861</v>
      </c>
      <c r="C1856" s="4">
        <f>MONTH(datos_ventas[[#This Row],[Fecha]])</f>
        <v>7</v>
      </c>
      <c r="D1856" s="4">
        <f>WEEKNUM(datos_ventas[[#This Row],[Fecha]],2)</f>
        <v>30</v>
      </c>
      <c r="E1856" t="s">
        <v>20</v>
      </c>
      <c r="F1856" t="s">
        <v>21</v>
      </c>
      <c r="G1856">
        <v>5</v>
      </c>
      <c r="H1856">
        <v>28829</v>
      </c>
      <c r="I1856">
        <v>2455</v>
      </c>
      <c r="J1856" t="s">
        <v>22</v>
      </c>
      <c r="K1856" t="str">
        <f>_xlfn.XLOOKUP(datos_ventas[[#This Row],[Ciudad]],Tabla2[Ciudades],Tabla2[Provincias],"no se encuentra")</f>
        <v>Valencia</v>
      </c>
      <c r="L1856" t="str">
        <f>_xlfn.XLOOKUP(datos_ventas[[#This Row],[Provincia]],Tabla2[Provincias],Tabla2[Comunidades],"no se encuentra")</f>
        <v>Comunidad Valenciana</v>
      </c>
      <c r="M1856" t="s">
        <v>28</v>
      </c>
      <c r="N1856">
        <v>3</v>
      </c>
    </row>
    <row r="1857" spans="1:14" x14ac:dyDescent="0.25">
      <c r="A1857">
        <v>2856</v>
      </c>
      <c r="B1857" s="1">
        <v>45934</v>
      </c>
      <c r="C1857" s="4">
        <f>MONTH(datos_ventas[[#This Row],[Fecha]])</f>
        <v>10</v>
      </c>
      <c r="D1857" s="4">
        <f>WEEKNUM(datos_ventas[[#This Row],[Fecha]],2)</f>
        <v>40</v>
      </c>
      <c r="E1857" t="s">
        <v>23</v>
      </c>
      <c r="F1857" t="s">
        <v>18</v>
      </c>
      <c r="G1857">
        <v>2</v>
      </c>
      <c r="H1857">
        <v>12992</v>
      </c>
      <c r="I1857">
        <v>2572</v>
      </c>
      <c r="J1857" t="s">
        <v>31</v>
      </c>
      <c r="K1857" t="str">
        <f>_xlfn.XLOOKUP(datos_ventas[[#This Row],[Ciudad]],Tabla2[Ciudades],Tabla2[Provincias],"no se encuentra")</f>
        <v>Vizcaya</v>
      </c>
      <c r="L1857" t="str">
        <f>_xlfn.XLOOKUP(datos_ventas[[#This Row],[Provincia]],Tabla2[Provincias],Tabla2[Comunidades],"no se encuentra")</f>
        <v>País Vasco</v>
      </c>
      <c r="M1857" t="s">
        <v>28</v>
      </c>
      <c r="N1857">
        <v>5</v>
      </c>
    </row>
    <row r="1858" spans="1:14" x14ac:dyDescent="0.25">
      <c r="A1858">
        <v>2857</v>
      </c>
      <c r="B1858" s="1">
        <v>45955</v>
      </c>
      <c r="C1858" s="4">
        <f>MONTH(datos_ventas[[#This Row],[Fecha]])</f>
        <v>10</v>
      </c>
      <c r="D1858" s="4">
        <f>WEEKNUM(datos_ventas[[#This Row],[Fecha]],2)</f>
        <v>43</v>
      </c>
      <c r="E1858" t="s">
        <v>26</v>
      </c>
      <c r="F1858" t="s">
        <v>18</v>
      </c>
      <c r="G1858">
        <v>2</v>
      </c>
      <c r="H1858">
        <v>108363</v>
      </c>
      <c r="I1858">
        <v>151</v>
      </c>
      <c r="J1858" t="s">
        <v>31</v>
      </c>
      <c r="K1858" t="str">
        <f>_xlfn.XLOOKUP(datos_ventas[[#This Row],[Ciudad]],Tabla2[Ciudades],Tabla2[Provincias],"no se encuentra")</f>
        <v>Vizcaya</v>
      </c>
      <c r="L1858" t="str">
        <f>_xlfn.XLOOKUP(datos_ventas[[#This Row],[Provincia]],Tabla2[Provincias],Tabla2[Comunidades],"no se encuentra")</f>
        <v>País Vasco</v>
      </c>
      <c r="M1858" t="s">
        <v>28</v>
      </c>
      <c r="N1858">
        <v>5</v>
      </c>
    </row>
    <row r="1859" spans="1:14" x14ac:dyDescent="0.25">
      <c r="A1859">
        <v>2858</v>
      </c>
      <c r="B1859" s="1">
        <v>45864</v>
      </c>
      <c r="C1859" s="4">
        <f>MONTH(datos_ventas[[#This Row],[Fecha]])</f>
        <v>7</v>
      </c>
      <c r="D1859" s="4">
        <f>WEEKNUM(datos_ventas[[#This Row],[Fecha]],2)</f>
        <v>30</v>
      </c>
      <c r="E1859" t="s">
        <v>26</v>
      </c>
      <c r="F1859" t="s">
        <v>18</v>
      </c>
      <c r="G1859">
        <v>4</v>
      </c>
      <c r="H1859">
        <v>22834</v>
      </c>
      <c r="I1859">
        <v>3221</v>
      </c>
      <c r="J1859" t="s">
        <v>12</v>
      </c>
      <c r="K1859" t="str">
        <f>_xlfn.XLOOKUP(datos_ventas[[#This Row],[Ciudad]],Tabla2[Ciudades],Tabla2[Provincias],"no se encuentra")</f>
        <v>Málaga</v>
      </c>
      <c r="L1859" t="str">
        <f>_xlfn.XLOOKUP(datos_ventas[[#This Row],[Provincia]],Tabla2[Provincias],Tabla2[Comunidades],"no se encuentra")</f>
        <v>Andalucía</v>
      </c>
      <c r="M1859" t="s">
        <v>15</v>
      </c>
      <c r="N1859">
        <v>3</v>
      </c>
    </row>
    <row r="1860" spans="1:14" x14ac:dyDescent="0.25">
      <c r="A1860">
        <v>2859</v>
      </c>
      <c r="B1860" s="1">
        <v>45800</v>
      </c>
      <c r="C1860" s="4">
        <f>MONTH(datos_ventas[[#This Row],[Fecha]])</f>
        <v>5</v>
      </c>
      <c r="D1860" s="4">
        <f>WEEKNUM(datos_ventas[[#This Row],[Fecha]],2)</f>
        <v>21</v>
      </c>
      <c r="E1860" t="s">
        <v>24</v>
      </c>
      <c r="F1860" t="s">
        <v>25</v>
      </c>
      <c r="G1860">
        <v>4</v>
      </c>
      <c r="H1860">
        <v>78237</v>
      </c>
      <c r="I1860">
        <v>4038</v>
      </c>
      <c r="J1860" t="s">
        <v>12</v>
      </c>
      <c r="K1860" t="str">
        <f>_xlfn.XLOOKUP(datos_ventas[[#This Row],[Ciudad]],Tabla2[Ciudades],Tabla2[Provincias],"no se encuentra")</f>
        <v>Málaga</v>
      </c>
      <c r="L1860" t="str">
        <f>_xlfn.XLOOKUP(datos_ventas[[#This Row],[Provincia]],Tabla2[Provincias],Tabla2[Comunidades],"no se encuentra")</f>
        <v>Andalucía</v>
      </c>
      <c r="M1860" t="s">
        <v>19</v>
      </c>
      <c r="N1860">
        <v>3</v>
      </c>
    </row>
    <row r="1861" spans="1:14" x14ac:dyDescent="0.25">
      <c r="A1861">
        <v>2860</v>
      </c>
      <c r="B1861" s="1">
        <v>45662</v>
      </c>
      <c r="C1861" s="4">
        <f>MONTH(datos_ventas[[#This Row],[Fecha]])</f>
        <v>1</v>
      </c>
      <c r="D1861" s="4">
        <f>WEEKNUM(datos_ventas[[#This Row],[Fecha]],2)</f>
        <v>1</v>
      </c>
      <c r="E1861" t="s">
        <v>16</v>
      </c>
      <c r="F1861" t="s">
        <v>11</v>
      </c>
      <c r="G1861">
        <v>2</v>
      </c>
      <c r="H1861">
        <v>59312</v>
      </c>
      <c r="I1861">
        <v>1901</v>
      </c>
      <c r="J1861" t="s">
        <v>22</v>
      </c>
      <c r="K1861" t="str">
        <f>_xlfn.XLOOKUP(datos_ventas[[#This Row],[Ciudad]],Tabla2[Ciudades],Tabla2[Provincias],"no se encuentra")</f>
        <v>Valencia</v>
      </c>
      <c r="L1861" t="str">
        <f>_xlfn.XLOOKUP(datos_ventas[[#This Row],[Provincia]],Tabla2[Provincias],Tabla2[Comunidades],"no se encuentra")</f>
        <v>Comunidad Valenciana</v>
      </c>
      <c r="M1861" t="s">
        <v>15</v>
      </c>
      <c r="N1861">
        <v>3</v>
      </c>
    </row>
    <row r="1862" spans="1:14" x14ac:dyDescent="0.25">
      <c r="A1862">
        <v>2861</v>
      </c>
      <c r="B1862" s="1">
        <v>45909</v>
      </c>
      <c r="C1862" s="4">
        <f>MONTH(datos_ventas[[#This Row],[Fecha]])</f>
        <v>9</v>
      </c>
      <c r="D1862" s="4">
        <f>WEEKNUM(datos_ventas[[#This Row],[Fecha]],2)</f>
        <v>37</v>
      </c>
      <c r="E1862" t="s">
        <v>26</v>
      </c>
      <c r="F1862" t="s">
        <v>18</v>
      </c>
      <c r="G1862">
        <v>2</v>
      </c>
      <c r="H1862">
        <v>1153</v>
      </c>
      <c r="I1862">
        <v>1352</v>
      </c>
      <c r="J1862" t="s">
        <v>22</v>
      </c>
      <c r="K1862" t="str">
        <f>_xlfn.XLOOKUP(datos_ventas[[#This Row],[Ciudad]],Tabla2[Ciudades],Tabla2[Provincias],"no se encuentra")</f>
        <v>Valencia</v>
      </c>
      <c r="L1862" t="str">
        <f>_xlfn.XLOOKUP(datos_ventas[[#This Row],[Provincia]],Tabla2[Provincias],Tabla2[Comunidades],"no se encuentra")</f>
        <v>Comunidad Valenciana</v>
      </c>
      <c r="M1862" t="s">
        <v>13</v>
      </c>
      <c r="N1862">
        <v>3</v>
      </c>
    </row>
    <row r="1863" spans="1:14" x14ac:dyDescent="0.25">
      <c r="A1863">
        <v>2862</v>
      </c>
      <c r="B1863" s="1">
        <v>45812</v>
      </c>
      <c r="C1863" s="4">
        <f>MONTH(datos_ventas[[#This Row],[Fecha]])</f>
        <v>6</v>
      </c>
      <c r="D1863" s="4">
        <f>WEEKNUM(datos_ventas[[#This Row],[Fecha]],2)</f>
        <v>23</v>
      </c>
      <c r="E1863" t="s">
        <v>26</v>
      </c>
      <c r="F1863" t="s">
        <v>18</v>
      </c>
      <c r="G1863">
        <v>4</v>
      </c>
      <c r="H1863">
        <v>10108</v>
      </c>
      <c r="I1863">
        <v>1064</v>
      </c>
      <c r="J1863" t="s">
        <v>31</v>
      </c>
      <c r="K1863" t="str">
        <f>_xlfn.XLOOKUP(datos_ventas[[#This Row],[Ciudad]],Tabla2[Ciudades],Tabla2[Provincias],"no se encuentra")</f>
        <v>Vizcaya</v>
      </c>
      <c r="L1863" t="str">
        <f>_xlfn.XLOOKUP(datos_ventas[[#This Row],[Provincia]],Tabla2[Provincias],Tabla2[Comunidades],"no se encuentra")</f>
        <v>País Vasco</v>
      </c>
      <c r="M1863" t="s">
        <v>15</v>
      </c>
      <c r="N1863">
        <v>4</v>
      </c>
    </row>
    <row r="1864" spans="1:14" x14ac:dyDescent="0.25">
      <c r="A1864">
        <v>2863</v>
      </c>
      <c r="B1864" s="1">
        <v>45811</v>
      </c>
      <c r="C1864" s="4">
        <f>MONTH(datos_ventas[[#This Row],[Fecha]])</f>
        <v>6</v>
      </c>
      <c r="D1864" s="4">
        <f>WEEKNUM(datos_ventas[[#This Row],[Fecha]],2)</f>
        <v>23</v>
      </c>
      <c r="E1864" t="s">
        <v>29</v>
      </c>
      <c r="F1864" t="s">
        <v>30</v>
      </c>
      <c r="G1864">
        <v>3</v>
      </c>
      <c r="H1864">
        <v>115017</v>
      </c>
      <c r="I1864">
        <v>2326</v>
      </c>
      <c r="J1864" t="s">
        <v>12</v>
      </c>
      <c r="K1864" t="str">
        <f>_xlfn.XLOOKUP(datos_ventas[[#This Row],[Ciudad]],Tabla2[Ciudades],Tabla2[Provincias],"no se encuentra")</f>
        <v>Málaga</v>
      </c>
      <c r="L1864" t="str">
        <f>_xlfn.XLOOKUP(datos_ventas[[#This Row],[Provincia]],Tabla2[Provincias],Tabla2[Comunidades],"no se encuentra")</f>
        <v>Andalucía</v>
      </c>
      <c r="M1864" t="s">
        <v>28</v>
      </c>
      <c r="N1864">
        <v>4</v>
      </c>
    </row>
    <row r="1865" spans="1:14" x14ac:dyDescent="0.25">
      <c r="A1865">
        <v>2864</v>
      </c>
      <c r="B1865" s="1">
        <v>45955</v>
      </c>
      <c r="C1865" s="4">
        <f>MONTH(datos_ventas[[#This Row],[Fecha]])</f>
        <v>10</v>
      </c>
      <c r="D1865" s="4">
        <f>WEEKNUM(datos_ventas[[#This Row],[Fecha]],2)</f>
        <v>43</v>
      </c>
      <c r="E1865" t="s">
        <v>20</v>
      </c>
      <c r="F1865" t="s">
        <v>21</v>
      </c>
      <c r="G1865">
        <v>4</v>
      </c>
      <c r="H1865">
        <v>79247</v>
      </c>
      <c r="I1865">
        <v>3495</v>
      </c>
      <c r="J1865" t="s">
        <v>12</v>
      </c>
      <c r="K1865" t="str">
        <f>_xlfn.XLOOKUP(datos_ventas[[#This Row],[Ciudad]],Tabla2[Ciudades],Tabla2[Provincias],"no se encuentra")</f>
        <v>Málaga</v>
      </c>
      <c r="L1865" t="str">
        <f>_xlfn.XLOOKUP(datos_ventas[[#This Row],[Provincia]],Tabla2[Provincias],Tabla2[Comunidades],"no se encuentra")</f>
        <v>Andalucía</v>
      </c>
      <c r="M1865" t="s">
        <v>15</v>
      </c>
      <c r="N1865">
        <v>5</v>
      </c>
    </row>
    <row r="1866" spans="1:14" x14ac:dyDescent="0.25">
      <c r="A1866">
        <v>2865</v>
      </c>
      <c r="B1866" s="1">
        <v>45810</v>
      </c>
      <c r="C1866" s="4">
        <f>MONTH(datos_ventas[[#This Row],[Fecha]])</f>
        <v>6</v>
      </c>
      <c r="D1866" s="4">
        <f>WEEKNUM(datos_ventas[[#This Row],[Fecha]],2)</f>
        <v>23</v>
      </c>
      <c r="E1866" t="s">
        <v>16</v>
      </c>
      <c r="F1866" t="s">
        <v>11</v>
      </c>
      <c r="G1866">
        <v>1</v>
      </c>
      <c r="H1866">
        <v>100253</v>
      </c>
      <c r="I1866">
        <v>2405</v>
      </c>
      <c r="J1866" t="s">
        <v>22</v>
      </c>
      <c r="K1866" t="str">
        <f>_xlfn.XLOOKUP(datos_ventas[[#This Row],[Ciudad]],Tabla2[Ciudades],Tabla2[Provincias],"no se encuentra")</f>
        <v>Valencia</v>
      </c>
      <c r="L1866" t="str">
        <f>_xlfn.XLOOKUP(datos_ventas[[#This Row],[Provincia]],Tabla2[Provincias],Tabla2[Comunidades],"no se encuentra")</f>
        <v>Comunidad Valenciana</v>
      </c>
      <c r="M1866" t="s">
        <v>15</v>
      </c>
      <c r="N1866">
        <v>2</v>
      </c>
    </row>
    <row r="1867" spans="1:14" x14ac:dyDescent="0.25">
      <c r="A1867">
        <v>2866</v>
      </c>
      <c r="B1867" s="1">
        <v>45767</v>
      </c>
      <c r="C1867" s="4">
        <f>MONTH(datos_ventas[[#This Row],[Fecha]])</f>
        <v>4</v>
      </c>
      <c r="D1867" s="4">
        <f>WEEKNUM(datos_ventas[[#This Row],[Fecha]],2)</f>
        <v>16</v>
      </c>
      <c r="E1867" t="s">
        <v>16</v>
      </c>
      <c r="F1867" t="s">
        <v>11</v>
      </c>
      <c r="G1867">
        <v>5</v>
      </c>
      <c r="H1867">
        <v>13174</v>
      </c>
      <c r="I1867">
        <v>1523</v>
      </c>
      <c r="J1867" t="s">
        <v>12</v>
      </c>
      <c r="K1867" t="str">
        <f>_xlfn.XLOOKUP(datos_ventas[[#This Row],[Ciudad]],Tabla2[Ciudades],Tabla2[Provincias],"no se encuentra")</f>
        <v>Málaga</v>
      </c>
      <c r="L1867" t="str">
        <f>_xlfn.XLOOKUP(datos_ventas[[#This Row],[Provincia]],Tabla2[Provincias],Tabla2[Comunidades],"no se encuentra")</f>
        <v>Andalucía</v>
      </c>
      <c r="M1867" t="s">
        <v>19</v>
      </c>
      <c r="N1867">
        <v>1</v>
      </c>
    </row>
    <row r="1868" spans="1:14" x14ac:dyDescent="0.25">
      <c r="A1868">
        <v>2867</v>
      </c>
      <c r="B1868" s="1">
        <v>45914</v>
      </c>
      <c r="C1868" s="4">
        <f>MONTH(datos_ventas[[#This Row],[Fecha]])</f>
        <v>9</v>
      </c>
      <c r="D1868" s="4">
        <f>WEEKNUM(datos_ventas[[#This Row],[Fecha]],2)</f>
        <v>37</v>
      </c>
      <c r="E1868" t="s">
        <v>10</v>
      </c>
      <c r="F1868" t="s">
        <v>11</v>
      </c>
      <c r="G1868">
        <v>2</v>
      </c>
      <c r="H1868">
        <v>11042</v>
      </c>
      <c r="I1868">
        <v>1473</v>
      </c>
      <c r="J1868" t="s">
        <v>27</v>
      </c>
      <c r="K1868" t="str">
        <f>_xlfn.XLOOKUP(datos_ventas[[#This Row],[Ciudad]],Tabla2[Ciudades],Tabla2[Provincias],"no se encuentra")</f>
        <v>Sevilla</v>
      </c>
      <c r="L1868" t="str">
        <f>_xlfn.XLOOKUP(datos_ventas[[#This Row],[Provincia]],Tabla2[Provincias],Tabla2[Comunidades],"no se encuentra")</f>
        <v>Andalucía</v>
      </c>
      <c r="M1868" t="s">
        <v>15</v>
      </c>
      <c r="N1868">
        <v>3</v>
      </c>
    </row>
    <row r="1869" spans="1:14" x14ac:dyDescent="0.25">
      <c r="A1869">
        <v>2868</v>
      </c>
      <c r="B1869" s="1">
        <v>45718</v>
      </c>
      <c r="C1869" s="4">
        <f>MONTH(datos_ventas[[#This Row],[Fecha]])</f>
        <v>3</v>
      </c>
      <c r="D1869" s="4">
        <f>WEEKNUM(datos_ventas[[#This Row],[Fecha]],2)</f>
        <v>9</v>
      </c>
      <c r="E1869" t="s">
        <v>16</v>
      </c>
      <c r="F1869" t="s">
        <v>11</v>
      </c>
      <c r="G1869">
        <v>5</v>
      </c>
      <c r="H1869">
        <v>10133</v>
      </c>
      <c r="I1869">
        <v>3246</v>
      </c>
      <c r="J1869" t="s">
        <v>12</v>
      </c>
      <c r="K1869" t="str">
        <f>_xlfn.XLOOKUP(datos_ventas[[#This Row],[Ciudad]],Tabla2[Ciudades],Tabla2[Provincias],"no se encuentra")</f>
        <v>Málaga</v>
      </c>
      <c r="L1869" t="str">
        <f>_xlfn.XLOOKUP(datos_ventas[[#This Row],[Provincia]],Tabla2[Provincias],Tabla2[Comunidades],"no se encuentra")</f>
        <v>Andalucía</v>
      </c>
      <c r="M1869" t="s">
        <v>13</v>
      </c>
      <c r="N1869">
        <v>3</v>
      </c>
    </row>
    <row r="1870" spans="1:14" x14ac:dyDescent="0.25">
      <c r="A1870">
        <v>2869</v>
      </c>
      <c r="B1870" s="1">
        <v>45678</v>
      </c>
      <c r="C1870" s="4">
        <f>MONTH(datos_ventas[[#This Row],[Fecha]])</f>
        <v>1</v>
      </c>
      <c r="D1870" s="4">
        <f>WEEKNUM(datos_ventas[[#This Row],[Fecha]],2)</f>
        <v>4</v>
      </c>
      <c r="E1870" t="s">
        <v>24</v>
      </c>
      <c r="F1870" t="s">
        <v>25</v>
      </c>
      <c r="G1870">
        <v>1</v>
      </c>
      <c r="H1870">
        <v>57202</v>
      </c>
      <c r="I1870">
        <v>3972</v>
      </c>
      <c r="J1870" t="s">
        <v>14</v>
      </c>
      <c r="K1870" t="str">
        <f>_xlfn.XLOOKUP(datos_ventas[[#This Row],[Ciudad]],Tabla2[Ciudades],Tabla2[Provincias],"no se encuentra")</f>
        <v>Madrid</v>
      </c>
      <c r="L1870" t="str">
        <f>_xlfn.XLOOKUP(datos_ventas[[#This Row],[Provincia]],Tabla2[Provincias],Tabla2[Comunidades],"no se encuentra")</f>
        <v>Comunidad de Madrid</v>
      </c>
      <c r="M1870" t="s">
        <v>19</v>
      </c>
      <c r="N1870">
        <v>1</v>
      </c>
    </row>
    <row r="1871" spans="1:14" x14ac:dyDescent="0.25">
      <c r="A1871">
        <v>2870</v>
      </c>
      <c r="B1871" s="1">
        <v>46004</v>
      </c>
      <c r="C1871" s="4">
        <f>MONTH(datos_ventas[[#This Row],[Fecha]])</f>
        <v>12</v>
      </c>
      <c r="D1871" s="4">
        <f>WEEKNUM(datos_ventas[[#This Row],[Fecha]],2)</f>
        <v>50</v>
      </c>
      <c r="E1871" t="s">
        <v>29</v>
      </c>
      <c r="F1871" t="s">
        <v>30</v>
      </c>
      <c r="G1871">
        <v>5</v>
      </c>
      <c r="H1871">
        <v>9189</v>
      </c>
      <c r="I1871">
        <v>3145</v>
      </c>
      <c r="J1871" t="s">
        <v>22</v>
      </c>
      <c r="K1871" t="str">
        <f>_xlfn.XLOOKUP(datos_ventas[[#This Row],[Ciudad]],Tabla2[Ciudades],Tabla2[Provincias],"no se encuentra")</f>
        <v>Valencia</v>
      </c>
      <c r="L1871" t="str">
        <f>_xlfn.XLOOKUP(datos_ventas[[#This Row],[Provincia]],Tabla2[Provincias],Tabla2[Comunidades],"no se encuentra")</f>
        <v>Comunidad Valenciana</v>
      </c>
      <c r="M1871" t="s">
        <v>15</v>
      </c>
      <c r="N1871">
        <v>5</v>
      </c>
    </row>
    <row r="1872" spans="1:14" x14ac:dyDescent="0.25">
      <c r="A1872">
        <v>2871</v>
      </c>
      <c r="B1872" s="1">
        <v>45861</v>
      </c>
      <c r="C1872" s="4">
        <f>MONTH(datos_ventas[[#This Row],[Fecha]])</f>
        <v>7</v>
      </c>
      <c r="D1872" s="4">
        <f>WEEKNUM(datos_ventas[[#This Row],[Fecha]],2)</f>
        <v>30</v>
      </c>
      <c r="E1872" t="s">
        <v>16</v>
      </c>
      <c r="F1872" t="s">
        <v>11</v>
      </c>
      <c r="G1872">
        <v>3</v>
      </c>
      <c r="H1872">
        <v>43137</v>
      </c>
      <c r="I1872">
        <v>4138</v>
      </c>
      <c r="J1872" t="s">
        <v>12</v>
      </c>
      <c r="K1872" t="str">
        <f>_xlfn.XLOOKUP(datos_ventas[[#This Row],[Ciudad]],Tabla2[Ciudades],Tabla2[Provincias],"no se encuentra")</f>
        <v>Málaga</v>
      </c>
      <c r="L1872" t="str">
        <f>_xlfn.XLOOKUP(datos_ventas[[#This Row],[Provincia]],Tabla2[Provincias],Tabla2[Comunidades],"no se encuentra")</f>
        <v>Andalucía</v>
      </c>
      <c r="M1872" t="s">
        <v>15</v>
      </c>
      <c r="N1872">
        <v>2</v>
      </c>
    </row>
    <row r="1873" spans="1:14" x14ac:dyDescent="0.25">
      <c r="A1873">
        <v>2872</v>
      </c>
      <c r="B1873" s="1">
        <v>45704</v>
      </c>
      <c r="C1873" s="4">
        <f>MONTH(datos_ventas[[#This Row],[Fecha]])</f>
        <v>2</v>
      </c>
      <c r="D1873" s="4">
        <f>WEEKNUM(datos_ventas[[#This Row],[Fecha]],2)</f>
        <v>7</v>
      </c>
      <c r="E1873" t="s">
        <v>23</v>
      </c>
      <c r="F1873" t="s">
        <v>18</v>
      </c>
      <c r="G1873">
        <v>4</v>
      </c>
      <c r="H1873">
        <v>19397</v>
      </c>
      <c r="I1873">
        <v>3886</v>
      </c>
      <c r="J1873" t="s">
        <v>12</v>
      </c>
      <c r="K1873" t="str">
        <f>_xlfn.XLOOKUP(datos_ventas[[#This Row],[Ciudad]],Tabla2[Ciudades],Tabla2[Provincias],"no se encuentra")</f>
        <v>Málaga</v>
      </c>
      <c r="L1873" t="str">
        <f>_xlfn.XLOOKUP(datos_ventas[[#This Row],[Provincia]],Tabla2[Provincias],Tabla2[Comunidades],"no se encuentra")</f>
        <v>Andalucía</v>
      </c>
      <c r="M1873" t="s">
        <v>28</v>
      </c>
      <c r="N1873">
        <v>2</v>
      </c>
    </row>
    <row r="1874" spans="1:14" x14ac:dyDescent="0.25">
      <c r="A1874">
        <v>2873</v>
      </c>
      <c r="B1874" s="1">
        <v>45741</v>
      </c>
      <c r="C1874" s="4">
        <f>MONTH(datos_ventas[[#This Row],[Fecha]])</f>
        <v>3</v>
      </c>
      <c r="D1874" s="4">
        <f>WEEKNUM(datos_ventas[[#This Row],[Fecha]],2)</f>
        <v>13</v>
      </c>
      <c r="E1874" t="s">
        <v>24</v>
      </c>
      <c r="F1874" t="s">
        <v>25</v>
      </c>
      <c r="G1874">
        <v>3</v>
      </c>
      <c r="H1874">
        <v>60632</v>
      </c>
      <c r="I1874">
        <v>4972</v>
      </c>
      <c r="J1874" t="s">
        <v>27</v>
      </c>
      <c r="K1874" t="str">
        <f>_xlfn.XLOOKUP(datos_ventas[[#This Row],[Ciudad]],Tabla2[Ciudades],Tabla2[Provincias],"no se encuentra")</f>
        <v>Sevilla</v>
      </c>
      <c r="L1874" t="str">
        <f>_xlfn.XLOOKUP(datos_ventas[[#This Row],[Provincia]],Tabla2[Provincias],Tabla2[Comunidades],"no se encuentra")</f>
        <v>Andalucía</v>
      </c>
      <c r="M1874" t="s">
        <v>19</v>
      </c>
      <c r="N1874">
        <v>3</v>
      </c>
    </row>
    <row r="1875" spans="1:14" x14ac:dyDescent="0.25">
      <c r="A1875">
        <v>2874</v>
      </c>
      <c r="B1875" s="1">
        <v>45915</v>
      </c>
      <c r="C1875" s="4">
        <f>MONTH(datos_ventas[[#This Row],[Fecha]])</f>
        <v>9</v>
      </c>
      <c r="D1875" s="4">
        <f>WEEKNUM(datos_ventas[[#This Row],[Fecha]],2)</f>
        <v>38</v>
      </c>
      <c r="E1875" t="s">
        <v>29</v>
      </c>
      <c r="F1875" t="s">
        <v>30</v>
      </c>
      <c r="G1875">
        <v>1</v>
      </c>
      <c r="H1875">
        <v>7884</v>
      </c>
      <c r="I1875">
        <v>922</v>
      </c>
      <c r="J1875" t="s">
        <v>31</v>
      </c>
      <c r="K1875" t="str">
        <f>_xlfn.XLOOKUP(datos_ventas[[#This Row],[Ciudad]],Tabla2[Ciudades],Tabla2[Provincias],"no se encuentra")</f>
        <v>Vizcaya</v>
      </c>
      <c r="L1875" t="str">
        <f>_xlfn.XLOOKUP(datos_ventas[[#This Row],[Provincia]],Tabla2[Provincias],Tabla2[Comunidades],"no se encuentra")</f>
        <v>País Vasco</v>
      </c>
      <c r="M1875" t="s">
        <v>15</v>
      </c>
      <c r="N1875">
        <v>1</v>
      </c>
    </row>
    <row r="1876" spans="1:14" x14ac:dyDescent="0.25">
      <c r="A1876">
        <v>2875</v>
      </c>
      <c r="B1876" s="1">
        <v>45850</v>
      </c>
      <c r="C1876" s="4">
        <f>MONTH(datos_ventas[[#This Row],[Fecha]])</f>
        <v>7</v>
      </c>
      <c r="D1876" s="4">
        <f>WEEKNUM(datos_ventas[[#This Row],[Fecha]],2)</f>
        <v>28</v>
      </c>
      <c r="E1876" t="s">
        <v>26</v>
      </c>
      <c r="F1876" t="s">
        <v>18</v>
      </c>
      <c r="G1876">
        <v>5</v>
      </c>
      <c r="H1876">
        <v>103602</v>
      </c>
      <c r="I1876">
        <v>949</v>
      </c>
      <c r="J1876" t="s">
        <v>12</v>
      </c>
      <c r="K1876" t="str">
        <f>_xlfn.XLOOKUP(datos_ventas[[#This Row],[Ciudad]],Tabla2[Ciudades],Tabla2[Provincias],"no se encuentra")</f>
        <v>Málaga</v>
      </c>
      <c r="L1876" t="str">
        <f>_xlfn.XLOOKUP(datos_ventas[[#This Row],[Provincia]],Tabla2[Provincias],Tabla2[Comunidades],"no se encuentra")</f>
        <v>Andalucía</v>
      </c>
      <c r="M1876" t="s">
        <v>19</v>
      </c>
      <c r="N1876">
        <v>3</v>
      </c>
    </row>
    <row r="1877" spans="1:14" x14ac:dyDescent="0.25">
      <c r="A1877">
        <v>2876</v>
      </c>
      <c r="B1877" s="1">
        <v>45677</v>
      </c>
      <c r="C1877" s="4">
        <f>MONTH(datos_ventas[[#This Row],[Fecha]])</f>
        <v>1</v>
      </c>
      <c r="D1877" s="4">
        <f>WEEKNUM(datos_ventas[[#This Row],[Fecha]],2)</f>
        <v>4</v>
      </c>
      <c r="E1877" t="s">
        <v>17</v>
      </c>
      <c r="F1877" t="s">
        <v>18</v>
      </c>
      <c r="G1877">
        <v>5</v>
      </c>
      <c r="H1877">
        <v>93189</v>
      </c>
      <c r="I1877">
        <v>752</v>
      </c>
      <c r="J1877" t="s">
        <v>32</v>
      </c>
      <c r="K1877" t="str">
        <f>_xlfn.XLOOKUP(datos_ventas[[#This Row],[Ciudad]],Tabla2[Ciudades],Tabla2[Provincias],"no se encuentra")</f>
        <v>Barcelona</v>
      </c>
      <c r="L1877" t="str">
        <f>_xlfn.XLOOKUP(datos_ventas[[#This Row],[Provincia]],Tabla2[Provincias],Tabla2[Comunidades],"no se encuentra")</f>
        <v>Cataluña</v>
      </c>
      <c r="M1877" t="s">
        <v>28</v>
      </c>
      <c r="N1877">
        <v>2</v>
      </c>
    </row>
    <row r="1878" spans="1:14" x14ac:dyDescent="0.25">
      <c r="A1878">
        <v>2877</v>
      </c>
      <c r="B1878" s="1">
        <v>45926</v>
      </c>
      <c r="C1878" s="4">
        <f>MONTH(datos_ventas[[#This Row],[Fecha]])</f>
        <v>9</v>
      </c>
      <c r="D1878" s="4">
        <f>WEEKNUM(datos_ventas[[#This Row],[Fecha]],2)</f>
        <v>39</v>
      </c>
      <c r="E1878" t="s">
        <v>10</v>
      </c>
      <c r="F1878" t="s">
        <v>11</v>
      </c>
      <c r="G1878">
        <v>3</v>
      </c>
      <c r="H1878">
        <v>111891</v>
      </c>
      <c r="I1878">
        <v>4177</v>
      </c>
      <c r="J1878" t="s">
        <v>12</v>
      </c>
      <c r="K1878" t="str">
        <f>_xlfn.XLOOKUP(datos_ventas[[#This Row],[Ciudad]],Tabla2[Ciudades],Tabla2[Provincias],"no se encuentra")</f>
        <v>Málaga</v>
      </c>
      <c r="L1878" t="str">
        <f>_xlfn.XLOOKUP(datos_ventas[[#This Row],[Provincia]],Tabla2[Provincias],Tabla2[Comunidades],"no se encuentra")</f>
        <v>Andalucía</v>
      </c>
      <c r="M1878" t="s">
        <v>13</v>
      </c>
      <c r="N1878">
        <v>5</v>
      </c>
    </row>
    <row r="1879" spans="1:14" x14ac:dyDescent="0.25">
      <c r="A1879">
        <v>2878</v>
      </c>
      <c r="B1879" s="1">
        <v>45919</v>
      </c>
      <c r="C1879" s="4">
        <f>MONTH(datos_ventas[[#This Row],[Fecha]])</f>
        <v>9</v>
      </c>
      <c r="D1879" s="4">
        <f>WEEKNUM(datos_ventas[[#This Row],[Fecha]],2)</f>
        <v>38</v>
      </c>
      <c r="E1879" t="s">
        <v>29</v>
      </c>
      <c r="F1879" t="s">
        <v>30</v>
      </c>
      <c r="G1879">
        <v>3</v>
      </c>
      <c r="H1879">
        <v>11245</v>
      </c>
      <c r="I1879">
        <v>3478</v>
      </c>
      <c r="J1879" t="s">
        <v>22</v>
      </c>
      <c r="K1879" t="str">
        <f>_xlfn.XLOOKUP(datos_ventas[[#This Row],[Ciudad]],Tabla2[Ciudades],Tabla2[Provincias],"no se encuentra")</f>
        <v>Valencia</v>
      </c>
      <c r="L1879" t="str">
        <f>_xlfn.XLOOKUP(datos_ventas[[#This Row],[Provincia]],Tabla2[Provincias],Tabla2[Comunidades],"no se encuentra")</f>
        <v>Comunidad Valenciana</v>
      </c>
      <c r="M1879" t="s">
        <v>13</v>
      </c>
      <c r="N1879">
        <v>1</v>
      </c>
    </row>
    <row r="1880" spans="1:14" x14ac:dyDescent="0.25">
      <c r="A1880">
        <v>2879</v>
      </c>
      <c r="B1880" s="1">
        <v>45879</v>
      </c>
      <c r="C1880" s="4">
        <f>MONTH(datos_ventas[[#This Row],[Fecha]])</f>
        <v>8</v>
      </c>
      <c r="D1880" s="4">
        <f>WEEKNUM(datos_ventas[[#This Row],[Fecha]],2)</f>
        <v>32</v>
      </c>
      <c r="E1880" t="s">
        <v>29</v>
      </c>
      <c r="F1880" t="s">
        <v>30</v>
      </c>
      <c r="G1880">
        <v>2</v>
      </c>
      <c r="H1880">
        <v>96508</v>
      </c>
      <c r="I1880">
        <v>2012</v>
      </c>
      <c r="J1880" t="s">
        <v>27</v>
      </c>
      <c r="K1880" t="str">
        <f>_xlfn.XLOOKUP(datos_ventas[[#This Row],[Ciudad]],Tabla2[Ciudades],Tabla2[Provincias],"no se encuentra")</f>
        <v>Sevilla</v>
      </c>
      <c r="L1880" t="str">
        <f>_xlfn.XLOOKUP(datos_ventas[[#This Row],[Provincia]],Tabla2[Provincias],Tabla2[Comunidades],"no se encuentra")</f>
        <v>Andalucía</v>
      </c>
      <c r="M1880" t="s">
        <v>13</v>
      </c>
      <c r="N1880">
        <v>1</v>
      </c>
    </row>
    <row r="1881" spans="1:14" x14ac:dyDescent="0.25">
      <c r="A1881">
        <v>2880</v>
      </c>
      <c r="B1881" s="1">
        <v>45960</v>
      </c>
      <c r="C1881" s="4">
        <f>MONTH(datos_ventas[[#This Row],[Fecha]])</f>
        <v>10</v>
      </c>
      <c r="D1881" s="4">
        <f>WEEKNUM(datos_ventas[[#This Row],[Fecha]],2)</f>
        <v>44</v>
      </c>
      <c r="E1881" t="s">
        <v>29</v>
      </c>
      <c r="F1881" t="s">
        <v>30</v>
      </c>
      <c r="G1881">
        <v>3</v>
      </c>
      <c r="H1881">
        <v>106308</v>
      </c>
      <c r="I1881">
        <v>3944</v>
      </c>
      <c r="J1881" t="s">
        <v>22</v>
      </c>
      <c r="K1881" t="str">
        <f>_xlfn.XLOOKUP(datos_ventas[[#This Row],[Ciudad]],Tabla2[Ciudades],Tabla2[Provincias],"no se encuentra")</f>
        <v>Valencia</v>
      </c>
      <c r="L1881" t="str">
        <f>_xlfn.XLOOKUP(datos_ventas[[#This Row],[Provincia]],Tabla2[Provincias],Tabla2[Comunidades],"no se encuentra")</f>
        <v>Comunidad Valenciana</v>
      </c>
      <c r="M1881" t="s">
        <v>28</v>
      </c>
      <c r="N1881">
        <v>3</v>
      </c>
    </row>
    <row r="1882" spans="1:14" x14ac:dyDescent="0.25">
      <c r="A1882">
        <v>2881</v>
      </c>
      <c r="B1882" s="1">
        <v>45965</v>
      </c>
      <c r="C1882" s="4">
        <f>MONTH(datos_ventas[[#This Row],[Fecha]])</f>
        <v>11</v>
      </c>
      <c r="D1882" s="4">
        <f>WEEKNUM(datos_ventas[[#This Row],[Fecha]],2)</f>
        <v>45</v>
      </c>
      <c r="E1882" t="s">
        <v>16</v>
      </c>
      <c r="F1882" t="s">
        <v>11</v>
      </c>
      <c r="G1882">
        <v>5</v>
      </c>
      <c r="H1882">
        <v>50531</v>
      </c>
      <c r="I1882">
        <v>1051</v>
      </c>
      <c r="J1882" t="s">
        <v>14</v>
      </c>
      <c r="K1882" t="str">
        <f>_xlfn.XLOOKUP(datos_ventas[[#This Row],[Ciudad]],Tabla2[Ciudades],Tabla2[Provincias],"no se encuentra")</f>
        <v>Madrid</v>
      </c>
      <c r="L1882" t="str">
        <f>_xlfn.XLOOKUP(datos_ventas[[#This Row],[Provincia]],Tabla2[Provincias],Tabla2[Comunidades],"no se encuentra")</f>
        <v>Comunidad de Madrid</v>
      </c>
      <c r="M1882" t="s">
        <v>28</v>
      </c>
      <c r="N1882">
        <v>3</v>
      </c>
    </row>
    <row r="1883" spans="1:14" x14ac:dyDescent="0.25">
      <c r="A1883">
        <v>2882</v>
      </c>
      <c r="B1883" s="1">
        <v>45958</v>
      </c>
      <c r="C1883" s="4">
        <f>MONTH(datos_ventas[[#This Row],[Fecha]])</f>
        <v>10</v>
      </c>
      <c r="D1883" s="4">
        <f>WEEKNUM(datos_ventas[[#This Row],[Fecha]],2)</f>
        <v>44</v>
      </c>
      <c r="E1883" t="s">
        <v>26</v>
      </c>
      <c r="F1883" t="s">
        <v>18</v>
      </c>
      <c r="G1883">
        <v>3</v>
      </c>
      <c r="H1883">
        <v>55201</v>
      </c>
      <c r="I1883">
        <v>4006</v>
      </c>
      <c r="J1883" t="s">
        <v>32</v>
      </c>
      <c r="K1883" t="str">
        <f>_xlfn.XLOOKUP(datos_ventas[[#This Row],[Ciudad]],Tabla2[Ciudades],Tabla2[Provincias],"no se encuentra")</f>
        <v>Barcelona</v>
      </c>
      <c r="L1883" t="str">
        <f>_xlfn.XLOOKUP(datos_ventas[[#This Row],[Provincia]],Tabla2[Provincias],Tabla2[Comunidades],"no se encuentra")</f>
        <v>Cataluña</v>
      </c>
      <c r="M1883" t="s">
        <v>13</v>
      </c>
      <c r="N1883">
        <v>4</v>
      </c>
    </row>
    <row r="1884" spans="1:14" x14ac:dyDescent="0.25">
      <c r="A1884">
        <v>2883</v>
      </c>
      <c r="B1884" s="1">
        <v>45955</v>
      </c>
      <c r="C1884" s="4">
        <f>MONTH(datos_ventas[[#This Row],[Fecha]])</f>
        <v>10</v>
      </c>
      <c r="D1884" s="4">
        <f>WEEKNUM(datos_ventas[[#This Row],[Fecha]],2)</f>
        <v>43</v>
      </c>
      <c r="E1884" t="s">
        <v>29</v>
      </c>
      <c r="F1884" t="s">
        <v>30</v>
      </c>
      <c r="G1884">
        <v>4</v>
      </c>
      <c r="H1884">
        <v>96348</v>
      </c>
      <c r="I1884">
        <v>4246</v>
      </c>
      <c r="J1884" t="s">
        <v>14</v>
      </c>
      <c r="K1884" t="str">
        <f>_xlfn.XLOOKUP(datos_ventas[[#This Row],[Ciudad]],Tabla2[Ciudades],Tabla2[Provincias],"no se encuentra")</f>
        <v>Madrid</v>
      </c>
      <c r="L1884" t="str">
        <f>_xlfn.XLOOKUP(datos_ventas[[#This Row],[Provincia]],Tabla2[Provincias],Tabla2[Comunidades],"no se encuentra")</f>
        <v>Comunidad de Madrid</v>
      </c>
      <c r="M1884" t="s">
        <v>15</v>
      </c>
      <c r="N1884">
        <v>2</v>
      </c>
    </row>
    <row r="1885" spans="1:14" x14ac:dyDescent="0.25">
      <c r="A1885">
        <v>2884</v>
      </c>
      <c r="B1885" s="1">
        <v>45686</v>
      </c>
      <c r="C1885" s="4">
        <f>MONTH(datos_ventas[[#This Row],[Fecha]])</f>
        <v>1</v>
      </c>
      <c r="D1885" s="4">
        <f>WEEKNUM(datos_ventas[[#This Row],[Fecha]],2)</f>
        <v>5</v>
      </c>
      <c r="E1885" t="s">
        <v>26</v>
      </c>
      <c r="F1885" t="s">
        <v>18</v>
      </c>
      <c r="G1885">
        <v>3</v>
      </c>
      <c r="H1885">
        <v>1070</v>
      </c>
      <c r="I1885">
        <v>676</v>
      </c>
      <c r="J1885" t="s">
        <v>12</v>
      </c>
      <c r="K1885" t="str">
        <f>_xlfn.XLOOKUP(datos_ventas[[#This Row],[Ciudad]],Tabla2[Ciudades],Tabla2[Provincias],"no se encuentra")</f>
        <v>Málaga</v>
      </c>
      <c r="L1885" t="str">
        <f>_xlfn.XLOOKUP(datos_ventas[[#This Row],[Provincia]],Tabla2[Provincias],Tabla2[Comunidades],"no se encuentra")</f>
        <v>Andalucía</v>
      </c>
      <c r="M1885" t="s">
        <v>19</v>
      </c>
      <c r="N1885">
        <v>3</v>
      </c>
    </row>
    <row r="1886" spans="1:14" x14ac:dyDescent="0.25">
      <c r="A1886">
        <v>2885</v>
      </c>
      <c r="B1886" s="1">
        <v>45848</v>
      </c>
      <c r="C1886" s="4">
        <f>MONTH(datos_ventas[[#This Row],[Fecha]])</f>
        <v>7</v>
      </c>
      <c r="D1886" s="4">
        <f>WEEKNUM(datos_ventas[[#This Row],[Fecha]],2)</f>
        <v>28</v>
      </c>
      <c r="E1886" t="s">
        <v>24</v>
      </c>
      <c r="F1886" t="s">
        <v>25</v>
      </c>
      <c r="G1886">
        <v>2</v>
      </c>
      <c r="H1886">
        <v>60077</v>
      </c>
      <c r="I1886">
        <v>2069</v>
      </c>
      <c r="J1886" t="s">
        <v>31</v>
      </c>
      <c r="K1886" t="str">
        <f>_xlfn.XLOOKUP(datos_ventas[[#This Row],[Ciudad]],Tabla2[Ciudades],Tabla2[Provincias],"no se encuentra")</f>
        <v>Vizcaya</v>
      </c>
      <c r="L1886" t="str">
        <f>_xlfn.XLOOKUP(datos_ventas[[#This Row],[Provincia]],Tabla2[Provincias],Tabla2[Comunidades],"no se encuentra")</f>
        <v>País Vasco</v>
      </c>
      <c r="M1886" t="s">
        <v>28</v>
      </c>
      <c r="N1886">
        <v>5</v>
      </c>
    </row>
    <row r="1887" spans="1:14" x14ac:dyDescent="0.25">
      <c r="A1887">
        <v>2886</v>
      </c>
      <c r="B1887" s="1">
        <v>45898</v>
      </c>
      <c r="C1887" s="4">
        <f>MONTH(datos_ventas[[#This Row],[Fecha]])</f>
        <v>8</v>
      </c>
      <c r="D1887" s="4">
        <f>WEEKNUM(datos_ventas[[#This Row],[Fecha]],2)</f>
        <v>35</v>
      </c>
      <c r="E1887" t="s">
        <v>10</v>
      </c>
      <c r="F1887" t="s">
        <v>11</v>
      </c>
      <c r="G1887">
        <v>3</v>
      </c>
      <c r="H1887">
        <v>49898</v>
      </c>
      <c r="I1887">
        <v>4545</v>
      </c>
      <c r="J1887" t="s">
        <v>32</v>
      </c>
      <c r="K1887" t="str">
        <f>_xlfn.XLOOKUP(datos_ventas[[#This Row],[Ciudad]],Tabla2[Ciudades],Tabla2[Provincias],"no se encuentra")</f>
        <v>Barcelona</v>
      </c>
      <c r="L1887" t="str">
        <f>_xlfn.XLOOKUP(datos_ventas[[#This Row],[Provincia]],Tabla2[Provincias],Tabla2[Comunidades],"no se encuentra")</f>
        <v>Cataluña</v>
      </c>
      <c r="M1887" t="s">
        <v>19</v>
      </c>
      <c r="N1887">
        <v>5</v>
      </c>
    </row>
    <row r="1888" spans="1:14" x14ac:dyDescent="0.25">
      <c r="A1888">
        <v>2887</v>
      </c>
      <c r="B1888" s="1">
        <v>45939</v>
      </c>
      <c r="C1888" s="4">
        <f>MONTH(datos_ventas[[#This Row],[Fecha]])</f>
        <v>10</v>
      </c>
      <c r="D1888" s="4">
        <f>WEEKNUM(datos_ventas[[#This Row],[Fecha]],2)</f>
        <v>41</v>
      </c>
      <c r="E1888" t="s">
        <v>23</v>
      </c>
      <c r="F1888" t="s">
        <v>18</v>
      </c>
      <c r="G1888">
        <v>1</v>
      </c>
      <c r="H1888">
        <v>4721</v>
      </c>
      <c r="I1888">
        <v>1684</v>
      </c>
      <c r="J1888" t="s">
        <v>32</v>
      </c>
      <c r="K1888" t="str">
        <f>_xlfn.XLOOKUP(datos_ventas[[#This Row],[Ciudad]],Tabla2[Ciudades],Tabla2[Provincias],"no se encuentra")</f>
        <v>Barcelona</v>
      </c>
      <c r="L1888" t="str">
        <f>_xlfn.XLOOKUP(datos_ventas[[#This Row],[Provincia]],Tabla2[Provincias],Tabla2[Comunidades],"no se encuentra")</f>
        <v>Cataluña</v>
      </c>
      <c r="M1888" t="s">
        <v>19</v>
      </c>
      <c r="N1888">
        <v>1</v>
      </c>
    </row>
    <row r="1889" spans="1:14" x14ac:dyDescent="0.25">
      <c r="A1889">
        <v>2888</v>
      </c>
      <c r="B1889" s="1">
        <v>45883</v>
      </c>
      <c r="C1889" s="4">
        <f>MONTH(datos_ventas[[#This Row],[Fecha]])</f>
        <v>8</v>
      </c>
      <c r="D1889" s="4">
        <f>WEEKNUM(datos_ventas[[#This Row],[Fecha]],2)</f>
        <v>33</v>
      </c>
      <c r="E1889" t="s">
        <v>20</v>
      </c>
      <c r="F1889" t="s">
        <v>21</v>
      </c>
      <c r="G1889">
        <v>1</v>
      </c>
      <c r="H1889">
        <v>107302</v>
      </c>
      <c r="I1889">
        <v>4395</v>
      </c>
      <c r="J1889" t="s">
        <v>14</v>
      </c>
      <c r="K1889" t="str">
        <f>_xlfn.XLOOKUP(datos_ventas[[#This Row],[Ciudad]],Tabla2[Ciudades],Tabla2[Provincias],"no se encuentra")</f>
        <v>Madrid</v>
      </c>
      <c r="L1889" t="str">
        <f>_xlfn.XLOOKUP(datos_ventas[[#This Row],[Provincia]],Tabla2[Provincias],Tabla2[Comunidades],"no se encuentra")</f>
        <v>Comunidad de Madrid</v>
      </c>
      <c r="M1889" t="s">
        <v>15</v>
      </c>
      <c r="N1889">
        <v>3</v>
      </c>
    </row>
    <row r="1890" spans="1:14" x14ac:dyDescent="0.25">
      <c r="A1890">
        <v>2889</v>
      </c>
      <c r="B1890" s="1">
        <v>45685</v>
      </c>
      <c r="C1890" s="4">
        <f>MONTH(datos_ventas[[#This Row],[Fecha]])</f>
        <v>1</v>
      </c>
      <c r="D1890" s="4">
        <f>WEEKNUM(datos_ventas[[#This Row],[Fecha]],2)</f>
        <v>5</v>
      </c>
      <c r="E1890" t="s">
        <v>24</v>
      </c>
      <c r="F1890" t="s">
        <v>25</v>
      </c>
      <c r="G1890">
        <v>2</v>
      </c>
      <c r="H1890">
        <v>111901</v>
      </c>
      <c r="I1890">
        <v>1573</v>
      </c>
      <c r="J1890" t="s">
        <v>22</v>
      </c>
      <c r="K1890" t="str">
        <f>_xlfn.XLOOKUP(datos_ventas[[#This Row],[Ciudad]],Tabla2[Ciudades],Tabla2[Provincias],"no se encuentra")</f>
        <v>Valencia</v>
      </c>
      <c r="L1890" t="str">
        <f>_xlfn.XLOOKUP(datos_ventas[[#This Row],[Provincia]],Tabla2[Provincias],Tabla2[Comunidades],"no se encuentra")</f>
        <v>Comunidad Valenciana</v>
      </c>
      <c r="M1890" t="s">
        <v>13</v>
      </c>
      <c r="N1890">
        <v>2</v>
      </c>
    </row>
    <row r="1891" spans="1:14" x14ac:dyDescent="0.25">
      <c r="A1891">
        <v>2890</v>
      </c>
      <c r="B1891" s="1">
        <v>45719</v>
      </c>
      <c r="C1891" s="4">
        <f>MONTH(datos_ventas[[#This Row],[Fecha]])</f>
        <v>3</v>
      </c>
      <c r="D1891" s="4">
        <f>WEEKNUM(datos_ventas[[#This Row],[Fecha]],2)</f>
        <v>10</v>
      </c>
      <c r="E1891" t="s">
        <v>20</v>
      </c>
      <c r="F1891" t="s">
        <v>21</v>
      </c>
      <c r="G1891">
        <v>3</v>
      </c>
      <c r="H1891">
        <v>71478</v>
      </c>
      <c r="I1891">
        <v>817</v>
      </c>
      <c r="J1891" t="s">
        <v>32</v>
      </c>
      <c r="K1891" t="str">
        <f>_xlfn.XLOOKUP(datos_ventas[[#This Row],[Ciudad]],Tabla2[Ciudades],Tabla2[Provincias],"no se encuentra")</f>
        <v>Barcelona</v>
      </c>
      <c r="L1891" t="str">
        <f>_xlfn.XLOOKUP(datos_ventas[[#This Row],[Provincia]],Tabla2[Provincias],Tabla2[Comunidades],"no se encuentra")</f>
        <v>Cataluña</v>
      </c>
      <c r="M1891" t="s">
        <v>13</v>
      </c>
      <c r="N1891">
        <v>3</v>
      </c>
    </row>
    <row r="1892" spans="1:14" x14ac:dyDescent="0.25">
      <c r="A1892">
        <v>2891</v>
      </c>
      <c r="B1892" s="1">
        <v>45860</v>
      </c>
      <c r="C1892" s="4">
        <f>MONTH(datos_ventas[[#This Row],[Fecha]])</f>
        <v>7</v>
      </c>
      <c r="D1892" s="4">
        <f>WEEKNUM(datos_ventas[[#This Row],[Fecha]],2)</f>
        <v>30</v>
      </c>
      <c r="E1892" t="s">
        <v>24</v>
      </c>
      <c r="F1892" t="s">
        <v>25</v>
      </c>
      <c r="G1892">
        <v>2</v>
      </c>
      <c r="H1892">
        <v>87002</v>
      </c>
      <c r="I1892">
        <v>4162</v>
      </c>
      <c r="J1892" t="s">
        <v>31</v>
      </c>
      <c r="K1892" t="str">
        <f>_xlfn.XLOOKUP(datos_ventas[[#This Row],[Ciudad]],Tabla2[Ciudades],Tabla2[Provincias],"no se encuentra")</f>
        <v>Vizcaya</v>
      </c>
      <c r="L1892" t="str">
        <f>_xlfn.XLOOKUP(datos_ventas[[#This Row],[Provincia]],Tabla2[Provincias],Tabla2[Comunidades],"no se encuentra")</f>
        <v>País Vasco</v>
      </c>
      <c r="M1892" t="s">
        <v>28</v>
      </c>
      <c r="N1892">
        <v>5</v>
      </c>
    </row>
    <row r="1893" spans="1:14" x14ac:dyDescent="0.25">
      <c r="A1893">
        <v>2892</v>
      </c>
      <c r="B1893" s="1">
        <v>45822</v>
      </c>
      <c r="C1893" s="4">
        <f>MONTH(datos_ventas[[#This Row],[Fecha]])</f>
        <v>6</v>
      </c>
      <c r="D1893" s="4">
        <f>WEEKNUM(datos_ventas[[#This Row],[Fecha]],2)</f>
        <v>24</v>
      </c>
      <c r="E1893" t="s">
        <v>20</v>
      </c>
      <c r="F1893" t="s">
        <v>21</v>
      </c>
      <c r="G1893">
        <v>1</v>
      </c>
      <c r="H1893">
        <v>9908</v>
      </c>
      <c r="I1893">
        <v>1748</v>
      </c>
      <c r="J1893" t="s">
        <v>12</v>
      </c>
      <c r="K1893" t="str">
        <f>_xlfn.XLOOKUP(datos_ventas[[#This Row],[Ciudad]],Tabla2[Ciudades],Tabla2[Provincias],"no se encuentra")</f>
        <v>Málaga</v>
      </c>
      <c r="L1893" t="str">
        <f>_xlfn.XLOOKUP(datos_ventas[[#This Row],[Provincia]],Tabla2[Provincias],Tabla2[Comunidades],"no se encuentra")</f>
        <v>Andalucía</v>
      </c>
      <c r="M1893" t="s">
        <v>19</v>
      </c>
      <c r="N1893">
        <v>3</v>
      </c>
    </row>
    <row r="1894" spans="1:14" x14ac:dyDescent="0.25">
      <c r="A1894">
        <v>2893</v>
      </c>
      <c r="B1894" s="1">
        <v>45667</v>
      </c>
      <c r="C1894" s="4">
        <f>MONTH(datos_ventas[[#This Row],[Fecha]])</f>
        <v>1</v>
      </c>
      <c r="D1894" s="4">
        <f>WEEKNUM(datos_ventas[[#This Row],[Fecha]],2)</f>
        <v>2</v>
      </c>
      <c r="E1894" t="s">
        <v>24</v>
      </c>
      <c r="F1894" t="s">
        <v>25</v>
      </c>
      <c r="G1894">
        <v>1</v>
      </c>
      <c r="H1894">
        <v>83608</v>
      </c>
      <c r="I1894">
        <v>1211</v>
      </c>
      <c r="J1894" t="s">
        <v>12</v>
      </c>
      <c r="K1894" t="str">
        <f>_xlfn.XLOOKUP(datos_ventas[[#This Row],[Ciudad]],Tabla2[Ciudades],Tabla2[Provincias],"no se encuentra")</f>
        <v>Málaga</v>
      </c>
      <c r="L1894" t="str">
        <f>_xlfn.XLOOKUP(datos_ventas[[#This Row],[Provincia]],Tabla2[Provincias],Tabla2[Comunidades],"no se encuentra")</f>
        <v>Andalucía</v>
      </c>
      <c r="M1894" t="s">
        <v>19</v>
      </c>
      <c r="N1894">
        <v>4</v>
      </c>
    </row>
    <row r="1895" spans="1:14" x14ac:dyDescent="0.25">
      <c r="A1895">
        <v>2894</v>
      </c>
      <c r="B1895" s="1">
        <v>45830</v>
      </c>
      <c r="C1895" s="4">
        <f>MONTH(datos_ventas[[#This Row],[Fecha]])</f>
        <v>6</v>
      </c>
      <c r="D1895" s="4">
        <f>WEEKNUM(datos_ventas[[#This Row],[Fecha]],2)</f>
        <v>25</v>
      </c>
      <c r="E1895" t="s">
        <v>26</v>
      </c>
      <c r="F1895" t="s">
        <v>18</v>
      </c>
      <c r="G1895">
        <v>1</v>
      </c>
      <c r="H1895">
        <v>5918</v>
      </c>
      <c r="I1895">
        <v>1315</v>
      </c>
      <c r="J1895" t="s">
        <v>12</v>
      </c>
      <c r="K1895" t="str">
        <f>_xlfn.XLOOKUP(datos_ventas[[#This Row],[Ciudad]],Tabla2[Ciudades],Tabla2[Provincias],"no se encuentra")</f>
        <v>Málaga</v>
      </c>
      <c r="L1895" t="str">
        <f>_xlfn.XLOOKUP(datos_ventas[[#This Row],[Provincia]],Tabla2[Provincias],Tabla2[Comunidades],"no se encuentra")</f>
        <v>Andalucía</v>
      </c>
      <c r="M1895" t="s">
        <v>13</v>
      </c>
      <c r="N1895">
        <v>4</v>
      </c>
    </row>
    <row r="1896" spans="1:14" x14ac:dyDescent="0.25">
      <c r="A1896">
        <v>2895</v>
      </c>
      <c r="B1896" s="1">
        <v>45951</v>
      </c>
      <c r="C1896" s="4">
        <f>MONTH(datos_ventas[[#This Row],[Fecha]])</f>
        <v>10</v>
      </c>
      <c r="D1896" s="4">
        <f>WEEKNUM(datos_ventas[[#This Row],[Fecha]],2)</f>
        <v>43</v>
      </c>
      <c r="E1896" t="s">
        <v>17</v>
      </c>
      <c r="F1896" t="s">
        <v>18</v>
      </c>
      <c r="G1896">
        <v>3</v>
      </c>
      <c r="H1896">
        <v>51097</v>
      </c>
      <c r="I1896">
        <v>3915</v>
      </c>
      <c r="J1896" t="s">
        <v>12</v>
      </c>
      <c r="K1896" t="str">
        <f>_xlfn.XLOOKUP(datos_ventas[[#This Row],[Ciudad]],Tabla2[Ciudades],Tabla2[Provincias],"no se encuentra")</f>
        <v>Málaga</v>
      </c>
      <c r="L1896" t="str">
        <f>_xlfn.XLOOKUP(datos_ventas[[#This Row],[Provincia]],Tabla2[Provincias],Tabla2[Comunidades],"no se encuentra")</f>
        <v>Andalucía</v>
      </c>
      <c r="M1896" t="s">
        <v>15</v>
      </c>
      <c r="N1896">
        <v>1</v>
      </c>
    </row>
    <row r="1897" spans="1:14" x14ac:dyDescent="0.25">
      <c r="A1897">
        <v>2896</v>
      </c>
      <c r="B1897" s="1">
        <v>45784</v>
      </c>
      <c r="C1897" s="4">
        <f>MONTH(datos_ventas[[#This Row],[Fecha]])</f>
        <v>5</v>
      </c>
      <c r="D1897" s="4">
        <f>WEEKNUM(datos_ventas[[#This Row],[Fecha]],2)</f>
        <v>19</v>
      </c>
      <c r="E1897" t="s">
        <v>29</v>
      </c>
      <c r="F1897" t="s">
        <v>30</v>
      </c>
      <c r="G1897">
        <v>1</v>
      </c>
      <c r="H1897">
        <v>50043</v>
      </c>
      <c r="I1897">
        <v>4524</v>
      </c>
      <c r="J1897" t="s">
        <v>12</v>
      </c>
      <c r="K1897" t="str">
        <f>_xlfn.XLOOKUP(datos_ventas[[#This Row],[Ciudad]],Tabla2[Ciudades],Tabla2[Provincias],"no se encuentra")</f>
        <v>Málaga</v>
      </c>
      <c r="L1897" t="str">
        <f>_xlfn.XLOOKUP(datos_ventas[[#This Row],[Provincia]],Tabla2[Provincias],Tabla2[Comunidades],"no se encuentra")</f>
        <v>Andalucía</v>
      </c>
      <c r="M1897" t="s">
        <v>28</v>
      </c>
      <c r="N1897">
        <v>3</v>
      </c>
    </row>
    <row r="1898" spans="1:14" x14ac:dyDescent="0.25">
      <c r="A1898">
        <v>2897</v>
      </c>
      <c r="B1898" s="1">
        <v>45984</v>
      </c>
      <c r="C1898" s="4">
        <f>MONTH(datos_ventas[[#This Row],[Fecha]])</f>
        <v>11</v>
      </c>
      <c r="D1898" s="4">
        <f>WEEKNUM(datos_ventas[[#This Row],[Fecha]],2)</f>
        <v>47</v>
      </c>
      <c r="E1898" t="s">
        <v>17</v>
      </c>
      <c r="F1898" t="s">
        <v>18</v>
      </c>
      <c r="G1898">
        <v>4</v>
      </c>
      <c r="H1898">
        <v>47726</v>
      </c>
      <c r="I1898">
        <v>849</v>
      </c>
      <c r="J1898" t="s">
        <v>31</v>
      </c>
      <c r="K1898" t="str">
        <f>_xlfn.XLOOKUP(datos_ventas[[#This Row],[Ciudad]],Tabla2[Ciudades],Tabla2[Provincias],"no se encuentra")</f>
        <v>Vizcaya</v>
      </c>
      <c r="L1898" t="str">
        <f>_xlfn.XLOOKUP(datos_ventas[[#This Row],[Provincia]],Tabla2[Provincias],Tabla2[Comunidades],"no se encuentra")</f>
        <v>País Vasco</v>
      </c>
      <c r="M1898" t="s">
        <v>19</v>
      </c>
      <c r="N1898">
        <v>3</v>
      </c>
    </row>
    <row r="1899" spans="1:14" x14ac:dyDescent="0.25">
      <c r="A1899">
        <v>2898</v>
      </c>
      <c r="B1899" s="1">
        <v>45921</v>
      </c>
      <c r="C1899" s="4">
        <f>MONTH(datos_ventas[[#This Row],[Fecha]])</f>
        <v>9</v>
      </c>
      <c r="D1899" s="4">
        <f>WEEKNUM(datos_ventas[[#This Row],[Fecha]],2)</f>
        <v>38</v>
      </c>
      <c r="E1899" t="s">
        <v>23</v>
      </c>
      <c r="F1899" t="s">
        <v>18</v>
      </c>
      <c r="G1899">
        <v>3</v>
      </c>
      <c r="H1899">
        <v>53892</v>
      </c>
      <c r="I1899">
        <v>3669</v>
      </c>
      <c r="J1899" t="s">
        <v>31</v>
      </c>
      <c r="K1899" t="str">
        <f>_xlfn.XLOOKUP(datos_ventas[[#This Row],[Ciudad]],Tabla2[Ciudades],Tabla2[Provincias],"no se encuentra")</f>
        <v>Vizcaya</v>
      </c>
      <c r="L1899" t="str">
        <f>_xlfn.XLOOKUP(datos_ventas[[#This Row],[Provincia]],Tabla2[Provincias],Tabla2[Comunidades],"no se encuentra")</f>
        <v>País Vasco</v>
      </c>
      <c r="M1899" t="s">
        <v>19</v>
      </c>
      <c r="N1899">
        <v>5</v>
      </c>
    </row>
    <row r="1900" spans="1:14" x14ac:dyDescent="0.25">
      <c r="A1900">
        <v>2899</v>
      </c>
      <c r="B1900" s="1">
        <v>45930</v>
      </c>
      <c r="C1900" s="4">
        <f>MONTH(datos_ventas[[#This Row],[Fecha]])</f>
        <v>9</v>
      </c>
      <c r="D1900" s="4">
        <f>WEEKNUM(datos_ventas[[#This Row],[Fecha]],2)</f>
        <v>40</v>
      </c>
      <c r="E1900" t="s">
        <v>10</v>
      </c>
      <c r="F1900" t="s">
        <v>11</v>
      </c>
      <c r="G1900">
        <v>4</v>
      </c>
      <c r="H1900">
        <v>71222</v>
      </c>
      <c r="I1900">
        <v>948</v>
      </c>
      <c r="J1900" t="s">
        <v>22</v>
      </c>
      <c r="K1900" t="str">
        <f>_xlfn.XLOOKUP(datos_ventas[[#This Row],[Ciudad]],Tabla2[Ciudades],Tabla2[Provincias],"no se encuentra")</f>
        <v>Valencia</v>
      </c>
      <c r="L1900" t="str">
        <f>_xlfn.XLOOKUP(datos_ventas[[#This Row],[Provincia]],Tabla2[Provincias],Tabla2[Comunidades],"no se encuentra")</f>
        <v>Comunidad Valenciana</v>
      </c>
      <c r="M1900" t="s">
        <v>28</v>
      </c>
      <c r="N1900">
        <v>2</v>
      </c>
    </row>
    <row r="1901" spans="1:14" x14ac:dyDescent="0.25">
      <c r="A1901">
        <v>2900</v>
      </c>
      <c r="B1901" s="1">
        <v>45938</v>
      </c>
      <c r="C1901" s="4">
        <f>MONTH(datos_ventas[[#This Row],[Fecha]])</f>
        <v>10</v>
      </c>
      <c r="D1901" s="4">
        <f>WEEKNUM(datos_ventas[[#This Row],[Fecha]],2)</f>
        <v>41</v>
      </c>
      <c r="E1901" t="s">
        <v>26</v>
      </c>
      <c r="F1901" t="s">
        <v>18</v>
      </c>
      <c r="G1901">
        <v>1</v>
      </c>
      <c r="H1901">
        <v>45552</v>
      </c>
      <c r="I1901">
        <v>1249</v>
      </c>
      <c r="J1901" t="s">
        <v>12</v>
      </c>
      <c r="K1901" t="str">
        <f>_xlfn.XLOOKUP(datos_ventas[[#This Row],[Ciudad]],Tabla2[Ciudades],Tabla2[Provincias],"no se encuentra")</f>
        <v>Málaga</v>
      </c>
      <c r="L1901" t="str">
        <f>_xlfn.XLOOKUP(datos_ventas[[#This Row],[Provincia]],Tabla2[Provincias],Tabla2[Comunidades],"no se encuentra")</f>
        <v>Andalucía</v>
      </c>
      <c r="M1901" t="s">
        <v>15</v>
      </c>
      <c r="N1901">
        <v>3</v>
      </c>
    </row>
    <row r="1902" spans="1:14" x14ac:dyDescent="0.25">
      <c r="A1902">
        <v>2901</v>
      </c>
      <c r="B1902" s="1">
        <v>45738</v>
      </c>
      <c r="C1902" s="4">
        <f>MONTH(datos_ventas[[#This Row],[Fecha]])</f>
        <v>3</v>
      </c>
      <c r="D1902" s="4">
        <f>WEEKNUM(datos_ventas[[#This Row],[Fecha]],2)</f>
        <v>12</v>
      </c>
      <c r="E1902" t="s">
        <v>24</v>
      </c>
      <c r="F1902" t="s">
        <v>25</v>
      </c>
      <c r="G1902">
        <v>2</v>
      </c>
      <c r="H1902">
        <v>5463</v>
      </c>
      <c r="I1902">
        <v>1172</v>
      </c>
      <c r="J1902" t="s">
        <v>22</v>
      </c>
      <c r="K1902" t="str">
        <f>_xlfn.XLOOKUP(datos_ventas[[#This Row],[Ciudad]],Tabla2[Ciudades],Tabla2[Provincias],"no se encuentra")</f>
        <v>Valencia</v>
      </c>
      <c r="L1902" t="str">
        <f>_xlfn.XLOOKUP(datos_ventas[[#This Row],[Provincia]],Tabla2[Provincias],Tabla2[Comunidades],"no se encuentra")</f>
        <v>Comunidad Valenciana</v>
      </c>
      <c r="M1902" t="s">
        <v>13</v>
      </c>
      <c r="N1902">
        <v>3</v>
      </c>
    </row>
    <row r="1903" spans="1:14" x14ac:dyDescent="0.25">
      <c r="A1903">
        <v>2902</v>
      </c>
      <c r="B1903" s="1">
        <v>45847</v>
      </c>
      <c r="C1903" s="4">
        <f>MONTH(datos_ventas[[#This Row],[Fecha]])</f>
        <v>7</v>
      </c>
      <c r="D1903" s="4">
        <f>WEEKNUM(datos_ventas[[#This Row],[Fecha]],2)</f>
        <v>28</v>
      </c>
      <c r="E1903" t="s">
        <v>20</v>
      </c>
      <c r="F1903" t="s">
        <v>21</v>
      </c>
      <c r="G1903">
        <v>3</v>
      </c>
      <c r="H1903">
        <v>100694</v>
      </c>
      <c r="I1903">
        <v>133</v>
      </c>
      <c r="J1903" t="s">
        <v>12</v>
      </c>
      <c r="K1903" t="str">
        <f>_xlfn.XLOOKUP(datos_ventas[[#This Row],[Ciudad]],Tabla2[Ciudades],Tabla2[Provincias],"no se encuentra")</f>
        <v>Málaga</v>
      </c>
      <c r="L1903" t="str">
        <f>_xlfn.XLOOKUP(datos_ventas[[#This Row],[Provincia]],Tabla2[Provincias],Tabla2[Comunidades],"no se encuentra")</f>
        <v>Andalucía</v>
      </c>
      <c r="M1903" t="s">
        <v>15</v>
      </c>
      <c r="N1903">
        <v>1</v>
      </c>
    </row>
    <row r="1904" spans="1:14" x14ac:dyDescent="0.25">
      <c r="A1904">
        <v>2903</v>
      </c>
      <c r="B1904" s="1">
        <v>45696</v>
      </c>
      <c r="C1904" s="4">
        <f>MONTH(datos_ventas[[#This Row],[Fecha]])</f>
        <v>2</v>
      </c>
      <c r="D1904" s="4">
        <f>WEEKNUM(datos_ventas[[#This Row],[Fecha]],2)</f>
        <v>6</v>
      </c>
      <c r="E1904" t="s">
        <v>23</v>
      </c>
      <c r="F1904" t="s">
        <v>18</v>
      </c>
      <c r="G1904">
        <v>4</v>
      </c>
      <c r="H1904">
        <v>8254</v>
      </c>
      <c r="I1904">
        <v>4468</v>
      </c>
      <c r="J1904" t="s">
        <v>14</v>
      </c>
      <c r="K1904" t="str">
        <f>_xlfn.XLOOKUP(datos_ventas[[#This Row],[Ciudad]],Tabla2[Ciudades],Tabla2[Provincias],"no se encuentra")</f>
        <v>Madrid</v>
      </c>
      <c r="L1904" t="str">
        <f>_xlfn.XLOOKUP(datos_ventas[[#This Row],[Provincia]],Tabla2[Provincias],Tabla2[Comunidades],"no se encuentra")</f>
        <v>Comunidad de Madrid</v>
      </c>
      <c r="M1904" t="s">
        <v>28</v>
      </c>
      <c r="N1904">
        <v>4</v>
      </c>
    </row>
    <row r="1905" spans="1:14" x14ac:dyDescent="0.25">
      <c r="A1905">
        <v>2904</v>
      </c>
      <c r="B1905" s="1">
        <v>45925</v>
      </c>
      <c r="C1905" s="4">
        <f>MONTH(datos_ventas[[#This Row],[Fecha]])</f>
        <v>9</v>
      </c>
      <c r="D1905" s="4">
        <f>WEEKNUM(datos_ventas[[#This Row],[Fecha]],2)</f>
        <v>39</v>
      </c>
      <c r="E1905" t="s">
        <v>16</v>
      </c>
      <c r="F1905" t="s">
        <v>11</v>
      </c>
      <c r="G1905">
        <v>5</v>
      </c>
      <c r="H1905">
        <v>88065</v>
      </c>
      <c r="I1905">
        <v>2718</v>
      </c>
      <c r="J1905" t="s">
        <v>27</v>
      </c>
      <c r="K1905" t="str">
        <f>_xlfn.XLOOKUP(datos_ventas[[#This Row],[Ciudad]],Tabla2[Ciudades],Tabla2[Provincias],"no se encuentra")</f>
        <v>Sevilla</v>
      </c>
      <c r="L1905" t="str">
        <f>_xlfn.XLOOKUP(datos_ventas[[#This Row],[Provincia]],Tabla2[Provincias],Tabla2[Comunidades],"no se encuentra")</f>
        <v>Andalucía</v>
      </c>
      <c r="M1905" t="s">
        <v>28</v>
      </c>
      <c r="N1905">
        <v>5</v>
      </c>
    </row>
    <row r="1906" spans="1:14" x14ac:dyDescent="0.25">
      <c r="A1906">
        <v>2905</v>
      </c>
      <c r="B1906" s="1">
        <v>45832</v>
      </c>
      <c r="C1906" s="4">
        <f>MONTH(datos_ventas[[#This Row],[Fecha]])</f>
        <v>6</v>
      </c>
      <c r="D1906" s="4">
        <f>WEEKNUM(datos_ventas[[#This Row],[Fecha]],2)</f>
        <v>26</v>
      </c>
      <c r="E1906" t="s">
        <v>20</v>
      </c>
      <c r="F1906" t="s">
        <v>21</v>
      </c>
      <c r="G1906">
        <v>5</v>
      </c>
      <c r="H1906">
        <v>119459</v>
      </c>
      <c r="I1906">
        <v>682</v>
      </c>
      <c r="J1906" t="s">
        <v>27</v>
      </c>
      <c r="K1906" t="str">
        <f>_xlfn.XLOOKUP(datos_ventas[[#This Row],[Ciudad]],Tabla2[Ciudades],Tabla2[Provincias],"no se encuentra")</f>
        <v>Sevilla</v>
      </c>
      <c r="L1906" t="str">
        <f>_xlfn.XLOOKUP(datos_ventas[[#This Row],[Provincia]],Tabla2[Provincias],Tabla2[Comunidades],"no se encuentra")</f>
        <v>Andalucía</v>
      </c>
      <c r="M1906" t="s">
        <v>28</v>
      </c>
      <c r="N1906">
        <v>4</v>
      </c>
    </row>
    <row r="1907" spans="1:14" x14ac:dyDescent="0.25">
      <c r="A1907">
        <v>2906</v>
      </c>
      <c r="B1907" s="1">
        <v>45791</v>
      </c>
      <c r="C1907" s="4">
        <f>MONTH(datos_ventas[[#This Row],[Fecha]])</f>
        <v>5</v>
      </c>
      <c r="D1907" s="4">
        <f>WEEKNUM(datos_ventas[[#This Row],[Fecha]],2)</f>
        <v>20</v>
      </c>
      <c r="E1907" t="s">
        <v>24</v>
      </c>
      <c r="F1907" t="s">
        <v>25</v>
      </c>
      <c r="G1907">
        <v>1</v>
      </c>
      <c r="H1907">
        <v>6768</v>
      </c>
      <c r="I1907">
        <v>335</v>
      </c>
      <c r="J1907" t="s">
        <v>32</v>
      </c>
      <c r="K1907" t="str">
        <f>_xlfn.XLOOKUP(datos_ventas[[#This Row],[Ciudad]],Tabla2[Ciudades],Tabla2[Provincias],"no se encuentra")</f>
        <v>Barcelona</v>
      </c>
      <c r="L1907" t="str">
        <f>_xlfn.XLOOKUP(datos_ventas[[#This Row],[Provincia]],Tabla2[Provincias],Tabla2[Comunidades],"no se encuentra")</f>
        <v>Cataluña</v>
      </c>
      <c r="M1907" t="s">
        <v>28</v>
      </c>
      <c r="N1907">
        <v>5</v>
      </c>
    </row>
    <row r="1908" spans="1:14" x14ac:dyDescent="0.25">
      <c r="A1908">
        <v>2907</v>
      </c>
      <c r="B1908" s="1">
        <v>45786</v>
      </c>
      <c r="C1908" s="4">
        <f>MONTH(datos_ventas[[#This Row],[Fecha]])</f>
        <v>5</v>
      </c>
      <c r="D1908" s="4">
        <f>WEEKNUM(datos_ventas[[#This Row],[Fecha]],2)</f>
        <v>19</v>
      </c>
      <c r="E1908" t="s">
        <v>17</v>
      </c>
      <c r="F1908" t="s">
        <v>18</v>
      </c>
      <c r="G1908">
        <v>3</v>
      </c>
      <c r="H1908">
        <v>33363</v>
      </c>
      <c r="I1908">
        <v>3226</v>
      </c>
      <c r="J1908" t="s">
        <v>12</v>
      </c>
      <c r="K1908" t="str">
        <f>_xlfn.XLOOKUP(datos_ventas[[#This Row],[Ciudad]],Tabla2[Ciudades],Tabla2[Provincias],"no se encuentra")</f>
        <v>Málaga</v>
      </c>
      <c r="L1908" t="str">
        <f>_xlfn.XLOOKUP(datos_ventas[[#This Row],[Provincia]],Tabla2[Provincias],Tabla2[Comunidades],"no se encuentra")</f>
        <v>Andalucía</v>
      </c>
      <c r="M1908" t="s">
        <v>15</v>
      </c>
      <c r="N1908">
        <v>2</v>
      </c>
    </row>
    <row r="1909" spans="1:14" x14ac:dyDescent="0.25">
      <c r="A1909">
        <v>2908</v>
      </c>
      <c r="B1909" s="1">
        <v>45808</v>
      </c>
      <c r="C1909" s="4">
        <f>MONTH(datos_ventas[[#This Row],[Fecha]])</f>
        <v>5</v>
      </c>
      <c r="D1909" s="4">
        <f>WEEKNUM(datos_ventas[[#This Row],[Fecha]],2)</f>
        <v>22</v>
      </c>
      <c r="E1909" t="s">
        <v>10</v>
      </c>
      <c r="F1909" t="s">
        <v>11</v>
      </c>
      <c r="G1909">
        <v>1</v>
      </c>
      <c r="H1909">
        <v>968</v>
      </c>
      <c r="I1909">
        <v>1583</v>
      </c>
      <c r="J1909" t="s">
        <v>27</v>
      </c>
      <c r="K1909" t="str">
        <f>_xlfn.XLOOKUP(datos_ventas[[#This Row],[Ciudad]],Tabla2[Ciudades],Tabla2[Provincias],"no se encuentra")</f>
        <v>Sevilla</v>
      </c>
      <c r="L1909" t="str">
        <f>_xlfn.XLOOKUP(datos_ventas[[#This Row],[Provincia]],Tabla2[Provincias],Tabla2[Comunidades],"no se encuentra")</f>
        <v>Andalucía</v>
      </c>
      <c r="M1909" t="s">
        <v>15</v>
      </c>
      <c r="N1909">
        <v>5</v>
      </c>
    </row>
    <row r="1910" spans="1:14" x14ac:dyDescent="0.25">
      <c r="A1910">
        <v>2909</v>
      </c>
      <c r="B1910" s="1">
        <v>45925</v>
      </c>
      <c r="C1910" s="4">
        <f>MONTH(datos_ventas[[#This Row],[Fecha]])</f>
        <v>9</v>
      </c>
      <c r="D1910" s="4">
        <f>WEEKNUM(datos_ventas[[#This Row],[Fecha]],2)</f>
        <v>39</v>
      </c>
      <c r="E1910" t="s">
        <v>23</v>
      </c>
      <c r="F1910" t="s">
        <v>18</v>
      </c>
      <c r="G1910">
        <v>2</v>
      </c>
      <c r="H1910">
        <v>25327</v>
      </c>
      <c r="I1910">
        <v>4968</v>
      </c>
      <c r="J1910" t="s">
        <v>22</v>
      </c>
      <c r="K1910" t="str">
        <f>_xlfn.XLOOKUP(datos_ventas[[#This Row],[Ciudad]],Tabla2[Ciudades],Tabla2[Provincias],"no se encuentra")</f>
        <v>Valencia</v>
      </c>
      <c r="L1910" t="str">
        <f>_xlfn.XLOOKUP(datos_ventas[[#This Row],[Provincia]],Tabla2[Provincias],Tabla2[Comunidades],"no se encuentra")</f>
        <v>Comunidad Valenciana</v>
      </c>
      <c r="M1910" t="s">
        <v>13</v>
      </c>
      <c r="N1910">
        <v>4</v>
      </c>
    </row>
    <row r="1911" spans="1:14" x14ac:dyDescent="0.25">
      <c r="A1911">
        <v>2910</v>
      </c>
      <c r="B1911" s="1">
        <v>45797</v>
      </c>
      <c r="C1911" s="4">
        <f>MONTH(datos_ventas[[#This Row],[Fecha]])</f>
        <v>5</v>
      </c>
      <c r="D1911" s="4">
        <f>WEEKNUM(datos_ventas[[#This Row],[Fecha]],2)</f>
        <v>21</v>
      </c>
      <c r="E1911" t="s">
        <v>16</v>
      </c>
      <c r="F1911" t="s">
        <v>11</v>
      </c>
      <c r="G1911">
        <v>4</v>
      </c>
      <c r="H1911">
        <v>68991</v>
      </c>
      <c r="I1911">
        <v>3452</v>
      </c>
      <c r="J1911" t="s">
        <v>32</v>
      </c>
      <c r="K1911" t="str">
        <f>_xlfn.XLOOKUP(datos_ventas[[#This Row],[Ciudad]],Tabla2[Ciudades],Tabla2[Provincias],"no se encuentra")</f>
        <v>Barcelona</v>
      </c>
      <c r="L1911" t="str">
        <f>_xlfn.XLOOKUP(datos_ventas[[#This Row],[Provincia]],Tabla2[Provincias],Tabla2[Comunidades],"no se encuentra")</f>
        <v>Cataluña</v>
      </c>
      <c r="M1911" t="s">
        <v>19</v>
      </c>
      <c r="N1911">
        <v>2</v>
      </c>
    </row>
    <row r="1912" spans="1:14" x14ac:dyDescent="0.25">
      <c r="A1912">
        <v>2911</v>
      </c>
      <c r="B1912" s="1">
        <v>45818</v>
      </c>
      <c r="C1912" s="4">
        <f>MONTH(datos_ventas[[#This Row],[Fecha]])</f>
        <v>6</v>
      </c>
      <c r="D1912" s="4">
        <f>WEEKNUM(datos_ventas[[#This Row],[Fecha]],2)</f>
        <v>24</v>
      </c>
      <c r="E1912" t="s">
        <v>10</v>
      </c>
      <c r="F1912" t="s">
        <v>11</v>
      </c>
      <c r="G1912">
        <v>5</v>
      </c>
      <c r="H1912">
        <v>106826</v>
      </c>
      <c r="I1912">
        <v>3235</v>
      </c>
      <c r="J1912" t="s">
        <v>14</v>
      </c>
      <c r="K1912" t="str">
        <f>_xlfn.XLOOKUP(datos_ventas[[#This Row],[Ciudad]],Tabla2[Ciudades],Tabla2[Provincias],"no se encuentra")</f>
        <v>Madrid</v>
      </c>
      <c r="L1912" t="str">
        <f>_xlfn.XLOOKUP(datos_ventas[[#This Row],[Provincia]],Tabla2[Provincias],Tabla2[Comunidades],"no se encuentra")</f>
        <v>Comunidad de Madrid</v>
      </c>
      <c r="M1912" t="s">
        <v>19</v>
      </c>
      <c r="N1912">
        <v>5</v>
      </c>
    </row>
    <row r="1913" spans="1:14" x14ac:dyDescent="0.25">
      <c r="A1913">
        <v>2912</v>
      </c>
      <c r="B1913" s="1">
        <v>45960</v>
      </c>
      <c r="C1913" s="4">
        <f>MONTH(datos_ventas[[#This Row],[Fecha]])</f>
        <v>10</v>
      </c>
      <c r="D1913" s="4">
        <f>WEEKNUM(datos_ventas[[#This Row],[Fecha]],2)</f>
        <v>44</v>
      </c>
      <c r="E1913" t="s">
        <v>17</v>
      </c>
      <c r="F1913" t="s">
        <v>18</v>
      </c>
      <c r="G1913">
        <v>5</v>
      </c>
      <c r="H1913">
        <v>13199</v>
      </c>
      <c r="I1913">
        <v>2461</v>
      </c>
      <c r="J1913" t="s">
        <v>14</v>
      </c>
      <c r="K1913" t="str">
        <f>_xlfn.XLOOKUP(datos_ventas[[#This Row],[Ciudad]],Tabla2[Ciudades],Tabla2[Provincias],"no se encuentra")</f>
        <v>Madrid</v>
      </c>
      <c r="L1913" t="str">
        <f>_xlfn.XLOOKUP(datos_ventas[[#This Row],[Provincia]],Tabla2[Provincias],Tabla2[Comunidades],"no se encuentra")</f>
        <v>Comunidad de Madrid</v>
      </c>
      <c r="M1913" t="s">
        <v>28</v>
      </c>
      <c r="N1913">
        <v>3</v>
      </c>
    </row>
    <row r="1914" spans="1:14" x14ac:dyDescent="0.25">
      <c r="A1914">
        <v>2913</v>
      </c>
      <c r="B1914" s="1">
        <v>45739</v>
      </c>
      <c r="C1914" s="4">
        <f>MONTH(datos_ventas[[#This Row],[Fecha]])</f>
        <v>3</v>
      </c>
      <c r="D1914" s="4">
        <f>WEEKNUM(datos_ventas[[#This Row],[Fecha]],2)</f>
        <v>12</v>
      </c>
      <c r="E1914" t="s">
        <v>29</v>
      </c>
      <c r="F1914" t="s">
        <v>30</v>
      </c>
      <c r="G1914">
        <v>5</v>
      </c>
      <c r="H1914">
        <v>53744</v>
      </c>
      <c r="I1914">
        <v>3431</v>
      </c>
      <c r="J1914" t="s">
        <v>22</v>
      </c>
      <c r="K1914" t="str">
        <f>_xlfn.XLOOKUP(datos_ventas[[#This Row],[Ciudad]],Tabla2[Ciudades],Tabla2[Provincias],"no se encuentra")</f>
        <v>Valencia</v>
      </c>
      <c r="L1914" t="str">
        <f>_xlfn.XLOOKUP(datos_ventas[[#This Row],[Provincia]],Tabla2[Provincias],Tabla2[Comunidades],"no se encuentra")</f>
        <v>Comunidad Valenciana</v>
      </c>
      <c r="M1914" t="s">
        <v>13</v>
      </c>
      <c r="N1914">
        <v>3</v>
      </c>
    </row>
    <row r="1915" spans="1:14" x14ac:dyDescent="0.25">
      <c r="A1915">
        <v>2914</v>
      </c>
      <c r="B1915" s="1">
        <v>45858</v>
      </c>
      <c r="C1915" s="4">
        <f>MONTH(datos_ventas[[#This Row],[Fecha]])</f>
        <v>7</v>
      </c>
      <c r="D1915" s="4">
        <f>WEEKNUM(datos_ventas[[#This Row],[Fecha]],2)</f>
        <v>29</v>
      </c>
      <c r="E1915" t="s">
        <v>17</v>
      </c>
      <c r="F1915" t="s">
        <v>18</v>
      </c>
      <c r="G1915">
        <v>5</v>
      </c>
      <c r="H1915">
        <v>117066</v>
      </c>
      <c r="I1915">
        <v>4319</v>
      </c>
      <c r="J1915" t="s">
        <v>22</v>
      </c>
      <c r="K1915" t="str">
        <f>_xlfn.XLOOKUP(datos_ventas[[#This Row],[Ciudad]],Tabla2[Ciudades],Tabla2[Provincias],"no se encuentra")</f>
        <v>Valencia</v>
      </c>
      <c r="L1915" t="str">
        <f>_xlfn.XLOOKUP(datos_ventas[[#This Row],[Provincia]],Tabla2[Provincias],Tabla2[Comunidades],"no se encuentra")</f>
        <v>Comunidad Valenciana</v>
      </c>
      <c r="M1915" t="s">
        <v>19</v>
      </c>
      <c r="N1915">
        <v>4</v>
      </c>
    </row>
    <row r="1916" spans="1:14" x14ac:dyDescent="0.25">
      <c r="A1916">
        <v>2915</v>
      </c>
      <c r="B1916" s="1">
        <v>45790</v>
      </c>
      <c r="C1916" s="4">
        <f>MONTH(datos_ventas[[#This Row],[Fecha]])</f>
        <v>5</v>
      </c>
      <c r="D1916" s="4">
        <f>WEEKNUM(datos_ventas[[#This Row],[Fecha]],2)</f>
        <v>20</v>
      </c>
      <c r="E1916" t="s">
        <v>10</v>
      </c>
      <c r="F1916" t="s">
        <v>11</v>
      </c>
      <c r="G1916">
        <v>1</v>
      </c>
      <c r="H1916">
        <v>38527</v>
      </c>
      <c r="I1916">
        <v>2679</v>
      </c>
      <c r="J1916" t="s">
        <v>31</v>
      </c>
      <c r="K1916" t="str">
        <f>_xlfn.XLOOKUP(datos_ventas[[#This Row],[Ciudad]],Tabla2[Ciudades],Tabla2[Provincias],"no se encuentra")</f>
        <v>Vizcaya</v>
      </c>
      <c r="L1916" t="str">
        <f>_xlfn.XLOOKUP(datos_ventas[[#This Row],[Provincia]],Tabla2[Provincias],Tabla2[Comunidades],"no se encuentra")</f>
        <v>País Vasco</v>
      </c>
      <c r="M1916" t="s">
        <v>13</v>
      </c>
      <c r="N1916">
        <v>4</v>
      </c>
    </row>
    <row r="1917" spans="1:14" x14ac:dyDescent="0.25">
      <c r="A1917">
        <v>2916</v>
      </c>
      <c r="B1917" s="1">
        <v>45866</v>
      </c>
      <c r="C1917" s="4">
        <f>MONTH(datos_ventas[[#This Row],[Fecha]])</f>
        <v>7</v>
      </c>
      <c r="D1917" s="4">
        <f>WEEKNUM(datos_ventas[[#This Row],[Fecha]],2)</f>
        <v>31</v>
      </c>
      <c r="E1917" t="s">
        <v>26</v>
      </c>
      <c r="F1917" t="s">
        <v>18</v>
      </c>
      <c r="G1917">
        <v>3</v>
      </c>
      <c r="H1917">
        <v>116573</v>
      </c>
      <c r="I1917">
        <v>2798</v>
      </c>
      <c r="J1917" t="s">
        <v>27</v>
      </c>
      <c r="K1917" t="str">
        <f>_xlfn.XLOOKUP(datos_ventas[[#This Row],[Ciudad]],Tabla2[Ciudades],Tabla2[Provincias],"no se encuentra")</f>
        <v>Sevilla</v>
      </c>
      <c r="L1917" t="str">
        <f>_xlfn.XLOOKUP(datos_ventas[[#This Row],[Provincia]],Tabla2[Provincias],Tabla2[Comunidades],"no se encuentra")</f>
        <v>Andalucía</v>
      </c>
      <c r="M1917" t="s">
        <v>19</v>
      </c>
      <c r="N1917">
        <v>5</v>
      </c>
    </row>
    <row r="1918" spans="1:14" x14ac:dyDescent="0.25">
      <c r="A1918">
        <v>2917</v>
      </c>
      <c r="B1918" s="1">
        <v>45715</v>
      </c>
      <c r="C1918" s="4">
        <f>MONTH(datos_ventas[[#This Row],[Fecha]])</f>
        <v>2</v>
      </c>
      <c r="D1918" s="4">
        <f>WEEKNUM(datos_ventas[[#This Row],[Fecha]],2)</f>
        <v>9</v>
      </c>
      <c r="E1918" t="s">
        <v>17</v>
      </c>
      <c r="F1918" t="s">
        <v>18</v>
      </c>
      <c r="G1918">
        <v>1</v>
      </c>
      <c r="H1918">
        <v>33559</v>
      </c>
      <c r="I1918">
        <v>3323</v>
      </c>
      <c r="J1918" t="s">
        <v>22</v>
      </c>
      <c r="K1918" t="str">
        <f>_xlfn.XLOOKUP(datos_ventas[[#This Row],[Ciudad]],Tabla2[Ciudades],Tabla2[Provincias],"no se encuentra")</f>
        <v>Valencia</v>
      </c>
      <c r="L1918" t="str">
        <f>_xlfn.XLOOKUP(datos_ventas[[#This Row],[Provincia]],Tabla2[Provincias],Tabla2[Comunidades],"no se encuentra")</f>
        <v>Comunidad Valenciana</v>
      </c>
      <c r="M1918" t="s">
        <v>13</v>
      </c>
      <c r="N1918">
        <v>1</v>
      </c>
    </row>
    <row r="1919" spans="1:14" x14ac:dyDescent="0.25">
      <c r="A1919">
        <v>2918</v>
      </c>
      <c r="B1919" s="1">
        <v>45819</v>
      </c>
      <c r="C1919" s="4">
        <f>MONTH(datos_ventas[[#This Row],[Fecha]])</f>
        <v>6</v>
      </c>
      <c r="D1919" s="4">
        <f>WEEKNUM(datos_ventas[[#This Row],[Fecha]],2)</f>
        <v>24</v>
      </c>
      <c r="E1919" t="s">
        <v>24</v>
      </c>
      <c r="F1919" t="s">
        <v>25</v>
      </c>
      <c r="G1919">
        <v>3</v>
      </c>
      <c r="H1919">
        <v>7557</v>
      </c>
      <c r="I1919">
        <v>2265</v>
      </c>
      <c r="J1919" t="s">
        <v>31</v>
      </c>
      <c r="K1919" t="str">
        <f>_xlfn.XLOOKUP(datos_ventas[[#This Row],[Ciudad]],Tabla2[Ciudades],Tabla2[Provincias],"no se encuentra")</f>
        <v>Vizcaya</v>
      </c>
      <c r="L1919" t="str">
        <f>_xlfn.XLOOKUP(datos_ventas[[#This Row],[Provincia]],Tabla2[Provincias],Tabla2[Comunidades],"no se encuentra")</f>
        <v>País Vasco</v>
      </c>
      <c r="M1919" t="s">
        <v>15</v>
      </c>
      <c r="N1919">
        <v>2</v>
      </c>
    </row>
    <row r="1920" spans="1:14" x14ac:dyDescent="0.25">
      <c r="A1920">
        <v>2919</v>
      </c>
      <c r="B1920" s="1">
        <v>45668</v>
      </c>
      <c r="C1920" s="4">
        <f>MONTH(datos_ventas[[#This Row],[Fecha]])</f>
        <v>1</v>
      </c>
      <c r="D1920" s="4">
        <f>WEEKNUM(datos_ventas[[#This Row],[Fecha]],2)</f>
        <v>2</v>
      </c>
      <c r="E1920" t="s">
        <v>20</v>
      </c>
      <c r="F1920" t="s">
        <v>21</v>
      </c>
      <c r="G1920">
        <v>5</v>
      </c>
      <c r="H1920">
        <v>4203</v>
      </c>
      <c r="I1920">
        <v>2495</v>
      </c>
      <c r="J1920" t="s">
        <v>14</v>
      </c>
      <c r="K1920" t="str">
        <f>_xlfn.XLOOKUP(datos_ventas[[#This Row],[Ciudad]],Tabla2[Ciudades],Tabla2[Provincias],"no se encuentra")</f>
        <v>Madrid</v>
      </c>
      <c r="L1920" t="str">
        <f>_xlfn.XLOOKUP(datos_ventas[[#This Row],[Provincia]],Tabla2[Provincias],Tabla2[Comunidades],"no se encuentra")</f>
        <v>Comunidad de Madrid</v>
      </c>
      <c r="M1920" t="s">
        <v>15</v>
      </c>
      <c r="N1920">
        <v>3</v>
      </c>
    </row>
    <row r="1921" spans="1:14" x14ac:dyDescent="0.25">
      <c r="A1921">
        <v>2920</v>
      </c>
      <c r="B1921" s="1">
        <v>45791</v>
      </c>
      <c r="C1921" s="4">
        <f>MONTH(datos_ventas[[#This Row],[Fecha]])</f>
        <v>5</v>
      </c>
      <c r="D1921" s="4">
        <f>WEEKNUM(datos_ventas[[#This Row],[Fecha]],2)</f>
        <v>20</v>
      </c>
      <c r="E1921" t="s">
        <v>29</v>
      </c>
      <c r="F1921" t="s">
        <v>30</v>
      </c>
      <c r="G1921">
        <v>5</v>
      </c>
      <c r="H1921">
        <v>16579</v>
      </c>
      <c r="I1921">
        <v>2435</v>
      </c>
      <c r="J1921" t="s">
        <v>22</v>
      </c>
      <c r="K1921" t="str">
        <f>_xlfn.XLOOKUP(datos_ventas[[#This Row],[Ciudad]],Tabla2[Ciudades],Tabla2[Provincias],"no se encuentra")</f>
        <v>Valencia</v>
      </c>
      <c r="L1921" t="str">
        <f>_xlfn.XLOOKUP(datos_ventas[[#This Row],[Provincia]],Tabla2[Provincias],Tabla2[Comunidades],"no se encuentra")</f>
        <v>Comunidad Valenciana</v>
      </c>
      <c r="M1921" t="s">
        <v>28</v>
      </c>
      <c r="N1921">
        <v>3</v>
      </c>
    </row>
    <row r="1922" spans="1:14" x14ac:dyDescent="0.25">
      <c r="A1922">
        <v>2921</v>
      </c>
      <c r="B1922" s="1">
        <v>45671</v>
      </c>
      <c r="C1922" s="4">
        <f>MONTH(datos_ventas[[#This Row],[Fecha]])</f>
        <v>1</v>
      </c>
      <c r="D1922" s="4">
        <f>WEEKNUM(datos_ventas[[#This Row],[Fecha]],2)</f>
        <v>3</v>
      </c>
      <c r="E1922" t="s">
        <v>17</v>
      </c>
      <c r="F1922" t="s">
        <v>18</v>
      </c>
      <c r="G1922">
        <v>3</v>
      </c>
      <c r="H1922">
        <v>80126</v>
      </c>
      <c r="I1922">
        <v>711</v>
      </c>
      <c r="J1922" t="s">
        <v>27</v>
      </c>
      <c r="K1922" t="str">
        <f>_xlfn.XLOOKUP(datos_ventas[[#This Row],[Ciudad]],Tabla2[Ciudades],Tabla2[Provincias],"no se encuentra")</f>
        <v>Sevilla</v>
      </c>
      <c r="L1922" t="str">
        <f>_xlfn.XLOOKUP(datos_ventas[[#This Row],[Provincia]],Tabla2[Provincias],Tabla2[Comunidades],"no se encuentra")</f>
        <v>Andalucía</v>
      </c>
      <c r="M1922" t="s">
        <v>28</v>
      </c>
      <c r="N1922">
        <v>3</v>
      </c>
    </row>
    <row r="1923" spans="1:14" x14ac:dyDescent="0.25">
      <c r="A1923">
        <v>2922</v>
      </c>
      <c r="B1923" s="1">
        <v>45755</v>
      </c>
      <c r="C1923" s="4">
        <f>MONTH(datos_ventas[[#This Row],[Fecha]])</f>
        <v>4</v>
      </c>
      <c r="D1923" s="4">
        <f>WEEKNUM(datos_ventas[[#This Row],[Fecha]],2)</f>
        <v>15</v>
      </c>
      <c r="E1923" t="s">
        <v>29</v>
      </c>
      <c r="F1923" t="s">
        <v>30</v>
      </c>
      <c r="G1923">
        <v>4</v>
      </c>
      <c r="H1923">
        <v>5526</v>
      </c>
      <c r="I1923">
        <v>1769</v>
      </c>
      <c r="J1923" t="s">
        <v>31</v>
      </c>
      <c r="K1923" t="str">
        <f>_xlfn.XLOOKUP(datos_ventas[[#This Row],[Ciudad]],Tabla2[Ciudades],Tabla2[Provincias],"no se encuentra")</f>
        <v>Vizcaya</v>
      </c>
      <c r="L1923" t="str">
        <f>_xlfn.XLOOKUP(datos_ventas[[#This Row],[Provincia]],Tabla2[Provincias],Tabla2[Comunidades],"no se encuentra")</f>
        <v>País Vasco</v>
      </c>
      <c r="M1923" t="s">
        <v>15</v>
      </c>
      <c r="N1923">
        <v>2</v>
      </c>
    </row>
    <row r="1924" spans="1:14" x14ac:dyDescent="0.25">
      <c r="A1924">
        <v>2923</v>
      </c>
      <c r="B1924" s="1">
        <v>45993</v>
      </c>
      <c r="C1924" s="4">
        <f>MONTH(datos_ventas[[#This Row],[Fecha]])</f>
        <v>12</v>
      </c>
      <c r="D1924" s="4">
        <f>WEEKNUM(datos_ventas[[#This Row],[Fecha]],2)</f>
        <v>49</v>
      </c>
      <c r="E1924" t="s">
        <v>26</v>
      </c>
      <c r="F1924" t="s">
        <v>18</v>
      </c>
      <c r="G1924">
        <v>2</v>
      </c>
      <c r="H1924">
        <v>3237</v>
      </c>
      <c r="I1924">
        <v>2971</v>
      </c>
      <c r="J1924" t="s">
        <v>31</v>
      </c>
      <c r="K1924" t="str">
        <f>_xlfn.XLOOKUP(datos_ventas[[#This Row],[Ciudad]],Tabla2[Ciudades],Tabla2[Provincias],"no se encuentra")</f>
        <v>Vizcaya</v>
      </c>
      <c r="L1924" t="str">
        <f>_xlfn.XLOOKUP(datos_ventas[[#This Row],[Provincia]],Tabla2[Provincias],Tabla2[Comunidades],"no se encuentra")</f>
        <v>País Vasco</v>
      </c>
      <c r="M1924" t="s">
        <v>19</v>
      </c>
      <c r="N1924">
        <v>1</v>
      </c>
    </row>
    <row r="1925" spans="1:14" x14ac:dyDescent="0.25">
      <c r="A1925">
        <v>2924</v>
      </c>
      <c r="B1925" s="1">
        <v>45667</v>
      </c>
      <c r="C1925" s="4">
        <f>MONTH(datos_ventas[[#This Row],[Fecha]])</f>
        <v>1</v>
      </c>
      <c r="D1925" s="4">
        <f>WEEKNUM(datos_ventas[[#This Row],[Fecha]],2)</f>
        <v>2</v>
      </c>
      <c r="E1925" t="s">
        <v>24</v>
      </c>
      <c r="F1925" t="s">
        <v>25</v>
      </c>
      <c r="G1925">
        <v>2</v>
      </c>
      <c r="H1925">
        <v>97068</v>
      </c>
      <c r="I1925">
        <v>4039</v>
      </c>
      <c r="J1925" t="s">
        <v>12</v>
      </c>
      <c r="K1925" t="str">
        <f>_xlfn.XLOOKUP(datos_ventas[[#This Row],[Ciudad]],Tabla2[Ciudades],Tabla2[Provincias],"no se encuentra")</f>
        <v>Málaga</v>
      </c>
      <c r="L1925" t="str">
        <f>_xlfn.XLOOKUP(datos_ventas[[#This Row],[Provincia]],Tabla2[Provincias],Tabla2[Comunidades],"no se encuentra")</f>
        <v>Andalucía</v>
      </c>
      <c r="M1925" t="s">
        <v>19</v>
      </c>
      <c r="N1925">
        <v>5</v>
      </c>
    </row>
    <row r="1926" spans="1:14" x14ac:dyDescent="0.25">
      <c r="A1926">
        <v>2925</v>
      </c>
      <c r="B1926" s="1">
        <v>45891</v>
      </c>
      <c r="C1926" s="4">
        <f>MONTH(datos_ventas[[#This Row],[Fecha]])</f>
        <v>8</v>
      </c>
      <c r="D1926" s="4">
        <f>WEEKNUM(datos_ventas[[#This Row],[Fecha]],2)</f>
        <v>34</v>
      </c>
      <c r="E1926" t="s">
        <v>29</v>
      </c>
      <c r="F1926" t="s">
        <v>30</v>
      </c>
      <c r="G1926">
        <v>1</v>
      </c>
      <c r="H1926">
        <v>93656</v>
      </c>
      <c r="I1926">
        <v>4385</v>
      </c>
      <c r="J1926" t="s">
        <v>31</v>
      </c>
      <c r="K1926" t="str">
        <f>_xlfn.XLOOKUP(datos_ventas[[#This Row],[Ciudad]],Tabla2[Ciudades],Tabla2[Provincias],"no se encuentra")</f>
        <v>Vizcaya</v>
      </c>
      <c r="L1926" t="str">
        <f>_xlfn.XLOOKUP(datos_ventas[[#This Row],[Provincia]],Tabla2[Provincias],Tabla2[Comunidades],"no se encuentra")</f>
        <v>País Vasco</v>
      </c>
      <c r="M1926" t="s">
        <v>19</v>
      </c>
      <c r="N1926">
        <v>5</v>
      </c>
    </row>
    <row r="1927" spans="1:14" x14ac:dyDescent="0.25">
      <c r="A1927">
        <v>2926</v>
      </c>
      <c r="B1927" s="1">
        <v>45659</v>
      </c>
      <c r="C1927" s="4">
        <f>MONTH(datos_ventas[[#This Row],[Fecha]])</f>
        <v>1</v>
      </c>
      <c r="D1927" s="4">
        <f>WEEKNUM(datos_ventas[[#This Row],[Fecha]],2)</f>
        <v>1</v>
      </c>
      <c r="E1927" t="s">
        <v>26</v>
      </c>
      <c r="F1927" t="s">
        <v>18</v>
      </c>
      <c r="G1927">
        <v>2</v>
      </c>
      <c r="H1927">
        <v>9246</v>
      </c>
      <c r="I1927">
        <v>2218</v>
      </c>
      <c r="J1927" t="s">
        <v>31</v>
      </c>
      <c r="K1927" t="str">
        <f>_xlfn.XLOOKUP(datos_ventas[[#This Row],[Ciudad]],Tabla2[Ciudades],Tabla2[Provincias],"no se encuentra")</f>
        <v>Vizcaya</v>
      </c>
      <c r="L1927" t="str">
        <f>_xlfn.XLOOKUP(datos_ventas[[#This Row],[Provincia]],Tabla2[Provincias],Tabla2[Comunidades],"no se encuentra")</f>
        <v>País Vasco</v>
      </c>
      <c r="M1927" t="s">
        <v>19</v>
      </c>
      <c r="N1927">
        <v>3</v>
      </c>
    </row>
    <row r="1928" spans="1:14" x14ac:dyDescent="0.25">
      <c r="A1928">
        <v>2927</v>
      </c>
      <c r="B1928" s="1">
        <v>45757</v>
      </c>
      <c r="C1928" s="4">
        <f>MONTH(datos_ventas[[#This Row],[Fecha]])</f>
        <v>4</v>
      </c>
      <c r="D1928" s="4">
        <f>WEEKNUM(datos_ventas[[#This Row],[Fecha]],2)</f>
        <v>15</v>
      </c>
      <c r="E1928" t="s">
        <v>20</v>
      </c>
      <c r="F1928" t="s">
        <v>21</v>
      </c>
      <c r="G1928">
        <v>2</v>
      </c>
      <c r="H1928">
        <v>32406</v>
      </c>
      <c r="I1928">
        <v>1598</v>
      </c>
      <c r="J1928" t="s">
        <v>12</v>
      </c>
      <c r="K1928" t="str">
        <f>_xlfn.XLOOKUP(datos_ventas[[#This Row],[Ciudad]],Tabla2[Ciudades],Tabla2[Provincias],"no se encuentra")</f>
        <v>Málaga</v>
      </c>
      <c r="L1928" t="str">
        <f>_xlfn.XLOOKUP(datos_ventas[[#This Row],[Provincia]],Tabla2[Provincias],Tabla2[Comunidades],"no se encuentra")</f>
        <v>Andalucía</v>
      </c>
      <c r="M1928" t="s">
        <v>13</v>
      </c>
      <c r="N1928">
        <v>3</v>
      </c>
    </row>
    <row r="1929" spans="1:14" x14ac:dyDescent="0.25">
      <c r="A1929">
        <v>2928</v>
      </c>
      <c r="B1929" s="1">
        <v>45800</v>
      </c>
      <c r="C1929" s="4">
        <f>MONTH(datos_ventas[[#This Row],[Fecha]])</f>
        <v>5</v>
      </c>
      <c r="D1929" s="4">
        <f>WEEKNUM(datos_ventas[[#This Row],[Fecha]],2)</f>
        <v>21</v>
      </c>
      <c r="E1929" t="s">
        <v>23</v>
      </c>
      <c r="F1929" t="s">
        <v>18</v>
      </c>
      <c r="G1929">
        <v>2</v>
      </c>
      <c r="H1929">
        <v>64197</v>
      </c>
      <c r="I1929">
        <v>4222</v>
      </c>
      <c r="J1929" t="s">
        <v>14</v>
      </c>
      <c r="K1929" t="str">
        <f>_xlfn.XLOOKUP(datos_ventas[[#This Row],[Ciudad]],Tabla2[Ciudades],Tabla2[Provincias],"no se encuentra")</f>
        <v>Madrid</v>
      </c>
      <c r="L1929" t="str">
        <f>_xlfn.XLOOKUP(datos_ventas[[#This Row],[Provincia]],Tabla2[Provincias],Tabla2[Comunidades],"no se encuentra")</f>
        <v>Comunidad de Madrid</v>
      </c>
      <c r="M1929" t="s">
        <v>19</v>
      </c>
      <c r="N1929">
        <v>1</v>
      </c>
    </row>
    <row r="1930" spans="1:14" x14ac:dyDescent="0.25">
      <c r="A1930">
        <v>2929</v>
      </c>
      <c r="B1930" s="1">
        <v>45737</v>
      </c>
      <c r="C1930" s="4">
        <f>MONTH(datos_ventas[[#This Row],[Fecha]])</f>
        <v>3</v>
      </c>
      <c r="D1930" s="4">
        <f>WEEKNUM(datos_ventas[[#This Row],[Fecha]],2)</f>
        <v>12</v>
      </c>
      <c r="E1930" t="s">
        <v>23</v>
      </c>
      <c r="F1930" t="s">
        <v>18</v>
      </c>
      <c r="G1930">
        <v>2</v>
      </c>
      <c r="H1930">
        <v>31476</v>
      </c>
      <c r="I1930">
        <v>4832</v>
      </c>
      <c r="J1930" t="s">
        <v>32</v>
      </c>
      <c r="K1930" t="str">
        <f>_xlfn.XLOOKUP(datos_ventas[[#This Row],[Ciudad]],Tabla2[Ciudades],Tabla2[Provincias],"no se encuentra")</f>
        <v>Barcelona</v>
      </c>
      <c r="L1930" t="str">
        <f>_xlfn.XLOOKUP(datos_ventas[[#This Row],[Provincia]],Tabla2[Provincias],Tabla2[Comunidades],"no se encuentra")</f>
        <v>Cataluña</v>
      </c>
      <c r="M1930" t="s">
        <v>15</v>
      </c>
      <c r="N1930">
        <v>4</v>
      </c>
    </row>
    <row r="1931" spans="1:14" x14ac:dyDescent="0.25">
      <c r="A1931">
        <v>2930</v>
      </c>
      <c r="B1931" s="1">
        <v>45744</v>
      </c>
      <c r="C1931" s="4">
        <f>MONTH(datos_ventas[[#This Row],[Fecha]])</f>
        <v>3</v>
      </c>
      <c r="D1931" s="4">
        <f>WEEKNUM(datos_ventas[[#This Row],[Fecha]],2)</f>
        <v>13</v>
      </c>
      <c r="E1931" t="s">
        <v>23</v>
      </c>
      <c r="F1931" t="s">
        <v>18</v>
      </c>
      <c r="G1931">
        <v>5</v>
      </c>
      <c r="H1931">
        <v>31018</v>
      </c>
      <c r="I1931">
        <v>2796</v>
      </c>
      <c r="J1931" t="s">
        <v>31</v>
      </c>
      <c r="K1931" t="str">
        <f>_xlfn.XLOOKUP(datos_ventas[[#This Row],[Ciudad]],Tabla2[Ciudades],Tabla2[Provincias],"no se encuentra")</f>
        <v>Vizcaya</v>
      </c>
      <c r="L1931" t="str">
        <f>_xlfn.XLOOKUP(datos_ventas[[#This Row],[Provincia]],Tabla2[Provincias],Tabla2[Comunidades],"no se encuentra")</f>
        <v>País Vasco</v>
      </c>
      <c r="M1931" t="s">
        <v>15</v>
      </c>
      <c r="N1931">
        <v>2</v>
      </c>
    </row>
    <row r="1932" spans="1:14" x14ac:dyDescent="0.25">
      <c r="A1932">
        <v>2931</v>
      </c>
      <c r="B1932" s="1">
        <v>45757</v>
      </c>
      <c r="C1932" s="4">
        <f>MONTH(datos_ventas[[#This Row],[Fecha]])</f>
        <v>4</v>
      </c>
      <c r="D1932" s="4">
        <f>WEEKNUM(datos_ventas[[#This Row],[Fecha]],2)</f>
        <v>15</v>
      </c>
      <c r="E1932" t="s">
        <v>23</v>
      </c>
      <c r="F1932" t="s">
        <v>18</v>
      </c>
      <c r="G1932">
        <v>1</v>
      </c>
      <c r="H1932">
        <v>79574</v>
      </c>
      <c r="I1932">
        <v>4447</v>
      </c>
      <c r="J1932" t="s">
        <v>12</v>
      </c>
      <c r="K1932" t="str">
        <f>_xlfn.XLOOKUP(datos_ventas[[#This Row],[Ciudad]],Tabla2[Ciudades],Tabla2[Provincias],"no se encuentra")</f>
        <v>Málaga</v>
      </c>
      <c r="L1932" t="str">
        <f>_xlfn.XLOOKUP(datos_ventas[[#This Row],[Provincia]],Tabla2[Provincias],Tabla2[Comunidades],"no se encuentra")</f>
        <v>Andalucía</v>
      </c>
      <c r="M1932" t="s">
        <v>28</v>
      </c>
      <c r="N1932">
        <v>2</v>
      </c>
    </row>
    <row r="1933" spans="1:14" x14ac:dyDescent="0.25">
      <c r="A1933">
        <v>2932</v>
      </c>
      <c r="B1933" s="1">
        <v>45828</v>
      </c>
      <c r="C1933" s="4">
        <f>MONTH(datos_ventas[[#This Row],[Fecha]])</f>
        <v>6</v>
      </c>
      <c r="D1933" s="4">
        <f>WEEKNUM(datos_ventas[[#This Row],[Fecha]],2)</f>
        <v>25</v>
      </c>
      <c r="E1933" t="s">
        <v>10</v>
      </c>
      <c r="F1933" t="s">
        <v>11</v>
      </c>
      <c r="G1933">
        <v>2</v>
      </c>
      <c r="H1933">
        <v>75737</v>
      </c>
      <c r="I1933">
        <v>1233</v>
      </c>
      <c r="J1933" t="s">
        <v>27</v>
      </c>
      <c r="K1933" t="str">
        <f>_xlfn.XLOOKUP(datos_ventas[[#This Row],[Ciudad]],Tabla2[Ciudades],Tabla2[Provincias],"no se encuentra")</f>
        <v>Sevilla</v>
      </c>
      <c r="L1933" t="str">
        <f>_xlfn.XLOOKUP(datos_ventas[[#This Row],[Provincia]],Tabla2[Provincias],Tabla2[Comunidades],"no se encuentra")</f>
        <v>Andalucía</v>
      </c>
      <c r="M1933" t="s">
        <v>15</v>
      </c>
      <c r="N1933">
        <v>5</v>
      </c>
    </row>
    <row r="1934" spans="1:14" x14ac:dyDescent="0.25">
      <c r="A1934">
        <v>2933</v>
      </c>
      <c r="B1934" s="1">
        <v>45885</v>
      </c>
      <c r="C1934" s="4">
        <f>MONTH(datos_ventas[[#This Row],[Fecha]])</f>
        <v>8</v>
      </c>
      <c r="D1934" s="4">
        <f>WEEKNUM(datos_ventas[[#This Row],[Fecha]],2)</f>
        <v>33</v>
      </c>
      <c r="E1934" t="s">
        <v>16</v>
      </c>
      <c r="F1934" t="s">
        <v>11</v>
      </c>
      <c r="G1934">
        <v>2</v>
      </c>
      <c r="H1934">
        <v>112588</v>
      </c>
      <c r="I1934">
        <v>2756</v>
      </c>
      <c r="J1934" t="s">
        <v>22</v>
      </c>
      <c r="K1934" t="str">
        <f>_xlfn.XLOOKUP(datos_ventas[[#This Row],[Ciudad]],Tabla2[Ciudades],Tabla2[Provincias],"no se encuentra")</f>
        <v>Valencia</v>
      </c>
      <c r="L1934" t="str">
        <f>_xlfn.XLOOKUP(datos_ventas[[#This Row],[Provincia]],Tabla2[Provincias],Tabla2[Comunidades],"no se encuentra")</f>
        <v>Comunidad Valenciana</v>
      </c>
      <c r="M1934" t="s">
        <v>15</v>
      </c>
      <c r="N1934">
        <v>3</v>
      </c>
    </row>
    <row r="1935" spans="1:14" x14ac:dyDescent="0.25">
      <c r="A1935">
        <v>2934</v>
      </c>
      <c r="B1935" s="1">
        <v>45884</v>
      </c>
      <c r="C1935" s="4">
        <f>MONTH(datos_ventas[[#This Row],[Fecha]])</f>
        <v>8</v>
      </c>
      <c r="D1935" s="4">
        <f>WEEKNUM(datos_ventas[[#This Row],[Fecha]],2)</f>
        <v>33</v>
      </c>
      <c r="E1935" t="s">
        <v>29</v>
      </c>
      <c r="F1935" t="s">
        <v>30</v>
      </c>
      <c r="G1935">
        <v>4</v>
      </c>
      <c r="H1935">
        <v>108733</v>
      </c>
      <c r="I1935">
        <v>3097</v>
      </c>
      <c r="J1935" t="s">
        <v>31</v>
      </c>
      <c r="K1935" t="str">
        <f>_xlfn.XLOOKUP(datos_ventas[[#This Row],[Ciudad]],Tabla2[Ciudades],Tabla2[Provincias],"no se encuentra")</f>
        <v>Vizcaya</v>
      </c>
      <c r="L1935" t="str">
        <f>_xlfn.XLOOKUP(datos_ventas[[#This Row],[Provincia]],Tabla2[Provincias],Tabla2[Comunidades],"no se encuentra")</f>
        <v>País Vasco</v>
      </c>
      <c r="M1935" t="s">
        <v>28</v>
      </c>
      <c r="N1935">
        <v>4</v>
      </c>
    </row>
    <row r="1936" spans="1:14" x14ac:dyDescent="0.25">
      <c r="A1936">
        <v>2935</v>
      </c>
      <c r="B1936" s="1">
        <v>45748</v>
      </c>
      <c r="C1936" s="4">
        <f>MONTH(datos_ventas[[#This Row],[Fecha]])</f>
        <v>4</v>
      </c>
      <c r="D1936" s="4">
        <f>WEEKNUM(datos_ventas[[#This Row],[Fecha]],2)</f>
        <v>14</v>
      </c>
      <c r="E1936" t="s">
        <v>23</v>
      </c>
      <c r="F1936" t="s">
        <v>18</v>
      </c>
      <c r="G1936">
        <v>5</v>
      </c>
      <c r="H1936">
        <v>103833</v>
      </c>
      <c r="I1936">
        <v>412</v>
      </c>
      <c r="J1936" t="s">
        <v>12</v>
      </c>
      <c r="K1936" t="str">
        <f>_xlfn.XLOOKUP(datos_ventas[[#This Row],[Ciudad]],Tabla2[Ciudades],Tabla2[Provincias],"no se encuentra")</f>
        <v>Málaga</v>
      </c>
      <c r="L1936" t="str">
        <f>_xlfn.XLOOKUP(datos_ventas[[#This Row],[Provincia]],Tabla2[Provincias],Tabla2[Comunidades],"no se encuentra")</f>
        <v>Andalucía</v>
      </c>
      <c r="M1936" t="s">
        <v>15</v>
      </c>
      <c r="N1936">
        <v>1</v>
      </c>
    </row>
    <row r="1937" spans="1:14" x14ac:dyDescent="0.25">
      <c r="A1937">
        <v>2936</v>
      </c>
      <c r="B1937" s="1">
        <v>45916</v>
      </c>
      <c r="C1937" s="4">
        <f>MONTH(datos_ventas[[#This Row],[Fecha]])</f>
        <v>9</v>
      </c>
      <c r="D1937" s="4">
        <f>WEEKNUM(datos_ventas[[#This Row],[Fecha]],2)</f>
        <v>38</v>
      </c>
      <c r="E1937" t="s">
        <v>17</v>
      </c>
      <c r="F1937" t="s">
        <v>18</v>
      </c>
      <c r="G1937">
        <v>5</v>
      </c>
      <c r="H1937">
        <v>5548</v>
      </c>
      <c r="I1937">
        <v>1913</v>
      </c>
      <c r="J1937" t="s">
        <v>14</v>
      </c>
      <c r="K1937" t="str">
        <f>_xlfn.XLOOKUP(datos_ventas[[#This Row],[Ciudad]],Tabla2[Ciudades],Tabla2[Provincias],"no se encuentra")</f>
        <v>Madrid</v>
      </c>
      <c r="L1937" t="str">
        <f>_xlfn.XLOOKUP(datos_ventas[[#This Row],[Provincia]],Tabla2[Provincias],Tabla2[Comunidades],"no se encuentra")</f>
        <v>Comunidad de Madrid</v>
      </c>
      <c r="M1937" t="s">
        <v>19</v>
      </c>
      <c r="N1937">
        <v>1</v>
      </c>
    </row>
    <row r="1938" spans="1:14" x14ac:dyDescent="0.25">
      <c r="A1938">
        <v>2937</v>
      </c>
      <c r="B1938" s="1">
        <v>45771</v>
      </c>
      <c r="C1938" s="4">
        <f>MONTH(datos_ventas[[#This Row],[Fecha]])</f>
        <v>4</v>
      </c>
      <c r="D1938" s="4">
        <f>WEEKNUM(datos_ventas[[#This Row],[Fecha]],2)</f>
        <v>17</v>
      </c>
      <c r="E1938" t="s">
        <v>26</v>
      </c>
      <c r="F1938" t="s">
        <v>18</v>
      </c>
      <c r="G1938">
        <v>2</v>
      </c>
      <c r="H1938">
        <v>2386</v>
      </c>
      <c r="I1938">
        <v>149</v>
      </c>
      <c r="J1938" t="s">
        <v>14</v>
      </c>
      <c r="K1938" t="str">
        <f>_xlfn.XLOOKUP(datos_ventas[[#This Row],[Ciudad]],Tabla2[Ciudades],Tabla2[Provincias],"no se encuentra")</f>
        <v>Madrid</v>
      </c>
      <c r="L1938" t="str">
        <f>_xlfn.XLOOKUP(datos_ventas[[#This Row],[Provincia]],Tabla2[Provincias],Tabla2[Comunidades],"no se encuentra")</f>
        <v>Comunidad de Madrid</v>
      </c>
      <c r="M1938" t="s">
        <v>13</v>
      </c>
      <c r="N1938">
        <v>2</v>
      </c>
    </row>
    <row r="1939" spans="1:14" x14ac:dyDescent="0.25">
      <c r="A1939">
        <v>2938</v>
      </c>
      <c r="B1939" s="1">
        <v>45910</v>
      </c>
      <c r="C1939" s="4">
        <f>MONTH(datos_ventas[[#This Row],[Fecha]])</f>
        <v>9</v>
      </c>
      <c r="D1939" s="4">
        <f>WEEKNUM(datos_ventas[[#This Row],[Fecha]],2)</f>
        <v>37</v>
      </c>
      <c r="E1939" t="s">
        <v>20</v>
      </c>
      <c r="F1939" t="s">
        <v>21</v>
      </c>
      <c r="G1939">
        <v>5</v>
      </c>
      <c r="H1939">
        <v>13267</v>
      </c>
      <c r="I1939">
        <v>3826</v>
      </c>
      <c r="J1939" t="s">
        <v>12</v>
      </c>
      <c r="K1939" t="str">
        <f>_xlfn.XLOOKUP(datos_ventas[[#This Row],[Ciudad]],Tabla2[Ciudades],Tabla2[Provincias],"no se encuentra")</f>
        <v>Málaga</v>
      </c>
      <c r="L1939" t="str">
        <f>_xlfn.XLOOKUP(datos_ventas[[#This Row],[Provincia]],Tabla2[Provincias],Tabla2[Comunidades],"no se encuentra")</f>
        <v>Andalucía</v>
      </c>
      <c r="M1939" t="s">
        <v>28</v>
      </c>
      <c r="N1939">
        <v>2</v>
      </c>
    </row>
    <row r="1940" spans="1:14" x14ac:dyDescent="0.25">
      <c r="A1940">
        <v>2939</v>
      </c>
      <c r="B1940" s="1">
        <v>45835</v>
      </c>
      <c r="C1940" s="4">
        <f>MONTH(datos_ventas[[#This Row],[Fecha]])</f>
        <v>6</v>
      </c>
      <c r="D1940" s="4">
        <f>WEEKNUM(datos_ventas[[#This Row],[Fecha]],2)</f>
        <v>26</v>
      </c>
      <c r="E1940" t="s">
        <v>23</v>
      </c>
      <c r="F1940" t="s">
        <v>18</v>
      </c>
      <c r="G1940">
        <v>5</v>
      </c>
      <c r="H1940">
        <v>97612</v>
      </c>
      <c r="I1940">
        <v>4103</v>
      </c>
      <c r="J1940" t="s">
        <v>32</v>
      </c>
      <c r="K1940" t="str">
        <f>_xlfn.XLOOKUP(datos_ventas[[#This Row],[Ciudad]],Tabla2[Ciudades],Tabla2[Provincias],"no se encuentra")</f>
        <v>Barcelona</v>
      </c>
      <c r="L1940" t="str">
        <f>_xlfn.XLOOKUP(datos_ventas[[#This Row],[Provincia]],Tabla2[Provincias],Tabla2[Comunidades],"no se encuentra")</f>
        <v>Cataluña</v>
      </c>
      <c r="M1940" t="s">
        <v>28</v>
      </c>
      <c r="N1940">
        <v>1</v>
      </c>
    </row>
    <row r="1941" spans="1:14" x14ac:dyDescent="0.25">
      <c r="A1941">
        <v>2940</v>
      </c>
      <c r="B1941" s="1">
        <v>46010</v>
      </c>
      <c r="C1941" s="4">
        <f>MONTH(datos_ventas[[#This Row],[Fecha]])</f>
        <v>12</v>
      </c>
      <c r="D1941" s="4">
        <f>WEEKNUM(datos_ventas[[#This Row],[Fecha]],2)</f>
        <v>51</v>
      </c>
      <c r="E1941" t="s">
        <v>17</v>
      </c>
      <c r="F1941" t="s">
        <v>18</v>
      </c>
      <c r="G1941">
        <v>1</v>
      </c>
      <c r="H1941">
        <v>40722</v>
      </c>
      <c r="I1941">
        <v>4648</v>
      </c>
      <c r="J1941" t="s">
        <v>12</v>
      </c>
      <c r="K1941" t="str">
        <f>_xlfn.XLOOKUP(datos_ventas[[#This Row],[Ciudad]],Tabla2[Ciudades],Tabla2[Provincias],"no se encuentra")</f>
        <v>Málaga</v>
      </c>
      <c r="L1941" t="str">
        <f>_xlfn.XLOOKUP(datos_ventas[[#This Row],[Provincia]],Tabla2[Provincias],Tabla2[Comunidades],"no se encuentra")</f>
        <v>Andalucía</v>
      </c>
      <c r="M1941" t="s">
        <v>28</v>
      </c>
      <c r="N1941">
        <v>1</v>
      </c>
    </row>
    <row r="1942" spans="1:14" x14ac:dyDescent="0.25">
      <c r="A1942">
        <v>2941</v>
      </c>
      <c r="B1942" s="1">
        <v>45777</v>
      </c>
      <c r="C1942" s="4">
        <f>MONTH(datos_ventas[[#This Row],[Fecha]])</f>
        <v>4</v>
      </c>
      <c r="D1942" s="4">
        <f>WEEKNUM(datos_ventas[[#This Row],[Fecha]],2)</f>
        <v>18</v>
      </c>
      <c r="E1942" t="s">
        <v>23</v>
      </c>
      <c r="F1942" t="s">
        <v>18</v>
      </c>
      <c r="G1942">
        <v>5</v>
      </c>
      <c r="H1942">
        <v>84545</v>
      </c>
      <c r="I1942">
        <v>4033</v>
      </c>
      <c r="J1942" t="s">
        <v>27</v>
      </c>
      <c r="K1942" t="str">
        <f>_xlfn.XLOOKUP(datos_ventas[[#This Row],[Ciudad]],Tabla2[Ciudades],Tabla2[Provincias],"no se encuentra")</f>
        <v>Sevilla</v>
      </c>
      <c r="L1942" t="str">
        <f>_xlfn.XLOOKUP(datos_ventas[[#This Row],[Provincia]],Tabla2[Provincias],Tabla2[Comunidades],"no se encuentra")</f>
        <v>Andalucía</v>
      </c>
      <c r="M1942" t="s">
        <v>15</v>
      </c>
      <c r="N1942">
        <v>4</v>
      </c>
    </row>
    <row r="1943" spans="1:14" x14ac:dyDescent="0.25">
      <c r="A1943">
        <v>2942</v>
      </c>
      <c r="B1943" s="1">
        <v>45749</v>
      </c>
      <c r="C1943" s="4">
        <f>MONTH(datos_ventas[[#This Row],[Fecha]])</f>
        <v>4</v>
      </c>
      <c r="D1943" s="4">
        <f>WEEKNUM(datos_ventas[[#This Row],[Fecha]],2)</f>
        <v>14</v>
      </c>
      <c r="E1943" t="s">
        <v>17</v>
      </c>
      <c r="F1943" t="s">
        <v>18</v>
      </c>
      <c r="G1943">
        <v>5</v>
      </c>
      <c r="H1943">
        <v>54395</v>
      </c>
      <c r="I1943">
        <v>1817</v>
      </c>
      <c r="J1943" t="s">
        <v>27</v>
      </c>
      <c r="K1943" t="str">
        <f>_xlfn.XLOOKUP(datos_ventas[[#This Row],[Ciudad]],Tabla2[Ciudades],Tabla2[Provincias],"no se encuentra")</f>
        <v>Sevilla</v>
      </c>
      <c r="L1943" t="str">
        <f>_xlfn.XLOOKUP(datos_ventas[[#This Row],[Provincia]],Tabla2[Provincias],Tabla2[Comunidades],"no se encuentra")</f>
        <v>Andalucía</v>
      </c>
      <c r="M1943" t="s">
        <v>19</v>
      </c>
      <c r="N1943">
        <v>3</v>
      </c>
    </row>
    <row r="1944" spans="1:14" x14ac:dyDescent="0.25">
      <c r="A1944">
        <v>2943</v>
      </c>
      <c r="B1944" s="1">
        <v>45954</v>
      </c>
      <c r="C1944" s="4">
        <f>MONTH(datos_ventas[[#This Row],[Fecha]])</f>
        <v>10</v>
      </c>
      <c r="D1944" s="4">
        <f>WEEKNUM(datos_ventas[[#This Row],[Fecha]],2)</f>
        <v>43</v>
      </c>
      <c r="E1944" t="s">
        <v>24</v>
      </c>
      <c r="F1944" t="s">
        <v>25</v>
      </c>
      <c r="G1944">
        <v>2</v>
      </c>
      <c r="H1944">
        <v>34888</v>
      </c>
      <c r="I1944">
        <v>4631</v>
      </c>
      <c r="J1944" t="s">
        <v>22</v>
      </c>
      <c r="K1944" t="str">
        <f>_xlfn.XLOOKUP(datos_ventas[[#This Row],[Ciudad]],Tabla2[Ciudades],Tabla2[Provincias],"no se encuentra")</f>
        <v>Valencia</v>
      </c>
      <c r="L1944" t="str">
        <f>_xlfn.XLOOKUP(datos_ventas[[#This Row],[Provincia]],Tabla2[Provincias],Tabla2[Comunidades],"no se encuentra")</f>
        <v>Comunidad Valenciana</v>
      </c>
      <c r="M1944" t="s">
        <v>28</v>
      </c>
      <c r="N1944">
        <v>3</v>
      </c>
    </row>
    <row r="1945" spans="1:14" x14ac:dyDescent="0.25">
      <c r="A1945">
        <v>2944</v>
      </c>
      <c r="B1945" s="1">
        <v>45874</v>
      </c>
      <c r="C1945" s="4">
        <f>MONTH(datos_ventas[[#This Row],[Fecha]])</f>
        <v>8</v>
      </c>
      <c r="D1945" s="4">
        <f>WEEKNUM(datos_ventas[[#This Row],[Fecha]],2)</f>
        <v>32</v>
      </c>
      <c r="E1945" t="s">
        <v>26</v>
      </c>
      <c r="F1945" t="s">
        <v>18</v>
      </c>
      <c r="G1945">
        <v>4</v>
      </c>
      <c r="H1945">
        <v>103462</v>
      </c>
      <c r="I1945">
        <v>2589</v>
      </c>
      <c r="J1945" t="s">
        <v>14</v>
      </c>
      <c r="K1945" t="str">
        <f>_xlfn.XLOOKUP(datos_ventas[[#This Row],[Ciudad]],Tabla2[Ciudades],Tabla2[Provincias],"no se encuentra")</f>
        <v>Madrid</v>
      </c>
      <c r="L1945" t="str">
        <f>_xlfn.XLOOKUP(datos_ventas[[#This Row],[Provincia]],Tabla2[Provincias],Tabla2[Comunidades],"no se encuentra")</f>
        <v>Comunidad de Madrid</v>
      </c>
      <c r="M1945" t="s">
        <v>28</v>
      </c>
      <c r="N1945">
        <v>3</v>
      </c>
    </row>
    <row r="1946" spans="1:14" x14ac:dyDescent="0.25">
      <c r="A1946">
        <v>2945</v>
      </c>
      <c r="B1946" s="1">
        <v>45761</v>
      </c>
      <c r="C1946" s="4">
        <f>MONTH(datos_ventas[[#This Row],[Fecha]])</f>
        <v>4</v>
      </c>
      <c r="D1946" s="4">
        <f>WEEKNUM(datos_ventas[[#This Row],[Fecha]],2)</f>
        <v>16</v>
      </c>
      <c r="E1946" t="s">
        <v>24</v>
      </c>
      <c r="F1946" t="s">
        <v>25</v>
      </c>
      <c r="G1946">
        <v>2</v>
      </c>
      <c r="H1946">
        <v>103088</v>
      </c>
      <c r="I1946">
        <v>3633</v>
      </c>
      <c r="J1946" t="s">
        <v>14</v>
      </c>
      <c r="K1946" t="str">
        <f>_xlfn.XLOOKUP(datos_ventas[[#This Row],[Ciudad]],Tabla2[Ciudades],Tabla2[Provincias],"no se encuentra")</f>
        <v>Madrid</v>
      </c>
      <c r="L1946" t="str">
        <f>_xlfn.XLOOKUP(datos_ventas[[#This Row],[Provincia]],Tabla2[Provincias],Tabla2[Comunidades],"no se encuentra")</f>
        <v>Comunidad de Madrid</v>
      </c>
      <c r="M1946" t="s">
        <v>28</v>
      </c>
      <c r="N1946">
        <v>3</v>
      </c>
    </row>
    <row r="1947" spans="1:14" x14ac:dyDescent="0.25">
      <c r="A1947">
        <v>2946</v>
      </c>
      <c r="B1947" s="1">
        <v>45935</v>
      </c>
      <c r="C1947" s="4">
        <f>MONTH(datos_ventas[[#This Row],[Fecha]])</f>
        <v>10</v>
      </c>
      <c r="D1947" s="4">
        <f>WEEKNUM(datos_ventas[[#This Row],[Fecha]],2)</f>
        <v>40</v>
      </c>
      <c r="E1947" t="s">
        <v>26</v>
      </c>
      <c r="F1947" t="s">
        <v>18</v>
      </c>
      <c r="G1947">
        <v>3</v>
      </c>
      <c r="H1947">
        <v>78557</v>
      </c>
      <c r="I1947">
        <v>1982</v>
      </c>
      <c r="J1947" t="s">
        <v>22</v>
      </c>
      <c r="K1947" t="str">
        <f>_xlfn.XLOOKUP(datos_ventas[[#This Row],[Ciudad]],Tabla2[Ciudades],Tabla2[Provincias],"no se encuentra")</f>
        <v>Valencia</v>
      </c>
      <c r="L1947" t="str">
        <f>_xlfn.XLOOKUP(datos_ventas[[#This Row],[Provincia]],Tabla2[Provincias],Tabla2[Comunidades],"no se encuentra")</f>
        <v>Comunidad Valenciana</v>
      </c>
      <c r="M1947" t="s">
        <v>28</v>
      </c>
      <c r="N1947">
        <v>5</v>
      </c>
    </row>
    <row r="1948" spans="1:14" x14ac:dyDescent="0.25">
      <c r="A1948">
        <v>2947</v>
      </c>
      <c r="B1948" s="1">
        <v>45773</v>
      </c>
      <c r="C1948" s="4">
        <f>MONTH(datos_ventas[[#This Row],[Fecha]])</f>
        <v>4</v>
      </c>
      <c r="D1948" s="4">
        <f>WEEKNUM(datos_ventas[[#This Row],[Fecha]],2)</f>
        <v>17</v>
      </c>
      <c r="E1948" t="s">
        <v>29</v>
      </c>
      <c r="F1948" t="s">
        <v>30</v>
      </c>
      <c r="G1948">
        <v>4</v>
      </c>
      <c r="H1948">
        <v>44381</v>
      </c>
      <c r="I1948">
        <v>4119</v>
      </c>
      <c r="J1948" t="s">
        <v>14</v>
      </c>
      <c r="K1948" t="str">
        <f>_xlfn.XLOOKUP(datos_ventas[[#This Row],[Ciudad]],Tabla2[Ciudades],Tabla2[Provincias],"no se encuentra")</f>
        <v>Madrid</v>
      </c>
      <c r="L1948" t="str">
        <f>_xlfn.XLOOKUP(datos_ventas[[#This Row],[Provincia]],Tabla2[Provincias],Tabla2[Comunidades],"no se encuentra")</f>
        <v>Comunidad de Madrid</v>
      </c>
      <c r="M1948" t="s">
        <v>15</v>
      </c>
      <c r="N1948">
        <v>2</v>
      </c>
    </row>
    <row r="1949" spans="1:14" x14ac:dyDescent="0.25">
      <c r="A1949">
        <v>2948</v>
      </c>
      <c r="B1949" s="1">
        <v>45925</v>
      </c>
      <c r="C1949" s="4">
        <f>MONTH(datos_ventas[[#This Row],[Fecha]])</f>
        <v>9</v>
      </c>
      <c r="D1949" s="4">
        <f>WEEKNUM(datos_ventas[[#This Row],[Fecha]],2)</f>
        <v>39</v>
      </c>
      <c r="E1949" t="s">
        <v>10</v>
      </c>
      <c r="F1949" t="s">
        <v>11</v>
      </c>
      <c r="G1949">
        <v>1</v>
      </c>
      <c r="H1949">
        <v>52231</v>
      </c>
      <c r="I1949">
        <v>4125</v>
      </c>
      <c r="J1949" t="s">
        <v>12</v>
      </c>
      <c r="K1949" t="str">
        <f>_xlfn.XLOOKUP(datos_ventas[[#This Row],[Ciudad]],Tabla2[Ciudades],Tabla2[Provincias],"no se encuentra")</f>
        <v>Málaga</v>
      </c>
      <c r="L1949" t="str">
        <f>_xlfn.XLOOKUP(datos_ventas[[#This Row],[Provincia]],Tabla2[Provincias],Tabla2[Comunidades],"no se encuentra")</f>
        <v>Andalucía</v>
      </c>
      <c r="M1949" t="s">
        <v>19</v>
      </c>
      <c r="N1949">
        <v>3</v>
      </c>
    </row>
    <row r="1950" spans="1:14" x14ac:dyDescent="0.25">
      <c r="A1950">
        <v>2949</v>
      </c>
      <c r="B1950" s="1">
        <v>45994</v>
      </c>
      <c r="C1950" s="4">
        <f>MONTH(datos_ventas[[#This Row],[Fecha]])</f>
        <v>12</v>
      </c>
      <c r="D1950" s="4">
        <f>WEEKNUM(datos_ventas[[#This Row],[Fecha]],2)</f>
        <v>49</v>
      </c>
      <c r="E1950" t="s">
        <v>16</v>
      </c>
      <c r="F1950" t="s">
        <v>11</v>
      </c>
      <c r="G1950">
        <v>3</v>
      </c>
      <c r="H1950">
        <v>35701</v>
      </c>
      <c r="I1950">
        <v>4181</v>
      </c>
      <c r="J1950" t="s">
        <v>27</v>
      </c>
      <c r="K1950" t="str">
        <f>_xlfn.XLOOKUP(datos_ventas[[#This Row],[Ciudad]],Tabla2[Ciudades],Tabla2[Provincias],"no se encuentra")</f>
        <v>Sevilla</v>
      </c>
      <c r="L1950" t="str">
        <f>_xlfn.XLOOKUP(datos_ventas[[#This Row],[Provincia]],Tabla2[Provincias],Tabla2[Comunidades],"no se encuentra")</f>
        <v>Andalucía</v>
      </c>
      <c r="M1950" t="s">
        <v>19</v>
      </c>
      <c r="N1950">
        <v>1</v>
      </c>
    </row>
    <row r="1951" spans="1:14" x14ac:dyDescent="0.25">
      <c r="A1951">
        <v>2950</v>
      </c>
      <c r="B1951" s="1">
        <v>45755</v>
      </c>
      <c r="C1951" s="4">
        <f>MONTH(datos_ventas[[#This Row],[Fecha]])</f>
        <v>4</v>
      </c>
      <c r="D1951" s="4">
        <f>WEEKNUM(datos_ventas[[#This Row],[Fecha]],2)</f>
        <v>15</v>
      </c>
      <c r="E1951" t="s">
        <v>10</v>
      </c>
      <c r="F1951" t="s">
        <v>11</v>
      </c>
      <c r="G1951">
        <v>4</v>
      </c>
      <c r="H1951">
        <v>94162</v>
      </c>
      <c r="I1951">
        <v>278</v>
      </c>
      <c r="J1951" t="s">
        <v>31</v>
      </c>
      <c r="K1951" t="str">
        <f>_xlfn.XLOOKUP(datos_ventas[[#This Row],[Ciudad]],Tabla2[Ciudades],Tabla2[Provincias],"no se encuentra")</f>
        <v>Vizcaya</v>
      </c>
      <c r="L1951" t="str">
        <f>_xlfn.XLOOKUP(datos_ventas[[#This Row],[Provincia]],Tabla2[Provincias],Tabla2[Comunidades],"no se encuentra")</f>
        <v>País Vasco</v>
      </c>
      <c r="M1951" t="s">
        <v>13</v>
      </c>
      <c r="N1951">
        <v>5</v>
      </c>
    </row>
    <row r="1952" spans="1:14" x14ac:dyDescent="0.25">
      <c r="A1952">
        <v>2951</v>
      </c>
      <c r="B1952" s="1">
        <v>45662</v>
      </c>
      <c r="C1952" s="4">
        <f>MONTH(datos_ventas[[#This Row],[Fecha]])</f>
        <v>1</v>
      </c>
      <c r="D1952" s="4">
        <f>WEEKNUM(datos_ventas[[#This Row],[Fecha]],2)</f>
        <v>1</v>
      </c>
      <c r="E1952" t="s">
        <v>26</v>
      </c>
      <c r="F1952" t="s">
        <v>18</v>
      </c>
      <c r="G1952">
        <v>2</v>
      </c>
      <c r="H1952">
        <v>48192</v>
      </c>
      <c r="I1952">
        <v>3645</v>
      </c>
      <c r="J1952" t="s">
        <v>32</v>
      </c>
      <c r="K1952" t="str">
        <f>_xlfn.XLOOKUP(datos_ventas[[#This Row],[Ciudad]],Tabla2[Ciudades],Tabla2[Provincias],"no se encuentra")</f>
        <v>Barcelona</v>
      </c>
      <c r="L1952" t="str">
        <f>_xlfn.XLOOKUP(datos_ventas[[#This Row],[Provincia]],Tabla2[Provincias],Tabla2[Comunidades],"no se encuentra")</f>
        <v>Cataluña</v>
      </c>
      <c r="M1952" t="s">
        <v>15</v>
      </c>
      <c r="N1952">
        <v>2</v>
      </c>
    </row>
    <row r="1953" spans="1:14" x14ac:dyDescent="0.25">
      <c r="A1953">
        <v>2952</v>
      </c>
      <c r="B1953" s="1">
        <v>45918</v>
      </c>
      <c r="C1953" s="4">
        <f>MONTH(datos_ventas[[#This Row],[Fecha]])</f>
        <v>9</v>
      </c>
      <c r="D1953" s="4">
        <f>WEEKNUM(datos_ventas[[#This Row],[Fecha]],2)</f>
        <v>38</v>
      </c>
      <c r="E1953" t="s">
        <v>17</v>
      </c>
      <c r="F1953" t="s">
        <v>18</v>
      </c>
      <c r="G1953">
        <v>5</v>
      </c>
      <c r="H1953">
        <v>23417</v>
      </c>
      <c r="I1953">
        <v>1729</v>
      </c>
      <c r="J1953" t="s">
        <v>14</v>
      </c>
      <c r="K1953" t="str">
        <f>_xlfn.XLOOKUP(datos_ventas[[#This Row],[Ciudad]],Tabla2[Ciudades],Tabla2[Provincias],"no se encuentra")</f>
        <v>Madrid</v>
      </c>
      <c r="L1953" t="str">
        <f>_xlfn.XLOOKUP(datos_ventas[[#This Row],[Provincia]],Tabla2[Provincias],Tabla2[Comunidades],"no se encuentra")</f>
        <v>Comunidad de Madrid</v>
      </c>
      <c r="M1953" t="s">
        <v>15</v>
      </c>
      <c r="N1953">
        <v>1</v>
      </c>
    </row>
    <row r="1954" spans="1:14" x14ac:dyDescent="0.25">
      <c r="A1954">
        <v>2953</v>
      </c>
      <c r="B1954" s="1">
        <v>46016</v>
      </c>
      <c r="C1954" s="4">
        <f>MONTH(datos_ventas[[#This Row],[Fecha]])</f>
        <v>12</v>
      </c>
      <c r="D1954" s="4">
        <f>WEEKNUM(datos_ventas[[#This Row],[Fecha]],2)</f>
        <v>52</v>
      </c>
      <c r="E1954" t="s">
        <v>29</v>
      </c>
      <c r="F1954" t="s">
        <v>30</v>
      </c>
      <c r="G1954">
        <v>3</v>
      </c>
      <c r="H1954">
        <v>82127</v>
      </c>
      <c r="I1954">
        <v>2141</v>
      </c>
      <c r="J1954" t="s">
        <v>22</v>
      </c>
      <c r="K1954" t="str">
        <f>_xlfn.XLOOKUP(datos_ventas[[#This Row],[Ciudad]],Tabla2[Ciudades],Tabla2[Provincias],"no se encuentra")</f>
        <v>Valencia</v>
      </c>
      <c r="L1954" t="str">
        <f>_xlfn.XLOOKUP(datos_ventas[[#This Row],[Provincia]],Tabla2[Provincias],Tabla2[Comunidades],"no se encuentra")</f>
        <v>Comunidad Valenciana</v>
      </c>
      <c r="M1954" t="s">
        <v>15</v>
      </c>
      <c r="N1954">
        <v>1</v>
      </c>
    </row>
    <row r="1955" spans="1:14" x14ac:dyDescent="0.25">
      <c r="A1955">
        <v>2954</v>
      </c>
      <c r="B1955" s="1">
        <v>45724</v>
      </c>
      <c r="C1955" s="4">
        <f>MONTH(datos_ventas[[#This Row],[Fecha]])</f>
        <v>3</v>
      </c>
      <c r="D1955" s="4">
        <f>WEEKNUM(datos_ventas[[#This Row],[Fecha]],2)</f>
        <v>10</v>
      </c>
      <c r="E1955" t="s">
        <v>24</v>
      </c>
      <c r="F1955" t="s">
        <v>25</v>
      </c>
      <c r="G1955">
        <v>2</v>
      </c>
      <c r="H1955">
        <v>7814</v>
      </c>
      <c r="I1955">
        <v>1851</v>
      </c>
      <c r="J1955" t="s">
        <v>14</v>
      </c>
      <c r="K1955" t="str">
        <f>_xlfn.XLOOKUP(datos_ventas[[#This Row],[Ciudad]],Tabla2[Ciudades],Tabla2[Provincias],"no se encuentra")</f>
        <v>Madrid</v>
      </c>
      <c r="L1955" t="str">
        <f>_xlfn.XLOOKUP(datos_ventas[[#This Row],[Provincia]],Tabla2[Provincias],Tabla2[Comunidades],"no se encuentra")</f>
        <v>Comunidad de Madrid</v>
      </c>
      <c r="M1955" t="s">
        <v>15</v>
      </c>
      <c r="N1955">
        <v>3</v>
      </c>
    </row>
    <row r="1956" spans="1:14" x14ac:dyDescent="0.25">
      <c r="A1956">
        <v>2955</v>
      </c>
      <c r="B1956" s="1">
        <v>45951</v>
      </c>
      <c r="C1956" s="4">
        <f>MONTH(datos_ventas[[#This Row],[Fecha]])</f>
        <v>10</v>
      </c>
      <c r="D1956" s="4">
        <f>WEEKNUM(datos_ventas[[#This Row],[Fecha]],2)</f>
        <v>43</v>
      </c>
      <c r="E1956" t="s">
        <v>24</v>
      </c>
      <c r="F1956" t="s">
        <v>25</v>
      </c>
      <c r="G1956">
        <v>3</v>
      </c>
      <c r="H1956">
        <v>117483</v>
      </c>
      <c r="I1956">
        <v>3976</v>
      </c>
      <c r="J1956" t="s">
        <v>31</v>
      </c>
      <c r="K1956" t="str">
        <f>_xlfn.XLOOKUP(datos_ventas[[#This Row],[Ciudad]],Tabla2[Ciudades],Tabla2[Provincias],"no se encuentra")</f>
        <v>Vizcaya</v>
      </c>
      <c r="L1956" t="str">
        <f>_xlfn.XLOOKUP(datos_ventas[[#This Row],[Provincia]],Tabla2[Provincias],Tabla2[Comunidades],"no se encuentra")</f>
        <v>País Vasco</v>
      </c>
      <c r="M1956" t="s">
        <v>15</v>
      </c>
      <c r="N1956">
        <v>5</v>
      </c>
    </row>
    <row r="1957" spans="1:14" x14ac:dyDescent="0.25">
      <c r="A1957">
        <v>2956</v>
      </c>
      <c r="B1957" s="1">
        <v>45739</v>
      </c>
      <c r="C1957" s="4">
        <f>MONTH(datos_ventas[[#This Row],[Fecha]])</f>
        <v>3</v>
      </c>
      <c r="D1957" s="4">
        <f>WEEKNUM(datos_ventas[[#This Row],[Fecha]],2)</f>
        <v>12</v>
      </c>
      <c r="E1957" t="s">
        <v>23</v>
      </c>
      <c r="F1957" t="s">
        <v>18</v>
      </c>
      <c r="G1957">
        <v>1</v>
      </c>
      <c r="H1957">
        <v>101977</v>
      </c>
      <c r="I1957">
        <v>891</v>
      </c>
      <c r="J1957" t="s">
        <v>12</v>
      </c>
      <c r="K1957" t="str">
        <f>_xlfn.XLOOKUP(datos_ventas[[#This Row],[Ciudad]],Tabla2[Ciudades],Tabla2[Provincias],"no se encuentra")</f>
        <v>Málaga</v>
      </c>
      <c r="L1957" t="str">
        <f>_xlfn.XLOOKUP(datos_ventas[[#This Row],[Provincia]],Tabla2[Provincias],Tabla2[Comunidades],"no se encuentra")</f>
        <v>Andalucía</v>
      </c>
      <c r="M1957" t="s">
        <v>19</v>
      </c>
      <c r="N1957">
        <v>3</v>
      </c>
    </row>
    <row r="1958" spans="1:14" x14ac:dyDescent="0.25">
      <c r="A1958">
        <v>2957</v>
      </c>
      <c r="B1958" s="1">
        <v>45961</v>
      </c>
      <c r="C1958" s="4">
        <f>MONTH(datos_ventas[[#This Row],[Fecha]])</f>
        <v>10</v>
      </c>
      <c r="D1958" s="4">
        <f>WEEKNUM(datos_ventas[[#This Row],[Fecha]],2)</f>
        <v>44</v>
      </c>
      <c r="E1958" t="s">
        <v>24</v>
      </c>
      <c r="F1958" t="s">
        <v>25</v>
      </c>
      <c r="G1958">
        <v>5</v>
      </c>
      <c r="H1958">
        <v>8293</v>
      </c>
      <c r="I1958">
        <v>141</v>
      </c>
      <c r="J1958" t="s">
        <v>22</v>
      </c>
      <c r="K1958" t="str">
        <f>_xlfn.XLOOKUP(datos_ventas[[#This Row],[Ciudad]],Tabla2[Ciudades],Tabla2[Provincias],"no se encuentra")</f>
        <v>Valencia</v>
      </c>
      <c r="L1958" t="str">
        <f>_xlfn.XLOOKUP(datos_ventas[[#This Row],[Provincia]],Tabla2[Provincias],Tabla2[Comunidades],"no se encuentra")</f>
        <v>Comunidad Valenciana</v>
      </c>
      <c r="M1958" t="s">
        <v>19</v>
      </c>
      <c r="N1958">
        <v>5</v>
      </c>
    </row>
    <row r="1959" spans="1:14" x14ac:dyDescent="0.25">
      <c r="A1959">
        <v>2958</v>
      </c>
      <c r="B1959" s="1">
        <v>45852</v>
      </c>
      <c r="C1959" s="4">
        <f>MONTH(datos_ventas[[#This Row],[Fecha]])</f>
        <v>7</v>
      </c>
      <c r="D1959" s="4">
        <f>WEEKNUM(datos_ventas[[#This Row],[Fecha]],2)</f>
        <v>29</v>
      </c>
      <c r="E1959" t="s">
        <v>16</v>
      </c>
      <c r="F1959" t="s">
        <v>11</v>
      </c>
      <c r="G1959">
        <v>3</v>
      </c>
      <c r="H1959">
        <v>23641</v>
      </c>
      <c r="I1959">
        <v>3612</v>
      </c>
      <c r="J1959" t="s">
        <v>12</v>
      </c>
      <c r="K1959" t="str">
        <f>_xlfn.XLOOKUP(datos_ventas[[#This Row],[Ciudad]],Tabla2[Ciudades],Tabla2[Provincias],"no se encuentra")</f>
        <v>Málaga</v>
      </c>
      <c r="L1959" t="str">
        <f>_xlfn.XLOOKUP(datos_ventas[[#This Row],[Provincia]],Tabla2[Provincias],Tabla2[Comunidades],"no se encuentra")</f>
        <v>Andalucía</v>
      </c>
      <c r="M1959" t="s">
        <v>28</v>
      </c>
      <c r="N1959">
        <v>5</v>
      </c>
    </row>
    <row r="1960" spans="1:14" x14ac:dyDescent="0.25">
      <c r="A1960">
        <v>2959</v>
      </c>
      <c r="B1960" s="1">
        <v>45795</v>
      </c>
      <c r="C1960" s="4">
        <f>MONTH(datos_ventas[[#This Row],[Fecha]])</f>
        <v>5</v>
      </c>
      <c r="D1960" s="4">
        <f>WEEKNUM(datos_ventas[[#This Row],[Fecha]],2)</f>
        <v>20</v>
      </c>
      <c r="E1960" t="s">
        <v>23</v>
      </c>
      <c r="F1960" t="s">
        <v>18</v>
      </c>
      <c r="G1960">
        <v>1</v>
      </c>
      <c r="H1960">
        <v>110846</v>
      </c>
      <c r="I1960">
        <v>3591</v>
      </c>
      <c r="J1960" t="s">
        <v>31</v>
      </c>
      <c r="K1960" t="str">
        <f>_xlfn.XLOOKUP(datos_ventas[[#This Row],[Ciudad]],Tabla2[Ciudades],Tabla2[Provincias],"no se encuentra")</f>
        <v>Vizcaya</v>
      </c>
      <c r="L1960" t="str">
        <f>_xlfn.XLOOKUP(datos_ventas[[#This Row],[Provincia]],Tabla2[Provincias],Tabla2[Comunidades],"no se encuentra")</f>
        <v>País Vasco</v>
      </c>
      <c r="M1960" t="s">
        <v>15</v>
      </c>
      <c r="N1960">
        <v>5</v>
      </c>
    </row>
    <row r="1961" spans="1:14" x14ac:dyDescent="0.25">
      <c r="A1961">
        <v>2960</v>
      </c>
      <c r="B1961" s="1">
        <v>45926</v>
      </c>
      <c r="C1961" s="4">
        <f>MONTH(datos_ventas[[#This Row],[Fecha]])</f>
        <v>9</v>
      </c>
      <c r="D1961" s="4">
        <f>WEEKNUM(datos_ventas[[#This Row],[Fecha]],2)</f>
        <v>39</v>
      </c>
      <c r="E1961" t="s">
        <v>23</v>
      </c>
      <c r="F1961" t="s">
        <v>18</v>
      </c>
      <c r="G1961">
        <v>5</v>
      </c>
      <c r="H1961">
        <v>89644</v>
      </c>
      <c r="I1961">
        <v>4149</v>
      </c>
      <c r="J1961" t="s">
        <v>32</v>
      </c>
      <c r="K1961" t="str">
        <f>_xlfn.XLOOKUP(datos_ventas[[#This Row],[Ciudad]],Tabla2[Ciudades],Tabla2[Provincias],"no se encuentra")</f>
        <v>Barcelona</v>
      </c>
      <c r="L1961" t="str">
        <f>_xlfn.XLOOKUP(datos_ventas[[#This Row],[Provincia]],Tabla2[Provincias],Tabla2[Comunidades],"no se encuentra")</f>
        <v>Cataluña</v>
      </c>
      <c r="M1961" t="s">
        <v>28</v>
      </c>
      <c r="N1961">
        <v>1</v>
      </c>
    </row>
    <row r="1962" spans="1:14" x14ac:dyDescent="0.25">
      <c r="A1962">
        <v>2961</v>
      </c>
      <c r="B1962" s="1">
        <v>45734</v>
      </c>
      <c r="C1962" s="4">
        <f>MONTH(datos_ventas[[#This Row],[Fecha]])</f>
        <v>3</v>
      </c>
      <c r="D1962" s="4">
        <f>WEEKNUM(datos_ventas[[#This Row],[Fecha]],2)</f>
        <v>12</v>
      </c>
      <c r="E1962" t="s">
        <v>17</v>
      </c>
      <c r="F1962" t="s">
        <v>18</v>
      </c>
      <c r="G1962">
        <v>4</v>
      </c>
      <c r="H1962">
        <v>73234</v>
      </c>
      <c r="I1962">
        <v>908</v>
      </c>
      <c r="J1962" t="s">
        <v>27</v>
      </c>
      <c r="K1962" t="str">
        <f>_xlfn.XLOOKUP(datos_ventas[[#This Row],[Ciudad]],Tabla2[Ciudades],Tabla2[Provincias],"no se encuentra")</f>
        <v>Sevilla</v>
      </c>
      <c r="L1962" t="str">
        <f>_xlfn.XLOOKUP(datos_ventas[[#This Row],[Provincia]],Tabla2[Provincias],Tabla2[Comunidades],"no se encuentra")</f>
        <v>Andalucía</v>
      </c>
      <c r="M1962" t="s">
        <v>19</v>
      </c>
      <c r="N1962">
        <v>5</v>
      </c>
    </row>
    <row r="1963" spans="1:14" x14ac:dyDescent="0.25">
      <c r="A1963">
        <v>2962</v>
      </c>
      <c r="B1963" s="1">
        <v>45785</v>
      </c>
      <c r="C1963" s="4">
        <f>MONTH(datos_ventas[[#This Row],[Fecha]])</f>
        <v>5</v>
      </c>
      <c r="D1963" s="4">
        <f>WEEKNUM(datos_ventas[[#This Row],[Fecha]],2)</f>
        <v>19</v>
      </c>
      <c r="E1963" t="s">
        <v>10</v>
      </c>
      <c r="F1963" t="s">
        <v>11</v>
      </c>
      <c r="G1963">
        <v>3</v>
      </c>
      <c r="H1963">
        <v>2866</v>
      </c>
      <c r="I1963">
        <v>555</v>
      </c>
      <c r="J1963" t="s">
        <v>27</v>
      </c>
      <c r="K1963" t="str">
        <f>_xlfn.XLOOKUP(datos_ventas[[#This Row],[Ciudad]],Tabla2[Ciudades],Tabla2[Provincias],"no se encuentra")</f>
        <v>Sevilla</v>
      </c>
      <c r="L1963" t="str">
        <f>_xlfn.XLOOKUP(datos_ventas[[#This Row],[Provincia]],Tabla2[Provincias],Tabla2[Comunidades],"no se encuentra")</f>
        <v>Andalucía</v>
      </c>
      <c r="M1963" t="s">
        <v>19</v>
      </c>
      <c r="N1963">
        <v>5</v>
      </c>
    </row>
    <row r="1964" spans="1:14" x14ac:dyDescent="0.25">
      <c r="A1964">
        <v>2963</v>
      </c>
      <c r="B1964" s="1">
        <v>45715</v>
      </c>
      <c r="C1964" s="4">
        <f>MONTH(datos_ventas[[#This Row],[Fecha]])</f>
        <v>2</v>
      </c>
      <c r="D1964" s="4">
        <f>WEEKNUM(datos_ventas[[#This Row],[Fecha]],2)</f>
        <v>9</v>
      </c>
      <c r="E1964" t="s">
        <v>16</v>
      </c>
      <c r="F1964" t="s">
        <v>11</v>
      </c>
      <c r="G1964">
        <v>3</v>
      </c>
      <c r="H1964">
        <v>97669</v>
      </c>
      <c r="I1964">
        <v>166</v>
      </c>
      <c r="J1964" t="s">
        <v>32</v>
      </c>
      <c r="K1964" t="str">
        <f>_xlfn.XLOOKUP(datos_ventas[[#This Row],[Ciudad]],Tabla2[Ciudades],Tabla2[Provincias],"no se encuentra")</f>
        <v>Barcelona</v>
      </c>
      <c r="L1964" t="str">
        <f>_xlfn.XLOOKUP(datos_ventas[[#This Row],[Provincia]],Tabla2[Provincias],Tabla2[Comunidades],"no se encuentra")</f>
        <v>Cataluña</v>
      </c>
      <c r="M1964" t="s">
        <v>19</v>
      </c>
      <c r="N1964">
        <v>2</v>
      </c>
    </row>
    <row r="1965" spans="1:14" x14ac:dyDescent="0.25">
      <c r="A1965">
        <v>2964</v>
      </c>
      <c r="B1965" s="1">
        <v>45793</v>
      </c>
      <c r="C1965" s="4">
        <f>MONTH(datos_ventas[[#This Row],[Fecha]])</f>
        <v>5</v>
      </c>
      <c r="D1965" s="4">
        <f>WEEKNUM(datos_ventas[[#This Row],[Fecha]],2)</f>
        <v>20</v>
      </c>
      <c r="E1965" t="s">
        <v>17</v>
      </c>
      <c r="F1965" t="s">
        <v>18</v>
      </c>
      <c r="G1965">
        <v>5</v>
      </c>
      <c r="H1965">
        <v>8032</v>
      </c>
      <c r="I1965">
        <v>4451</v>
      </c>
      <c r="J1965" t="s">
        <v>12</v>
      </c>
      <c r="K1965" t="str">
        <f>_xlfn.XLOOKUP(datos_ventas[[#This Row],[Ciudad]],Tabla2[Ciudades],Tabla2[Provincias],"no se encuentra")</f>
        <v>Málaga</v>
      </c>
      <c r="L1965" t="str">
        <f>_xlfn.XLOOKUP(datos_ventas[[#This Row],[Provincia]],Tabla2[Provincias],Tabla2[Comunidades],"no se encuentra")</f>
        <v>Andalucía</v>
      </c>
      <c r="M1965" t="s">
        <v>28</v>
      </c>
      <c r="N1965">
        <v>4</v>
      </c>
    </row>
    <row r="1966" spans="1:14" x14ac:dyDescent="0.25">
      <c r="A1966">
        <v>2965</v>
      </c>
      <c r="B1966" s="1">
        <v>45698</v>
      </c>
      <c r="C1966" s="4">
        <f>MONTH(datos_ventas[[#This Row],[Fecha]])</f>
        <v>2</v>
      </c>
      <c r="D1966" s="4">
        <f>WEEKNUM(datos_ventas[[#This Row],[Fecha]],2)</f>
        <v>7</v>
      </c>
      <c r="E1966" t="s">
        <v>23</v>
      </c>
      <c r="F1966" t="s">
        <v>18</v>
      </c>
      <c r="G1966">
        <v>5</v>
      </c>
      <c r="H1966">
        <v>10421</v>
      </c>
      <c r="I1966">
        <v>2817</v>
      </c>
      <c r="J1966" t="s">
        <v>32</v>
      </c>
      <c r="K1966" t="str">
        <f>_xlfn.XLOOKUP(datos_ventas[[#This Row],[Ciudad]],Tabla2[Ciudades],Tabla2[Provincias],"no se encuentra")</f>
        <v>Barcelona</v>
      </c>
      <c r="L1966" t="str">
        <f>_xlfn.XLOOKUP(datos_ventas[[#This Row],[Provincia]],Tabla2[Provincias],Tabla2[Comunidades],"no se encuentra")</f>
        <v>Cataluña</v>
      </c>
      <c r="M1966" t="s">
        <v>28</v>
      </c>
      <c r="N1966">
        <v>4</v>
      </c>
    </row>
    <row r="1967" spans="1:14" x14ac:dyDescent="0.25">
      <c r="A1967">
        <v>2966</v>
      </c>
      <c r="B1967" s="1">
        <v>45828</v>
      </c>
      <c r="C1967" s="4">
        <f>MONTH(datos_ventas[[#This Row],[Fecha]])</f>
        <v>6</v>
      </c>
      <c r="D1967" s="4">
        <f>WEEKNUM(datos_ventas[[#This Row],[Fecha]],2)</f>
        <v>25</v>
      </c>
      <c r="E1967" t="s">
        <v>16</v>
      </c>
      <c r="F1967" t="s">
        <v>11</v>
      </c>
      <c r="G1967">
        <v>2</v>
      </c>
      <c r="H1967">
        <v>94608</v>
      </c>
      <c r="I1967">
        <v>424</v>
      </c>
      <c r="J1967" t="s">
        <v>27</v>
      </c>
      <c r="K1967" t="str">
        <f>_xlfn.XLOOKUP(datos_ventas[[#This Row],[Ciudad]],Tabla2[Ciudades],Tabla2[Provincias],"no se encuentra")</f>
        <v>Sevilla</v>
      </c>
      <c r="L1967" t="str">
        <f>_xlfn.XLOOKUP(datos_ventas[[#This Row],[Provincia]],Tabla2[Provincias],Tabla2[Comunidades],"no se encuentra")</f>
        <v>Andalucía</v>
      </c>
      <c r="M1967" t="s">
        <v>28</v>
      </c>
      <c r="N1967">
        <v>4</v>
      </c>
    </row>
    <row r="1968" spans="1:14" x14ac:dyDescent="0.25">
      <c r="A1968">
        <v>2967</v>
      </c>
      <c r="B1968" s="1">
        <v>45803</v>
      </c>
      <c r="C1968" s="4">
        <f>MONTH(datos_ventas[[#This Row],[Fecha]])</f>
        <v>5</v>
      </c>
      <c r="D1968" s="4">
        <f>WEEKNUM(datos_ventas[[#This Row],[Fecha]],2)</f>
        <v>22</v>
      </c>
      <c r="E1968" t="s">
        <v>24</v>
      </c>
      <c r="F1968" t="s">
        <v>25</v>
      </c>
      <c r="G1968">
        <v>2</v>
      </c>
      <c r="H1968">
        <v>8013</v>
      </c>
      <c r="I1968">
        <v>148</v>
      </c>
      <c r="J1968" t="s">
        <v>22</v>
      </c>
      <c r="K1968" t="str">
        <f>_xlfn.XLOOKUP(datos_ventas[[#This Row],[Ciudad]],Tabla2[Ciudades],Tabla2[Provincias],"no se encuentra")</f>
        <v>Valencia</v>
      </c>
      <c r="L1968" t="str">
        <f>_xlfn.XLOOKUP(datos_ventas[[#This Row],[Provincia]],Tabla2[Provincias],Tabla2[Comunidades],"no se encuentra")</f>
        <v>Comunidad Valenciana</v>
      </c>
      <c r="M1968" t="s">
        <v>19</v>
      </c>
      <c r="N1968">
        <v>2</v>
      </c>
    </row>
    <row r="1969" spans="1:14" x14ac:dyDescent="0.25">
      <c r="A1969">
        <v>2968</v>
      </c>
      <c r="B1969" s="1">
        <v>45694</v>
      </c>
      <c r="C1969" s="4">
        <f>MONTH(datos_ventas[[#This Row],[Fecha]])</f>
        <v>2</v>
      </c>
      <c r="D1969" s="4">
        <f>WEEKNUM(datos_ventas[[#This Row],[Fecha]],2)</f>
        <v>6</v>
      </c>
      <c r="E1969" t="s">
        <v>23</v>
      </c>
      <c r="F1969" t="s">
        <v>18</v>
      </c>
      <c r="G1969">
        <v>2</v>
      </c>
      <c r="H1969">
        <v>68258</v>
      </c>
      <c r="I1969">
        <v>335</v>
      </c>
      <c r="J1969" t="s">
        <v>12</v>
      </c>
      <c r="K1969" t="str">
        <f>_xlfn.XLOOKUP(datos_ventas[[#This Row],[Ciudad]],Tabla2[Ciudades],Tabla2[Provincias],"no se encuentra")</f>
        <v>Málaga</v>
      </c>
      <c r="L1969" t="str">
        <f>_xlfn.XLOOKUP(datos_ventas[[#This Row],[Provincia]],Tabla2[Provincias],Tabla2[Comunidades],"no se encuentra")</f>
        <v>Andalucía</v>
      </c>
      <c r="M1969" t="s">
        <v>19</v>
      </c>
      <c r="N1969">
        <v>5</v>
      </c>
    </row>
    <row r="1970" spans="1:14" x14ac:dyDescent="0.25">
      <c r="A1970">
        <v>2969</v>
      </c>
      <c r="B1970" s="1">
        <v>45706</v>
      </c>
      <c r="C1970" s="4">
        <f>MONTH(datos_ventas[[#This Row],[Fecha]])</f>
        <v>2</v>
      </c>
      <c r="D1970" s="4">
        <f>WEEKNUM(datos_ventas[[#This Row],[Fecha]],2)</f>
        <v>8</v>
      </c>
      <c r="E1970" t="s">
        <v>23</v>
      </c>
      <c r="F1970" t="s">
        <v>18</v>
      </c>
      <c r="G1970">
        <v>5</v>
      </c>
      <c r="H1970">
        <v>92595</v>
      </c>
      <c r="I1970">
        <v>1622</v>
      </c>
      <c r="J1970" t="s">
        <v>31</v>
      </c>
      <c r="K1970" t="str">
        <f>_xlfn.XLOOKUP(datos_ventas[[#This Row],[Ciudad]],Tabla2[Ciudades],Tabla2[Provincias],"no se encuentra")</f>
        <v>Vizcaya</v>
      </c>
      <c r="L1970" t="str">
        <f>_xlfn.XLOOKUP(datos_ventas[[#This Row],[Provincia]],Tabla2[Provincias],Tabla2[Comunidades],"no se encuentra")</f>
        <v>País Vasco</v>
      </c>
      <c r="M1970" t="s">
        <v>15</v>
      </c>
      <c r="N1970">
        <v>4</v>
      </c>
    </row>
    <row r="1971" spans="1:14" x14ac:dyDescent="0.25">
      <c r="A1971">
        <v>2970</v>
      </c>
      <c r="B1971" s="1">
        <v>45974</v>
      </c>
      <c r="C1971" s="4">
        <f>MONTH(datos_ventas[[#This Row],[Fecha]])</f>
        <v>11</v>
      </c>
      <c r="D1971" s="4">
        <f>WEEKNUM(datos_ventas[[#This Row],[Fecha]],2)</f>
        <v>46</v>
      </c>
      <c r="E1971" t="s">
        <v>10</v>
      </c>
      <c r="F1971" t="s">
        <v>11</v>
      </c>
      <c r="G1971">
        <v>2</v>
      </c>
      <c r="H1971">
        <v>19667</v>
      </c>
      <c r="I1971">
        <v>1607</v>
      </c>
      <c r="J1971" t="s">
        <v>12</v>
      </c>
      <c r="K1971" t="str">
        <f>_xlfn.XLOOKUP(datos_ventas[[#This Row],[Ciudad]],Tabla2[Ciudades],Tabla2[Provincias],"no se encuentra")</f>
        <v>Málaga</v>
      </c>
      <c r="L1971" t="str">
        <f>_xlfn.XLOOKUP(datos_ventas[[#This Row],[Provincia]],Tabla2[Provincias],Tabla2[Comunidades],"no se encuentra")</f>
        <v>Andalucía</v>
      </c>
      <c r="M1971" t="s">
        <v>28</v>
      </c>
      <c r="N1971">
        <v>4</v>
      </c>
    </row>
    <row r="1972" spans="1:14" x14ac:dyDescent="0.25">
      <c r="A1972">
        <v>2971</v>
      </c>
      <c r="B1972" s="1">
        <v>45918</v>
      </c>
      <c r="C1972" s="4">
        <f>MONTH(datos_ventas[[#This Row],[Fecha]])</f>
        <v>9</v>
      </c>
      <c r="D1972" s="4">
        <f>WEEKNUM(datos_ventas[[#This Row],[Fecha]],2)</f>
        <v>38</v>
      </c>
      <c r="E1972" t="s">
        <v>17</v>
      </c>
      <c r="F1972" t="s">
        <v>18</v>
      </c>
      <c r="G1972">
        <v>1</v>
      </c>
      <c r="H1972">
        <v>7150</v>
      </c>
      <c r="I1972">
        <v>1655</v>
      </c>
      <c r="J1972" t="s">
        <v>27</v>
      </c>
      <c r="K1972" t="str">
        <f>_xlfn.XLOOKUP(datos_ventas[[#This Row],[Ciudad]],Tabla2[Ciudades],Tabla2[Provincias],"no se encuentra")</f>
        <v>Sevilla</v>
      </c>
      <c r="L1972" t="str">
        <f>_xlfn.XLOOKUP(datos_ventas[[#This Row],[Provincia]],Tabla2[Provincias],Tabla2[Comunidades],"no se encuentra")</f>
        <v>Andalucía</v>
      </c>
      <c r="M1972" t="s">
        <v>28</v>
      </c>
      <c r="N1972">
        <v>3</v>
      </c>
    </row>
    <row r="1973" spans="1:14" x14ac:dyDescent="0.25">
      <c r="A1973">
        <v>2972</v>
      </c>
      <c r="B1973" s="1">
        <v>45862</v>
      </c>
      <c r="C1973" s="4">
        <f>MONTH(datos_ventas[[#This Row],[Fecha]])</f>
        <v>7</v>
      </c>
      <c r="D1973" s="4">
        <f>WEEKNUM(datos_ventas[[#This Row],[Fecha]],2)</f>
        <v>30</v>
      </c>
      <c r="E1973" t="s">
        <v>17</v>
      </c>
      <c r="F1973" t="s">
        <v>18</v>
      </c>
      <c r="G1973">
        <v>4</v>
      </c>
      <c r="H1973">
        <v>56986</v>
      </c>
      <c r="I1973">
        <v>3266</v>
      </c>
      <c r="J1973" t="s">
        <v>32</v>
      </c>
      <c r="K1973" t="str">
        <f>_xlfn.XLOOKUP(datos_ventas[[#This Row],[Ciudad]],Tabla2[Ciudades],Tabla2[Provincias],"no se encuentra")</f>
        <v>Barcelona</v>
      </c>
      <c r="L1973" t="str">
        <f>_xlfn.XLOOKUP(datos_ventas[[#This Row],[Provincia]],Tabla2[Provincias],Tabla2[Comunidades],"no se encuentra")</f>
        <v>Cataluña</v>
      </c>
      <c r="M1973" t="s">
        <v>19</v>
      </c>
      <c r="N1973">
        <v>5</v>
      </c>
    </row>
    <row r="1974" spans="1:14" x14ac:dyDescent="0.25">
      <c r="A1974">
        <v>2973</v>
      </c>
      <c r="B1974" s="1">
        <v>45759</v>
      </c>
      <c r="C1974" s="4">
        <f>MONTH(datos_ventas[[#This Row],[Fecha]])</f>
        <v>4</v>
      </c>
      <c r="D1974" s="4">
        <f>WEEKNUM(datos_ventas[[#This Row],[Fecha]],2)</f>
        <v>15</v>
      </c>
      <c r="E1974" t="s">
        <v>20</v>
      </c>
      <c r="F1974" t="s">
        <v>21</v>
      </c>
      <c r="G1974">
        <v>1</v>
      </c>
      <c r="H1974">
        <v>116067</v>
      </c>
      <c r="I1974">
        <v>1349</v>
      </c>
      <c r="J1974" t="s">
        <v>22</v>
      </c>
      <c r="K1974" t="str">
        <f>_xlfn.XLOOKUP(datos_ventas[[#This Row],[Ciudad]],Tabla2[Ciudades],Tabla2[Provincias],"no se encuentra")</f>
        <v>Valencia</v>
      </c>
      <c r="L1974" t="str">
        <f>_xlfn.XLOOKUP(datos_ventas[[#This Row],[Provincia]],Tabla2[Provincias],Tabla2[Comunidades],"no se encuentra")</f>
        <v>Comunidad Valenciana</v>
      </c>
      <c r="M1974" t="s">
        <v>19</v>
      </c>
      <c r="N1974">
        <v>3</v>
      </c>
    </row>
    <row r="1975" spans="1:14" x14ac:dyDescent="0.25">
      <c r="A1975">
        <v>2974</v>
      </c>
      <c r="B1975" s="1">
        <v>45932</v>
      </c>
      <c r="C1975" s="4">
        <f>MONTH(datos_ventas[[#This Row],[Fecha]])</f>
        <v>10</v>
      </c>
      <c r="D1975" s="4">
        <f>WEEKNUM(datos_ventas[[#This Row],[Fecha]],2)</f>
        <v>40</v>
      </c>
      <c r="E1975" t="s">
        <v>23</v>
      </c>
      <c r="F1975" t="s">
        <v>18</v>
      </c>
      <c r="G1975">
        <v>4</v>
      </c>
      <c r="H1975">
        <v>42189</v>
      </c>
      <c r="I1975">
        <v>1364</v>
      </c>
      <c r="J1975" t="s">
        <v>14</v>
      </c>
      <c r="K1975" t="str">
        <f>_xlfn.XLOOKUP(datos_ventas[[#This Row],[Ciudad]],Tabla2[Ciudades],Tabla2[Provincias],"no se encuentra")</f>
        <v>Madrid</v>
      </c>
      <c r="L1975" t="str">
        <f>_xlfn.XLOOKUP(datos_ventas[[#This Row],[Provincia]],Tabla2[Provincias],Tabla2[Comunidades],"no se encuentra")</f>
        <v>Comunidad de Madrid</v>
      </c>
      <c r="M1975" t="s">
        <v>15</v>
      </c>
      <c r="N1975">
        <v>5</v>
      </c>
    </row>
    <row r="1976" spans="1:14" x14ac:dyDescent="0.25">
      <c r="A1976">
        <v>2975</v>
      </c>
      <c r="B1976" s="1">
        <v>45843</v>
      </c>
      <c r="C1976" s="4">
        <f>MONTH(datos_ventas[[#This Row],[Fecha]])</f>
        <v>7</v>
      </c>
      <c r="D1976" s="4">
        <f>WEEKNUM(datos_ventas[[#This Row],[Fecha]],2)</f>
        <v>27</v>
      </c>
      <c r="E1976" t="s">
        <v>10</v>
      </c>
      <c r="F1976" t="s">
        <v>11</v>
      </c>
      <c r="G1976">
        <v>5</v>
      </c>
      <c r="H1976">
        <v>19121</v>
      </c>
      <c r="I1976">
        <v>4236</v>
      </c>
      <c r="J1976" t="s">
        <v>32</v>
      </c>
      <c r="K1976" t="str">
        <f>_xlfn.XLOOKUP(datos_ventas[[#This Row],[Ciudad]],Tabla2[Ciudades],Tabla2[Provincias],"no se encuentra")</f>
        <v>Barcelona</v>
      </c>
      <c r="L1976" t="str">
        <f>_xlfn.XLOOKUP(datos_ventas[[#This Row],[Provincia]],Tabla2[Provincias],Tabla2[Comunidades],"no se encuentra")</f>
        <v>Cataluña</v>
      </c>
      <c r="M1976" t="s">
        <v>15</v>
      </c>
      <c r="N1976">
        <v>3</v>
      </c>
    </row>
    <row r="1977" spans="1:14" x14ac:dyDescent="0.25">
      <c r="A1977">
        <v>2976</v>
      </c>
      <c r="B1977" s="1">
        <v>45764</v>
      </c>
      <c r="C1977" s="4">
        <f>MONTH(datos_ventas[[#This Row],[Fecha]])</f>
        <v>4</v>
      </c>
      <c r="D1977" s="4">
        <f>WEEKNUM(datos_ventas[[#This Row],[Fecha]],2)</f>
        <v>16</v>
      </c>
      <c r="E1977" t="s">
        <v>24</v>
      </c>
      <c r="F1977" t="s">
        <v>25</v>
      </c>
      <c r="G1977">
        <v>2</v>
      </c>
      <c r="H1977">
        <v>3604</v>
      </c>
      <c r="I1977">
        <v>2005</v>
      </c>
      <c r="J1977" t="s">
        <v>14</v>
      </c>
      <c r="K1977" t="str">
        <f>_xlfn.XLOOKUP(datos_ventas[[#This Row],[Ciudad]],Tabla2[Ciudades],Tabla2[Provincias],"no se encuentra")</f>
        <v>Madrid</v>
      </c>
      <c r="L1977" t="str">
        <f>_xlfn.XLOOKUP(datos_ventas[[#This Row],[Provincia]],Tabla2[Provincias],Tabla2[Comunidades],"no se encuentra")</f>
        <v>Comunidad de Madrid</v>
      </c>
      <c r="M1977" t="s">
        <v>15</v>
      </c>
      <c r="N1977">
        <v>5</v>
      </c>
    </row>
    <row r="1978" spans="1:14" x14ac:dyDescent="0.25">
      <c r="A1978">
        <v>2977</v>
      </c>
      <c r="B1978" s="1">
        <v>45717</v>
      </c>
      <c r="C1978" s="4">
        <f>MONTH(datos_ventas[[#This Row],[Fecha]])</f>
        <v>3</v>
      </c>
      <c r="D1978" s="4">
        <f>WEEKNUM(datos_ventas[[#This Row],[Fecha]],2)</f>
        <v>9</v>
      </c>
      <c r="E1978" t="s">
        <v>10</v>
      </c>
      <c r="F1978" t="s">
        <v>11</v>
      </c>
      <c r="G1978">
        <v>2</v>
      </c>
      <c r="H1978">
        <v>117517</v>
      </c>
      <c r="I1978">
        <v>4665</v>
      </c>
      <c r="J1978" t="s">
        <v>31</v>
      </c>
      <c r="K1978" t="str">
        <f>_xlfn.XLOOKUP(datos_ventas[[#This Row],[Ciudad]],Tabla2[Ciudades],Tabla2[Provincias],"no se encuentra")</f>
        <v>Vizcaya</v>
      </c>
      <c r="L1978" t="str">
        <f>_xlfn.XLOOKUP(datos_ventas[[#This Row],[Provincia]],Tabla2[Provincias],Tabla2[Comunidades],"no se encuentra")</f>
        <v>País Vasco</v>
      </c>
      <c r="M1978" t="s">
        <v>13</v>
      </c>
      <c r="N1978">
        <v>5</v>
      </c>
    </row>
    <row r="1979" spans="1:14" x14ac:dyDescent="0.25">
      <c r="A1979">
        <v>2978</v>
      </c>
      <c r="B1979" s="1">
        <v>45857</v>
      </c>
      <c r="C1979" s="4">
        <f>MONTH(datos_ventas[[#This Row],[Fecha]])</f>
        <v>7</v>
      </c>
      <c r="D1979" s="4">
        <f>WEEKNUM(datos_ventas[[#This Row],[Fecha]],2)</f>
        <v>29</v>
      </c>
      <c r="E1979" t="s">
        <v>29</v>
      </c>
      <c r="F1979" t="s">
        <v>30</v>
      </c>
      <c r="G1979">
        <v>2</v>
      </c>
      <c r="H1979">
        <v>110789</v>
      </c>
      <c r="I1979">
        <v>475</v>
      </c>
      <c r="J1979" t="s">
        <v>27</v>
      </c>
      <c r="K1979" t="str">
        <f>_xlfn.XLOOKUP(datos_ventas[[#This Row],[Ciudad]],Tabla2[Ciudades],Tabla2[Provincias],"no se encuentra")</f>
        <v>Sevilla</v>
      </c>
      <c r="L1979" t="str">
        <f>_xlfn.XLOOKUP(datos_ventas[[#This Row],[Provincia]],Tabla2[Provincias],Tabla2[Comunidades],"no se encuentra")</f>
        <v>Andalucía</v>
      </c>
      <c r="M1979" t="s">
        <v>15</v>
      </c>
      <c r="N1979">
        <v>3</v>
      </c>
    </row>
    <row r="1980" spans="1:14" x14ac:dyDescent="0.25">
      <c r="A1980">
        <v>2979</v>
      </c>
      <c r="B1980" s="1">
        <v>45664</v>
      </c>
      <c r="C1980" s="4">
        <f>MONTH(datos_ventas[[#This Row],[Fecha]])</f>
        <v>1</v>
      </c>
      <c r="D1980" s="4">
        <f>WEEKNUM(datos_ventas[[#This Row],[Fecha]],2)</f>
        <v>2</v>
      </c>
      <c r="E1980" t="s">
        <v>26</v>
      </c>
      <c r="F1980" t="s">
        <v>18</v>
      </c>
      <c r="G1980">
        <v>3</v>
      </c>
      <c r="H1980">
        <v>69482</v>
      </c>
      <c r="I1980">
        <v>2032</v>
      </c>
      <c r="J1980" t="s">
        <v>27</v>
      </c>
      <c r="K1980" t="str">
        <f>_xlfn.XLOOKUP(datos_ventas[[#This Row],[Ciudad]],Tabla2[Ciudades],Tabla2[Provincias],"no se encuentra")</f>
        <v>Sevilla</v>
      </c>
      <c r="L1980" t="str">
        <f>_xlfn.XLOOKUP(datos_ventas[[#This Row],[Provincia]],Tabla2[Provincias],Tabla2[Comunidades],"no se encuentra")</f>
        <v>Andalucía</v>
      </c>
      <c r="M1980" t="s">
        <v>28</v>
      </c>
      <c r="N1980">
        <v>2</v>
      </c>
    </row>
    <row r="1981" spans="1:14" x14ac:dyDescent="0.25">
      <c r="A1981">
        <v>2980</v>
      </c>
      <c r="B1981" s="1">
        <v>45687</v>
      </c>
      <c r="C1981" s="4">
        <f>MONTH(datos_ventas[[#This Row],[Fecha]])</f>
        <v>1</v>
      </c>
      <c r="D1981" s="4">
        <f>WEEKNUM(datos_ventas[[#This Row],[Fecha]],2)</f>
        <v>5</v>
      </c>
      <c r="E1981" t="s">
        <v>10</v>
      </c>
      <c r="F1981" t="s">
        <v>11</v>
      </c>
      <c r="G1981">
        <v>2</v>
      </c>
      <c r="H1981">
        <v>53746</v>
      </c>
      <c r="I1981">
        <v>4939</v>
      </c>
      <c r="J1981" t="s">
        <v>27</v>
      </c>
      <c r="K1981" t="str">
        <f>_xlfn.XLOOKUP(datos_ventas[[#This Row],[Ciudad]],Tabla2[Ciudades],Tabla2[Provincias],"no se encuentra")</f>
        <v>Sevilla</v>
      </c>
      <c r="L1981" t="str">
        <f>_xlfn.XLOOKUP(datos_ventas[[#This Row],[Provincia]],Tabla2[Provincias],Tabla2[Comunidades],"no se encuentra")</f>
        <v>Andalucía</v>
      </c>
      <c r="M1981" t="s">
        <v>13</v>
      </c>
      <c r="N1981">
        <v>1</v>
      </c>
    </row>
    <row r="1982" spans="1:14" x14ac:dyDescent="0.25">
      <c r="A1982">
        <v>2981</v>
      </c>
      <c r="B1982" s="1">
        <v>45846</v>
      </c>
      <c r="C1982" s="4">
        <f>MONTH(datos_ventas[[#This Row],[Fecha]])</f>
        <v>7</v>
      </c>
      <c r="D1982" s="4">
        <f>WEEKNUM(datos_ventas[[#This Row],[Fecha]],2)</f>
        <v>28</v>
      </c>
      <c r="E1982" t="s">
        <v>23</v>
      </c>
      <c r="F1982" t="s">
        <v>18</v>
      </c>
      <c r="G1982">
        <v>1</v>
      </c>
      <c r="H1982">
        <v>59499</v>
      </c>
      <c r="I1982">
        <v>1487</v>
      </c>
      <c r="J1982" t="s">
        <v>32</v>
      </c>
      <c r="K1982" t="str">
        <f>_xlfn.XLOOKUP(datos_ventas[[#This Row],[Ciudad]],Tabla2[Ciudades],Tabla2[Provincias],"no se encuentra")</f>
        <v>Barcelona</v>
      </c>
      <c r="L1982" t="str">
        <f>_xlfn.XLOOKUP(datos_ventas[[#This Row],[Provincia]],Tabla2[Provincias],Tabla2[Comunidades],"no se encuentra")</f>
        <v>Cataluña</v>
      </c>
      <c r="M1982" t="s">
        <v>15</v>
      </c>
      <c r="N1982">
        <v>4</v>
      </c>
    </row>
    <row r="1983" spans="1:14" x14ac:dyDescent="0.25">
      <c r="A1983">
        <v>2982</v>
      </c>
      <c r="B1983" s="1">
        <v>45849</v>
      </c>
      <c r="C1983" s="4">
        <f>MONTH(datos_ventas[[#This Row],[Fecha]])</f>
        <v>7</v>
      </c>
      <c r="D1983" s="4">
        <f>WEEKNUM(datos_ventas[[#This Row],[Fecha]],2)</f>
        <v>28</v>
      </c>
      <c r="E1983" t="s">
        <v>10</v>
      </c>
      <c r="F1983" t="s">
        <v>11</v>
      </c>
      <c r="G1983">
        <v>3</v>
      </c>
      <c r="H1983">
        <v>47116</v>
      </c>
      <c r="I1983">
        <v>4512</v>
      </c>
      <c r="J1983" t="s">
        <v>12</v>
      </c>
      <c r="K1983" t="str">
        <f>_xlfn.XLOOKUP(datos_ventas[[#This Row],[Ciudad]],Tabla2[Ciudades],Tabla2[Provincias],"no se encuentra")</f>
        <v>Málaga</v>
      </c>
      <c r="L1983" t="str">
        <f>_xlfn.XLOOKUP(datos_ventas[[#This Row],[Provincia]],Tabla2[Provincias],Tabla2[Comunidades],"no se encuentra")</f>
        <v>Andalucía</v>
      </c>
      <c r="M1983" t="s">
        <v>19</v>
      </c>
      <c r="N1983">
        <v>1</v>
      </c>
    </row>
    <row r="1984" spans="1:14" x14ac:dyDescent="0.25">
      <c r="A1984">
        <v>2983</v>
      </c>
      <c r="B1984" s="1">
        <v>45762</v>
      </c>
      <c r="C1984" s="4">
        <f>MONTH(datos_ventas[[#This Row],[Fecha]])</f>
        <v>4</v>
      </c>
      <c r="D1984" s="4">
        <f>WEEKNUM(datos_ventas[[#This Row],[Fecha]],2)</f>
        <v>16</v>
      </c>
      <c r="E1984" t="s">
        <v>26</v>
      </c>
      <c r="F1984" t="s">
        <v>18</v>
      </c>
      <c r="G1984">
        <v>5</v>
      </c>
      <c r="H1984">
        <v>84268</v>
      </c>
      <c r="I1984">
        <v>823</v>
      </c>
      <c r="J1984" t="s">
        <v>31</v>
      </c>
      <c r="K1984" t="str">
        <f>_xlfn.XLOOKUP(datos_ventas[[#This Row],[Ciudad]],Tabla2[Ciudades],Tabla2[Provincias],"no se encuentra")</f>
        <v>Vizcaya</v>
      </c>
      <c r="L1984" t="str">
        <f>_xlfn.XLOOKUP(datos_ventas[[#This Row],[Provincia]],Tabla2[Provincias],Tabla2[Comunidades],"no se encuentra")</f>
        <v>País Vasco</v>
      </c>
      <c r="M1984" t="s">
        <v>19</v>
      </c>
      <c r="N1984">
        <v>3</v>
      </c>
    </row>
    <row r="1985" spans="1:14" x14ac:dyDescent="0.25">
      <c r="A1985">
        <v>2984</v>
      </c>
      <c r="B1985" s="1">
        <v>46005</v>
      </c>
      <c r="C1985" s="4">
        <f>MONTH(datos_ventas[[#This Row],[Fecha]])</f>
        <v>12</v>
      </c>
      <c r="D1985" s="4">
        <f>WEEKNUM(datos_ventas[[#This Row],[Fecha]],2)</f>
        <v>50</v>
      </c>
      <c r="E1985" t="s">
        <v>10</v>
      </c>
      <c r="F1985" t="s">
        <v>11</v>
      </c>
      <c r="G1985">
        <v>2</v>
      </c>
      <c r="H1985">
        <v>7452</v>
      </c>
      <c r="I1985">
        <v>1946</v>
      </c>
      <c r="J1985" t="s">
        <v>12</v>
      </c>
      <c r="K1985" t="str">
        <f>_xlfn.XLOOKUP(datos_ventas[[#This Row],[Ciudad]],Tabla2[Ciudades],Tabla2[Provincias],"no se encuentra")</f>
        <v>Málaga</v>
      </c>
      <c r="L1985" t="str">
        <f>_xlfn.XLOOKUP(datos_ventas[[#This Row],[Provincia]],Tabla2[Provincias],Tabla2[Comunidades],"no se encuentra")</f>
        <v>Andalucía</v>
      </c>
      <c r="M1985" t="s">
        <v>19</v>
      </c>
      <c r="N1985">
        <v>2</v>
      </c>
    </row>
    <row r="1986" spans="1:14" x14ac:dyDescent="0.25">
      <c r="A1986">
        <v>2985</v>
      </c>
      <c r="B1986" s="1">
        <v>45991</v>
      </c>
      <c r="C1986" s="4">
        <f>MONTH(datos_ventas[[#This Row],[Fecha]])</f>
        <v>11</v>
      </c>
      <c r="D1986" s="4">
        <f>WEEKNUM(datos_ventas[[#This Row],[Fecha]],2)</f>
        <v>48</v>
      </c>
      <c r="E1986" t="s">
        <v>29</v>
      </c>
      <c r="F1986" t="s">
        <v>30</v>
      </c>
      <c r="G1986">
        <v>5</v>
      </c>
      <c r="H1986">
        <v>82016</v>
      </c>
      <c r="I1986">
        <v>1173</v>
      </c>
      <c r="J1986" t="s">
        <v>27</v>
      </c>
      <c r="K1986" t="str">
        <f>_xlfn.XLOOKUP(datos_ventas[[#This Row],[Ciudad]],Tabla2[Ciudades],Tabla2[Provincias],"no se encuentra")</f>
        <v>Sevilla</v>
      </c>
      <c r="L1986" t="str">
        <f>_xlfn.XLOOKUP(datos_ventas[[#This Row],[Provincia]],Tabla2[Provincias],Tabla2[Comunidades],"no se encuentra")</f>
        <v>Andalucía</v>
      </c>
      <c r="M1986" t="s">
        <v>19</v>
      </c>
      <c r="N1986">
        <v>1</v>
      </c>
    </row>
    <row r="1987" spans="1:14" x14ac:dyDescent="0.25">
      <c r="A1987">
        <v>2986</v>
      </c>
      <c r="B1987" s="1">
        <v>45790</v>
      </c>
      <c r="C1987" s="4">
        <f>MONTH(datos_ventas[[#This Row],[Fecha]])</f>
        <v>5</v>
      </c>
      <c r="D1987" s="4">
        <f>WEEKNUM(datos_ventas[[#This Row],[Fecha]],2)</f>
        <v>20</v>
      </c>
      <c r="E1987" t="s">
        <v>17</v>
      </c>
      <c r="F1987" t="s">
        <v>18</v>
      </c>
      <c r="G1987">
        <v>3</v>
      </c>
      <c r="H1987">
        <v>117197</v>
      </c>
      <c r="I1987">
        <v>4821</v>
      </c>
      <c r="J1987" t="s">
        <v>22</v>
      </c>
      <c r="K1987" t="str">
        <f>_xlfn.XLOOKUP(datos_ventas[[#This Row],[Ciudad]],Tabla2[Ciudades],Tabla2[Provincias],"no se encuentra")</f>
        <v>Valencia</v>
      </c>
      <c r="L1987" t="str">
        <f>_xlfn.XLOOKUP(datos_ventas[[#This Row],[Provincia]],Tabla2[Provincias],Tabla2[Comunidades],"no se encuentra")</f>
        <v>Comunidad Valenciana</v>
      </c>
      <c r="M1987" t="s">
        <v>13</v>
      </c>
      <c r="N1987">
        <v>3</v>
      </c>
    </row>
    <row r="1988" spans="1:14" x14ac:dyDescent="0.25">
      <c r="A1988">
        <v>2987</v>
      </c>
      <c r="B1988" s="1">
        <v>45783</v>
      </c>
      <c r="C1988" s="4">
        <f>MONTH(datos_ventas[[#This Row],[Fecha]])</f>
        <v>5</v>
      </c>
      <c r="D1988" s="4">
        <f>WEEKNUM(datos_ventas[[#This Row],[Fecha]],2)</f>
        <v>19</v>
      </c>
      <c r="E1988" t="s">
        <v>23</v>
      </c>
      <c r="F1988" t="s">
        <v>18</v>
      </c>
      <c r="G1988">
        <v>5</v>
      </c>
      <c r="H1988">
        <v>39719</v>
      </c>
      <c r="I1988">
        <v>2998</v>
      </c>
      <c r="J1988" t="s">
        <v>32</v>
      </c>
      <c r="K1988" t="str">
        <f>_xlfn.XLOOKUP(datos_ventas[[#This Row],[Ciudad]],Tabla2[Ciudades],Tabla2[Provincias],"no se encuentra")</f>
        <v>Barcelona</v>
      </c>
      <c r="L1988" t="str">
        <f>_xlfn.XLOOKUP(datos_ventas[[#This Row],[Provincia]],Tabla2[Provincias],Tabla2[Comunidades],"no se encuentra")</f>
        <v>Cataluña</v>
      </c>
      <c r="M1988" t="s">
        <v>19</v>
      </c>
      <c r="N1988">
        <v>2</v>
      </c>
    </row>
    <row r="1989" spans="1:14" x14ac:dyDescent="0.25">
      <c r="A1989">
        <v>2988</v>
      </c>
      <c r="B1989" s="1">
        <v>45884</v>
      </c>
      <c r="C1989" s="4">
        <f>MONTH(datos_ventas[[#This Row],[Fecha]])</f>
        <v>8</v>
      </c>
      <c r="D1989" s="4">
        <f>WEEKNUM(datos_ventas[[#This Row],[Fecha]],2)</f>
        <v>33</v>
      </c>
      <c r="E1989" t="s">
        <v>10</v>
      </c>
      <c r="F1989" t="s">
        <v>11</v>
      </c>
      <c r="G1989">
        <v>4</v>
      </c>
      <c r="H1989">
        <v>16395</v>
      </c>
      <c r="I1989">
        <v>324</v>
      </c>
      <c r="J1989" t="s">
        <v>12</v>
      </c>
      <c r="K1989" t="str">
        <f>_xlfn.XLOOKUP(datos_ventas[[#This Row],[Ciudad]],Tabla2[Ciudades],Tabla2[Provincias],"no se encuentra")</f>
        <v>Málaga</v>
      </c>
      <c r="L1989" t="str">
        <f>_xlfn.XLOOKUP(datos_ventas[[#This Row],[Provincia]],Tabla2[Provincias],Tabla2[Comunidades],"no se encuentra")</f>
        <v>Andalucía</v>
      </c>
      <c r="M1989" t="s">
        <v>13</v>
      </c>
      <c r="N1989">
        <v>3</v>
      </c>
    </row>
    <row r="1990" spans="1:14" x14ac:dyDescent="0.25">
      <c r="A1990">
        <v>2989</v>
      </c>
      <c r="B1990" s="1">
        <v>45889</v>
      </c>
      <c r="C1990" s="4">
        <f>MONTH(datos_ventas[[#This Row],[Fecha]])</f>
        <v>8</v>
      </c>
      <c r="D1990" s="4">
        <f>WEEKNUM(datos_ventas[[#This Row],[Fecha]],2)</f>
        <v>34</v>
      </c>
      <c r="E1990" t="s">
        <v>26</v>
      </c>
      <c r="F1990" t="s">
        <v>18</v>
      </c>
      <c r="G1990">
        <v>1</v>
      </c>
      <c r="H1990">
        <v>108475</v>
      </c>
      <c r="I1990">
        <v>3516</v>
      </c>
      <c r="J1990" t="s">
        <v>32</v>
      </c>
      <c r="K1990" t="str">
        <f>_xlfn.XLOOKUP(datos_ventas[[#This Row],[Ciudad]],Tabla2[Ciudades],Tabla2[Provincias],"no se encuentra")</f>
        <v>Barcelona</v>
      </c>
      <c r="L1990" t="str">
        <f>_xlfn.XLOOKUP(datos_ventas[[#This Row],[Provincia]],Tabla2[Provincias],Tabla2[Comunidades],"no se encuentra")</f>
        <v>Cataluña</v>
      </c>
      <c r="M1990" t="s">
        <v>13</v>
      </c>
      <c r="N1990">
        <v>5</v>
      </c>
    </row>
    <row r="1991" spans="1:14" x14ac:dyDescent="0.25">
      <c r="A1991">
        <v>2990</v>
      </c>
      <c r="B1991" s="1">
        <v>45736</v>
      </c>
      <c r="C1991" s="4">
        <f>MONTH(datos_ventas[[#This Row],[Fecha]])</f>
        <v>3</v>
      </c>
      <c r="D1991" s="4">
        <f>WEEKNUM(datos_ventas[[#This Row],[Fecha]],2)</f>
        <v>12</v>
      </c>
      <c r="E1991" t="s">
        <v>24</v>
      </c>
      <c r="F1991" t="s">
        <v>25</v>
      </c>
      <c r="G1991">
        <v>5</v>
      </c>
      <c r="H1991">
        <v>69626</v>
      </c>
      <c r="I1991">
        <v>3325</v>
      </c>
      <c r="J1991" t="s">
        <v>27</v>
      </c>
      <c r="K1991" t="str">
        <f>_xlfn.XLOOKUP(datos_ventas[[#This Row],[Ciudad]],Tabla2[Ciudades],Tabla2[Provincias],"no se encuentra")</f>
        <v>Sevilla</v>
      </c>
      <c r="L1991" t="str">
        <f>_xlfn.XLOOKUP(datos_ventas[[#This Row],[Provincia]],Tabla2[Provincias],Tabla2[Comunidades],"no se encuentra")</f>
        <v>Andalucía</v>
      </c>
      <c r="M1991" t="s">
        <v>15</v>
      </c>
      <c r="N1991">
        <v>2</v>
      </c>
    </row>
    <row r="1992" spans="1:14" x14ac:dyDescent="0.25">
      <c r="A1992">
        <v>2991</v>
      </c>
      <c r="B1992" s="1">
        <v>45807</v>
      </c>
      <c r="C1992" s="4">
        <f>MONTH(datos_ventas[[#This Row],[Fecha]])</f>
        <v>5</v>
      </c>
      <c r="D1992" s="4">
        <f>WEEKNUM(datos_ventas[[#This Row],[Fecha]],2)</f>
        <v>22</v>
      </c>
      <c r="E1992" t="s">
        <v>23</v>
      </c>
      <c r="F1992" t="s">
        <v>18</v>
      </c>
      <c r="G1992">
        <v>2</v>
      </c>
      <c r="H1992">
        <v>12342</v>
      </c>
      <c r="I1992">
        <v>2539</v>
      </c>
      <c r="J1992" t="s">
        <v>12</v>
      </c>
      <c r="K1992" t="str">
        <f>_xlfn.XLOOKUP(datos_ventas[[#This Row],[Ciudad]],Tabla2[Ciudades],Tabla2[Provincias],"no se encuentra")</f>
        <v>Málaga</v>
      </c>
      <c r="L1992" t="str">
        <f>_xlfn.XLOOKUP(datos_ventas[[#This Row],[Provincia]],Tabla2[Provincias],Tabla2[Comunidades],"no se encuentra")</f>
        <v>Andalucía</v>
      </c>
      <c r="M1992" t="s">
        <v>15</v>
      </c>
      <c r="N1992">
        <v>2</v>
      </c>
    </row>
    <row r="1993" spans="1:14" x14ac:dyDescent="0.25">
      <c r="A1993">
        <v>2992</v>
      </c>
      <c r="B1993" s="1">
        <v>45892</v>
      </c>
      <c r="C1993" s="4">
        <f>MONTH(datos_ventas[[#This Row],[Fecha]])</f>
        <v>8</v>
      </c>
      <c r="D1993" s="4">
        <f>WEEKNUM(datos_ventas[[#This Row],[Fecha]],2)</f>
        <v>34</v>
      </c>
      <c r="E1993" t="s">
        <v>23</v>
      </c>
      <c r="F1993" t="s">
        <v>18</v>
      </c>
      <c r="G1993">
        <v>4</v>
      </c>
      <c r="H1993">
        <v>30813</v>
      </c>
      <c r="I1993">
        <v>4603</v>
      </c>
      <c r="J1993" t="s">
        <v>14</v>
      </c>
      <c r="K1993" t="str">
        <f>_xlfn.XLOOKUP(datos_ventas[[#This Row],[Ciudad]],Tabla2[Ciudades],Tabla2[Provincias],"no se encuentra")</f>
        <v>Madrid</v>
      </c>
      <c r="L1993" t="str">
        <f>_xlfn.XLOOKUP(datos_ventas[[#This Row],[Provincia]],Tabla2[Provincias],Tabla2[Comunidades],"no se encuentra")</f>
        <v>Comunidad de Madrid</v>
      </c>
      <c r="M1993" t="s">
        <v>19</v>
      </c>
      <c r="N1993">
        <v>4</v>
      </c>
    </row>
    <row r="1994" spans="1:14" x14ac:dyDescent="0.25">
      <c r="A1994">
        <v>2993</v>
      </c>
      <c r="B1994" s="1">
        <v>45745</v>
      </c>
      <c r="C1994" s="4">
        <f>MONTH(datos_ventas[[#This Row],[Fecha]])</f>
        <v>3</v>
      </c>
      <c r="D1994" s="4">
        <f>WEEKNUM(datos_ventas[[#This Row],[Fecha]],2)</f>
        <v>13</v>
      </c>
      <c r="E1994" t="s">
        <v>29</v>
      </c>
      <c r="F1994" t="s">
        <v>30</v>
      </c>
      <c r="G1994">
        <v>3</v>
      </c>
      <c r="H1994">
        <v>9781</v>
      </c>
      <c r="I1994">
        <v>1623</v>
      </c>
      <c r="J1994" t="s">
        <v>32</v>
      </c>
      <c r="K1994" t="str">
        <f>_xlfn.XLOOKUP(datos_ventas[[#This Row],[Ciudad]],Tabla2[Ciudades],Tabla2[Provincias],"no se encuentra")</f>
        <v>Barcelona</v>
      </c>
      <c r="L1994" t="str">
        <f>_xlfn.XLOOKUP(datos_ventas[[#This Row],[Provincia]],Tabla2[Provincias],Tabla2[Comunidades],"no se encuentra")</f>
        <v>Cataluña</v>
      </c>
      <c r="M1994" t="s">
        <v>13</v>
      </c>
      <c r="N1994">
        <v>3</v>
      </c>
    </row>
    <row r="1995" spans="1:14" x14ac:dyDescent="0.25">
      <c r="A1995">
        <v>2994</v>
      </c>
      <c r="B1995" s="1">
        <v>45872</v>
      </c>
      <c r="C1995" s="4">
        <f>MONTH(datos_ventas[[#This Row],[Fecha]])</f>
        <v>8</v>
      </c>
      <c r="D1995" s="4">
        <f>WEEKNUM(datos_ventas[[#This Row],[Fecha]],2)</f>
        <v>31</v>
      </c>
      <c r="E1995" t="s">
        <v>17</v>
      </c>
      <c r="F1995" t="s">
        <v>18</v>
      </c>
      <c r="G1995">
        <v>4</v>
      </c>
      <c r="H1995">
        <v>111506</v>
      </c>
      <c r="I1995">
        <v>3047</v>
      </c>
      <c r="J1995" t="s">
        <v>32</v>
      </c>
      <c r="K1995" t="str">
        <f>_xlfn.XLOOKUP(datos_ventas[[#This Row],[Ciudad]],Tabla2[Ciudades],Tabla2[Provincias],"no se encuentra")</f>
        <v>Barcelona</v>
      </c>
      <c r="L1995" t="str">
        <f>_xlfn.XLOOKUP(datos_ventas[[#This Row],[Provincia]],Tabla2[Provincias],Tabla2[Comunidades],"no se encuentra")</f>
        <v>Cataluña</v>
      </c>
      <c r="M1995" t="s">
        <v>19</v>
      </c>
      <c r="N1995">
        <v>2</v>
      </c>
    </row>
    <row r="1996" spans="1:14" x14ac:dyDescent="0.25">
      <c r="A1996">
        <v>2995</v>
      </c>
      <c r="B1996" s="1">
        <v>45816</v>
      </c>
      <c r="C1996" s="4">
        <f>MONTH(datos_ventas[[#This Row],[Fecha]])</f>
        <v>6</v>
      </c>
      <c r="D1996" s="4">
        <f>WEEKNUM(datos_ventas[[#This Row],[Fecha]],2)</f>
        <v>23</v>
      </c>
      <c r="E1996" t="s">
        <v>26</v>
      </c>
      <c r="F1996" t="s">
        <v>18</v>
      </c>
      <c r="G1996">
        <v>5</v>
      </c>
      <c r="H1996">
        <v>8447</v>
      </c>
      <c r="I1996">
        <v>4309</v>
      </c>
      <c r="J1996" t="s">
        <v>12</v>
      </c>
      <c r="K1996" t="str">
        <f>_xlfn.XLOOKUP(datos_ventas[[#This Row],[Ciudad]],Tabla2[Ciudades],Tabla2[Provincias],"no se encuentra")</f>
        <v>Málaga</v>
      </c>
      <c r="L1996" t="str">
        <f>_xlfn.XLOOKUP(datos_ventas[[#This Row],[Provincia]],Tabla2[Provincias],Tabla2[Comunidades],"no se encuentra")</f>
        <v>Andalucía</v>
      </c>
      <c r="M1996" t="s">
        <v>28</v>
      </c>
      <c r="N1996">
        <v>4</v>
      </c>
    </row>
    <row r="1997" spans="1:14" x14ac:dyDescent="0.25">
      <c r="A1997">
        <v>2996</v>
      </c>
      <c r="B1997" s="1">
        <v>45681</v>
      </c>
      <c r="C1997" s="4">
        <f>MONTH(datos_ventas[[#This Row],[Fecha]])</f>
        <v>1</v>
      </c>
      <c r="D1997" s="4">
        <f>WEEKNUM(datos_ventas[[#This Row],[Fecha]],2)</f>
        <v>4</v>
      </c>
      <c r="E1997" t="s">
        <v>20</v>
      </c>
      <c r="F1997" t="s">
        <v>21</v>
      </c>
      <c r="G1997">
        <v>3</v>
      </c>
      <c r="H1997">
        <v>57073</v>
      </c>
      <c r="I1997">
        <v>3548</v>
      </c>
      <c r="J1997" t="s">
        <v>27</v>
      </c>
      <c r="K1997" t="str">
        <f>_xlfn.XLOOKUP(datos_ventas[[#This Row],[Ciudad]],Tabla2[Ciudades],Tabla2[Provincias],"no se encuentra")</f>
        <v>Sevilla</v>
      </c>
      <c r="L1997" t="str">
        <f>_xlfn.XLOOKUP(datos_ventas[[#This Row],[Provincia]],Tabla2[Provincias],Tabla2[Comunidades],"no se encuentra")</f>
        <v>Andalucía</v>
      </c>
      <c r="M1997" t="s">
        <v>28</v>
      </c>
      <c r="N1997">
        <v>5</v>
      </c>
    </row>
    <row r="1998" spans="1:14" x14ac:dyDescent="0.25">
      <c r="A1998">
        <v>2997</v>
      </c>
      <c r="B1998" s="1">
        <v>45992</v>
      </c>
      <c r="C1998" s="4">
        <f>MONTH(datos_ventas[[#This Row],[Fecha]])</f>
        <v>12</v>
      </c>
      <c r="D1998" s="4">
        <f>WEEKNUM(datos_ventas[[#This Row],[Fecha]],2)</f>
        <v>49</v>
      </c>
      <c r="E1998" t="s">
        <v>23</v>
      </c>
      <c r="F1998" t="s">
        <v>18</v>
      </c>
      <c r="G1998">
        <v>3</v>
      </c>
      <c r="H1998">
        <v>8509</v>
      </c>
      <c r="I1998">
        <v>1576</v>
      </c>
      <c r="J1998" t="s">
        <v>14</v>
      </c>
      <c r="K1998" t="str">
        <f>_xlfn.XLOOKUP(datos_ventas[[#This Row],[Ciudad]],Tabla2[Ciudades],Tabla2[Provincias],"no se encuentra")</f>
        <v>Madrid</v>
      </c>
      <c r="L1998" t="str">
        <f>_xlfn.XLOOKUP(datos_ventas[[#This Row],[Provincia]],Tabla2[Provincias],Tabla2[Comunidades],"no se encuentra")</f>
        <v>Comunidad de Madrid</v>
      </c>
      <c r="M1998" t="s">
        <v>15</v>
      </c>
      <c r="N1998">
        <v>2</v>
      </c>
    </row>
    <row r="1999" spans="1:14" x14ac:dyDescent="0.25">
      <c r="A1999">
        <v>2998</v>
      </c>
      <c r="B1999" s="1">
        <v>45947</v>
      </c>
      <c r="C1999" s="4">
        <f>MONTH(datos_ventas[[#This Row],[Fecha]])</f>
        <v>10</v>
      </c>
      <c r="D1999" s="4">
        <f>WEEKNUM(datos_ventas[[#This Row],[Fecha]],2)</f>
        <v>42</v>
      </c>
      <c r="E1999" t="s">
        <v>17</v>
      </c>
      <c r="F1999" t="s">
        <v>18</v>
      </c>
      <c r="G1999">
        <v>5</v>
      </c>
      <c r="H1999">
        <v>69486</v>
      </c>
      <c r="I1999">
        <v>4849</v>
      </c>
      <c r="J1999" t="s">
        <v>27</v>
      </c>
      <c r="K1999" t="str">
        <f>_xlfn.XLOOKUP(datos_ventas[[#This Row],[Ciudad]],Tabla2[Ciudades],Tabla2[Provincias],"no se encuentra")</f>
        <v>Sevilla</v>
      </c>
      <c r="L1999" t="str">
        <f>_xlfn.XLOOKUP(datos_ventas[[#This Row],[Provincia]],Tabla2[Provincias],Tabla2[Comunidades],"no se encuentra")</f>
        <v>Andalucía</v>
      </c>
      <c r="M1999" t="s">
        <v>13</v>
      </c>
      <c r="N1999">
        <v>2</v>
      </c>
    </row>
    <row r="2000" spans="1:14" x14ac:dyDescent="0.25">
      <c r="A2000">
        <v>2999</v>
      </c>
      <c r="B2000" s="1">
        <v>45815</v>
      </c>
      <c r="C2000" s="4">
        <f>MONTH(datos_ventas[[#This Row],[Fecha]])</f>
        <v>6</v>
      </c>
      <c r="D2000" s="4">
        <f>WEEKNUM(datos_ventas[[#This Row],[Fecha]],2)</f>
        <v>23</v>
      </c>
      <c r="E2000" t="s">
        <v>24</v>
      </c>
      <c r="F2000" t="s">
        <v>25</v>
      </c>
      <c r="G2000">
        <v>2</v>
      </c>
      <c r="H2000">
        <v>108551</v>
      </c>
      <c r="I2000">
        <v>4634</v>
      </c>
      <c r="J2000" t="s">
        <v>31</v>
      </c>
      <c r="K2000" t="str">
        <f>_xlfn.XLOOKUP(datos_ventas[[#This Row],[Ciudad]],Tabla2[Ciudades],Tabla2[Provincias],"no se encuentra")</f>
        <v>Vizcaya</v>
      </c>
      <c r="L2000" t="str">
        <f>_xlfn.XLOOKUP(datos_ventas[[#This Row],[Provincia]],Tabla2[Provincias],Tabla2[Comunidades],"no se encuentra")</f>
        <v>País Vasco</v>
      </c>
      <c r="M2000" t="s">
        <v>13</v>
      </c>
      <c r="N2000">
        <v>4</v>
      </c>
    </row>
    <row r="2001" spans="1:14" x14ac:dyDescent="0.25">
      <c r="A2001">
        <v>3000</v>
      </c>
      <c r="B2001" s="1">
        <v>45732</v>
      </c>
      <c r="C2001" s="4">
        <f>MONTH(datos_ventas[[#This Row],[Fecha]])</f>
        <v>3</v>
      </c>
      <c r="D2001" s="4">
        <f>WEEKNUM(datos_ventas[[#This Row],[Fecha]],2)</f>
        <v>11</v>
      </c>
      <c r="E2001" t="s">
        <v>23</v>
      </c>
      <c r="F2001" t="s">
        <v>18</v>
      </c>
      <c r="G2001">
        <v>2</v>
      </c>
      <c r="H2001">
        <v>3686</v>
      </c>
      <c r="I2001">
        <v>4195</v>
      </c>
      <c r="J2001" t="s">
        <v>27</v>
      </c>
      <c r="K2001" t="str">
        <f>_xlfn.XLOOKUP(datos_ventas[[#This Row],[Ciudad]],Tabla2[Ciudades],Tabla2[Provincias],"no se encuentra")</f>
        <v>Sevilla</v>
      </c>
      <c r="L2001" t="str">
        <f>_xlfn.XLOOKUP(datos_ventas[[#This Row],[Provincia]],Tabla2[Provincias],Tabla2[Comunidades],"no se encuentra")</f>
        <v>Andalucía</v>
      </c>
      <c r="M2001" t="s">
        <v>13</v>
      </c>
      <c r="N2001">
        <v>1</v>
      </c>
    </row>
    <row r="2002" spans="1:14" x14ac:dyDescent="0.25">
      <c r="A2002">
        <v>3001</v>
      </c>
      <c r="B2002" s="1">
        <v>46000</v>
      </c>
      <c r="C2002" s="4">
        <f>MONTH(datos_ventas[[#This Row],[Fecha]])</f>
        <v>12</v>
      </c>
      <c r="D2002" s="4">
        <f>WEEKNUM(datos_ventas[[#This Row],[Fecha]],2)</f>
        <v>50</v>
      </c>
      <c r="E2002" t="s">
        <v>17</v>
      </c>
      <c r="F2002" t="s">
        <v>18</v>
      </c>
      <c r="G2002">
        <v>3</v>
      </c>
      <c r="H2002">
        <v>113525</v>
      </c>
      <c r="I2002">
        <v>3523</v>
      </c>
      <c r="J2002" t="s">
        <v>14</v>
      </c>
      <c r="K2002" t="str">
        <f>_xlfn.XLOOKUP(datos_ventas[[#This Row],[Ciudad]],Tabla2[Ciudades],Tabla2[Provincias],"no se encuentra")</f>
        <v>Madrid</v>
      </c>
      <c r="L2002" t="str">
        <f>_xlfn.XLOOKUP(datos_ventas[[#This Row],[Provincia]],Tabla2[Provincias],Tabla2[Comunidades],"no se encuentra")</f>
        <v>Comunidad de Madrid</v>
      </c>
      <c r="M2002" t="s">
        <v>19</v>
      </c>
      <c r="N2002">
        <v>5</v>
      </c>
    </row>
    <row r="2003" spans="1:14" x14ac:dyDescent="0.25">
      <c r="A2003">
        <v>3002</v>
      </c>
      <c r="B2003" s="1">
        <v>45778</v>
      </c>
      <c r="C2003" s="4">
        <f>MONTH(datos_ventas[[#This Row],[Fecha]])</f>
        <v>5</v>
      </c>
      <c r="D2003" s="4">
        <f>WEEKNUM(datos_ventas[[#This Row],[Fecha]],2)</f>
        <v>18</v>
      </c>
      <c r="E2003" t="s">
        <v>20</v>
      </c>
      <c r="F2003" t="s">
        <v>21</v>
      </c>
      <c r="G2003">
        <v>3</v>
      </c>
      <c r="H2003">
        <v>94586</v>
      </c>
      <c r="I2003">
        <v>1235</v>
      </c>
      <c r="J2003" t="s">
        <v>31</v>
      </c>
      <c r="K2003" t="str">
        <f>_xlfn.XLOOKUP(datos_ventas[[#This Row],[Ciudad]],Tabla2[Ciudades],Tabla2[Provincias],"no se encuentra")</f>
        <v>Vizcaya</v>
      </c>
      <c r="L2003" t="str">
        <f>_xlfn.XLOOKUP(datos_ventas[[#This Row],[Provincia]],Tabla2[Provincias],Tabla2[Comunidades],"no se encuentra")</f>
        <v>País Vasco</v>
      </c>
      <c r="M2003" t="s">
        <v>19</v>
      </c>
      <c r="N2003">
        <v>2</v>
      </c>
    </row>
    <row r="2004" spans="1:14" x14ac:dyDescent="0.25">
      <c r="A2004">
        <v>3003</v>
      </c>
      <c r="B2004" s="1">
        <v>45900</v>
      </c>
      <c r="C2004" s="4">
        <f>MONTH(datos_ventas[[#This Row],[Fecha]])</f>
        <v>8</v>
      </c>
      <c r="D2004" s="4">
        <f>WEEKNUM(datos_ventas[[#This Row],[Fecha]],2)</f>
        <v>35</v>
      </c>
      <c r="E2004" t="s">
        <v>10</v>
      </c>
      <c r="F2004" t="s">
        <v>11</v>
      </c>
      <c r="G2004">
        <v>5</v>
      </c>
      <c r="H2004">
        <v>21917</v>
      </c>
      <c r="I2004">
        <v>4833</v>
      </c>
      <c r="J2004" t="s">
        <v>32</v>
      </c>
      <c r="K2004" t="str">
        <f>_xlfn.XLOOKUP(datos_ventas[[#This Row],[Ciudad]],Tabla2[Ciudades],Tabla2[Provincias],"no se encuentra")</f>
        <v>Barcelona</v>
      </c>
      <c r="L2004" t="str">
        <f>_xlfn.XLOOKUP(datos_ventas[[#This Row],[Provincia]],Tabla2[Provincias],Tabla2[Comunidades],"no se encuentra")</f>
        <v>Cataluña</v>
      </c>
      <c r="M2004" t="s">
        <v>28</v>
      </c>
      <c r="N2004">
        <v>4</v>
      </c>
    </row>
    <row r="2005" spans="1:14" x14ac:dyDescent="0.25">
      <c r="A2005">
        <v>3004</v>
      </c>
      <c r="B2005" s="1">
        <v>45968</v>
      </c>
      <c r="C2005" s="4">
        <f>MONTH(datos_ventas[[#This Row],[Fecha]])</f>
        <v>11</v>
      </c>
      <c r="D2005" s="4">
        <f>WEEKNUM(datos_ventas[[#This Row],[Fecha]],2)</f>
        <v>45</v>
      </c>
      <c r="E2005" t="s">
        <v>20</v>
      </c>
      <c r="F2005" t="s">
        <v>21</v>
      </c>
      <c r="G2005">
        <v>1</v>
      </c>
      <c r="H2005">
        <v>16949</v>
      </c>
      <c r="I2005">
        <v>2117</v>
      </c>
      <c r="J2005" t="s">
        <v>14</v>
      </c>
      <c r="K2005" t="str">
        <f>_xlfn.XLOOKUP(datos_ventas[[#This Row],[Ciudad]],Tabla2[Ciudades],Tabla2[Provincias],"no se encuentra")</f>
        <v>Madrid</v>
      </c>
      <c r="L2005" t="str">
        <f>_xlfn.XLOOKUP(datos_ventas[[#This Row],[Provincia]],Tabla2[Provincias],Tabla2[Comunidades],"no se encuentra")</f>
        <v>Comunidad de Madrid</v>
      </c>
      <c r="M2005" t="s">
        <v>15</v>
      </c>
      <c r="N2005">
        <v>2</v>
      </c>
    </row>
    <row r="2006" spans="1:14" x14ac:dyDescent="0.25">
      <c r="A2006">
        <v>3005</v>
      </c>
      <c r="B2006" s="1">
        <v>45886</v>
      </c>
      <c r="C2006" s="4">
        <f>MONTH(datos_ventas[[#This Row],[Fecha]])</f>
        <v>8</v>
      </c>
      <c r="D2006" s="4">
        <f>WEEKNUM(datos_ventas[[#This Row],[Fecha]],2)</f>
        <v>33</v>
      </c>
      <c r="E2006" t="s">
        <v>29</v>
      </c>
      <c r="F2006" t="s">
        <v>30</v>
      </c>
      <c r="G2006">
        <v>1</v>
      </c>
      <c r="H2006">
        <v>107874</v>
      </c>
      <c r="I2006">
        <v>3266</v>
      </c>
      <c r="J2006" t="s">
        <v>14</v>
      </c>
      <c r="K2006" t="str">
        <f>_xlfn.XLOOKUP(datos_ventas[[#This Row],[Ciudad]],Tabla2[Ciudades],Tabla2[Provincias],"no se encuentra")</f>
        <v>Madrid</v>
      </c>
      <c r="L2006" t="str">
        <f>_xlfn.XLOOKUP(datos_ventas[[#This Row],[Provincia]],Tabla2[Provincias],Tabla2[Comunidades],"no se encuentra")</f>
        <v>Comunidad de Madrid</v>
      </c>
      <c r="M2006" t="s">
        <v>28</v>
      </c>
      <c r="N2006">
        <v>1</v>
      </c>
    </row>
    <row r="2007" spans="1:14" x14ac:dyDescent="0.25">
      <c r="A2007">
        <v>3006</v>
      </c>
      <c r="B2007" s="1">
        <v>45882</v>
      </c>
      <c r="C2007" s="4">
        <f>MONTH(datos_ventas[[#This Row],[Fecha]])</f>
        <v>8</v>
      </c>
      <c r="D2007" s="4">
        <f>WEEKNUM(datos_ventas[[#This Row],[Fecha]],2)</f>
        <v>33</v>
      </c>
      <c r="E2007" t="s">
        <v>17</v>
      </c>
      <c r="F2007" t="s">
        <v>18</v>
      </c>
      <c r="G2007">
        <v>5</v>
      </c>
      <c r="H2007">
        <v>43213</v>
      </c>
      <c r="I2007">
        <v>2885</v>
      </c>
      <c r="J2007" t="s">
        <v>14</v>
      </c>
      <c r="K2007" t="str">
        <f>_xlfn.XLOOKUP(datos_ventas[[#This Row],[Ciudad]],Tabla2[Ciudades],Tabla2[Provincias],"no se encuentra")</f>
        <v>Madrid</v>
      </c>
      <c r="L2007" t="str">
        <f>_xlfn.XLOOKUP(datos_ventas[[#This Row],[Provincia]],Tabla2[Provincias],Tabla2[Comunidades],"no se encuentra")</f>
        <v>Comunidad de Madrid</v>
      </c>
      <c r="M2007" t="s">
        <v>28</v>
      </c>
      <c r="N2007">
        <v>1</v>
      </c>
    </row>
    <row r="2008" spans="1:14" x14ac:dyDescent="0.25">
      <c r="A2008">
        <v>3007</v>
      </c>
      <c r="B2008" s="1">
        <v>45730</v>
      </c>
      <c r="C2008" s="4">
        <f>MONTH(datos_ventas[[#This Row],[Fecha]])</f>
        <v>3</v>
      </c>
      <c r="D2008" s="4">
        <f>WEEKNUM(datos_ventas[[#This Row],[Fecha]],2)</f>
        <v>11</v>
      </c>
      <c r="E2008" t="s">
        <v>23</v>
      </c>
      <c r="F2008" t="s">
        <v>18</v>
      </c>
      <c r="G2008">
        <v>3</v>
      </c>
      <c r="H2008">
        <v>36189</v>
      </c>
      <c r="I2008">
        <v>1129</v>
      </c>
      <c r="J2008" t="s">
        <v>14</v>
      </c>
      <c r="K2008" t="str">
        <f>_xlfn.XLOOKUP(datos_ventas[[#This Row],[Ciudad]],Tabla2[Ciudades],Tabla2[Provincias],"no se encuentra")</f>
        <v>Madrid</v>
      </c>
      <c r="L2008" t="str">
        <f>_xlfn.XLOOKUP(datos_ventas[[#This Row],[Provincia]],Tabla2[Provincias],Tabla2[Comunidades],"no se encuentra")</f>
        <v>Comunidad de Madrid</v>
      </c>
      <c r="M2008" t="s">
        <v>28</v>
      </c>
      <c r="N2008">
        <v>1</v>
      </c>
    </row>
    <row r="2009" spans="1:14" x14ac:dyDescent="0.25">
      <c r="A2009">
        <v>3008</v>
      </c>
      <c r="B2009" s="1">
        <v>45934</v>
      </c>
      <c r="C2009" s="4">
        <f>MONTH(datos_ventas[[#This Row],[Fecha]])</f>
        <v>10</v>
      </c>
      <c r="D2009" s="4">
        <f>WEEKNUM(datos_ventas[[#This Row],[Fecha]],2)</f>
        <v>40</v>
      </c>
      <c r="E2009" t="s">
        <v>24</v>
      </c>
      <c r="F2009" t="s">
        <v>25</v>
      </c>
      <c r="G2009">
        <v>3</v>
      </c>
      <c r="H2009">
        <v>11130</v>
      </c>
      <c r="I2009">
        <v>2092</v>
      </c>
      <c r="J2009" t="s">
        <v>22</v>
      </c>
      <c r="K2009" t="str">
        <f>_xlfn.XLOOKUP(datos_ventas[[#This Row],[Ciudad]],Tabla2[Ciudades],Tabla2[Provincias],"no se encuentra")</f>
        <v>Valencia</v>
      </c>
      <c r="L2009" t="str">
        <f>_xlfn.XLOOKUP(datos_ventas[[#This Row],[Provincia]],Tabla2[Provincias],Tabla2[Comunidades],"no se encuentra")</f>
        <v>Comunidad Valenciana</v>
      </c>
      <c r="M2009" t="s">
        <v>19</v>
      </c>
      <c r="N2009">
        <v>4</v>
      </c>
    </row>
    <row r="2010" spans="1:14" x14ac:dyDescent="0.25">
      <c r="A2010">
        <v>3009</v>
      </c>
      <c r="B2010" s="1">
        <v>45752</v>
      </c>
      <c r="C2010" s="4">
        <f>MONTH(datos_ventas[[#This Row],[Fecha]])</f>
        <v>4</v>
      </c>
      <c r="D2010" s="4">
        <f>WEEKNUM(datos_ventas[[#This Row],[Fecha]],2)</f>
        <v>14</v>
      </c>
      <c r="E2010" t="s">
        <v>26</v>
      </c>
      <c r="F2010" t="s">
        <v>18</v>
      </c>
      <c r="G2010">
        <v>1</v>
      </c>
      <c r="H2010">
        <v>73373</v>
      </c>
      <c r="I2010">
        <v>1652</v>
      </c>
      <c r="J2010" t="s">
        <v>22</v>
      </c>
      <c r="K2010" t="str">
        <f>_xlfn.XLOOKUP(datos_ventas[[#This Row],[Ciudad]],Tabla2[Ciudades],Tabla2[Provincias],"no se encuentra")</f>
        <v>Valencia</v>
      </c>
      <c r="L2010" t="str">
        <f>_xlfn.XLOOKUP(datos_ventas[[#This Row],[Provincia]],Tabla2[Provincias],Tabla2[Comunidades],"no se encuentra")</f>
        <v>Comunidad Valenciana</v>
      </c>
      <c r="M2010" t="s">
        <v>28</v>
      </c>
      <c r="N2010">
        <v>5</v>
      </c>
    </row>
    <row r="2011" spans="1:14" x14ac:dyDescent="0.25">
      <c r="A2011">
        <v>3010</v>
      </c>
      <c r="B2011" s="1">
        <v>45666</v>
      </c>
      <c r="C2011" s="4">
        <f>MONTH(datos_ventas[[#This Row],[Fecha]])</f>
        <v>1</v>
      </c>
      <c r="D2011" s="4">
        <f>WEEKNUM(datos_ventas[[#This Row],[Fecha]],2)</f>
        <v>2</v>
      </c>
      <c r="E2011" t="s">
        <v>24</v>
      </c>
      <c r="F2011" t="s">
        <v>25</v>
      </c>
      <c r="G2011">
        <v>3</v>
      </c>
      <c r="H2011">
        <v>102606</v>
      </c>
      <c r="I2011">
        <v>1221</v>
      </c>
      <c r="J2011" t="s">
        <v>14</v>
      </c>
      <c r="K2011" t="str">
        <f>_xlfn.XLOOKUP(datos_ventas[[#This Row],[Ciudad]],Tabla2[Ciudades],Tabla2[Provincias],"no se encuentra")</f>
        <v>Madrid</v>
      </c>
      <c r="L2011" t="str">
        <f>_xlfn.XLOOKUP(datos_ventas[[#This Row],[Provincia]],Tabla2[Provincias],Tabla2[Comunidades],"no se encuentra")</f>
        <v>Comunidad de Madrid</v>
      </c>
      <c r="M2011" t="s">
        <v>15</v>
      </c>
      <c r="N2011">
        <v>4</v>
      </c>
    </row>
    <row r="2012" spans="1:14" x14ac:dyDescent="0.25">
      <c r="A2012">
        <v>3011</v>
      </c>
      <c r="B2012" s="1">
        <v>45696</v>
      </c>
      <c r="C2012" s="4">
        <f>MONTH(datos_ventas[[#This Row],[Fecha]])</f>
        <v>2</v>
      </c>
      <c r="D2012" s="4">
        <f>WEEKNUM(datos_ventas[[#This Row],[Fecha]],2)</f>
        <v>6</v>
      </c>
      <c r="E2012" t="s">
        <v>20</v>
      </c>
      <c r="F2012" t="s">
        <v>21</v>
      </c>
      <c r="G2012">
        <v>3</v>
      </c>
      <c r="H2012">
        <v>109399</v>
      </c>
      <c r="I2012">
        <v>3927</v>
      </c>
      <c r="J2012" t="s">
        <v>14</v>
      </c>
      <c r="K2012" t="str">
        <f>_xlfn.XLOOKUP(datos_ventas[[#This Row],[Ciudad]],Tabla2[Ciudades],Tabla2[Provincias],"no se encuentra")</f>
        <v>Madrid</v>
      </c>
      <c r="L2012" t="str">
        <f>_xlfn.XLOOKUP(datos_ventas[[#This Row],[Provincia]],Tabla2[Provincias],Tabla2[Comunidades],"no se encuentra")</f>
        <v>Comunidad de Madrid</v>
      </c>
      <c r="M2012" t="s">
        <v>19</v>
      </c>
      <c r="N2012">
        <v>3</v>
      </c>
    </row>
    <row r="2013" spans="1:14" x14ac:dyDescent="0.25">
      <c r="A2013">
        <v>3012</v>
      </c>
      <c r="B2013" s="1">
        <v>45866</v>
      </c>
      <c r="C2013" s="4">
        <f>MONTH(datos_ventas[[#This Row],[Fecha]])</f>
        <v>7</v>
      </c>
      <c r="D2013" s="4">
        <f>WEEKNUM(datos_ventas[[#This Row],[Fecha]],2)</f>
        <v>31</v>
      </c>
      <c r="E2013" t="s">
        <v>23</v>
      </c>
      <c r="F2013" t="s">
        <v>18</v>
      </c>
      <c r="G2013">
        <v>2</v>
      </c>
      <c r="H2013">
        <v>81522</v>
      </c>
      <c r="I2013">
        <v>907</v>
      </c>
      <c r="J2013" t="s">
        <v>31</v>
      </c>
      <c r="K2013" t="str">
        <f>_xlfn.XLOOKUP(datos_ventas[[#This Row],[Ciudad]],Tabla2[Ciudades],Tabla2[Provincias],"no se encuentra")</f>
        <v>Vizcaya</v>
      </c>
      <c r="L2013" t="str">
        <f>_xlfn.XLOOKUP(datos_ventas[[#This Row],[Provincia]],Tabla2[Provincias],Tabla2[Comunidades],"no se encuentra")</f>
        <v>País Vasco</v>
      </c>
      <c r="M2013" t="s">
        <v>28</v>
      </c>
      <c r="N2013">
        <v>5</v>
      </c>
    </row>
    <row r="2014" spans="1:14" x14ac:dyDescent="0.25">
      <c r="A2014">
        <v>3013</v>
      </c>
      <c r="B2014" s="1">
        <v>45892</v>
      </c>
      <c r="C2014" s="4">
        <f>MONTH(datos_ventas[[#This Row],[Fecha]])</f>
        <v>8</v>
      </c>
      <c r="D2014" s="4">
        <f>WEEKNUM(datos_ventas[[#This Row],[Fecha]],2)</f>
        <v>34</v>
      </c>
      <c r="E2014" t="s">
        <v>10</v>
      </c>
      <c r="F2014" t="s">
        <v>11</v>
      </c>
      <c r="G2014">
        <v>3</v>
      </c>
      <c r="H2014">
        <v>73479</v>
      </c>
      <c r="I2014">
        <v>2267</v>
      </c>
      <c r="J2014" t="s">
        <v>14</v>
      </c>
      <c r="K2014" t="str">
        <f>_xlfn.XLOOKUP(datos_ventas[[#This Row],[Ciudad]],Tabla2[Ciudades],Tabla2[Provincias],"no se encuentra")</f>
        <v>Madrid</v>
      </c>
      <c r="L2014" t="str">
        <f>_xlfn.XLOOKUP(datos_ventas[[#This Row],[Provincia]],Tabla2[Provincias],Tabla2[Comunidades],"no se encuentra")</f>
        <v>Comunidad de Madrid</v>
      </c>
      <c r="M2014" t="s">
        <v>19</v>
      </c>
      <c r="N2014">
        <v>4</v>
      </c>
    </row>
    <row r="2015" spans="1:14" x14ac:dyDescent="0.25">
      <c r="A2015">
        <v>3014</v>
      </c>
      <c r="B2015" s="1">
        <v>45691</v>
      </c>
      <c r="C2015" s="4">
        <f>MONTH(datos_ventas[[#This Row],[Fecha]])</f>
        <v>2</v>
      </c>
      <c r="D2015" s="4">
        <f>WEEKNUM(datos_ventas[[#This Row],[Fecha]],2)</f>
        <v>6</v>
      </c>
      <c r="E2015" t="s">
        <v>29</v>
      </c>
      <c r="F2015" t="s">
        <v>30</v>
      </c>
      <c r="G2015">
        <v>1</v>
      </c>
      <c r="H2015">
        <v>44617</v>
      </c>
      <c r="I2015">
        <v>3062</v>
      </c>
      <c r="J2015" t="s">
        <v>22</v>
      </c>
      <c r="K2015" t="str">
        <f>_xlfn.XLOOKUP(datos_ventas[[#This Row],[Ciudad]],Tabla2[Ciudades],Tabla2[Provincias],"no se encuentra")</f>
        <v>Valencia</v>
      </c>
      <c r="L2015" t="str">
        <f>_xlfn.XLOOKUP(datos_ventas[[#This Row],[Provincia]],Tabla2[Provincias],Tabla2[Comunidades],"no se encuentra")</f>
        <v>Comunidad Valenciana</v>
      </c>
      <c r="M2015" t="s">
        <v>28</v>
      </c>
      <c r="N2015">
        <v>4</v>
      </c>
    </row>
    <row r="2016" spans="1:14" x14ac:dyDescent="0.25">
      <c r="A2016">
        <v>3015</v>
      </c>
      <c r="B2016" s="1">
        <v>45863</v>
      </c>
      <c r="C2016" s="4">
        <f>MONTH(datos_ventas[[#This Row],[Fecha]])</f>
        <v>7</v>
      </c>
      <c r="D2016" s="4">
        <f>WEEKNUM(datos_ventas[[#This Row],[Fecha]],2)</f>
        <v>30</v>
      </c>
      <c r="E2016" t="s">
        <v>29</v>
      </c>
      <c r="F2016" t="s">
        <v>30</v>
      </c>
      <c r="G2016">
        <v>3</v>
      </c>
      <c r="H2016">
        <v>92929</v>
      </c>
      <c r="I2016">
        <v>3042</v>
      </c>
      <c r="J2016" t="s">
        <v>22</v>
      </c>
      <c r="K2016" t="str">
        <f>_xlfn.XLOOKUP(datos_ventas[[#This Row],[Ciudad]],Tabla2[Ciudades],Tabla2[Provincias],"no se encuentra")</f>
        <v>Valencia</v>
      </c>
      <c r="L2016" t="str">
        <f>_xlfn.XLOOKUP(datos_ventas[[#This Row],[Provincia]],Tabla2[Provincias],Tabla2[Comunidades],"no se encuentra")</f>
        <v>Comunidad Valenciana</v>
      </c>
      <c r="M2016" t="s">
        <v>15</v>
      </c>
      <c r="N2016">
        <v>3</v>
      </c>
    </row>
    <row r="2017" spans="1:14" x14ac:dyDescent="0.25">
      <c r="A2017">
        <v>3016</v>
      </c>
      <c r="B2017" s="1">
        <v>45704</v>
      </c>
      <c r="C2017" s="4">
        <f>MONTH(datos_ventas[[#This Row],[Fecha]])</f>
        <v>2</v>
      </c>
      <c r="D2017" s="4">
        <f>WEEKNUM(datos_ventas[[#This Row],[Fecha]],2)</f>
        <v>7</v>
      </c>
      <c r="E2017" t="s">
        <v>20</v>
      </c>
      <c r="F2017" t="s">
        <v>21</v>
      </c>
      <c r="G2017">
        <v>5</v>
      </c>
      <c r="H2017">
        <v>52705</v>
      </c>
      <c r="I2017">
        <v>4722</v>
      </c>
      <c r="J2017" t="s">
        <v>32</v>
      </c>
      <c r="K2017" t="str">
        <f>_xlfn.XLOOKUP(datos_ventas[[#This Row],[Ciudad]],Tabla2[Ciudades],Tabla2[Provincias],"no se encuentra")</f>
        <v>Barcelona</v>
      </c>
      <c r="L2017" t="str">
        <f>_xlfn.XLOOKUP(datos_ventas[[#This Row],[Provincia]],Tabla2[Provincias],Tabla2[Comunidades],"no se encuentra")</f>
        <v>Cataluña</v>
      </c>
      <c r="M2017" t="s">
        <v>28</v>
      </c>
      <c r="N2017">
        <v>5</v>
      </c>
    </row>
    <row r="2018" spans="1:14" x14ac:dyDescent="0.25">
      <c r="A2018">
        <v>3017</v>
      </c>
      <c r="B2018" s="1">
        <v>45929</v>
      </c>
      <c r="C2018" s="4">
        <f>MONTH(datos_ventas[[#This Row],[Fecha]])</f>
        <v>9</v>
      </c>
      <c r="D2018" s="4">
        <f>WEEKNUM(datos_ventas[[#This Row],[Fecha]],2)</f>
        <v>40</v>
      </c>
      <c r="E2018" t="s">
        <v>24</v>
      </c>
      <c r="F2018" t="s">
        <v>25</v>
      </c>
      <c r="G2018">
        <v>4</v>
      </c>
      <c r="H2018">
        <v>90914</v>
      </c>
      <c r="I2018">
        <v>2482</v>
      </c>
      <c r="J2018" t="s">
        <v>14</v>
      </c>
      <c r="K2018" t="str">
        <f>_xlfn.XLOOKUP(datos_ventas[[#This Row],[Ciudad]],Tabla2[Ciudades],Tabla2[Provincias],"no se encuentra")</f>
        <v>Madrid</v>
      </c>
      <c r="L2018" t="str">
        <f>_xlfn.XLOOKUP(datos_ventas[[#This Row],[Provincia]],Tabla2[Provincias],Tabla2[Comunidades],"no se encuentra")</f>
        <v>Comunidad de Madrid</v>
      </c>
      <c r="M2018" t="s">
        <v>15</v>
      </c>
      <c r="N2018">
        <v>4</v>
      </c>
    </row>
    <row r="2019" spans="1:14" x14ac:dyDescent="0.25">
      <c r="A2019">
        <v>3018</v>
      </c>
      <c r="B2019" s="1">
        <v>45802</v>
      </c>
      <c r="C2019" s="4">
        <f>MONTH(datos_ventas[[#This Row],[Fecha]])</f>
        <v>5</v>
      </c>
      <c r="D2019" s="4">
        <f>WEEKNUM(datos_ventas[[#This Row],[Fecha]],2)</f>
        <v>21</v>
      </c>
      <c r="E2019" t="s">
        <v>10</v>
      </c>
      <c r="F2019" t="s">
        <v>11</v>
      </c>
      <c r="G2019">
        <v>2</v>
      </c>
      <c r="H2019">
        <v>44643</v>
      </c>
      <c r="I2019">
        <v>2736</v>
      </c>
      <c r="J2019" t="s">
        <v>31</v>
      </c>
      <c r="K2019" t="str">
        <f>_xlfn.XLOOKUP(datos_ventas[[#This Row],[Ciudad]],Tabla2[Ciudades],Tabla2[Provincias],"no se encuentra")</f>
        <v>Vizcaya</v>
      </c>
      <c r="L2019" t="str">
        <f>_xlfn.XLOOKUP(datos_ventas[[#This Row],[Provincia]],Tabla2[Provincias],Tabla2[Comunidades],"no se encuentra")</f>
        <v>País Vasco</v>
      </c>
      <c r="M2019" t="s">
        <v>28</v>
      </c>
      <c r="N2019">
        <v>5</v>
      </c>
    </row>
    <row r="2020" spans="1:14" x14ac:dyDescent="0.25">
      <c r="A2020">
        <v>3019</v>
      </c>
      <c r="B2020" s="1">
        <v>45689</v>
      </c>
      <c r="C2020" s="4">
        <f>MONTH(datos_ventas[[#This Row],[Fecha]])</f>
        <v>2</v>
      </c>
      <c r="D2020" s="4">
        <f>WEEKNUM(datos_ventas[[#This Row],[Fecha]],2)</f>
        <v>5</v>
      </c>
      <c r="E2020" t="s">
        <v>23</v>
      </c>
      <c r="F2020" t="s">
        <v>18</v>
      </c>
      <c r="G2020">
        <v>5</v>
      </c>
      <c r="H2020">
        <v>10008</v>
      </c>
      <c r="I2020">
        <v>3346</v>
      </c>
      <c r="J2020" t="s">
        <v>27</v>
      </c>
      <c r="K2020" t="str">
        <f>_xlfn.XLOOKUP(datos_ventas[[#This Row],[Ciudad]],Tabla2[Ciudades],Tabla2[Provincias],"no se encuentra")</f>
        <v>Sevilla</v>
      </c>
      <c r="L2020" t="str">
        <f>_xlfn.XLOOKUP(datos_ventas[[#This Row],[Provincia]],Tabla2[Provincias],Tabla2[Comunidades],"no se encuentra")</f>
        <v>Andalucía</v>
      </c>
      <c r="M2020" t="s">
        <v>15</v>
      </c>
      <c r="N2020">
        <v>5</v>
      </c>
    </row>
    <row r="2021" spans="1:14" x14ac:dyDescent="0.25">
      <c r="A2021">
        <v>3020</v>
      </c>
      <c r="B2021" s="1">
        <v>45974</v>
      </c>
      <c r="C2021" s="4">
        <f>MONTH(datos_ventas[[#This Row],[Fecha]])</f>
        <v>11</v>
      </c>
      <c r="D2021" s="4">
        <f>WEEKNUM(datos_ventas[[#This Row],[Fecha]],2)</f>
        <v>46</v>
      </c>
      <c r="E2021" t="s">
        <v>24</v>
      </c>
      <c r="F2021" t="s">
        <v>25</v>
      </c>
      <c r="G2021">
        <v>3</v>
      </c>
      <c r="H2021">
        <v>45802</v>
      </c>
      <c r="I2021">
        <v>1159</v>
      </c>
      <c r="J2021" t="s">
        <v>22</v>
      </c>
      <c r="K2021" t="str">
        <f>_xlfn.XLOOKUP(datos_ventas[[#This Row],[Ciudad]],Tabla2[Ciudades],Tabla2[Provincias],"no se encuentra")</f>
        <v>Valencia</v>
      </c>
      <c r="L2021" t="str">
        <f>_xlfn.XLOOKUP(datos_ventas[[#This Row],[Provincia]],Tabla2[Provincias],Tabla2[Comunidades],"no se encuentra")</f>
        <v>Comunidad Valenciana</v>
      </c>
      <c r="M2021" t="s">
        <v>28</v>
      </c>
      <c r="N2021">
        <v>5</v>
      </c>
    </row>
    <row r="2022" spans="1:14" x14ac:dyDescent="0.25">
      <c r="A2022">
        <v>3021</v>
      </c>
      <c r="B2022" s="1">
        <v>45817</v>
      </c>
      <c r="C2022" s="4">
        <f>MONTH(datos_ventas[[#This Row],[Fecha]])</f>
        <v>6</v>
      </c>
      <c r="D2022" s="4">
        <f>WEEKNUM(datos_ventas[[#This Row],[Fecha]],2)</f>
        <v>24</v>
      </c>
      <c r="E2022" t="s">
        <v>23</v>
      </c>
      <c r="F2022" t="s">
        <v>18</v>
      </c>
      <c r="G2022">
        <v>3</v>
      </c>
      <c r="H2022">
        <v>110601</v>
      </c>
      <c r="I2022">
        <v>3634</v>
      </c>
      <c r="J2022" t="s">
        <v>27</v>
      </c>
      <c r="K2022" t="str">
        <f>_xlfn.XLOOKUP(datos_ventas[[#This Row],[Ciudad]],Tabla2[Ciudades],Tabla2[Provincias],"no se encuentra")</f>
        <v>Sevilla</v>
      </c>
      <c r="L2022" t="str">
        <f>_xlfn.XLOOKUP(datos_ventas[[#This Row],[Provincia]],Tabla2[Provincias],Tabla2[Comunidades],"no se encuentra")</f>
        <v>Andalucía</v>
      </c>
      <c r="M2022" t="s">
        <v>28</v>
      </c>
      <c r="N2022">
        <v>4</v>
      </c>
    </row>
    <row r="2023" spans="1:14" x14ac:dyDescent="0.25">
      <c r="A2023">
        <v>3022</v>
      </c>
      <c r="B2023" s="1">
        <v>45696</v>
      </c>
      <c r="C2023" s="4">
        <f>MONTH(datos_ventas[[#This Row],[Fecha]])</f>
        <v>2</v>
      </c>
      <c r="D2023" s="4">
        <f>WEEKNUM(datos_ventas[[#This Row],[Fecha]],2)</f>
        <v>6</v>
      </c>
      <c r="E2023" t="s">
        <v>29</v>
      </c>
      <c r="F2023" t="s">
        <v>30</v>
      </c>
      <c r="G2023">
        <v>4</v>
      </c>
      <c r="H2023">
        <v>62621</v>
      </c>
      <c r="I2023">
        <v>3158</v>
      </c>
      <c r="J2023" t="s">
        <v>14</v>
      </c>
      <c r="K2023" t="str">
        <f>_xlfn.XLOOKUP(datos_ventas[[#This Row],[Ciudad]],Tabla2[Ciudades],Tabla2[Provincias],"no se encuentra")</f>
        <v>Madrid</v>
      </c>
      <c r="L2023" t="str">
        <f>_xlfn.XLOOKUP(datos_ventas[[#This Row],[Provincia]],Tabla2[Provincias],Tabla2[Comunidades],"no se encuentra")</f>
        <v>Comunidad de Madrid</v>
      </c>
      <c r="M2023" t="s">
        <v>19</v>
      </c>
      <c r="N2023">
        <v>5</v>
      </c>
    </row>
    <row r="2024" spans="1:14" x14ac:dyDescent="0.25">
      <c r="A2024">
        <v>3023</v>
      </c>
      <c r="B2024" s="1">
        <v>45788</v>
      </c>
      <c r="C2024" s="4">
        <f>MONTH(datos_ventas[[#This Row],[Fecha]])</f>
        <v>5</v>
      </c>
      <c r="D2024" s="4">
        <f>WEEKNUM(datos_ventas[[#This Row],[Fecha]],2)</f>
        <v>19</v>
      </c>
      <c r="E2024" t="s">
        <v>24</v>
      </c>
      <c r="F2024" t="s">
        <v>25</v>
      </c>
      <c r="G2024">
        <v>2</v>
      </c>
      <c r="H2024">
        <v>7695</v>
      </c>
      <c r="I2024">
        <v>3755</v>
      </c>
      <c r="J2024" t="s">
        <v>27</v>
      </c>
      <c r="K2024" t="str">
        <f>_xlfn.XLOOKUP(datos_ventas[[#This Row],[Ciudad]],Tabla2[Ciudades],Tabla2[Provincias],"no se encuentra")</f>
        <v>Sevilla</v>
      </c>
      <c r="L2024" t="str">
        <f>_xlfn.XLOOKUP(datos_ventas[[#This Row],[Provincia]],Tabla2[Provincias],Tabla2[Comunidades],"no se encuentra")</f>
        <v>Andalucía</v>
      </c>
      <c r="M2024" t="s">
        <v>28</v>
      </c>
      <c r="N2024">
        <v>2</v>
      </c>
    </row>
    <row r="2025" spans="1:14" x14ac:dyDescent="0.25">
      <c r="A2025">
        <v>3024</v>
      </c>
      <c r="B2025" s="1">
        <v>45860</v>
      </c>
      <c r="C2025" s="4">
        <f>MONTH(datos_ventas[[#This Row],[Fecha]])</f>
        <v>7</v>
      </c>
      <c r="D2025" s="4">
        <f>WEEKNUM(datos_ventas[[#This Row],[Fecha]],2)</f>
        <v>30</v>
      </c>
      <c r="E2025" t="s">
        <v>10</v>
      </c>
      <c r="F2025" t="s">
        <v>11</v>
      </c>
      <c r="G2025">
        <v>2</v>
      </c>
      <c r="H2025">
        <v>114244</v>
      </c>
      <c r="I2025">
        <v>2263</v>
      </c>
      <c r="J2025" t="s">
        <v>12</v>
      </c>
      <c r="K2025" t="str">
        <f>_xlfn.XLOOKUP(datos_ventas[[#This Row],[Ciudad]],Tabla2[Ciudades],Tabla2[Provincias],"no se encuentra")</f>
        <v>Málaga</v>
      </c>
      <c r="L2025" t="str">
        <f>_xlfn.XLOOKUP(datos_ventas[[#This Row],[Provincia]],Tabla2[Provincias],Tabla2[Comunidades],"no se encuentra")</f>
        <v>Andalucía</v>
      </c>
      <c r="M2025" t="s">
        <v>28</v>
      </c>
      <c r="N2025">
        <v>2</v>
      </c>
    </row>
    <row r="2026" spans="1:14" x14ac:dyDescent="0.25">
      <c r="A2026">
        <v>3025</v>
      </c>
      <c r="B2026" s="1">
        <v>45777</v>
      </c>
      <c r="C2026" s="4">
        <f>MONTH(datos_ventas[[#This Row],[Fecha]])</f>
        <v>4</v>
      </c>
      <c r="D2026" s="4">
        <f>WEEKNUM(datos_ventas[[#This Row],[Fecha]],2)</f>
        <v>18</v>
      </c>
      <c r="E2026" t="s">
        <v>20</v>
      </c>
      <c r="F2026" t="s">
        <v>21</v>
      </c>
      <c r="G2026">
        <v>2</v>
      </c>
      <c r="H2026">
        <v>99291</v>
      </c>
      <c r="I2026">
        <v>1226</v>
      </c>
      <c r="J2026" t="s">
        <v>22</v>
      </c>
      <c r="K2026" t="str">
        <f>_xlfn.XLOOKUP(datos_ventas[[#This Row],[Ciudad]],Tabla2[Ciudades],Tabla2[Provincias],"no se encuentra")</f>
        <v>Valencia</v>
      </c>
      <c r="L2026" t="str">
        <f>_xlfn.XLOOKUP(datos_ventas[[#This Row],[Provincia]],Tabla2[Provincias],Tabla2[Comunidades],"no se encuentra")</f>
        <v>Comunidad Valenciana</v>
      </c>
      <c r="M2026" t="s">
        <v>15</v>
      </c>
      <c r="N2026">
        <v>3</v>
      </c>
    </row>
    <row r="2027" spans="1:14" x14ac:dyDescent="0.25">
      <c r="A2027">
        <v>3026</v>
      </c>
      <c r="B2027" s="1">
        <v>46011</v>
      </c>
      <c r="C2027" s="4">
        <f>MONTH(datos_ventas[[#This Row],[Fecha]])</f>
        <v>12</v>
      </c>
      <c r="D2027" s="4">
        <f>WEEKNUM(datos_ventas[[#This Row],[Fecha]],2)</f>
        <v>51</v>
      </c>
      <c r="E2027" t="s">
        <v>24</v>
      </c>
      <c r="F2027" t="s">
        <v>25</v>
      </c>
      <c r="G2027">
        <v>3</v>
      </c>
      <c r="H2027">
        <v>40851</v>
      </c>
      <c r="I2027">
        <v>2331</v>
      </c>
      <c r="J2027" t="s">
        <v>14</v>
      </c>
      <c r="K2027" t="str">
        <f>_xlfn.XLOOKUP(datos_ventas[[#This Row],[Ciudad]],Tabla2[Ciudades],Tabla2[Provincias],"no se encuentra")</f>
        <v>Madrid</v>
      </c>
      <c r="L2027" t="str">
        <f>_xlfn.XLOOKUP(datos_ventas[[#This Row],[Provincia]],Tabla2[Provincias],Tabla2[Comunidades],"no se encuentra")</f>
        <v>Comunidad de Madrid</v>
      </c>
      <c r="M2027" t="s">
        <v>13</v>
      </c>
      <c r="N2027">
        <v>3</v>
      </c>
    </row>
    <row r="2028" spans="1:14" x14ac:dyDescent="0.25">
      <c r="A2028">
        <v>3027</v>
      </c>
      <c r="B2028" s="1">
        <v>45801</v>
      </c>
      <c r="C2028" s="4">
        <f>MONTH(datos_ventas[[#This Row],[Fecha]])</f>
        <v>5</v>
      </c>
      <c r="D2028" s="4">
        <f>WEEKNUM(datos_ventas[[#This Row],[Fecha]],2)</f>
        <v>21</v>
      </c>
      <c r="E2028" t="s">
        <v>10</v>
      </c>
      <c r="F2028" t="s">
        <v>11</v>
      </c>
      <c r="G2028">
        <v>1</v>
      </c>
      <c r="H2028">
        <v>34297</v>
      </c>
      <c r="I2028">
        <v>1347</v>
      </c>
      <c r="J2028" t="s">
        <v>22</v>
      </c>
      <c r="K2028" t="str">
        <f>_xlfn.XLOOKUP(datos_ventas[[#This Row],[Ciudad]],Tabla2[Ciudades],Tabla2[Provincias],"no se encuentra")</f>
        <v>Valencia</v>
      </c>
      <c r="L2028" t="str">
        <f>_xlfn.XLOOKUP(datos_ventas[[#This Row],[Provincia]],Tabla2[Provincias],Tabla2[Comunidades],"no se encuentra")</f>
        <v>Comunidad Valenciana</v>
      </c>
      <c r="M2028" t="s">
        <v>28</v>
      </c>
      <c r="N2028">
        <v>5</v>
      </c>
    </row>
    <row r="2029" spans="1:14" x14ac:dyDescent="0.25">
      <c r="A2029">
        <v>3028</v>
      </c>
      <c r="B2029" s="1">
        <v>45850</v>
      </c>
      <c r="C2029" s="4">
        <f>MONTH(datos_ventas[[#This Row],[Fecha]])</f>
        <v>7</v>
      </c>
      <c r="D2029" s="4">
        <f>WEEKNUM(datos_ventas[[#This Row],[Fecha]],2)</f>
        <v>28</v>
      </c>
      <c r="E2029" t="s">
        <v>24</v>
      </c>
      <c r="F2029" t="s">
        <v>25</v>
      </c>
      <c r="G2029">
        <v>3</v>
      </c>
      <c r="H2029">
        <v>47862</v>
      </c>
      <c r="I2029">
        <v>4271</v>
      </c>
      <c r="J2029" t="s">
        <v>32</v>
      </c>
      <c r="K2029" t="str">
        <f>_xlfn.XLOOKUP(datos_ventas[[#This Row],[Ciudad]],Tabla2[Ciudades],Tabla2[Provincias],"no se encuentra")</f>
        <v>Barcelona</v>
      </c>
      <c r="L2029" t="str">
        <f>_xlfn.XLOOKUP(datos_ventas[[#This Row],[Provincia]],Tabla2[Provincias],Tabla2[Comunidades],"no se encuentra")</f>
        <v>Cataluña</v>
      </c>
      <c r="M2029" t="s">
        <v>15</v>
      </c>
      <c r="N2029">
        <v>4</v>
      </c>
    </row>
    <row r="2030" spans="1:14" x14ac:dyDescent="0.25">
      <c r="A2030">
        <v>3029</v>
      </c>
      <c r="B2030" s="1">
        <v>46021</v>
      </c>
      <c r="C2030" s="4">
        <f>MONTH(datos_ventas[[#This Row],[Fecha]])</f>
        <v>12</v>
      </c>
      <c r="D2030" s="4">
        <f>WEEKNUM(datos_ventas[[#This Row],[Fecha]],2)</f>
        <v>53</v>
      </c>
      <c r="E2030" t="s">
        <v>20</v>
      </c>
      <c r="F2030" t="s">
        <v>21</v>
      </c>
      <c r="G2030">
        <v>3</v>
      </c>
      <c r="H2030">
        <v>106729</v>
      </c>
      <c r="I2030">
        <v>3579</v>
      </c>
      <c r="J2030" t="s">
        <v>12</v>
      </c>
      <c r="K2030" t="str">
        <f>_xlfn.XLOOKUP(datos_ventas[[#This Row],[Ciudad]],Tabla2[Ciudades],Tabla2[Provincias],"no se encuentra")</f>
        <v>Málaga</v>
      </c>
      <c r="L2030" t="str">
        <f>_xlfn.XLOOKUP(datos_ventas[[#This Row],[Provincia]],Tabla2[Provincias],Tabla2[Comunidades],"no se encuentra")</f>
        <v>Andalucía</v>
      </c>
      <c r="M2030" t="s">
        <v>19</v>
      </c>
      <c r="N2030">
        <v>3</v>
      </c>
    </row>
    <row r="2031" spans="1:14" x14ac:dyDescent="0.25">
      <c r="A2031">
        <v>3030</v>
      </c>
      <c r="B2031" s="1">
        <v>45880</v>
      </c>
      <c r="C2031" s="4">
        <f>MONTH(datos_ventas[[#This Row],[Fecha]])</f>
        <v>8</v>
      </c>
      <c r="D2031" s="4">
        <f>WEEKNUM(datos_ventas[[#This Row],[Fecha]],2)</f>
        <v>33</v>
      </c>
      <c r="E2031" t="s">
        <v>16</v>
      </c>
      <c r="F2031" t="s">
        <v>11</v>
      </c>
      <c r="G2031">
        <v>5</v>
      </c>
      <c r="H2031">
        <v>9621</v>
      </c>
      <c r="I2031">
        <v>2811</v>
      </c>
      <c r="J2031" t="s">
        <v>22</v>
      </c>
      <c r="K2031" t="str">
        <f>_xlfn.XLOOKUP(datos_ventas[[#This Row],[Ciudad]],Tabla2[Ciudades],Tabla2[Provincias],"no se encuentra")</f>
        <v>Valencia</v>
      </c>
      <c r="L2031" t="str">
        <f>_xlfn.XLOOKUP(datos_ventas[[#This Row],[Provincia]],Tabla2[Provincias],Tabla2[Comunidades],"no se encuentra")</f>
        <v>Comunidad Valenciana</v>
      </c>
      <c r="M2031" t="s">
        <v>13</v>
      </c>
      <c r="N2031">
        <v>2</v>
      </c>
    </row>
    <row r="2032" spans="1:14" x14ac:dyDescent="0.25">
      <c r="A2032">
        <v>3031</v>
      </c>
      <c r="B2032" s="1">
        <v>45678</v>
      </c>
      <c r="C2032" s="4">
        <f>MONTH(datos_ventas[[#This Row],[Fecha]])</f>
        <v>1</v>
      </c>
      <c r="D2032" s="4">
        <f>WEEKNUM(datos_ventas[[#This Row],[Fecha]],2)</f>
        <v>4</v>
      </c>
      <c r="E2032" t="s">
        <v>20</v>
      </c>
      <c r="F2032" t="s">
        <v>21</v>
      </c>
      <c r="G2032">
        <v>2</v>
      </c>
      <c r="H2032">
        <v>102356</v>
      </c>
      <c r="I2032">
        <v>3723</v>
      </c>
      <c r="J2032" t="s">
        <v>27</v>
      </c>
      <c r="K2032" t="str">
        <f>_xlfn.XLOOKUP(datos_ventas[[#This Row],[Ciudad]],Tabla2[Ciudades],Tabla2[Provincias],"no se encuentra")</f>
        <v>Sevilla</v>
      </c>
      <c r="L2032" t="str">
        <f>_xlfn.XLOOKUP(datos_ventas[[#This Row],[Provincia]],Tabla2[Provincias],Tabla2[Comunidades],"no se encuentra")</f>
        <v>Andalucía</v>
      </c>
      <c r="M2032" t="s">
        <v>28</v>
      </c>
      <c r="N2032">
        <v>4</v>
      </c>
    </row>
    <row r="2033" spans="1:14" x14ac:dyDescent="0.25">
      <c r="A2033">
        <v>3032</v>
      </c>
      <c r="B2033" s="1">
        <v>45725</v>
      </c>
      <c r="C2033" s="4">
        <f>MONTH(datos_ventas[[#This Row],[Fecha]])</f>
        <v>3</v>
      </c>
      <c r="D2033" s="4">
        <f>WEEKNUM(datos_ventas[[#This Row],[Fecha]],2)</f>
        <v>10</v>
      </c>
      <c r="E2033" t="s">
        <v>16</v>
      </c>
      <c r="F2033" t="s">
        <v>11</v>
      </c>
      <c r="G2033">
        <v>4</v>
      </c>
      <c r="H2033">
        <v>34776</v>
      </c>
      <c r="I2033">
        <v>3316</v>
      </c>
      <c r="J2033" t="s">
        <v>22</v>
      </c>
      <c r="K2033" t="str">
        <f>_xlfn.XLOOKUP(datos_ventas[[#This Row],[Ciudad]],Tabla2[Ciudades],Tabla2[Provincias],"no se encuentra")</f>
        <v>Valencia</v>
      </c>
      <c r="L2033" t="str">
        <f>_xlfn.XLOOKUP(datos_ventas[[#This Row],[Provincia]],Tabla2[Provincias],Tabla2[Comunidades],"no se encuentra")</f>
        <v>Comunidad Valenciana</v>
      </c>
      <c r="M2033" t="s">
        <v>15</v>
      </c>
      <c r="N2033">
        <v>1</v>
      </c>
    </row>
    <row r="2034" spans="1:14" x14ac:dyDescent="0.25">
      <c r="A2034">
        <v>3033</v>
      </c>
      <c r="B2034" s="1">
        <v>45670</v>
      </c>
      <c r="C2034" s="4">
        <f>MONTH(datos_ventas[[#This Row],[Fecha]])</f>
        <v>1</v>
      </c>
      <c r="D2034" s="4">
        <f>WEEKNUM(datos_ventas[[#This Row],[Fecha]],2)</f>
        <v>3</v>
      </c>
      <c r="E2034" t="s">
        <v>26</v>
      </c>
      <c r="F2034" t="s">
        <v>18</v>
      </c>
      <c r="G2034">
        <v>5</v>
      </c>
      <c r="H2034">
        <v>11867</v>
      </c>
      <c r="I2034">
        <v>4305</v>
      </c>
      <c r="J2034" t="s">
        <v>27</v>
      </c>
      <c r="K2034" t="str">
        <f>_xlfn.XLOOKUP(datos_ventas[[#This Row],[Ciudad]],Tabla2[Ciudades],Tabla2[Provincias],"no se encuentra")</f>
        <v>Sevilla</v>
      </c>
      <c r="L2034" t="str">
        <f>_xlfn.XLOOKUP(datos_ventas[[#This Row],[Provincia]],Tabla2[Provincias],Tabla2[Comunidades],"no se encuentra")</f>
        <v>Andalucía</v>
      </c>
      <c r="M2034" t="s">
        <v>13</v>
      </c>
      <c r="N2034">
        <v>3</v>
      </c>
    </row>
    <row r="2035" spans="1:14" x14ac:dyDescent="0.25">
      <c r="A2035">
        <v>3034</v>
      </c>
      <c r="B2035" s="1">
        <v>45810</v>
      </c>
      <c r="C2035" s="4">
        <f>MONTH(datos_ventas[[#This Row],[Fecha]])</f>
        <v>6</v>
      </c>
      <c r="D2035" s="4">
        <f>WEEKNUM(datos_ventas[[#This Row],[Fecha]],2)</f>
        <v>23</v>
      </c>
      <c r="E2035" t="s">
        <v>26</v>
      </c>
      <c r="F2035" t="s">
        <v>18</v>
      </c>
      <c r="G2035">
        <v>1</v>
      </c>
      <c r="H2035">
        <v>45485</v>
      </c>
      <c r="I2035">
        <v>3906</v>
      </c>
      <c r="J2035" t="s">
        <v>14</v>
      </c>
      <c r="K2035" t="str">
        <f>_xlfn.XLOOKUP(datos_ventas[[#This Row],[Ciudad]],Tabla2[Ciudades],Tabla2[Provincias],"no se encuentra")</f>
        <v>Madrid</v>
      </c>
      <c r="L2035" t="str">
        <f>_xlfn.XLOOKUP(datos_ventas[[#This Row],[Provincia]],Tabla2[Provincias],Tabla2[Comunidades],"no se encuentra")</f>
        <v>Comunidad de Madrid</v>
      </c>
      <c r="M2035" t="s">
        <v>13</v>
      </c>
      <c r="N2035">
        <v>3</v>
      </c>
    </row>
    <row r="2036" spans="1:14" x14ac:dyDescent="0.25">
      <c r="A2036">
        <v>3035</v>
      </c>
      <c r="B2036" s="1">
        <v>45766</v>
      </c>
      <c r="C2036" s="4">
        <f>MONTH(datos_ventas[[#This Row],[Fecha]])</f>
        <v>4</v>
      </c>
      <c r="D2036" s="4">
        <f>WEEKNUM(datos_ventas[[#This Row],[Fecha]],2)</f>
        <v>16</v>
      </c>
      <c r="E2036" t="s">
        <v>26</v>
      </c>
      <c r="F2036" t="s">
        <v>18</v>
      </c>
      <c r="G2036">
        <v>4</v>
      </c>
      <c r="H2036">
        <v>2522</v>
      </c>
      <c r="I2036">
        <v>4041</v>
      </c>
      <c r="J2036" t="s">
        <v>32</v>
      </c>
      <c r="K2036" t="str">
        <f>_xlfn.XLOOKUP(datos_ventas[[#This Row],[Ciudad]],Tabla2[Ciudades],Tabla2[Provincias],"no se encuentra")</f>
        <v>Barcelona</v>
      </c>
      <c r="L2036" t="str">
        <f>_xlfn.XLOOKUP(datos_ventas[[#This Row],[Provincia]],Tabla2[Provincias],Tabla2[Comunidades],"no se encuentra")</f>
        <v>Cataluña</v>
      </c>
      <c r="M2036" t="s">
        <v>13</v>
      </c>
      <c r="N2036">
        <v>5</v>
      </c>
    </row>
    <row r="2037" spans="1:14" x14ac:dyDescent="0.25">
      <c r="A2037">
        <v>3036</v>
      </c>
      <c r="B2037" s="1">
        <v>46003</v>
      </c>
      <c r="C2037" s="4">
        <f>MONTH(datos_ventas[[#This Row],[Fecha]])</f>
        <v>12</v>
      </c>
      <c r="D2037" s="4">
        <f>WEEKNUM(datos_ventas[[#This Row],[Fecha]],2)</f>
        <v>50</v>
      </c>
      <c r="E2037" t="s">
        <v>20</v>
      </c>
      <c r="F2037" t="s">
        <v>21</v>
      </c>
      <c r="G2037">
        <v>4</v>
      </c>
      <c r="H2037">
        <v>77518</v>
      </c>
      <c r="I2037">
        <v>4053</v>
      </c>
      <c r="J2037" t="s">
        <v>27</v>
      </c>
      <c r="K2037" t="str">
        <f>_xlfn.XLOOKUP(datos_ventas[[#This Row],[Ciudad]],Tabla2[Ciudades],Tabla2[Provincias],"no se encuentra")</f>
        <v>Sevilla</v>
      </c>
      <c r="L2037" t="str">
        <f>_xlfn.XLOOKUP(datos_ventas[[#This Row],[Provincia]],Tabla2[Provincias],Tabla2[Comunidades],"no se encuentra")</f>
        <v>Andalucía</v>
      </c>
      <c r="M2037" t="s">
        <v>15</v>
      </c>
      <c r="N2037">
        <v>2</v>
      </c>
    </row>
    <row r="2038" spans="1:14" x14ac:dyDescent="0.25">
      <c r="A2038">
        <v>3037</v>
      </c>
      <c r="B2038" s="1">
        <v>45684</v>
      </c>
      <c r="C2038" s="4">
        <f>MONTH(datos_ventas[[#This Row],[Fecha]])</f>
        <v>1</v>
      </c>
      <c r="D2038" s="4">
        <f>WEEKNUM(datos_ventas[[#This Row],[Fecha]],2)</f>
        <v>5</v>
      </c>
      <c r="E2038" t="s">
        <v>23</v>
      </c>
      <c r="F2038" t="s">
        <v>18</v>
      </c>
      <c r="G2038">
        <v>2</v>
      </c>
      <c r="H2038">
        <v>67942</v>
      </c>
      <c r="I2038">
        <v>918</v>
      </c>
      <c r="J2038" t="s">
        <v>27</v>
      </c>
      <c r="K2038" t="str">
        <f>_xlfn.XLOOKUP(datos_ventas[[#This Row],[Ciudad]],Tabla2[Ciudades],Tabla2[Provincias],"no se encuentra")</f>
        <v>Sevilla</v>
      </c>
      <c r="L2038" t="str">
        <f>_xlfn.XLOOKUP(datos_ventas[[#This Row],[Provincia]],Tabla2[Provincias],Tabla2[Comunidades],"no se encuentra")</f>
        <v>Andalucía</v>
      </c>
      <c r="M2038" t="s">
        <v>13</v>
      </c>
      <c r="N2038">
        <v>1</v>
      </c>
    </row>
    <row r="2039" spans="1:14" x14ac:dyDescent="0.25">
      <c r="A2039">
        <v>3038</v>
      </c>
      <c r="B2039" s="1">
        <v>45842</v>
      </c>
      <c r="C2039" s="4">
        <f>MONTH(datos_ventas[[#This Row],[Fecha]])</f>
        <v>7</v>
      </c>
      <c r="D2039" s="4">
        <f>WEEKNUM(datos_ventas[[#This Row],[Fecha]],2)</f>
        <v>27</v>
      </c>
      <c r="E2039" t="s">
        <v>20</v>
      </c>
      <c r="F2039" t="s">
        <v>21</v>
      </c>
      <c r="G2039">
        <v>5</v>
      </c>
      <c r="H2039">
        <v>15951</v>
      </c>
      <c r="I2039">
        <v>1301</v>
      </c>
      <c r="J2039" t="s">
        <v>14</v>
      </c>
      <c r="K2039" t="str">
        <f>_xlfn.XLOOKUP(datos_ventas[[#This Row],[Ciudad]],Tabla2[Ciudades],Tabla2[Provincias],"no se encuentra")</f>
        <v>Madrid</v>
      </c>
      <c r="L2039" t="str">
        <f>_xlfn.XLOOKUP(datos_ventas[[#This Row],[Provincia]],Tabla2[Provincias],Tabla2[Comunidades],"no se encuentra")</f>
        <v>Comunidad de Madrid</v>
      </c>
      <c r="M2039" t="s">
        <v>19</v>
      </c>
      <c r="N2039">
        <v>5</v>
      </c>
    </row>
    <row r="2040" spans="1:14" x14ac:dyDescent="0.25">
      <c r="A2040">
        <v>3039</v>
      </c>
      <c r="B2040" s="1">
        <v>45888</v>
      </c>
      <c r="C2040" s="4">
        <f>MONTH(datos_ventas[[#This Row],[Fecha]])</f>
        <v>8</v>
      </c>
      <c r="D2040" s="4">
        <f>WEEKNUM(datos_ventas[[#This Row],[Fecha]],2)</f>
        <v>34</v>
      </c>
      <c r="E2040" t="s">
        <v>24</v>
      </c>
      <c r="F2040" t="s">
        <v>25</v>
      </c>
      <c r="G2040">
        <v>4</v>
      </c>
      <c r="H2040">
        <v>59607</v>
      </c>
      <c r="I2040">
        <v>2862</v>
      </c>
      <c r="J2040" t="s">
        <v>14</v>
      </c>
      <c r="K2040" t="str">
        <f>_xlfn.XLOOKUP(datos_ventas[[#This Row],[Ciudad]],Tabla2[Ciudades],Tabla2[Provincias],"no se encuentra")</f>
        <v>Madrid</v>
      </c>
      <c r="L2040" t="str">
        <f>_xlfn.XLOOKUP(datos_ventas[[#This Row],[Provincia]],Tabla2[Provincias],Tabla2[Comunidades],"no se encuentra")</f>
        <v>Comunidad de Madrid</v>
      </c>
      <c r="M2040" t="s">
        <v>13</v>
      </c>
      <c r="N2040">
        <v>3</v>
      </c>
    </row>
    <row r="2041" spans="1:14" x14ac:dyDescent="0.25">
      <c r="A2041">
        <v>3040</v>
      </c>
      <c r="B2041" s="1">
        <v>45890</v>
      </c>
      <c r="C2041" s="4">
        <f>MONTH(datos_ventas[[#This Row],[Fecha]])</f>
        <v>8</v>
      </c>
      <c r="D2041" s="4">
        <f>WEEKNUM(datos_ventas[[#This Row],[Fecha]],2)</f>
        <v>34</v>
      </c>
      <c r="E2041" t="s">
        <v>16</v>
      </c>
      <c r="F2041" t="s">
        <v>11</v>
      </c>
      <c r="G2041">
        <v>3</v>
      </c>
      <c r="H2041">
        <v>58022</v>
      </c>
      <c r="I2041">
        <v>776</v>
      </c>
      <c r="J2041" t="s">
        <v>22</v>
      </c>
      <c r="K2041" t="str">
        <f>_xlfn.XLOOKUP(datos_ventas[[#This Row],[Ciudad]],Tabla2[Ciudades],Tabla2[Provincias],"no se encuentra")</f>
        <v>Valencia</v>
      </c>
      <c r="L2041" t="str">
        <f>_xlfn.XLOOKUP(datos_ventas[[#This Row],[Provincia]],Tabla2[Provincias],Tabla2[Comunidades],"no se encuentra")</f>
        <v>Comunidad Valenciana</v>
      </c>
      <c r="M2041" t="s">
        <v>15</v>
      </c>
      <c r="N2041">
        <v>4</v>
      </c>
    </row>
    <row r="2042" spans="1:14" x14ac:dyDescent="0.25">
      <c r="A2042">
        <v>3041</v>
      </c>
      <c r="B2042" s="1">
        <v>45764</v>
      </c>
      <c r="C2042" s="4">
        <f>MONTH(datos_ventas[[#This Row],[Fecha]])</f>
        <v>4</v>
      </c>
      <c r="D2042" s="4">
        <f>WEEKNUM(datos_ventas[[#This Row],[Fecha]],2)</f>
        <v>16</v>
      </c>
      <c r="E2042" t="s">
        <v>20</v>
      </c>
      <c r="F2042" t="s">
        <v>21</v>
      </c>
      <c r="G2042">
        <v>4</v>
      </c>
      <c r="H2042">
        <v>78708</v>
      </c>
      <c r="I2042">
        <v>646</v>
      </c>
      <c r="J2042" t="s">
        <v>14</v>
      </c>
      <c r="K2042" t="str">
        <f>_xlfn.XLOOKUP(datos_ventas[[#This Row],[Ciudad]],Tabla2[Ciudades],Tabla2[Provincias],"no se encuentra")</f>
        <v>Madrid</v>
      </c>
      <c r="L2042" t="str">
        <f>_xlfn.XLOOKUP(datos_ventas[[#This Row],[Provincia]],Tabla2[Provincias],Tabla2[Comunidades],"no se encuentra")</f>
        <v>Comunidad de Madrid</v>
      </c>
      <c r="M2042" t="s">
        <v>15</v>
      </c>
      <c r="N2042">
        <v>4</v>
      </c>
    </row>
    <row r="2043" spans="1:14" x14ac:dyDescent="0.25">
      <c r="A2043">
        <v>3042</v>
      </c>
      <c r="B2043" s="1">
        <v>45875</v>
      </c>
      <c r="C2043" s="4">
        <f>MONTH(datos_ventas[[#This Row],[Fecha]])</f>
        <v>8</v>
      </c>
      <c r="D2043" s="4">
        <f>WEEKNUM(datos_ventas[[#This Row],[Fecha]],2)</f>
        <v>32</v>
      </c>
      <c r="E2043" t="s">
        <v>26</v>
      </c>
      <c r="F2043" t="s">
        <v>18</v>
      </c>
      <c r="G2043">
        <v>4</v>
      </c>
      <c r="H2043">
        <v>31982</v>
      </c>
      <c r="I2043">
        <v>625</v>
      </c>
      <c r="J2043" t="s">
        <v>27</v>
      </c>
      <c r="K2043" t="str">
        <f>_xlfn.XLOOKUP(datos_ventas[[#This Row],[Ciudad]],Tabla2[Ciudades],Tabla2[Provincias],"no se encuentra")</f>
        <v>Sevilla</v>
      </c>
      <c r="L2043" t="str">
        <f>_xlfn.XLOOKUP(datos_ventas[[#This Row],[Provincia]],Tabla2[Provincias],Tabla2[Comunidades],"no se encuentra")</f>
        <v>Andalucía</v>
      </c>
      <c r="M2043" t="s">
        <v>15</v>
      </c>
      <c r="N2043">
        <v>4</v>
      </c>
    </row>
    <row r="2044" spans="1:14" x14ac:dyDescent="0.25">
      <c r="A2044">
        <v>3043</v>
      </c>
      <c r="B2044" s="1">
        <v>45905</v>
      </c>
      <c r="C2044" s="4">
        <f>MONTH(datos_ventas[[#This Row],[Fecha]])</f>
        <v>9</v>
      </c>
      <c r="D2044" s="4">
        <f>WEEKNUM(datos_ventas[[#This Row],[Fecha]],2)</f>
        <v>36</v>
      </c>
      <c r="E2044" t="s">
        <v>17</v>
      </c>
      <c r="F2044" t="s">
        <v>18</v>
      </c>
      <c r="G2044">
        <v>4</v>
      </c>
      <c r="H2044">
        <v>45104</v>
      </c>
      <c r="I2044">
        <v>96</v>
      </c>
      <c r="J2044" t="s">
        <v>31</v>
      </c>
      <c r="K2044" t="str">
        <f>_xlfn.XLOOKUP(datos_ventas[[#This Row],[Ciudad]],Tabla2[Ciudades],Tabla2[Provincias],"no se encuentra")</f>
        <v>Vizcaya</v>
      </c>
      <c r="L2044" t="str">
        <f>_xlfn.XLOOKUP(datos_ventas[[#This Row],[Provincia]],Tabla2[Provincias],Tabla2[Comunidades],"no se encuentra")</f>
        <v>País Vasco</v>
      </c>
      <c r="M2044" t="s">
        <v>15</v>
      </c>
      <c r="N2044">
        <v>3</v>
      </c>
    </row>
    <row r="2045" spans="1:14" x14ac:dyDescent="0.25">
      <c r="A2045">
        <v>3044</v>
      </c>
      <c r="B2045" s="1">
        <v>45684</v>
      </c>
      <c r="C2045" s="4">
        <f>MONTH(datos_ventas[[#This Row],[Fecha]])</f>
        <v>1</v>
      </c>
      <c r="D2045" s="4">
        <f>WEEKNUM(datos_ventas[[#This Row],[Fecha]],2)</f>
        <v>5</v>
      </c>
      <c r="E2045" t="s">
        <v>20</v>
      </c>
      <c r="F2045" t="s">
        <v>21</v>
      </c>
      <c r="G2045">
        <v>4</v>
      </c>
      <c r="H2045">
        <v>65484</v>
      </c>
      <c r="I2045">
        <v>693</v>
      </c>
      <c r="J2045" t="s">
        <v>22</v>
      </c>
      <c r="K2045" t="str">
        <f>_xlfn.XLOOKUP(datos_ventas[[#This Row],[Ciudad]],Tabla2[Ciudades],Tabla2[Provincias],"no se encuentra")</f>
        <v>Valencia</v>
      </c>
      <c r="L2045" t="str">
        <f>_xlfn.XLOOKUP(datos_ventas[[#This Row],[Provincia]],Tabla2[Provincias],Tabla2[Comunidades],"no se encuentra")</f>
        <v>Comunidad Valenciana</v>
      </c>
      <c r="M2045" t="s">
        <v>19</v>
      </c>
      <c r="N2045">
        <v>2</v>
      </c>
    </row>
    <row r="2046" spans="1:14" x14ac:dyDescent="0.25">
      <c r="A2046">
        <v>3045</v>
      </c>
      <c r="B2046" s="1">
        <v>45768</v>
      </c>
      <c r="C2046" s="4">
        <f>MONTH(datos_ventas[[#This Row],[Fecha]])</f>
        <v>4</v>
      </c>
      <c r="D2046" s="4">
        <f>WEEKNUM(datos_ventas[[#This Row],[Fecha]],2)</f>
        <v>17</v>
      </c>
      <c r="E2046" t="s">
        <v>16</v>
      </c>
      <c r="F2046" t="s">
        <v>11</v>
      </c>
      <c r="G2046">
        <v>1</v>
      </c>
      <c r="H2046">
        <v>38886</v>
      </c>
      <c r="I2046">
        <v>3219</v>
      </c>
      <c r="J2046" t="s">
        <v>14</v>
      </c>
      <c r="K2046" t="str">
        <f>_xlfn.XLOOKUP(datos_ventas[[#This Row],[Ciudad]],Tabla2[Ciudades],Tabla2[Provincias],"no se encuentra")</f>
        <v>Madrid</v>
      </c>
      <c r="L2046" t="str">
        <f>_xlfn.XLOOKUP(datos_ventas[[#This Row],[Provincia]],Tabla2[Provincias],Tabla2[Comunidades],"no se encuentra")</f>
        <v>Comunidad de Madrid</v>
      </c>
      <c r="M2046" t="s">
        <v>13</v>
      </c>
      <c r="N2046">
        <v>1</v>
      </c>
    </row>
    <row r="2047" spans="1:14" x14ac:dyDescent="0.25">
      <c r="A2047">
        <v>3046</v>
      </c>
      <c r="B2047" s="1">
        <v>46001</v>
      </c>
      <c r="C2047" s="4">
        <f>MONTH(datos_ventas[[#This Row],[Fecha]])</f>
        <v>12</v>
      </c>
      <c r="D2047" s="4">
        <f>WEEKNUM(datos_ventas[[#This Row],[Fecha]],2)</f>
        <v>50</v>
      </c>
      <c r="E2047" t="s">
        <v>16</v>
      </c>
      <c r="F2047" t="s">
        <v>11</v>
      </c>
      <c r="G2047">
        <v>2</v>
      </c>
      <c r="H2047">
        <v>100744</v>
      </c>
      <c r="I2047">
        <v>4495</v>
      </c>
      <c r="J2047" t="s">
        <v>14</v>
      </c>
      <c r="K2047" t="str">
        <f>_xlfn.XLOOKUP(datos_ventas[[#This Row],[Ciudad]],Tabla2[Ciudades],Tabla2[Provincias],"no se encuentra")</f>
        <v>Madrid</v>
      </c>
      <c r="L2047" t="str">
        <f>_xlfn.XLOOKUP(datos_ventas[[#This Row],[Provincia]],Tabla2[Provincias],Tabla2[Comunidades],"no se encuentra")</f>
        <v>Comunidad de Madrid</v>
      </c>
      <c r="M2047" t="s">
        <v>13</v>
      </c>
      <c r="N2047">
        <v>5</v>
      </c>
    </row>
    <row r="2048" spans="1:14" x14ac:dyDescent="0.25">
      <c r="A2048">
        <v>3047</v>
      </c>
      <c r="B2048" s="1">
        <v>45803</v>
      </c>
      <c r="C2048" s="4">
        <f>MONTH(datos_ventas[[#This Row],[Fecha]])</f>
        <v>5</v>
      </c>
      <c r="D2048" s="4">
        <f>WEEKNUM(datos_ventas[[#This Row],[Fecha]],2)</f>
        <v>22</v>
      </c>
      <c r="E2048" t="s">
        <v>26</v>
      </c>
      <c r="F2048" t="s">
        <v>18</v>
      </c>
      <c r="G2048">
        <v>1</v>
      </c>
      <c r="H2048">
        <v>27135</v>
      </c>
      <c r="I2048">
        <v>2294</v>
      </c>
      <c r="J2048" t="s">
        <v>32</v>
      </c>
      <c r="K2048" t="str">
        <f>_xlfn.XLOOKUP(datos_ventas[[#This Row],[Ciudad]],Tabla2[Ciudades],Tabla2[Provincias],"no se encuentra")</f>
        <v>Barcelona</v>
      </c>
      <c r="L2048" t="str">
        <f>_xlfn.XLOOKUP(datos_ventas[[#This Row],[Provincia]],Tabla2[Provincias],Tabla2[Comunidades],"no se encuentra")</f>
        <v>Cataluña</v>
      </c>
      <c r="M2048" t="s">
        <v>15</v>
      </c>
      <c r="N2048">
        <v>4</v>
      </c>
    </row>
    <row r="2049" spans="1:14" x14ac:dyDescent="0.25">
      <c r="A2049">
        <v>3048</v>
      </c>
      <c r="B2049" s="1">
        <v>45907</v>
      </c>
      <c r="C2049" s="4">
        <f>MONTH(datos_ventas[[#This Row],[Fecha]])</f>
        <v>9</v>
      </c>
      <c r="D2049" s="4">
        <f>WEEKNUM(datos_ventas[[#This Row],[Fecha]],2)</f>
        <v>36</v>
      </c>
      <c r="E2049" t="s">
        <v>23</v>
      </c>
      <c r="F2049" t="s">
        <v>18</v>
      </c>
      <c r="G2049">
        <v>1</v>
      </c>
      <c r="H2049">
        <v>97158</v>
      </c>
      <c r="I2049">
        <v>4094</v>
      </c>
      <c r="J2049" t="s">
        <v>31</v>
      </c>
      <c r="K2049" t="str">
        <f>_xlfn.XLOOKUP(datos_ventas[[#This Row],[Ciudad]],Tabla2[Ciudades],Tabla2[Provincias],"no se encuentra")</f>
        <v>Vizcaya</v>
      </c>
      <c r="L2049" t="str">
        <f>_xlfn.XLOOKUP(datos_ventas[[#This Row],[Provincia]],Tabla2[Provincias],Tabla2[Comunidades],"no se encuentra")</f>
        <v>País Vasco</v>
      </c>
      <c r="M2049" t="s">
        <v>28</v>
      </c>
      <c r="N2049">
        <v>5</v>
      </c>
    </row>
    <row r="2050" spans="1:14" x14ac:dyDescent="0.25">
      <c r="A2050">
        <v>3049</v>
      </c>
      <c r="B2050" s="1">
        <v>45919</v>
      </c>
      <c r="C2050" s="4">
        <f>MONTH(datos_ventas[[#This Row],[Fecha]])</f>
        <v>9</v>
      </c>
      <c r="D2050" s="4">
        <f>WEEKNUM(datos_ventas[[#This Row],[Fecha]],2)</f>
        <v>38</v>
      </c>
      <c r="E2050" t="s">
        <v>20</v>
      </c>
      <c r="F2050" t="s">
        <v>21</v>
      </c>
      <c r="G2050">
        <v>1</v>
      </c>
      <c r="H2050">
        <v>44121</v>
      </c>
      <c r="I2050">
        <v>4717</v>
      </c>
      <c r="J2050" t="s">
        <v>27</v>
      </c>
      <c r="K2050" t="str">
        <f>_xlfn.XLOOKUP(datos_ventas[[#This Row],[Ciudad]],Tabla2[Ciudades],Tabla2[Provincias],"no se encuentra")</f>
        <v>Sevilla</v>
      </c>
      <c r="L2050" t="str">
        <f>_xlfn.XLOOKUP(datos_ventas[[#This Row],[Provincia]],Tabla2[Provincias],Tabla2[Comunidades],"no se encuentra")</f>
        <v>Andalucía</v>
      </c>
      <c r="M2050" t="s">
        <v>13</v>
      </c>
      <c r="N2050">
        <v>2</v>
      </c>
    </row>
    <row r="2051" spans="1:14" x14ac:dyDescent="0.25">
      <c r="A2051">
        <v>3050</v>
      </c>
      <c r="B2051" s="1">
        <v>46002</v>
      </c>
      <c r="C2051" s="4">
        <f>MONTH(datos_ventas[[#This Row],[Fecha]])</f>
        <v>12</v>
      </c>
      <c r="D2051" s="4">
        <f>WEEKNUM(datos_ventas[[#This Row],[Fecha]],2)</f>
        <v>50</v>
      </c>
      <c r="E2051" t="s">
        <v>10</v>
      </c>
      <c r="F2051" t="s">
        <v>11</v>
      </c>
      <c r="G2051">
        <v>1</v>
      </c>
      <c r="H2051">
        <v>23844</v>
      </c>
      <c r="I2051">
        <v>3988</v>
      </c>
      <c r="J2051" t="s">
        <v>22</v>
      </c>
      <c r="K2051" t="str">
        <f>_xlfn.XLOOKUP(datos_ventas[[#This Row],[Ciudad]],Tabla2[Ciudades],Tabla2[Provincias],"no se encuentra")</f>
        <v>Valencia</v>
      </c>
      <c r="L2051" t="str">
        <f>_xlfn.XLOOKUP(datos_ventas[[#This Row],[Provincia]],Tabla2[Provincias],Tabla2[Comunidades],"no se encuentra")</f>
        <v>Comunidad Valenciana</v>
      </c>
      <c r="M2051" t="s">
        <v>13</v>
      </c>
      <c r="N2051">
        <v>4</v>
      </c>
    </row>
    <row r="2052" spans="1:14" x14ac:dyDescent="0.25">
      <c r="A2052">
        <v>3051</v>
      </c>
      <c r="B2052" s="1">
        <v>45753</v>
      </c>
      <c r="C2052" s="4">
        <f>MONTH(datos_ventas[[#This Row],[Fecha]])</f>
        <v>4</v>
      </c>
      <c r="D2052" s="4">
        <f>WEEKNUM(datos_ventas[[#This Row],[Fecha]],2)</f>
        <v>14</v>
      </c>
      <c r="E2052" t="s">
        <v>29</v>
      </c>
      <c r="F2052" t="s">
        <v>30</v>
      </c>
      <c r="G2052">
        <v>4</v>
      </c>
      <c r="H2052">
        <v>34219</v>
      </c>
      <c r="I2052">
        <v>913</v>
      </c>
      <c r="J2052" t="s">
        <v>12</v>
      </c>
      <c r="K2052" t="str">
        <f>_xlfn.XLOOKUP(datos_ventas[[#This Row],[Ciudad]],Tabla2[Ciudades],Tabla2[Provincias],"no se encuentra")</f>
        <v>Málaga</v>
      </c>
      <c r="L2052" t="str">
        <f>_xlfn.XLOOKUP(datos_ventas[[#This Row],[Provincia]],Tabla2[Provincias],Tabla2[Comunidades],"no se encuentra")</f>
        <v>Andalucía</v>
      </c>
      <c r="M2052" t="s">
        <v>15</v>
      </c>
      <c r="N2052">
        <v>2</v>
      </c>
    </row>
    <row r="2053" spans="1:14" x14ac:dyDescent="0.25">
      <c r="A2053">
        <v>3052</v>
      </c>
      <c r="B2053" s="1">
        <v>45975</v>
      </c>
      <c r="C2053" s="4">
        <f>MONTH(datos_ventas[[#This Row],[Fecha]])</f>
        <v>11</v>
      </c>
      <c r="D2053" s="4">
        <f>WEEKNUM(datos_ventas[[#This Row],[Fecha]],2)</f>
        <v>46</v>
      </c>
      <c r="E2053" t="s">
        <v>20</v>
      </c>
      <c r="F2053" t="s">
        <v>21</v>
      </c>
      <c r="G2053">
        <v>1</v>
      </c>
      <c r="H2053">
        <v>30951</v>
      </c>
      <c r="I2053">
        <v>915</v>
      </c>
      <c r="J2053" t="s">
        <v>32</v>
      </c>
      <c r="K2053" t="str">
        <f>_xlfn.XLOOKUP(datos_ventas[[#This Row],[Ciudad]],Tabla2[Ciudades],Tabla2[Provincias],"no se encuentra")</f>
        <v>Barcelona</v>
      </c>
      <c r="L2053" t="str">
        <f>_xlfn.XLOOKUP(datos_ventas[[#This Row],[Provincia]],Tabla2[Provincias],Tabla2[Comunidades],"no se encuentra")</f>
        <v>Cataluña</v>
      </c>
      <c r="M2053" t="s">
        <v>13</v>
      </c>
      <c r="N2053">
        <v>2</v>
      </c>
    </row>
    <row r="2054" spans="1:14" x14ac:dyDescent="0.25">
      <c r="A2054">
        <v>3053</v>
      </c>
      <c r="B2054" s="1">
        <v>45699</v>
      </c>
      <c r="C2054" s="4">
        <f>MONTH(datos_ventas[[#This Row],[Fecha]])</f>
        <v>2</v>
      </c>
      <c r="D2054" s="4">
        <f>WEEKNUM(datos_ventas[[#This Row],[Fecha]],2)</f>
        <v>7</v>
      </c>
      <c r="E2054" t="s">
        <v>26</v>
      </c>
      <c r="F2054" t="s">
        <v>18</v>
      </c>
      <c r="G2054">
        <v>5</v>
      </c>
      <c r="H2054">
        <v>51799</v>
      </c>
      <c r="I2054">
        <v>881</v>
      </c>
      <c r="J2054" t="s">
        <v>27</v>
      </c>
      <c r="K2054" t="str">
        <f>_xlfn.XLOOKUP(datos_ventas[[#This Row],[Ciudad]],Tabla2[Ciudades],Tabla2[Provincias],"no se encuentra")</f>
        <v>Sevilla</v>
      </c>
      <c r="L2054" t="str">
        <f>_xlfn.XLOOKUP(datos_ventas[[#This Row],[Provincia]],Tabla2[Provincias],Tabla2[Comunidades],"no se encuentra")</f>
        <v>Andalucía</v>
      </c>
      <c r="M2054" t="s">
        <v>28</v>
      </c>
      <c r="N2054">
        <v>5</v>
      </c>
    </row>
    <row r="2055" spans="1:14" x14ac:dyDescent="0.25">
      <c r="A2055">
        <v>3054</v>
      </c>
      <c r="B2055" s="1">
        <v>45814</v>
      </c>
      <c r="C2055" s="4">
        <f>MONTH(datos_ventas[[#This Row],[Fecha]])</f>
        <v>6</v>
      </c>
      <c r="D2055" s="4">
        <f>WEEKNUM(datos_ventas[[#This Row],[Fecha]],2)</f>
        <v>23</v>
      </c>
      <c r="E2055" t="s">
        <v>16</v>
      </c>
      <c r="F2055" t="s">
        <v>11</v>
      </c>
      <c r="G2055">
        <v>2</v>
      </c>
      <c r="H2055">
        <v>107738</v>
      </c>
      <c r="I2055">
        <v>3559</v>
      </c>
      <c r="J2055" t="s">
        <v>27</v>
      </c>
      <c r="K2055" t="str">
        <f>_xlfn.XLOOKUP(datos_ventas[[#This Row],[Ciudad]],Tabla2[Ciudades],Tabla2[Provincias],"no se encuentra")</f>
        <v>Sevilla</v>
      </c>
      <c r="L2055" t="str">
        <f>_xlfn.XLOOKUP(datos_ventas[[#This Row],[Provincia]],Tabla2[Provincias],Tabla2[Comunidades],"no se encuentra")</f>
        <v>Andalucía</v>
      </c>
      <c r="M2055" t="s">
        <v>28</v>
      </c>
      <c r="N2055">
        <v>5</v>
      </c>
    </row>
    <row r="2056" spans="1:14" x14ac:dyDescent="0.25">
      <c r="A2056">
        <v>3055</v>
      </c>
      <c r="B2056" s="1">
        <v>45958</v>
      </c>
      <c r="C2056" s="4">
        <f>MONTH(datos_ventas[[#This Row],[Fecha]])</f>
        <v>10</v>
      </c>
      <c r="D2056" s="4">
        <f>WEEKNUM(datos_ventas[[#This Row],[Fecha]],2)</f>
        <v>44</v>
      </c>
      <c r="E2056" t="s">
        <v>20</v>
      </c>
      <c r="F2056" t="s">
        <v>21</v>
      </c>
      <c r="G2056">
        <v>2</v>
      </c>
      <c r="H2056">
        <v>32894</v>
      </c>
      <c r="I2056">
        <v>4176</v>
      </c>
      <c r="J2056" t="s">
        <v>12</v>
      </c>
      <c r="K2056" t="str">
        <f>_xlfn.XLOOKUP(datos_ventas[[#This Row],[Ciudad]],Tabla2[Ciudades],Tabla2[Provincias],"no se encuentra")</f>
        <v>Málaga</v>
      </c>
      <c r="L2056" t="str">
        <f>_xlfn.XLOOKUP(datos_ventas[[#This Row],[Provincia]],Tabla2[Provincias],Tabla2[Comunidades],"no se encuentra")</f>
        <v>Andalucía</v>
      </c>
      <c r="M2056" t="s">
        <v>13</v>
      </c>
      <c r="N2056">
        <v>3</v>
      </c>
    </row>
    <row r="2057" spans="1:14" x14ac:dyDescent="0.25">
      <c r="A2057">
        <v>3056</v>
      </c>
      <c r="B2057" s="1">
        <v>45803</v>
      </c>
      <c r="C2057" s="4">
        <f>MONTH(datos_ventas[[#This Row],[Fecha]])</f>
        <v>5</v>
      </c>
      <c r="D2057" s="4">
        <f>WEEKNUM(datos_ventas[[#This Row],[Fecha]],2)</f>
        <v>22</v>
      </c>
      <c r="E2057" t="s">
        <v>26</v>
      </c>
      <c r="F2057" t="s">
        <v>18</v>
      </c>
      <c r="G2057">
        <v>1</v>
      </c>
      <c r="H2057">
        <v>23221</v>
      </c>
      <c r="I2057">
        <v>3259</v>
      </c>
      <c r="J2057" t="s">
        <v>27</v>
      </c>
      <c r="K2057" t="str">
        <f>_xlfn.XLOOKUP(datos_ventas[[#This Row],[Ciudad]],Tabla2[Ciudades],Tabla2[Provincias],"no se encuentra")</f>
        <v>Sevilla</v>
      </c>
      <c r="L2057" t="str">
        <f>_xlfn.XLOOKUP(datos_ventas[[#This Row],[Provincia]],Tabla2[Provincias],Tabla2[Comunidades],"no se encuentra")</f>
        <v>Andalucía</v>
      </c>
      <c r="M2057" t="s">
        <v>28</v>
      </c>
      <c r="N2057">
        <v>2</v>
      </c>
    </row>
    <row r="2058" spans="1:14" x14ac:dyDescent="0.25">
      <c r="A2058">
        <v>3057</v>
      </c>
      <c r="B2058" s="1">
        <v>45827</v>
      </c>
      <c r="C2058" s="4">
        <f>MONTH(datos_ventas[[#This Row],[Fecha]])</f>
        <v>6</v>
      </c>
      <c r="D2058" s="4">
        <f>WEEKNUM(datos_ventas[[#This Row],[Fecha]],2)</f>
        <v>25</v>
      </c>
      <c r="E2058" t="s">
        <v>16</v>
      </c>
      <c r="F2058" t="s">
        <v>11</v>
      </c>
      <c r="G2058">
        <v>2</v>
      </c>
      <c r="H2058">
        <v>60679</v>
      </c>
      <c r="I2058">
        <v>4909</v>
      </c>
      <c r="J2058" t="s">
        <v>12</v>
      </c>
      <c r="K2058" t="str">
        <f>_xlfn.XLOOKUP(datos_ventas[[#This Row],[Ciudad]],Tabla2[Ciudades],Tabla2[Provincias],"no se encuentra")</f>
        <v>Málaga</v>
      </c>
      <c r="L2058" t="str">
        <f>_xlfn.XLOOKUP(datos_ventas[[#This Row],[Provincia]],Tabla2[Provincias],Tabla2[Comunidades],"no se encuentra")</f>
        <v>Andalucía</v>
      </c>
      <c r="M2058" t="s">
        <v>19</v>
      </c>
      <c r="N2058">
        <v>3</v>
      </c>
    </row>
    <row r="2059" spans="1:14" x14ac:dyDescent="0.25">
      <c r="A2059">
        <v>3058</v>
      </c>
      <c r="B2059" s="1">
        <v>45681</v>
      </c>
      <c r="C2059" s="4">
        <f>MONTH(datos_ventas[[#This Row],[Fecha]])</f>
        <v>1</v>
      </c>
      <c r="D2059" s="4">
        <f>WEEKNUM(datos_ventas[[#This Row],[Fecha]],2)</f>
        <v>4</v>
      </c>
      <c r="E2059" t="s">
        <v>10</v>
      </c>
      <c r="F2059" t="s">
        <v>11</v>
      </c>
      <c r="G2059">
        <v>4</v>
      </c>
      <c r="H2059">
        <v>109775</v>
      </c>
      <c r="I2059">
        <v>284</v>
      </c>
      <c r="J2059" t="s">
        <v>31</v>
      </c>
      <c r="K2059" t="str">
        <f>_xlfn.XLOOKUP(datos_ventas[[#This Row],[Ciudad]],Tabla2[Ciudades],Tabla2[Provincias],"no se encuentra")</f>
        <v>Vizcaya</v>
      </c>
      <c r="L2059" t="str">
        <f>_xlfn.XLOOKUP(datos_ventas[[#This Row],[Provincia]],Tabla2[Provincias],Tabla2[Comunidades],"no se encuentra")</f>
        <v>País Vasco</v>
      </c>
      <c r="M2059" t="s">
        <v>13</v>
      </c>
      <c r="N2059">
        <v>4</v>
      </c>
    </row>
    <row r="2060" spans="1:14" x14ac:dyDescent="0.25">
      <c r="A2060">
        <v>3059</v>
      </c>
      <c r="B2060" s="1">
        <v>45770</v>
      </c>
      <c r="C2060" s="4">
        <f>MONTH(datos_ventas[[#This Row],[Fecha]])</f>
        <v>4</v>
      </c>
      <c r="D2060" s="4">
        <f>WEEKNUM(datos_ventas[[#This Row],[Fecha]],2)</f>
        <v>17</v>
      </c>
      <c r="E2060" t="s">
        <v>24</v>
      </c>
      <c r="F2060" t="s">
        <v>25</v>
      </c>
      <c r="G2060">
        <v>1</v>
      </c>
      <c r="H2060">
        <v>106568</v>
      </c>
      <c r="I2060">
        <v>2407</v>
      </c>
      <c r="J2060" t="s">
        <v>14</v>
      </c>
      <c r="K2060" t="str">
        <f>_xlfn.XLOOKUP(datos_ventas[[#This Row],[Ciudad]],Tabla2[Ciudades],Tabla2[Provincias],"no se encuentra")</f>
        <v>Madrid</v>
      </c>
      <c r="L2060" t="str">
        <f>_xlfn.XLOOKUP(datos_ventas[[#This Row],[Provincia]],Tabla2[Provincias],Tabla2[Comunidades],"no se encuentra")</f>
        <v>Comunidad de Madrid</v>
      </c>
      <c r="M2060" t="s">
        <v>19</v>
      </c>
      <c r="N2060">
        <v>1</v>
      </c>
    </row>
    <row r="2061" spans="1:14" x14ac:dyDescent="0.25">
      <c r="A2061">
        <v>3060</v>
      </c>
      <c r="B2061" s="1">
        <v>45683</v>
      </c>
      <c r="C2061" s="4">
        <f>MONTH(datos_ventas[[#This Row],[Fecha]])</f>
        <v>1</v>
      </c>
      <c r="D2061" s="4">
        <f>WEEKNUM(datos_ventas[[#This Row],[Fecha]],2)</f>
        <v>4</v>
      </c>
      <c r="E2061" t="s">
        <v>24</v>
      </c>
      <c r="F2061" t="s">
        <v>25</v>
      </c>
      <c r="G2061">
        <v>5</v>
      </c>
      <c r="H2061">
        <v>39149</v>
      </c>
      <c r="I2061">
        <v>3133</v>
      </c>
      <c r="J2061" t="s">
        <v>32</v>
      </c>
      <c r="K2061" t="str">
        <f>_xlfn.XLOOKUP(datos_ventas[[#This Row],[Ciudad]],Tabla2[Ciudades],Tabla2[Provincias],"no se encuentra")</f>
        <v>Barcelona</v>
      </c>
      <c r="L2061" t="str">
        <f>_xlfn.XLOOKUP(datos_ventas[[#This Row],[Provincia]],Tabla2[Provincias],Tabla2[Comunidades],"no se encuentra")</f>
        <v>Cataluña</v>
      </c>
      <c r="M2061" t="s">
        <v>13</v>
      </c>
      <c r="N2061">
        <v>4</v>
      </c>
    </row>
    <row r="2062" spans="1:14" x14ac:dyDescent="0.25">
      <c r="A2062">
        <v>3061</v>
      </c>
      <c r="B2062" s="1">
        <v>45732</v>
      </c>
      <c r="C2062" s="4">
        <f>MONTH(datos_ventas[[#This Row],[Fecha]])</f>
        <v>3</v>
      </c>
      <c r="D2062" s="4">
        <f>WEEKNUM(datos_ventas[[#This Row],[Fecha]],2)</f>
        <v>11</v>
      </c>
      <c r="E2062" t="s">
        <v>23</v>
      </c>
      <c r="F2062" t="s">
        <v>18</v>
      </c>
      <c r="G2062">
        <v>4</v>
      </c>
      <c r="H2062">
        <v>2504</v>
      </c>
      <c r="I2062">
        <v>4421</v>
      </c>
      <c r="J2062" t="s">
        <v>27</v>
      </c>
      <c r="K2062" t="str">
        <f>_xlfn.XLOOKUP(datos_ventas[[#This Row],[Ciudad]],Tabla2[Ciudades],Tabla2[Provincias],"no se encuentra")</f>
        <v>Sevilla</v>
      </c>
      <c r="L2062" t="str">
        <f>_xlfn.XLOOKUP(datos_ventas[[#This Row],[Provincia]],Tabla2[Provincias],Tabla2[Comunidades],"no se encuentra")</f>
        <v>Andalucía</v>
      </c>
      <c r="M2062" t="s">
        <v>28</v>
      </c>
      <c r="N2062">
        <v>3</v>
      </c>
    </row>
    <row r="2063" spans="1:14" x14ac:dyDescent="0.25">
      <c r="A2063">
        <v>3062</v>
      </c>
      <c r="B2063" s="1">
        <v>45733</v>
      </c>
      <c r="C2063" s="4">
        <f>MONTH(datos_ventas[[#This Row],[Fecha]])</f>
        <v>3</v>
      </c>
      <c r="D2063" s="4">
        <f>WEEKNUM(datos_ventas[[#This Row],[Fecha]],2)</f>
        <v>12</v>
      </c>
      <c r="E2063" t="s">
        <v>20</v>
      </c>
      <c r="F2063" t="s">
        <v>21</v>
      </c>
      <c r="G2063">
        <v>3</v>
      </c>
      <c r="H2063">
        <v>9148</v>
      </c>
      <c r="I2063">
        <v>3742</v>
      </c>
      <c r="J2063" t="s">
        <v>32</v>
      </c>
      <c r="K2063" t="str">
        <f>_xlfn.XLOOKUP(datos_ventas[[#This Row],[Ciudad]],Tabla2[Ciudades],Tabla2[Provincias],"no se encuentra")</f>
        <v>Barcelona</v>
      </c>
      <c r="L2063" t="str">
        <f>_xlfn.XLOOKUP(datos_ventas[[#This Row],[Provincia]],Tabla2[Provincias],Tabla2[Comunidades],"no se encuentra")</f>
        <v>Cataluña</v>
      </c>
      <c r="M2063" t="s">
        <v>28</v>
      </c>
      <c r="N2063">
        <v>3</v>
      </c>
    </row>
    <row r="2064" spans="1:14" x14ac:dyDescent="0.25">
      <c r="A2064">
        <v>3063</v>
      </c>
      <c r="B2064" s="1">
        <v>45989</v>
      </c>
      <c r="C2064" s="4">
        <f>MONTH(datos_ventas[[#This Row],[Fecha]])</f>
        <v>11</v>
      </c>
      <c r="D2064" s="4">
        <f>WEEKNUM(datos_ventas[[#This Row],[Fecha]],2)</f>
        <v>48</v>
      </c>
      <c r="E2064" t="s">
        <v>29</v>
      </c>
      <c r="F2064" t="s">
        <v>30</v>
      </c>
      <c r="G2064">
        <v>4</v>
      </c>
      <c r="H2064">
        <v>97105</v>
      </c>
      <c r="I2064">
        <v>1773</v>
      </c>
      <c r="J2064" t="s">
        <v>27</v>
      </c>
      <c r="K2064" t="str">
        <f>_xlfn.XLOOKUP(datos_ventas[[#This Row],[Ciudad]],Tabla2[Ciudades],Tabla2[Provincias],"no se encuentra")</f>
        <v>Sevilla</v>
      </c>
      <c r="L2064" t="str">
        <f>_xlfn.XLOOKUP(datos_ventas[[#This Row],[Provincia]],Tabla2[Provincias],Tabla2[Comunidades],"no se encuentra")</f>
        <v>Andalucía</v>
      </c>
      <c r="M2064" t="s">
        <v>15</v>
      </c>
      <c r="N2064">
        <v>2</v>
      </c>
    </row>
    <row r="2065" spans="1:14" x14ac:dyDescent="0.25">
      <c r="A2065">
        <v>3064</v>
      </c>
      <c r="B2065" s="1">
        <v>45962</v>
      </c>
      <c r="C2065" s="4">
        <f>MONTH(datos_ventas[[#This Row],[Fecha]])</f>
        <v>11</v>
      </c>
      <c r="D2065" s="4">
        <f>WEEKNUM(datos_ventas[[#This Row],[Fecha]],2)</f>
        <v>44</v>
      </c>
      <c r="E2065" t="s">
        <v>29</v>
      </c>
      <c r="F2065" t="s">
        <v>30</v>
      </c>
      <c r="G2065">
        <v>4</v>
      </c>
      <c r="H2065">
        <v>36986</v>
      </c>
      <c r="I2065">
        <v>78</v>
      </c>
      <c r="J2065" t="s">
        <v>14</v>
      </c>
      <c r="K2065" t="str">
        <f>_xlfn.XLOOKUP(datos_ventas[[#This Row],[Ciudad]],Tabla2[Ciudades],Tabla2[Provincias],"no se encuentra")</f>
        <v>Madrid</v>
      </c>
      <c r="L2065" t="str">
        <f>_xlfn.XLOOKUP(datos_ventas[[#This Row],[Provincia]],Tabla2[Provincias],Tabla2[Comunidades],"no se encuentra")</f>
        <v>Comunidad de Madrid</v>
      </c>
      <c r="M2065" t="s">
        <v>15</v>
      </c>
      <c r="N2065">
        <v>4</v>
      </c>
    </row>
    <row r="2066" spans="1:14" x14ac:dyDescent="0.25">
      <c r="A2066">
        <v>3065</v>
      </c>
      <c r="B2066" s="1">
        <v>45887</v>
      </c>
      <c r="C2066" s="4">
        <f>MONTH(datos_ventas[[#This Row],[Fecha]])</f>
        <v>8</v>
      </c>
      <c r="D2066" s="4">
        <f>WEEKNUM(datos_ventas[[#This Row],[Fecha]],2)</f>
        <v>34</v>
      </c>
      <c r="E2066" t="s">
        <v>16</v>
      </c>
      <c r="F2066" t="s">
        <v>11</v>
      </c>
      <c r="G2066">
        <v>2</v>
      </c>
      <c r="H2066">
        <v>78655</v>
      </c>
      <c r="I2066">
        <v>277</v>
      </c>
      <c r="J2066" t="s">
        <v>31</v>
      </c>
      <c r="K2066" t="str">
        <f>_xlfn.XLOOKUP(datos_ventas[[#This Row],[Ciudad]],Tabla2[Ciudades],Tabla2[Provincias],"no se encuentra")</f>
        <v>Vizcaya</v>
      </c>
      <c r="L2066" t="str">
        <f>_xlfn.XLOOKUP(datos_ventas[[#This Row],[Provincia]],Tabla2[Provincias],Tabla2[Comunidades],"no se encuentra")</f>
        <v>País Vasco</v>
      </c>
      <c r="M2066" t="s">
        <v>15</v>
      </c>
      <c r="N2066">
        <v>4</v>
      </c>
    </row>
    <row r="2067" spans="1:14" x14ac:dyDescent="0.25">
      <c r="A2067">
        <v>3066</v>
      </c>
      <c r="B2067" s="1">
        <v>45798</v>
      </c>
      <c r="C2067" s="4">
        <f>MONTH(datos_ventas[[#This Row],[Fecha]])</f>
        <v>5</v>
      </c>
      <c r="D2067" s="4">
        <f>WEEKNUM(datos_ventas[[#This Row],[Fecha]],2)</f>
        <v>21</v>
      </c>
      <c r="E2067" t="s">
        <v>23</v>
      </c>
      <c r="F2067" t="s">
        <v>18</v>
      </c>
      <c r="G2067">
        <v>2</v>
      </c>
      <c r="H2067">
        <v>109501</v>
      </c>
      <c r="I2067">
        <v>4023</v>
      </c>
      <c r="J2067" t="s">
        <v>27</v>
      </c>
      <c r="K2067" t="str">
        <f>_xlfn.XLOOKUP(datos_ventas[[#This Row],[Ciudad]],Tabla2[Ciudades],Tabla2[Provincias],"no se encuentra")</f>
        <v>Sevilla</v>
      </c>
      <c r="L2067" t="str">
        <f>_xlfn.XLOOKUP(datos_ventas[[#This Row],[Provincia]],Tabla2[Provincias],Tabla2[Comunidades],"no se encuentra")</f>
        <v>Andalucía</v>
      </c>
      <c r="M2067" t="s">
        <v>19</v>
      </c>
      <c r="N2067">
        <v>1</v>
      </c>
    </row>
    <row r="2068" spans="1:14" x14ac:dyDescent="0.25">
      <c r="A2068">
        <v>3067</v>
      </c>
      <c r="B2068" s="1">
        <v>45871</v>
      </c>
      <c r="C2068" s="4">
        <f>MONTH(datos_ventas[[#This Row],[Fecha]])</f>
        <v>8</v>
      </c>
      <c r="D2068" s="4">
        <f>WEEKNUM(datos_ventas[[#This Row],[Fecha]],2)</f>
        <v>31</v>
      </c>
      <c r="E2068" t="s">
        <v>23</v>
      </c>
      <c r="F2068" t="s">
        <v>18</v>
      </c>
      <c r="G2068">
        <v>1</v>
      </c>
      <c r="H2068">
        <v>29745</v>
      </c>
      <c r="I2068">
        <v>3235</v>
      </c>
      <c r="J2068" t="s">
        <v>31</v>
      </c>
      <c r="K2068" t="str">
        <f>_xlfn.XLOOKUP(datos_ventas[[#This Row],[Ciudad]],Tabla2[Ciudades],Tabla2[Provincias],"no se encuentra")</f>
        <v>Vizcaya</v>
      </c>
      <c r="L2068" t="str">
        <f>_xlfn.XLOOKUP(datos_ventas[[#This Row],[Provincia]],Tabla2[Provincias],Tabla2[Comunidades],"no se encuentra")</f>
        <v>País Vasco</v>
      </c>
      <c r="M2068" t="s">
        <v>28</v>
      </c>
      <c r="N2068">
        <v>4</v>
      </c>
    </row>
    <row r="2069" spans="1:14" x14ac:dyDescent="0.25">
      <c r="A2069">
        <v>3068</v>
      </c>
      <c r="B2069" s="1">
        <v>45870</v>
      </c>
      <c r="C2069" s="4">
        <f>MONTH(datos_ventas[[#This Row],[Fecha]])</f>
        <v>8</v>
      </c>
      <c r="D2069" s="4">
        <f>WEEKNUM(datos_ventas[[#This Row],[Fecha]],2)</f>
        <v>31</v>
      </c>
      <c r="E2069" t="s">
        <v>17</v>
      </c>
      <c r="F2069" t="s">
        <v>18</v>
      </c>
      <c r="G2069">
        <v>4</v>
      </c>
      <c r="H2069">
        <v>115626</v>
      </c>
      <c r="I2069">
        <v>1722</v>
      </c>
      <c r="J2069" t="s">
        <v>14</v>
      </c>
      <c r="K2069" t="str">
        <f>_xlfn.XLOOKUP(datos_ventas[[#This Row],[Ciudad]],Tabla2[Ciudades],Tabla2[Provincias],"no se encuentra")</f>
        <v>Madrid</v>
      </c>
      <c r="L2069" t="str">
        <f>_xlfn.XLOOKUP(datos_ventas[[#This Row],[Provincia]],Tabla2[Provincias],Tabla2[Comunidades],"no se encuentra")</f>
        <v>Comunidad de Madrid</v>
      </c>
      <c r="M2069" t="s">
        <v>28</v>
      </c>
      <c r="N2069">
        <v>4</v>
      </c>
    </row>
    <row r="2070" spans="1:14" x14ac:dyDescent="0.25">
      <c r="A2070">
        <v>3069</v>
      </c>
      <c r="B2070" s="1">
        <v>45690</v>
      </c>
      <c r="C2070" s="4">
        <f>MONTH(datos_ventas[[#This Row],[Fecha]])</f>
        <v>2</v>
      </c>
      <c r="D2070" s="4">
        <f>WEEKNUM(datos_ventas[[#This Row],[Fecha]],2)</f>
        <v>5</v>
      </c>
      <c r="E2070" t="s">
        <v>23</v>
      </c>
      <c r="F2070" t="s">
        <v>18</v>
      </c>
      <c r="G2070">
        <v>5</v>
      </c>
      <c r="H2070">
        <v>44877</v>
      </c>
      <c r="I2070">
        <v>4419</v>
      </c>
      <c r="J2070" t="s">
        <v>14</v>
      </c>
      <c r="K2070" t="str">
        <f>_xlfn.XLOOKUP(datos_ventas[[#This Row],[Ciudad]],Tabla2[Ciudades],Tabla2[Provincias],"no se encuentra")</f>
        <v>Madrid</v>
      </c>
      <c r="L2070" t="str">
        <f>_xlfn.XLOOKUP(datos_ventas[[#This Row],[Provincia]],Tabla2[Provincias],Tabla2[Comunidades],"no se encuentra")</f>
        <v>Comunidad de Madrid</v>
      </c>
      <c r="M2070" t="s">
        <v>19</v>
      </c>
      <c r="N2070">
        <v>2</v>
      </c>
    </row>
    <row r="2071" spans="1:14" x14ac:dyDescent="0.25">
      <c r="A2071">
        <v>3070</v>
      </c>
      <c r="B2071" s="1">
        <v>45840</v>
      </c>
      <c r="C2071" s="4">
        <f>MONTH(datos_ventas[[#This Row],[Fecha]])</f>
        <v>7</v>
      </c>
      <c r="D2071" s="4">
        <f>WEEKNUM(datos_ventas[[#This Row],[Fecha]],2)</f>
        <v>27</v>
      </c>
      <c r="E2071" t="s">
        <v>23</v>
      </c>
      <c r="F2071" t="s">
        <v>18</v>
      </c>
      <c r="G2071">
        <v>4</v>
      </c>
      <c r="H2071">
        <v>26653</v>
      </c>
      <c r="I2071">
        <v>1117</v>
      </c>
      <c r="J2071" t="s">
        <v>22</v>
      </c>
      <c r="K2071" t="str">
        <f>_xlfn.XLOOKUP(datos_ventas[[#This Row],[Ciudad]],Tabla2[Ciudades],Tabla2[Provincias],"no se encuentra")</f>
        <v>Valencia</v>
      </c>
      <c r="L2071" t="str">
        <f>_xlfn.XLOOKUP(datos_ventas[[#This Row],[Provincia]],Tabla2[Provincias],Tabla2[Comunidades],"no se encuentra")</f>
        <v>Comunidad Valenciana</v>
      </c>
      <c r="M2071" t="s">
        <v>13</v>
      </c>
      <c r="N2071">
        <v>4</v>
      </c>
    </row>
    <row r="2072" spans="1:14" x14ac:dyDescent="0.25">
      <c r="A2072">
        <v>3071</v>
      </c>
      <c r="B2072" s="1">
        <v>45684</v>
      </c>
      <c r="C2072" s="4">
        <f>MONTH(datos_ventas[[#This Row],[Fecha]])</f>
        <v>1</v>
      </c>
      <c r="D2072" s="4">
        <f>WEEKNUM(datos_ventas[[#This Row],[Fecha]],2)</f>
        <v>5</v>
      </c>
      <c r="E2072" t="s">
        <v>16</v>
      </c>
      <c r="F2072" t="s">
        <v>11</v>
      </c>
      <c r="G2072">
        <v>3</v>
      </c>
      <c r="H2072">
        <v>66181</v>
      </c>
      <c r="I2072">
        <v>1894</v>
      </c>
      <c r="J2072" t="s">
        <v>22</v>
      </c>
      <c r="K2072" t="str">
        <f>_xlfn.XLOOKUP(datos_ventas[[#This Row],[Ciudad]],Tabla2[Ciudades],Tabla2[Provincias],"no se encuentra")</f>
        <v>Valencia</v>
      </c>
      <c r="L2072" t="str">
        <f>_xlfn.XLOOKUP(datos_ventas[[#This Row],[Provincia]],Tabla2[Provincias],Tabla2[Comunidades],"no se encuentra")</f>
        <v>Comunidad Valenciana</v>
      </c>
      <c r="M2072" t="s">
        <v>15</v>
      </c>
      <c r="N2072">
        <v>4</v>
      </c>
    </row>
    <row r="2073" spans="1:14" x14ac:dyDescent="0.25">
      <c r="A2073">
        <v>3072</v>
      </c>
      <c r="B2073" s="1">
        <v>45979</v>
      </c>
      <c r="C2073" s="4">
        <f>MONTH(datos_ventas[[#This Row],[Fecha]])</f>
        <v>11</v>
      </c>
      <c r="D2073" s="4">
        <f>WEEKNUM(datos_ventas[[#This Row],[Fecha]],2)</f>
        <v>47</v>
      </c>
      <c r="E2073" t="s">
        <v>10</v>
      </c>
      <c r="F2073" t="s">
        <v>11</v>
      </c>
      <c r="G2073">
        <v>2</v>
      </c>
      <c r="H2073">
        <v>83276</v>
      </c>
      <c r="I2073">
        <v>170</v>
      </c>
      <c r="J2073" t="s">
        <v>27</v>
      </c>
      <c r="K2073" t="str">
        <f>_xlfn.XLOOKUP(datos_ventas[[#This Row],[Ciudad]],Tabla2[Ciudades],Tabla2[Provincias],"no se encuentra")</f>
        <v>Sevilla</v>
      </c>
      <c r="L2073" t="str">
        <f>_xlfn.XLOOKUP(datos_ventas[[#This Row],[Provincia]],Tabla2[Provincias],Tabla2[Comunidades],"no se encuentra")</f>
        <v>Andalucía</v>
      </c>
      <c r="M2073" t="s">
        <v>13</v>
      </c>
      <c r="N2073">
        <v>5</v>
      </c>
    </row>
    <row r="2074" spans="1:14" x14ac:dyDescent="0.25">
      <c r="A2074">
        <v>3073</v>
      </c>
      <c r="B2074" s="1">
        <v>45866</v>
      </c>
      <c r="C2074" s="4">
        <f>MONTH(datos_ventas[[#This Row],[Fecha]])</f>
        <v>7</v>
      </c>
      <c r="D2074" s="4">
        <f>WEEKNUM(datos_ventas[[#This Row],[Fecha]],2)</f>
        <v>31</v>
      </c>
      <c r="E2074" t="s">
        <v>16</v>
      </c>
      <c r="F2074" t="s">
        <v>11</v>
      </c>
      <c r="G2074">
        <v>3</v>
      </c>
      <c r="H2074">
        <v>17725</v>
      </c>
      <c r="I2074">
        <v>573</v>
      </c>
      <c r="J2074" t="s">
        <v>31</v>
      </c>
      <c r="K2074" t="str">
        <f>_xlfn.XLOOKUP(datos_ventas[[#This Row],[Ciudad]],Tabla2[Ciudades],Tabla2[Provincias],"no se encuentra")</f>
        <v>Vizcaya</v>
      </c>
      <c r="L2074" t="str">
        <f>_xlfn.XLOOKUP(datos_ventas[[#This Row],[Provincia]],Tabla2[Provincias],Tabla2[Comunidades],"no se encuentra")</f>
        <v>País Vasco</v>
      </c>
      <c r="M2074" t="s">
        <v>19</v>
      </c>
      <c r="N2074">
        <v>3</v>
      </c>
    </row>
    <row r="2075" spans="1:14" x14ac:dyDescent="0.25">
      <c r="A2075">
        <v>3074</v>
      </c>
      <c r="B2075" s="1">
        <v>45708</v>
      </c>
      <c r="C2075" s="4">
        <f>MONTH(datos_ventas[[#This Row],[Fecha]])</f>
        <v>2</v>
      </c>
      <c r="D2075" s="4">
        <f>WEEKNUM(datos_ventas[[#This Row],[Fecha]],2)</f>
        <v>8</v>
      </c>
      <c r="E2075" t="s">
        <v>29</v>
      </c>
      <c r="F2075" t="s">
        <v>30</v>
      </c>
      <c r="G2075">
        <v>5</v>
      </c>
      <c r="H2075">
        <v>109391</v>
      </c>
      <c r="I2075">
        <v>3441</v>
      </c>
      <c r="J2075" t="s">
        <v>14</v>
      </c>
      <c r="K2075" t="str">
        <f>_xlfn.XLOOKUP(datos_ventas[[#This Row],[Ciudad]],Tabla2[Ciudades],Tabla2[Provincias],"no se encuentra")</f>
        <v>Madrid</v>
      </c>
      <c r="L2075" t="str">
        <f>_xlfn.XLOOKUP(datos_ventas[[#This Row],[Provincia]],Tabla2[Provincias],Tabla2[Comunidades],"no se encuentra")</f>
        <v>Comunidad de Madrid</v>
      </c>
      <c r="M2075" t="s">
        <v>28</v>
      </c>
      <c r="N2075">
        <v>4</v>
      </c>
    </row>
    <row r="2076" spans="1:14" x14ac:dyDescent="0.25">
      <c r="A2076">
        <v>3075</v>
      </c>
      <c r="B2076" s="1">
        <v>45783</v>
      </c>
      <c r="C2076" s="4">
        <f>MONTH(datos_ventas[[#This Row],[Fecha]])</f>
        <v>5</v>
      </c>
      <c r="D2076" s="4">
        <f>WEEKNUM(datos_ventas[[#This Row],[Fecha]],2)</f>
        <v>19</v>
      </c>
      <c r="E2076" t="s">
        <v>24</v>
      </c>
      <c r="F2076" t="s">
        <v>25</v>
      </c>
      <c r="G2076">
        <v>4</v>
      </c>
      <c r="H2076">
        <v>96059</v>
      </c>
      <c r="I2076">
        <v>2947</v>
      </c>
      <c r="J2076" t="s">
        <v>12</v>
      </c>
      <c r="K2076" t="str">
        <f>_xlfn.XLOOKUP(datos_ventas[[#This Row],[Ciudad]],Tabla2[Ciudades],Tabla2[Provincias],"no se encuentra")</f>
        <v>Málaga</v>
      </c>
      <c r="L2076" t="str">
        <f>_xlfn.XLOOKUP(datos_ventas[[#This Row],[Provincia]],Tabla2[Provincias],Tabla2[Comunidades],"no se encuentra")</f>
        <v>Andalucía</v>
      </c>
      <c r="M2076" t="s">
        <v>15</v>
      </c>
      <c r="N2076">
        <v>5</v>
      </c>
    </row>
    <row r="2077" spans="1:14" x14ac:dyDescent="0.25">
      <c r="A2077">
        <v>3076</v>
      </c>
      <c r="B2077" s="1">
        <v>45778</v>
      </c>
      <c r="C2077" s="4">
        <f>MONTH(datos_ventas[[#This Row],[Fecha]])</f>
        <v>5</v>
      </c>
      <c r="D2077" s="4">
        <f>WEEKNUM(datos_ventas[[#This Row],[Fecha]],2)</f>
        <v>18</v>
      </c>
      <c r="E2077" t="s">
        <v>26</v>
      </c>
      <c r="F2077" t="s">
        <v>18</v>
      </c>
      <c r="G2077">
        <v>5</v>
      </c>
      <c r="H2077">
        <v>12542</v>
      </c>
      <c r="I2077">
        <v>1251</v>
      </c>
      <c r="J2077" t="s">
        <v>31</v>
      </c>
      <c r="K2077" t="str">
        <f>_xlfn.XLOOKUP(datos_ventas[[#This Row],[Ciudad]],Tabla2[Ciudades],Tabla2[Provincias],"no se encuentra")</f>
        <v>Vizcaya</v>
      </c>
      <c r="L2077" t="str">
        <f>_xlfn.XLOOKUP(datos_ventas[[#This Row],[Provincia]],Tabla2[Provincias],Tabla2[Comunidades],"no se encuentra")</f>
        <v>País Vasco</v>
      </c>
      <c r="M2077" t="s">
        <v>15</v>
      </c>
      <c r="N2077">
        <v>2</v>
      </c>
    </row>
    <row r="2078" spans="1:14" x14ac:dyDescent="0.25">
      <c r="A2078">
        <v>3077</v>
      </c>
      <c r="B2078" s="1">
        <v>45692</v>
      </c>
      <c r="C2078" s="4">
        <f>MONTH(datos_ventas[[#This Row],[Fecha]])</f>
        <v>2</v>
      </c>
      <c r="D2078" s="4">
        <f>WEEKNUM(datos_ventas[[#This Row],[Fecha]],2)</f>
        <v>6</v>
      </c>
      <c r="E2078" t="s">
        <v>20</v>
      </c>
      <c r="F2078" t="s">
        <v>21</v>
      </c>
      <c r="G2078">
        <v>2</v>
      </c>
      <c r="H2078">
        <v>117358</v>
      </c>
      <c r="I2078">
        <v>4721</v>
      </c>
      <c r="J2078" t="s">
        <v>27</v>
      </c>
      <c r="K2078" t="str">
        <f>_xlfn.XLOOKUP(datos_ventas[[#This Row],[Ciudad]],Tabla2[Ciudades],Tabla2[Provincias],"no se encuentra")</f>
        <v>Sevilla</v>
      </c>
      <c r="L2078" t="str">
        <f>_xlfn.XLOOKUP(datos_ventas[[#This Row],[Provincia]],Tabla2[Provincias],Tabla2[Comunidades],"no se encuentra")</f>
        <v>Andalucía</v>
      </c>
      <c r="M2078" t="s">
        <v>19</v>
      </c>
      <c r="N2078">
        <v>3</v>
      </c>
    </row>
    <row r="2079" spans="1:14" x14ac:dyDescent="0.25">
      <c r="A2079">
        <v>3078</v>
      </c>
      <c r="B2079" s="1">
        <v>45973</v>
      </c>
      <c r="C2079" s="4">
        <f>MONTH(datos_ventas[[#This Row],[Fecha]])</f>
        <v>11</v>
      </c>
      <c r="D2079" s="4">
        <f>WEEKNUM(datos_ventas[[#This Row],[Fecha]],2)</f>
        <v>46</v>
      </c>
      <c r="E2079" t="s">
        <v>24</v>
      </c>
      <c r="F2079" t="s">
        <v>25</v>
      </c>
      <c r="G2079">
        <v>3</v>
      </c>
      <c r="H2079">
        <v>50771</v>
      </c>
      <c r="I2079">
        <v>2919</v>
      </c>
      <c r="J2079" t="s">
        <v>12</v>
      </c>
      <c r="K2079" t="str">
        <f>_xlfn.XLOOKUP(datos_ventas[[#This Row],[Ciudad]],Tabla2[Ciudades],Tabla2[Provincias],"no se encuentra")</f>
        <v>Málaga</v>
      </c>
      <c r="L2079" t="str">
        <f>_xlfn.XLOOKUP(datos_ventas[[#This Row],[Provincia]],Tabla2[Provincias],Tabla2[Comunidades],"no se encuentra")</f>
        <v>Andalucía</v>
      </c>
      <c r="M2079" t="s">
        <v>19</v>
      </c>
      <c r="N2079">
        <v>4</v>
      </c>
    </row>
    <row r="2080" spans="1:14" x14ac:dyDescent="0.25">
      <c r="A2080">
        <v>3079</v>
      </c>
      <c r="B2080" s="1">
        <v>45774</v>
      </c>
      <c r="C2080" s="4">
        <f>MONTH(datos_ventas[[#This Row],[Fecha]])</f>
        <v>4</v>
      </c>
      <c r="D2080" s="4">
        <f>WEEKNUM(datos_ventas[[#This Row],[Fecha]],2)</f>
        <v>17</v>
      </c>
      <c r="E2080" t="s">
        <v>20</v>
      </c>
      <c r="F2080" t="s">
        <v>21</v>
      </c>
      <c r="G2080">
        <v>1</v>
      </c>
      <c r="H2080">
        <v>19978</v>
      </c>
      <c r="I2080">
        <v>1083</v>
      </c>
      <c r="J2080" t="s">
        <v>31</v>
      </c>
      <c r="K2080" t="str">
        <f>_xlfn.XLOOKUP(datos_ventas[[#This Row],[Ciudad]],Tabla2[Ciudades],Tabla2[Provincias],"no se encuentra")</f>
        <v>Vizcaya</v>
      </c>
      <c r="L2080" t="str">
        <f>_xlfn.XLOOKUP(datos_ventas[[#This Row],[Provincia]],Tabla2[Provincias],Tabla2[Comunidades],"no se encuentra")</f>
        <v>País Vasco</v>
      </c>
      <c r="M2080" t="s">
        <v>28</v>
      </c>
      <c r="N2080">
        <v>5</v>
      </c>
    </row>
    <row r="2081" spans="1:14" x14ac:dyDescent="0.25">
      <c r="A2081">
        <v>3080</v>
      </c>
      <c r="B2081" s="1">
        <v>45970</v>
      </c>
      <c r="C2081" s="4">
        <f>MONTH(datos_ventas[[#This Row],[Fecha]])</f>
        <v>11</v>
      </c>
      <c r="D2081" s="4">
        <f>WEEKNUM(datos_ventas[[#This Row],[Fecha]],2)</f>
        <v>45</v>
      </c>
      <c r="E2081" t="s">
        <v>23</v>
      </c>
      <c r="F2081" t="s">
        <v>18</v>
      </c>
      <c r="G2081">
        <v>2</v>
      </c>
      <c r="H2081">
        <v>79952</v>
      </c>
      <c r="I2081">
        <v>4665</v>
      </c>
      <c r="J2081" t="s">
        <v>32</v>
      </c>
      <c r="K2081" t="str">
        <f>_xlfn.XLOOKUP(datos_ventas[[#This Row],[Ciudad]],Tabla2[Ciudades],Tabla2[Provincias],"no se encuentra")</f>
        <v>Barcelona</v>
      </c>
      <c r="L2081" t="str">
        <f>_xlfn.XLOOKUP(datos_ventas[[#This Row],[Provincia]],Tabla2[Provincias],Tabla2[Comunidades],"no se encuentra")</f>
        <v>Cataluña</v>
      </c>
      <c r="M2081" t="s">
        <v>28</v>
      </c>
      <c r="N2081">
        <v>3</v>
      </c>
    </row>
    <row r="2082" spans="1:14" x14ac:dyDescent="0.25">
      <c r="A2082">
        <v>3081</v>
      </c>
      <c r="B2082" s="1">
        <v>45836</v>
      </c>
      <c r="C2082" s="4">
        <f>MONTH(datos_ventas[[#This Row],[Fecha]])</f>
        <v>6</v>
      </c>
      <c r="D2082" s="4">
        <f>WEEKNUM(datos_ventas[[#This Row],[Fecha]],2)</f>
        <v>26</v>
      </c>
      <c r="E2082" t="s">
        <v>16</v>
      </c>
      <c r="F2082" t="s">
        <v>11</v>
      </c>
      <c r="G2082">
        <v>2</v>
      </c>
      <c r="H2082">
        <v>50474</v>
      </c>
      <c r="I2082">
        <v>3804</v>
      </c>
      <c r="J2082" t="s">
        <v>27</v>
      </c>
      <c r="K2082" t="str">
        <f>_xlfn.XLOOKUP(datos_ventas[[#This Row],[Ciudad]],Tabla2[Ciudades],Tabla2[Provincias],"no se encuentra")</f>
        <v>Sevilla</v>
      </c>
      <c r="L2082" t="str">
        <f>_xlfn.XLOOKUP(datos_ventas[[#This Row],[Provincia]],Tabla2[Provincias],Tabla2[Comunidades],"no se encuentra")</f>
        <v>Andalucía</v>
      </c>
      <c r="M2082" t="s">
        <v>19</v>
      </c>
      <c r="N2082">
        <v>2</v>
      </c>
    </row>
    <row r="2083" spans="1:14" x14ac:dyDescent="0.25">
      <c r="A2083">
        <v>3082</v>
      </c>
      <c r="B2083" s="1">
        <v>45682</v>
      </c>
      <c r="C2083" s="4">
        <f>MONTH(datos_ventas[[#This Row],[Fecha]])</f>
        <v>1</v>
      </c>
      <c r="D2083" s="4">
        <f>WEEKNUM(datos_ventas[[#This Row],[Fecha]],2)</f>
        <v>4</v>
      </c>
      <c r="E2083" t="s">
        <v>29</v>
      </c>
      <c r="F2083" t="s">
        <v>30</v>
      </c>
      <c r="G2083">
        <v>3</v>
      </c>
      <c r="H2083">
        <v>47732</v>
      </c>
      <c r="I2083">
        <v>4197</v>
      </c>
      <c r="J2083" t="s">
        <v>31</v>
      </c>
      <c r="K2083" t="str">
        <f>_xlfn.XLOOKUP(datos_ventas[[#This Row],[Ciudad]],Tabla2[Ciudades],Tabla2[Provincias],"no se encuentra")</f>
        <v>Vizcaya</v>
      </c>
      <c r="L2083" t="str">
        <f>_xlfn.XLOOKUP(datos_ventas[[#This Row],[Provincia]],Tabla2[Provincias],Tabla2[Comunidades],"no se encuentra")</f>
        <v>País Vasco</v>
      </c>
      <c r="M2083" t="s">
        <v>28</v>
      </c>
      <c r="N2083">
        <v>3</v>
      </c>
    </row>
    <row r="2084" spans="1:14" x14ac:dyDescent="0.25">
      <c r="A2084">
        <v>3083</v>
      </c>
      <c r="B2084" s="1">
        <v>45988</v>
      </c>
      <c r="C2084" s="4">
        <f>MONTH(datos_ventas[[#This Row],[Fecha]])</f>
        <v>11</v>
      </c>
      <c r="D2084" s="4">
        <f>WEEKNUM(datos_ventas[[#This Row],[Fecha]],2)</f>
        <v>48</v>
      </c>
      <c r="E2084" t="s">
        <v>20</v>
      </c>
      <c r="F2084" t="s">
        <v>21</v>
      </c>
      <c r="G2084">
        <v>5</v>
      </c>
      <c r="H2084">
        <v>85559</v>
      </c>
      <c r="I2084">
        <v>2614</v>
      </c>
      <c r="J2084" t="s">
        <v>31</v>
      </c>
      <c r="K2084" t="str">
        <f>_xlfn.XLOOKUP(datos_ventas[[#This Row],[Ciudad]],Tabla2[Ciudades],Tabla2[Provincias],"no se encuentra")</f>
        <v>Vizcaya</v>
      </c>
      <c r="L2084" t="str">
        <f>_xlfn.XLOOKUP(datos_ventas[[#This Row],[Provincia]],Tabla2[Provincias],Tabla2[Comunidades],"no se encuentra")</f>
        <v>País Vasco</v>
      </c>
      <c r="M2084" t="s">
        <v>19</v>
      </c>
      <c r="N2084">
        <v>5</v>
      </c>
    </row>
    <row r="2085" spans="1:14" x14ac:dyDescent="0.25">
      <c r="A2085">
        <v>3084</v>
      </c>
      <c r="B2085" s="1">
        <v>45658</v>
      </c>
      <c r="C2085" s="4">
        <f>MONTH(datos_ventas[[#This Row],[Fecha]])</f>
        <v>1</v>
      </c>
      <c r="D2085" s="4">
        <f>WEEKNUM(datos_ventas[[#This Row],[Fecha]],2)</f>
        <v>1</v>
      </c>
      <c r="E2085" t="s">
        <v>20</v>
      </c>
      <c r="F2085" t="s">
        <v>21</v>
      </c>
      <c r="G2085">
        <v>5</v>
      </c>
      <c r="H2085">
        <v>35172</v>
      </c>
      <c r="I2085">
        <v>204</v>
      </c>
      <c r="J2085" t="s">
        <v>14</v>
      </c>
      <c r="K2085" t="str">
        <f>_xlfn.XLOOKUP(datos_ventas[[#This Row],[Ciudad]],Tabla2[Ciudades],Tabla2[Provincias],"no se encuentra")</f>
        <v>Madrid</v>
      </c>
      <c r="L2085" t="str">
        <f>_xlfn.XLOOKUP(datos_ventas[[#This Row],[Provincia]],Tabla2[Provincias],Tabla2[Comunidades],"no se encuentra")</f>
        <v>Comunidad de Madrid</v>
      </c>
      <c r="M2085" t="s">
        <v>15</v>
      </c>
      <c r="N2085">
        <v>2</v>
      </c>
    </row>
    <row r="2086" spans="1:14" x14ac:dyDescent="0.25">
      <c r="A2086">
        <v>3085</v>
      </c>
      <c r="B2086" s="1">
        <v>45878</v>
      </c>
      <c r="C2086" s="4">
        <f>MONTH(datos_ventas[[#This Row],[Fecha]])</f>
        <v>8</v>
      </c>
      <c r="D2086" s="4">
        <f>WEEKNUM(datos_ventas[[#This Row],[Fecha]],2)</f>
        <v>32</v>
      </c>
      <c r="E2086" t="s">
        <v>20</v>
      </c>
      <c r="F2086" t="s">
        <v>21</v>
      </c>
      <c r="G2086">
        <v>1</v>
      </c>
      <c r="H2086">
        <v>3384</v>
      </c>
      <c r="I2086">
        <v>4447</v>
      </c>
      <c r="J2086" t="s">
        <v>32</v>
      </c>
      <c r="K2086" t="str">
        <f>_xlfn.XLOOKUP(datos_ventas[[#This Row],[Ciudad]],Tabla2[Ciudades],Tabla2[Provincias],"no se encuentra")</f>
        <v>Barcelona</v>
      </c>
      <c r="L2086" t="str">
        <f>_xlfn.XLOOKUP(datos_ventas[[#This Row],[Provincia]],Tabla2[Provincias],Tabla2[Comunidades],"no se encuentra")</f>
        <v>Cataluña</v>
      </c>
      <c r="M2086" t="s">
        <v>19</v>
      </c>
      <c r="N2086">
        <v>5</v>
      </c>
    </row>
    <row r="2087" spans="1:14" x14ac:dyDescent="0.25">
      <c r="A2087">
        <v>3086</v>
      </c>
      <c r="B2087" s="1">
        <v>46010</v>
      </c>
      <c r="C2087" s="4">
        <f>MONTH(datos_ventas[[#This Row],[Fecha]])</f>
        <v>12</v>
      </c>
      <c r="D2087" s="4">
        <f>WEEKNUM(datos_ventas[[#This Row],[Fecha]],2)</f>
        <v>51</v>
      </c>
      <c r="E2087" t="s">
        <v>29</v>
      </c>
      <c r="F2087" t="s">
        <v>30</v>
      </c>
      <c r="G2087">
        <v>3</v>
      </c>
      <c r="H2087">
        <v>790</v>
      </c>
      <c r="I2087">
        <v>3106</v>
      </c>
      <c r="J2087" t="s">
        <v>22</v>
      </c>
      <c r="K2087" t="str">
        <f>_xlfn.XLOOKUP(datos_ventas[[#This Row],[Ciudad]],Tabla2[Ciudades],Tabla2[Provincias],"no se encuentra")</f>
        <v>Valencia</v>
      </c>
      <c r="L2087" t="str">
        <f>_xlfn.XLOOKUP(datos_ventas[[#This Row],[Provincia]],Tabla2[Provincias],Tabla2[Comunidades],"no se encuentra")</f>
        <v>Comunidad Valenciana</v>
      </c>
      <c r="M2087" t="s">
        <v>19</v>
      </c>
      <c r="N2087">
        <v>4</v>
      </c>
    </row>
    <row r="2088" spans="1:14" x14ac:dyDescent="0.25">
      <c r="A2088">
        <v>3087</v>
      </c>
      <c r="B2088" s="1">
        <v>45927</v>
      </c>
      <c r="C2088" s="4">
        <f>MONTH(datos_ventas[[#This Row],[Fecha]])</f>
        <v>9</v>
      </c>
      <c r="D2088" s="4">
        <f>WEEKNUM(datos_ventas[[#This Row],[Fecha]],2)</f>
        <v>39</v>
      </c>
      <c r="E2088" t="s">
        <v>26</v>
      </c>
      <c r="F2088" t="s">
        <v>18</v>
      </c>
      <c r="G2088">
        <v>4</v>
      </c>
      <c r="H2088">
        <v>55731</v>
      </c>
      <c r="I2088">
        <v>4491</v>
      </c>
      <c r="J2088" t="s">
        <v>31</v>
      </c>
      <c r="K2088" t="str">
        <f>_xlfn.XLOOKUP(datos_ventas[[#This Row],[Ciudad]],Tabla2[Ciudades],Tabla2[Provincias],"no se encuentra")</f>
        <v>Vizcaya</v>
      </c>
      <c r="L2088" t="str">
        <f>_xlfn.XLOOKUP(datos_ventas[[#This Row],[Provincia]],Tabla2[Provincias],Tabla2[Comunidades],"no se encuentra")</f>
        <v>País Vasco</v>
      </c>
      <c r="M2088" t="s">
        <v>19</v>
      </c>
      <c r="N2088">
        <v>2</v>
      </c>
    </row>
    <row r="2089" spans="1:14" x14ac:dyDescent="0.25">
      <c r="A2089">
        <v>3088</v>
      </c>
      <c r="B2089" s="1">
        <v>45741</v>
      </c>
      <c r="C2089" s="4">
        <f>MONTH(datos_ventas[[#This Row],[Fecha]])</f>
        <v>3</v>
      </c>
      <c r="D2089" s="4">
        <f>WEEKNUM(datos_ventas[[#This Row],[Fecha]],2)</f>
        <v>13</v>
      </c>
      <c r="E2089" t="s">
        <v>10</v>
      </c>
      <c r="F2089" t="s">
        <v>11</v>
      </c>
      <c r="G2089">
        <v>3</v>
      </c>
      <c r="H2089">
        <v>24378</v>
      </c>
      <c r="I2089">
        <v>4821</v>
      </c>
      <c r="J2089" t="s">
        <v>14</v>
      </c>
      <c r="K2089" t="str">
        <f>_xlfn.XLOOKUP(datos_ventas[[#This Row],[Ciudad]],Tabla2[Ciudades],Tabla2[Provincias],"no se encuentra")</f>
        <v>Madrid</v>
      </c>
      <c r="L2089" t="str">
        <f>_xlfn.XLOOKUP(datos_ventas[[#This Row],[Provincia]],Tabla2[Provincias],Tabla2[Comunidades],"no se encuentra")</f>
        <v>Comunidad de Madrid</v>
      </c>
      <c r="M2089" t="s">
        <v>13</v>
      </c>
      <c r="N2089">
        <v>3</v>
      </c>
    </row>
    <row r="2090" spans="1:14" x14ac:dyDescent="0.25">
      <c r="A2090">
        <v>3089</v>
      </c>
      <c r="B2090" s="1">
        <v>45933</v>
      </c>
      <c r="C2090" s="4">
        <f>MONTH(datos_ventas[[#This Row],[Fecha]])</f>
        <v>10</v>
      </c>
      <c r="D2090" s="4">
        <f>WEEKNUM(datos_ventas[[#This Row],[Fecha]],2)</f>
        <v>40</v>
      </c>
      <c r="E2090" t="s">
        <v>20</v>
      </c>
      <c r="F2090" t="s">
        <v>21</v>
      </c>
      <c r="G2090">
        <v>1</v>
      </c>
      <c r="H2090">
        <v>27355</v>
      </c>
      <c r="I2090">
        <v>1519</v>
      </c>
      <c r="J2090" t="s">
        <v>14</v>
      </c>
      <c r="K2090" t="str">
        <f>_xlfn.XLOOKUP(datos_ventas[[#This Row],[Ciudad]],Tabla2[Ciudades],Tabla2[Provincias],"no se encuentra")</f>
        <v>Madrid</v>
      </c>
      <c r="L2090" t="str">
        <f>_xlfn.XLOOKUP(datos_ventas[[#This Row],[Provincia]],Tabla2[Provincias],Tabla2[Comunidades],"no se encuentra")</f>
        <v>Comunidad de Madrid</v>
      </c>
      <c r="M2090" t="s">
        <v>19</v>
      </c>
      <c r="N2090">
        <v>3</v>
      </c>
    </row>
    <row r="2091" spans="1:14" x14ac:dyDescent="0.25">
      <c r="A2091">
        <v>3090</v>
      </c>
      <c r="B2091" s="1">
        <v>45885</v>
      </c>
      <c r="C2091" s="4">
        <f>MONTH(datos_ventas[[#This Row],[Fecha]])</f>
        <v>8</v>
      </c>
      <c r="D2091" s="4">
        <f>WEEKNUM(datos_ventas[[#This Row],[Fecha]],2)</f>
        <v>33</v>
      </c>
      <c r="E2091" t="s">
        <v>10</v>
      </c>
      <c r="F2091" t="s">
        <v>11</v>
      </c>
      <c r="G2091">
        <v>1</v>
      </c>
      <c r="H2091">
        <v>6746</v>
      </c>
      <c r="I2091">
        <v>2671</v>
      </c>
      <c r="J2091" t="s">
        <v>32</v>
      </c>
      <c r="K2091" t="str">
        <f>_xlfn.XLOOKUP(datos_ventas[[#This Row],[Ciudad]],Tabla2[Ciudades],Tabla2[Provincias],"no se encuentra")</f>
        <v>Barcelona</v>
      </c>
      <c r="L2091" t="str">
        <f>_xlfn.XLOOKUP(datos_ventas[[#This Row],[Provincia]],Tabla2[Provincias],Tabla2[Comunidades],"no se encuentra")</f>
        <v>Cataluña</v>
      </c>
      <c r="M2091" t="s">
        <v>15</v>
      </c>
      <c r="N2091">
        <v>1</v>
      </c>
    </row>
    <row r="2092" spans="1:14" x14ac:dyDescent="0.25">
      <c r="A2092">
        <v>3091</v>
      </c>
      <c r="B2092" s="1">
        <v>45748</v>
      </c>
      <c r="C2092" s="4">
        <f>MONTH(datos_ventas[[#This Row],[Fecha]])</f>
        <v>4</v>
      </c>
      <c r="D2092" s="4">
        <f>WEEKNUM(datos_ventas[[#This Row],[Fecha]],2)</f>
        <v>14</v>
      </c>
      <c r="E2092" t="s">
        <v>10</v>
      </c>
      <c r="F2092" t="s">
        <v>11</v>
      </c>
      <c r="G2092">
        <v>1</v>
      </c>
      <c r="H2092">
        <v>16507</v>
      </c>
      <c r="I2092">
        <v>2082</v>
      </c>
      <c r="J2092" t="s">
        <v>12</v>
      </c>
      <c r="K2092" t="str">
        <f>_xlfn.XLOOKUP(datos_ventas[[#This Row],[Ciudad]],Tabla2[Ciudades],Tabla2[Provincias],"no se encuentra")</f>
        <v>Málaga</v>
      </c>
      <c r="L2092" t="str">
        <f>_xlfn.XLOOKUP(datos_ventas[[#This Row],[Provincia]],Tabla2[Provincias],Tabla2[Comunidades],"no se encuentra")</f>
        <v>Andalucía</v>
      </c>
      <c r="M2092" t="s">
        <v>13</v>
      </c>
      <c r="N2092">
        <v>5</v>
      </c>
    </row>
    <row r="2093" spans="1:14" x14ac:dyDescent="0.25">
      <c r="A2093">
        <v>3092</v>
      </c>
      <c r="B2093" s="1">
        <v>45660</v>
      </c>
      <c r="C2093" s="4">
        <f>MONTH(datos_ventas[[#This Row],[Fecha]])</f>
        <v>1</v>
      </c>
      <c r="D2093" s="4">
        <f>WEEKNUM(datos_ventas[[#This Row],[Fecha]],2)</f>
        <v>1</v>
      </c>
      <c r="E2093" t="s">
        <v>26</v>
      </c>
      <c r="F2093" t="s">
        <v>18</v>
      </c>
      <c r="G2093">
        <v>1</v>
      </c>
      <c r="H2093">
        <v>47129</v>
      </c>
      <c r="I2093">
        <v>929</v>
      </c>
      <c r="J2093" t="s">
        <v>31</v>
      </c>
      <c r="K2093" t="str">
        <f>_xlfn.XLOOKUP(datos_ventas[[#This Row],[Ciudad]],Tabla2[Ciudades],Tabla2[Provincias],"no se encuentra")</f>
        <v>Vizcaya</v>
      </c>
      <c r="L2093" t="str">
        <f>_xlfn.XLOOKUP(datos_ventas[[#This Row],[Provincia]],Tabla2[Provincias],Tabla2[Comunidades],"no se encuentra")</f>
        <v>País Vasco</v>
      </c>
      <c r="M2093" t="s">
        <v>28</v>
      </c>
      <c r="N2093">
        <v>3</v>
      </c>
    </row>
    <row r="2094" spans="1:14" x14ac:dyDescent="0.25">
      <c r="A2094">
        <v>3093</v>
      </c>
      <c r="B2094" s="1">
        <v>45984</v>
      </c>
      <c r="C2094" s="4">
        <f>MONTH(datos_ventas[[#This Row],[Fecha]])</f>
        <v>11</v>
      </c>
      <c r="D2094" s="4">
        <f>WEEKNUM(datos_ventas[[#This Row],[Fecha]],2)</f>
        <v>47</v>
      </c>
      <c r="E2094" t="s">
        <v>16</v>
      </c>
      <c r="F2094" t="s">
        <v>11</v>
      </c>
      <c r="G2094">
        <v>1</v>
      </c>
      <c r="H2094">
        <v>72351</v>
      </c>
      <c r="I2094">
        <v>2207</v>
      </c>
      <c r="J2094" t="s">
        <v>12</v>
      </c>
      <c r="K2094" t="str">
        <f>_xlfn.XLOOKUP(datos_ventas[[#This Row],[Ciudad]],Tabla2[Ciudades],Tabla2[Provincias],"no se encuentra")</f>
        <v>Málaga</v>
      </c>
      <c r="L2094" t="str">
        <f>_xlfn.XLOOKUP(datos_ventas[[#This Row],[Provincia]],Tabla2[Provincias],Tabla2[Comunidades],"no se encuentra")</f>
        <v>Andalucía</v>
      </c>
      <c r="M2094" t="s">
        <v>19</v>
      </c>
      <c r="N2094">
        <v>1</v>
      </c>
    </row>
    <row r="2095" spans="1:14" x14ac:dyDescent="0.25">
      <c r="A2095">
        <v>3094</v>
      </c>
      <c r="B2095" s="1">
        <v>45716</v>
      </c>
      <c r="C2095" s="4">
        <f>MONTH(datos_ventas[[#This Row],[Fecha]])</f>
        <v>2</v>
      </c>
      <c r="D2095" s="4">
        <f>WEEKNUM(datos_ventas[[#This Row],[Fecha]],2)</f>
        <v>9</v>
      </c>
      <c r="E2095" t="s">
        <v>24</v>
      </c>
      <c r="F2095" t="s">
        <v>25</v>
      </c>
      <c r="G2095">
        <v>4</v>
      </c>
      <c r="H2095">
        <v>46151</v>
      </c>
      <c r="I2095">
        <v>3693</v>
      </c>
      <c r="J2095" t="s">
        <v>31</v>
      </c>
      <c r="K2095" t="str">
        <f>_xlfn.XLOOKUP(datos_ventas[[#This Row],[Ciudad]],Tabla2[Ciudades],Tabla2[Provincias],"no se encuentra")</f>
        <v>Vizcaya</v>
      </c>
      <c r="L2095" t="str">
        <f>_xlfn.XLOOKUP(datos_ventas[[#This Row],[Provincia]],Tabla2[Provincias],Tabla2[Comunidades],"no se encuentra")</f>
        <v>País Vasco</v>
      </c>
      <c r="M2095" t="s">
        <v>19</v>
      </c>
      <c r="N2095">
        <v>3</v>
      </c>
    </row>
    <row r="2096" spans="1:14" x14ac:dyDescent="0.25">
      <c r="A2096">
        <v>3095</v>
      </c>
      <c r="B2096" s="1">
        <v>45998</v>
      </c>
      <c r="C2096" s="4">
        <f>MONTH(datos_ventas[[#This Row],[Fecha]])</f>
        <v>12</v>
      </c>
      <c r="D2096" s="4">
        <f>WEEKNUM(datos_ventas[[#This Row],[Fecha]],2)</f>
        <v>49</v>
      </c>
      <c r="E2096" t="s">
        <v>16</v>
      </c>
      <c r="F2096" t="s">
        <v>11</v>
      </c>
      <c r="G2096">
        <v>2</v>
      </c>
      <c r="H2096">
        <v>15868</v>
      </c>
      <c r="I2096">
        <v>3516</v>
      </c>
      <c r="J2096" t="s">
        <v>31</v>
      </c>
      <c r="K2096" t="str">
        <f>_xlfn.XLOOKUP(datos_ventas[[#This Row],[Ciudad]],Tabla2[Ciudades],Tabla2[Provincias],"no se encuentra")</f>
        <v>Vizcaya</v>
      </c>
      <c r="L2096" t="str">
        <f>_xlfn.XLOOKUP(datos_ventas[[#This Row],[Provincia]],Tabla2[Provincias],Tabla2[Comunidades],"no se encuentra")</f>
        <v>País Vasco</v>
      </c>
      <c r="M2096" t="s">
        <v>19</v>
      </c>
      <c r="N2096">
        <v>2</v>
      </c>
    </row>
    <row r="2097" spans="1:14" x14ac:dyDescent="0.25">
      <c r="A2097">
        <v>3096</v>
      </c>
      <c r="B2097" s="1">
        <v>45871</v>
      </c>
      <c r="C2097" s="4">
        <f>MONTH(datos_ventas[[#This Row],[Fecha]])</f>
        <v>8</v>
      </c>
      <c r="D2097" s="4">
        <f>WEEKNUM(datos_ventas[[#This Row],[Fecha]],2)</f>
        <v>31</v>
      </c>
      <c r="E2097" t="s">
        <v>10</v>
      </c>
      <c r="F2097" t="s">
        <v>11</v>
      </c>
      <c r="G2097">
        <v>1</v>
      </c>
      <c r="H2097">
        <v>35741</v>
      </c>
      <c r="I2097">
        <v>4473</v>
      </c>
      <c r="J2097" t="s">
        <v>31</v>
      </c>
      <c r="K2097" t="str">
        <f>_xlfn.XLOOKUP(datos_ventas[[#This Row],[Ciudad]],Tabla2[Ciudades],Tabla2[Provincias],"no se encuentra")</f>
        <v>Vizcaya</v>
      </c>
      <c r="L2097" t="str">
        <f>_xlfn.XLOOKUP(datos_ventas[[#This Row],[Provincia]],Tabla2[Provincias],Tabla2[Comunidades],"no se encuentra")</f>
        <v>País Vasco</v>
      </c>
      <c r="M2097" t="s">
        <v>13</v>
      </c>
      <c r="N2097">
        <v>1</v>
      </c>
    </row>
    <row r="2098" spans="1:14" x14ac:dyDescent="0.25">
      <c r="A2098">
        <v>3097</v>
      </c>
      <c r="B2098" s="1">
        <v>45885</v>
      </c>
      <c r="C2098" s="4">
        <f>MONTH(datos_ventas[[#This Row],[Fecha]])</f>
        <v>8</v>
      </c>
      <c r="D2098" s="4">
        <f>WEEKNUM(datos_ventas[[#This Row],[Fecha]],2)</f>
        <v>33</v>
      </c>
      <c r="E2098" t="s">
        <v>10</v>
      </c>
      <c r="F2098" t="s">
        <v>11</v>
      </c>
      <c r="G2098">
        <v>2</v>
      </c>
      <c r="H2098">
        <v>44943</v>
      </c>
      <c r="I2098">
        <v>3072</v>
      </c>
      <c r="J2098" t="s">
        <v>27</v>
      </c>
      <c r="K2098" t="str">
        <f>_xlfn.XLOOKUP(datos_ventas[[#This Row],[Ciudad]],Tabla2[Ciudades],Tabla2[Provincias],"no se encuentra")</f>
        <v>Sevilla</v>
      </c>
      <c r="L2098" t="str">
        <f>_xlfn.XLOOKUP(datos_ventas[[#This Row],[Provincia]],Tabla2[Provincias],Tabla2[Comunidades],"no se encuentra")</f>
        <v>Andalucía</v>
      </c>
      <c r="M2098" t="s">
        <v>15</v>
      </c>
      <c r="N2098">
        <v>2</v>
      </c>
    </row>
    <row r="2099" spans="1:14" x14ac:dyDescent="0.25">
      <c r="A2099">
        <v>3098</v>
      </c>
      <c r="B2099" s="1">
        <v>45669</v>
      </c>
      <c r="C2099" s="4">
        <f>MONTH(datos_ventas[[#This Row],[Fecha]])</f>
        <v>1</v>
      </c>
      <c r="D2099" s="4">
        <f>WEEKNUM(datos_ventas[[#This Row],[Fecha]],2)</f>
        <v>2</v>
      </c>
      <c r="E2099" t="s">
        <v>24</v>
      </c>
      <c r="F2099" t="s">
        <v>25</v>
      </c>
      <c r="G2099">
        <v>3</v>
      </c>
      <c r="H2099">
        <v>16117</v>
      </c>
      <c r="I2099">
        <v>2445</v>
      </c>
      <c r="J2099" t="s">
        <v>14</v>
      </c>
      <c r="K2099" t="str">
        <f>_xlfn.XLOOKUP(datos_ventas[[#This Row],[Ciudad]],Tabla2[Ciudades],Tabla2[Provincias],"no se encuentra")</f>
        <v>Madrid</v>
      </c>
      <c r="L2099" t="str">
        <f>_xlfn.XLOOKUP(datos_ventas[[#This Row],[Provincia]],Tabla2[Provincias],Tabla2[Comunidades],"no se encuentra")</f>
        <v>Comunidad de Madrid</v>
      </c>
      <c r="M2099" t="s">
        <v>19</v>
      </c>
      <c r="N2099">
        <v>2</v>
      </c>
    </row>
    <row r="2100" spans="1:14" x14ac:dyDescent="0.25">
      <c r="A2100">
        <v>3099</v>
      </c>
      <c r="B2100" s="1">
        <v>45765</v>
      </c>
      <c r="C2100" s="4">
        <f>MONTH(datos_ventas[[#This Row],[Fecha]])</f>
        <v>4</v>
      </c>
      <c r="D2100" s="4">
        <f>WEEKNUM(datos_ventas[[#This Row],[Fecha]],2)</f>
        <v>16</v>
      </c>
      <c r="E2100" t="s">
        <v>17</v>
      </c>
      <c r="F2100" t="s">
        <v>18</v>
      </c>
      <c r="G2100">
        <v>1</v>
      </c>
      <c r="H2100">
        <v>69456</v>
      </c>
      <c r="I2100">
        <v>3678</v>
      </c>
      <c r="J2100" t="s">
        <v>27</v>
      </c>
      <c r="K2100" t="str">
        <f>_xlfn.XLOOKUP(datos_ventas[[#This Row],[Ciudad]],Tabla2[Ciudades],Tabla2[Provincias],"no se encuentra")</f>
        <v>Sevilla</v>
      </c>
      <c r="L2100" t="str">
        <f>_xlfn.XLOOKUP(datos_ventas[[#This Row],[Provincia]],Tabla2[Provincias],Tabla2[Comunidades],"no se encuentra")</f>
        <v>Andalucía</v>
      </c>
      <c r="M2100" t="s">
        <v>13</v>
      </c>
      <c r="N2100">
        <v>3</v>
      </c>
    </row>
    <row r="2101" spans="1:14" x14ac:dyDescent="0.25">
      <c r="A2101">
        <v>3100</v>
      </c>
      <c r="B2101" s="1">
        <v>45892</v>
      </c>
      <c r="C2101" s="4">
        <f>MONTH(datos_ventas[[#This Row],[Fecha]])</f>
        <v>8</v>
      </c>
      <c r="D2101" s="4">
        <f>WEEKNUM(datos_ventas[[#This Row],[Fecha]],2)</f>
        <v>34</v>
      </c>
      <c r="E2101" t="s">
        <v>24</v>
      </c>
      <c r="F2101" t="s">
        <v>25</v>
      </c>
      <c r="G2101">
        <v>4</v>
      </c>
      <c r="H2101">
        <v>6134</v>
      </c>
      <c r="I2101">
        <v>2857</v>
      </c>
      <c r="J2101" t="s">
        <v>32</v>
      </c>
      <c r="K2101" t="str">
        <f>_xlfn.XLOOKUP(datos_ventas[[#This Row],[Ciudad]],Tabla2[Ciudades],Tabla2[Provincias],"no se encuentra")</f>
        <v>Barcelona</v>
      </c>
      <c r="L2101" t="str">
        <f>_xlfn.XLOOKUP(datos_ventas[[#This Row],[Provincia]],Tabla2[Provincias],Tabla2[Comunidades],"no se encuentra")</f>
        <v>Cataluña</v>
      </c>
      <c r="M2101" t="s">
        <v>19</v>
      </c>
      <c r="N2101">
        <v>2</v>
      </c>
    </row>
    <row r="2102" spans="1:14" x14ac:dyDescent="0.25">
      <c r="A2102">
        <v>3101</v>
      </c>
      <c r="B2102" s="1">
        <v>45996</v>
      </c>
      <c r="C2102" s="4">
        <f>MONTH(datos_ventas[[#This Row],[Fecha]])</f>
        <v>12</v>
      </c>
      <c r="D2102" s="4">
        <f>WEEKNUM(datos_ventas[[#This Row],[Fecha]],2)</f>
        <v>49</v>
      </c>
      <c r="E2102" t="s">
        <v>16</v>
      </c>
      <c r="F2102" t="s">
        <v>11</v>
      </c>
      <c r="G2102">
        <v>2</v>
      </c>
      <c r="H2102">
        <v>81124</v>
      </c>
      <c r="I2102">
        <v>1028</v>
      </c>
      <c r="J2102" t="s">
        <v>27</v>
      </c>
      <c r="K2102" t="str">
        <f>_xlfn.XLOOKUP(datos_ventas[[#This Row],[Ciudad]],Tabla2[Ciudades],Tabla2[Provincias],"no se encuentra")</f>
        <v>Sevilla</v>
      </c>
      <c r="L2102" t="str">
        <f>_xlfn.XLOOKUP(datos_ventas[[#This Row],[Provincia]],Tabla2[Provincias],Tabla2[Comunidades],"no se encuentra")</f>
        <v>Andalucía</v>
      </c>
      <c r="M2102" t="s">
        <v>13</v>
      </c>
      <c r="N2102">
        <v>1</v>
      </c>
    </row>
    <row r="2103" spans="1:14" x14ac:dyDescent="0.25">
      <c r="A2103">
        <v>3102</v>
      </c>
      <c r="B2103" s="1">
        <v>45945</v>
      </c>
      <c r="C2103" s="4">
        <f>MONTH(datos_ventas[[#This Row],[Fecha]])</f>
        <v>10</v>
      </c>
      <c r="D2103" s="4">
        <f>WEEKNUM(datos_ventas[[#This Row],[Fecha]],2)</f>
        <v>42</v>
      </c>
      <c r="E2103" t="s">
        <v>23</v>
      </c>
      <c r="F2103" t="s">
        <v>18</v>
      </c>
      <c r="G2103">
        <v>2</v>
      </c>
      <c r="H2103">
        <v>70285</v>
      </c>
      <c r="I2103">
        <v>3174</v>
      </c>
      <c r="J2103" t="s">
        <v>12</v>
      </c>
      <c r="K2103" t="str">
        <f>_xlfn.XLOOKUP(datos_ventas[[#This Row],[Ciudad]],Tabla2[Ciudades],Tabla2[Provincias],"no se encuentra")</f>
        <v>Málaga</v>
      </c>
      <c r="L2103" t="str">
        <f>_xlfn.XLOOKUP(datos_ventas[[#This Row],[Provincia]],Tabla2[Provincias],Tabla2[Comunidades],"no se encuentra")</f>
        <v>Andalucía</v>
      </c>
      <c r="M2103" t="s">
        <v>28</v>
      </c>
      <c r="N2103">
        <v>5</v>
      </c>
    </row>
    <row r="2104" spans="1:14" x14ac:dyDescent="0.25">
      <c r="A2104">
        <v>3103</v>
      </c>
      <c r="B2104" s="1">
        <v>45830</v>
      </c>
      <c r="C2104" s="4">
        <f>MONTH(datos_ventas[[#This Row],[Fecha]])</f>
        <v>6</v>
      </c>
      <c r="D2104" s="4">
        <f>WEEKNUM(datos_ventas[[#This Row],[Fecha]],2)</f>
        <v>25</v>
      </c>
      <c r="E2104" t="s">
        <v>17</v>
      </c>
      <c r="F2104" t="s">
        <v>18</v>
      </c>
      <c r="G2104">
        <v>5</v>
      </c>
      <c r="H2104">
        <v>85096</v>
      </c>
      <c r="I2104">
        <v>3336</v>
      </c>
      <c r="J2104" t="s">
        <v>22</v>
      </c>
      <c r="K2104" t="str">
        <f>_xlfn.XLOOKUP(datos_ventas[[#This Row],[Ciudad]],Tabla2[Ciudades],Tabla2[Provincias],"no se encuentra")</f>
        <v>Valencia</v>
      </c>
      <c r="L2104" t="str">
        <f>_xlfn.XLOOKUP(datos_ventas[[#This Row],[Provincia]],Tabla2[Provincias],Tabla2[Comunidades],"no se encuentra")</f>
        <v>Comunidad Valenciana</v>
      </c>
      <c r="M2104" t="s">
        <v>15</v>
      </c>
      <c r="N2104">
        <v>5</v>
      </c>
    </row>
    <row r="2105" spans="1:14" x14ac:dyDescent="0.25">
      <c r="A2105">
        <v>3104</v>
      </c>
      <c r="B2105" s="1">
        <v>45758</v>
      </c>
      <c r="C2105" s="4">
        <f>MONTH(datos_ventas[[#This Row],[Fecha]])</f>
        <v>4</v>
      </c>
      <c r="D2105" s="4">
        <f>WEEKNUM(datos_ventas[[#This Row],[Fecha]],2)</f>
        <v>15</v>
      </c>
      <c r="E2105" t="s">
        <v>24</v>
      </c>
      <c r="F2105" t="s">
        <v>25</v>
      </c>
      <c r="G2105">
        <v>4</v>
      </c>
      <c r="H2105">
        <v>101718</v>
      </c>
      <c r="I2105">
        <v>694</v>
      </c>
      <c r="J2105" t="s">
        <v>14</v>
      </c>
      <c r="K2105" t="str">
        <f>_xlfn.XLOOKUP(datos_ventas[[#This Row],[Ciudad]],Tabla2[Ciudades],Tabla2[Provincias],"no se encuentra")</f>
        <v>Madrid</v>
      </c>
      <c r="L2105" t="str">
        <f>_xlfn.XLOOKUP(datos_ventas[[#This Row],[Provincia]],Tabla2[Provincias],Tabla2[Comunidades],"no se encuentra")</f>
        <v>Comunidad de Madrid</v>
      </c>
      <c r="M2105" t="s">
        <v>13</v>
      </c>
      <c r="N2105">
        <v>2</v>
      </c>
    </row>
    <row r="2106" spans="1:14" x14ac:dyDescent="0.25">
      <c r="A2106">
        <v>3105</v>
      </c>
      <c r="B2106" s="1">
        <v>45911</v>
      </c>
      <c r="C2106" s="4">
        <f>MONTH(datos_ventas[[#This Row],[Fecha]])</f>
        <v>9</v>
      </c>
      <c r="D2106" s="4">
        <f>WEEKNUM(datos_ventas[[#This Row],[Fecha]],2)</f>
        <v>37</v>
      </c>
      <c r="E2106" t="s">
        <v>10</v>
      </c>
      <c r="F2106" t="s">
        <v>11</v>
      </c>
      <c r="G2106">
        <v>4</v>
      </c>
      <c r="H2106">
        <v>63841</v>
      </c>
      <c r="I2106">
        <v>4253</v>
      </c>
      <c r="J2106" t="s">
        <v>22</v>
      </c>
      <c r="K2106" t="str">
        <f>_xlfn.XLOOKUP(datos_ventas[[#This Row],[Ciudad]],Tabla2[Ciudades],Tabla2[Provincias],"no se encuentra")</f>
        <v>Valencia</v>
      </c>
      <c r="L2106" t="str">
        <f>_xlfn.XLOOKUP(datos_ventas[[#This Row],[Provincia]],Tabla2[Provincias],Tabla2[Comunidades],"no se encuentra")</f>
        <v>Comunidad Valenciana</v>
      </c>
      <c r="M2106" t="s">
        <v>28</v>
      </c>
      <c r="N2106">
        <v>5</v>
      </c>
    </row>
    <row r="2107" spans="1:14" x14ac:dyDescent="0.25">
      <c r="A2107">
        <v>3106</v>
      </c>
      <c r="B2107" s="1">
        <v>45855</v>
      </c>
      <c r="C2107" s="4">
        <f>MONTH(datos_ventas[[#This Row],[Fecha]])</f>
        <v>7</v>
      </c>
      <c r="D2107" s="4">
        <f>WEEKNUM(datos_ventas[[#This Row],[Fecha]],2)</f>
        <v>29</v>
      </c>
      <c r="E2107" t="s">
        <v>26</v>
      </c>
      <c r="F2107" t="s">
        <v>18</v>
      </c>
      <c r="G2107">
        <v>5</v>
      </c>
      <c r="H2107">
        <v>94108</v>
      </c>
      <c r="I2107">
        <v>1813</v>
      </c>
      <c r="J2107" t="s">
        <v>22</v>
      </c>
      <c r="K2107" t="str">
        <f>_xlfn.XLOOKUP(datos_ventas[[#This Row],[Ciudad]],Tabla2[Ciudades],Tabla2[Provincias],"no se encuentra")</f>
        <v>Valencia</v>
      </c>
      <c r="L2107" t="str">
        <f>_xlfn.XLOOKUP(datos_ventas[[#This Row],[Provincia]],Tabla2[Provincias],Tabla2[Comunidades],"no se encuentra")</f>
        <v>Comunidad Valenciana</v>
      </c>
      <c r="M2107" t="s">
        <v>28</v>
      </c>
      <c r="N2107">
        <v>5</v>
      </c>
    </row>
    <row r="2108" spans="1:14" x14ac:dyDescent="0.25">
      <c r="A2108">
        <v>3107</v>
      </c>
      <c r="B2108" s="1">
        <v>45931</v>
      </c>
      <c r="C2108" s="4">
        <f>MONTH(datos_ventas[[#This Row],[Fecha]])</f>
        <v>10</v>
      </c>
      <c r="D2108" s="4">
        <f>WEEKNUM(datos_ventas[[#This Row],[Fecha]],2)</f>
        <v>40</v>
      </c>
      <c r="E2108" t="s">
        <v>10</v>
      </c>
      <c r="F2108" t="s">
        <v>11</v>
      </c>
      <c r="G2108">
        <v>4</v>
      </c>
      <c r="H2108">
        <v>28936</v>
      </c>
      <c r="I2108">
        <v>4205</v>
      </c>
      <c r="J2108" t="s">
        <v>27</v>
      </c>
      <c r="K2108" t="str">
        <f>_xlfn.XLOOKUP(datos_ventas[[#This Row],[Ciudad]],Tabla2[Ciudades],Tabla2[Provincias],"no se encuentra")</f>
        <v>Sevilla</v>
      </c>
      <c r="L2108" t="str">
        <f>_xlfn.XLOOKUP(datos_ventas[[#This Row],[Provincia]],Tabla2[Provincias],Tabla2[Comunidades],"no se encuentra")</f>
        <v>Andalucía</v>
      </c>
      <c r="M2108" t="s">
        <v>28</v>
      </c>
      <c r="N2108">
        <v>3</v>
      </c>
    </row>
    <row r="2109" spans="1:14" x14ac:dyDescent="0.25">
      <c r="A2109">
        <v>3108</v>
      </c>
      <c r="B2109" s="1">
        <v>46011</v>
      </c>
      <c r="C2109" s="4">
        <f>MONTH(datos_ventas[[#This Row],[Fecha]])</f>
        <v>12</v>
      </c>
      <c r="D2109" s="4">
        <f>WEEKNUM(datos_ventas[[#This Row],[Fecha]],2)</f>
        <v>51</v>
      </c>
      <c r="E2109" t="s">
        <v>20</v>
      </c>
      <c r="F2109" t="s">
        <v>21</v>
      </c>
      <c r="G2109">
        <v>4</v>
      </c>
      <c r="H2109">
        <v>82444</v>
      </c>
      <c r="I2109">
        <v>3236</v>
      </c>
      <c r="J2109" t="s">
        <v>14</v>
      </c>
      <c r="K2109" t="str">
        <f>_xlfn.XLOOKUP(datos_ventas[[#This Row],[Ciudad]],Tabla2[Ciudades],Tabla2[Provincias],"no se encuentra")</f>
        <v>Madrid</v>
      </c>
      <c r="L2109" t="str">
        <f>_xlfn.XLOOKUP(datos_ventas[[#This Row],[Provincia]],Tabla2[Provincias],Tabla2[Comunidades],"no se encuentra")</f>
        <v>Comunidad de Madrid</v>
      </c>
      <c r="M2109" t="s">
        <v>28</v>
      </c>
      <c r="N2109">
        <v>2</v>
      </c>
    </row>
    <row r="2110" spans="1:14" x14ac:dyDescent="0.25">
      <c r="A2110">
        <v>3109</v>
      </c>
      <c r="B2110" s="1">
        <v>45876</v>
      </c>
      <c r="C2110" s="4">
        <f>MONTH(datos_ventas[[#This Row],[Fecha]])</f>
        <v>8</v>
      </c>
      <c r="D2110" s="4">
        <f>WEEKNUM(datos_ventas[[#This Row],[Fecha]],2)</f>
        <v>32</v>
      </c>
      <c r="E2110" t="s">
        <v>23</v>
      </c>
      <c r="F2110" t="s">
        <v>18</v>
      </c>
      <c r="G2110">
        <v>1</v>
      </c>
      <c r="H2110">
        <v>22673</v>
      </c>
      <c r="I2110">
        <v>4717</v>
      </c>
      <c r="J2110" t="s">
        <v>12</v>
      </c>
      <c r="K2110" t="str">
        <f>_xlfn.XLOOKUP(datos_ventas[[#This Row],[Ciudad]],Tabla2[Ciudades],Tabla2[Provincias],"no se encuentra")</f>
        <v>Málaga</v>
      </c>
      <c r="L2110" t="str">
        <f>_xlfn.XLOOKUP(datos_ventas[[#This Row],[Provincia]],Tabla2[Provincias],Tabla2[Comunidades],"no se encuentra")</f>
        <v>Andalucía</v>
      </c>
      <c r="M2110" t="s">
        <v>15</v>
      </c>
      <c r="N2110">
        <v>2</v>
      </c>
    </row>
    <row r="2111" spans="1:14" x14ac:dyDescent="0.25">
      <c r="A2111">
        <v>3110</v>
      </c>
      <c r="B2111" s="1">
        <v>45951</v>
      </c>
      <c r="C2111" s="4">
        <f>MONTH(datos_ventas[[#This Row],[Fecha]])</f>
        <v>10</v>
      </c>
      <c r="D2111" s="4">
        <f>WEEKNUM(datos_ventas[[#This Row],[Fecha]],2)</f>
        <v>43</v>
      </c>
      <c r="E2111" t="s">
        <v>24</v>
      </c>
      <c r="F2111" t="s">
        <v>25</v>
      </c>
      <c r="G2111">
        <v>2</v>
      </c>
      <c r="H2111">
        <v>28609</v>
      </c>
      <c r="I2111">
        <v>1974</v>
      </c>
      <c r="J2111" t="s">
        <v>12</v>
      </c>
      <c r="K2111" t="str">
        <f>_xlfn.XLOOKUP(datos_ventas[[#This Row],[Ciudad]],Tabla2[Ciudades],Tabla2[Provincias],"no se encuentra")</f>
        <v>Málaga</v>
      </c>
      <c r="L2111" t="str">
        <f>_xlfn.XLOOKUP(datos_ventas[[#This Row],[Provincia]],Tabla2[Provincias],Tabla2[Comunidades],"no se encuentra")</f>
        <v>Andalucía</v>
      </c>
      <c r="M2111" t="s">
        <v>19</v>
      </c>
      <c r="N2111">
        <v>5</v>
      </c>
    </row>
    <row r="2112" spans="1:14" x14ac:dyDescent="0.25">
      <c r="A2112">
        <v>3111</v>
      </c>
      <c r="B2112" s="1">
        <v>45713</v>
      </c>
      <c r="C2112" s="4">
        <f>MONTH(datos_ventas[[#This Row],[Fecha]])</f>
        <v>2</v>
      </c>
      <c r="D2112" s="4">
        <f>WEEKNUM(datos_ventas[[#This Row],[Fecha]],2)</f>
        <v>9</v>
      </c>
      <c r="E2112" t="s">
        <v>29</v>
      </c>
      <c r="F2112" t="s">
        <v>30</v>
      </c>
      <c r="G2112">
        <v>5</v>
      </c>
      <c r="H2112">
        <v>72801</v>
      </c>
      <c r="I2112">
        <v>4754</v>
      </c>
      <c r="J2112" t="s">
        <v>22</v>
      </c>
      <c r="K2112" t="str">
        <f>_xlfn.XLOOKUP(datos_ventas[[#This Row],[Ciudad]],Tabla2[Ciudades],Tabla2[Provincias],"no se encuentra")</f>
        <v>Valencia</v>
      </c>
      <c r="L2112" t="str">
        <f>_xlfn.XLOOKUP(datos_ventas[[#This Row],[Provincia]],Tabla2[Provincias],Tabla2[Comunidades],"no se encuentra")</f>
        <v>Comunidad Valenciana</v>
      </c>
      <c r="M2112" t="s">
        <v>13</v>
      </c>
      <c r="N2112">
        <v>3</v>
      </c>
    </row>
    <row r="2113" spans="1:14" x14ac:dyDescent="0.25">
      <c r="A2113">
        <v>3112</v>
      </c>
      <c r="B2113" s="1">
        <v>45818</v>
      </c>
      <c r="C2113" s="4">
        <f>MONTH(datos_ventas[[#This Row],[Fecha]])</f>
        <v>6</v>
      </c>
      <c r="D2113" s="4">
        <f>WEEKNUM(datos_ventas[[#This Row],[Fecha]],2)</f>
        <v>24</v>
      </c>
      <c r="E2113" t="s">
        <v>16</v>
      </c>
      <c r="F2113" t="s">
        <v>11</v>
      </c>
      <c r="G2113">
        <v>4</v>
      </c>
      <c r="H2113">
        <v>62077</v>
      </c>
      <c r="I2113">
        <v>3536</v>
      </c>
      <c r="J2113" t="s">
        <v>12</v>
      </c>
      <c r="K2113" t="str">
        <f>_xlfn.XLOOKUP(datos_ventas[[#This Row],[Ciudad]],Tabla2[Ciudades],Tabla2[Provincias],"no se encuentra")</f>
        <v>Málaga</v>
      </c>
      <c r="L2113" t="str">
        <f>_xlfn.XLOOKUP(datos_ventas[[#This Row],[Provincia]],Tabla2[Provincias],Tabla2[Comunidades],"no se encuentra")</f>
        <v>Andalucía</v>
      </c>
      <c r="M2113" t="s">
        <v>15</v>
      </c>
      <c r="N2113">
        <v>1</v>
      </c>
    </row>
    <row r="2114" spans="1:14" x14ac:dyDescent="0.25">
      <c r="A2114">
        <v>3113</v>
      </c>
      <c r="B2114" s="1">
        <v>45849</v>
      </c>
      <c r="C2114" s="4">
        <f>MONTH(datos_ventas[[#This Row],[Fecha]])</f>
        <v>7</v>
      </c>
      <c r="D2114" s="4">
        <f>WEEKNUM(datos_ventas[[#This Row],[Fecha]],2)</f>
        <v>28</v>
      </c>
      <c r="E2114" t="s">
        <v>24</v>
      </c>
      <c r="F2114" t="s">
        <v>25</v>
      </c>
      <c r="G2114">
        <v>1</v>
      </c>
      <c r="H2114">
        <v>9706</v>
      </c>
      <c r="I2114">
        <v>3646</v>
      </c>
      <c r="J2114" t="s">
        <v>22</v>
      </c>
      <c r="K2114" t="str">
        <f>_xlfn.XLOOKUP(datos_ventas[[#This Row],[Ciudad]],Tabla2[Ciudades],Tabla2[Provincias],"no se encuentra")</f>
        <v>Valencia</v>
      </c>
      <c r="L2114" t="str">
        <f>_xlfn.XLOOKUP(datos_ventas[[#This Row],[Provincia]],Tabla2[Provincias],Tabla2[Comunidades],"no se encuentra")</f>
        <v>Comunidad Valenciana</v>
      </c>
      <c r="M2114" t="s">
        <v>28</v>
      </c>
      <c r="N2114">
        <v>4</v>
      </c>
    </row>
    <row r="2115" spans="1:14" x14ac:dyDescent="0.25">
      <c r="A2115">
        <v>3114</v>
      </c>
      <c r="B2115" s="1">
        <v>45744</v>
      </c>
      <c r="C2115" s="4">
        <f>MONTH(datos_ventas[[#This Row],[Fecha]])</f>
        <v>3</v>
      </c>
      <c r="D2115" s="4">
        <f>WEEKNUM(datos_ventas[[#This Row],[Fecha]],2)</f>
        <v>13</v>
      </c>
      <c r="E2115" t="s">
        <v>29</v>
      </c>
      <c r="F2115" t="s">
        <v>30</v>
      </c>
      <c r="G2115">
        <v>3</v>
      </c>
      <c r="H2115">
        <v>76392</v>
      </c>
      <c r="I2115">
        <v>1944</v>
      </c>
      <c r="J2115" t="s">
        <v>32</v>
      </c>
      <c r="K2115" t="str">
        <f>_xlfn.XLOOKUP(datos_ventas[[#This Row],[Ciudad]],Tabla2[Ciudades],Tabla2[Provincias],"no se encuentra")</f>
        <v>Barcelona</v>
      </c>
      <c r="L2115" t="str">
        <f>_xlfn.XLOOKUP(datos_ventas[[#This Row],[Provincia]],Tabla2[Provincias],Tabla2[Comunidades],"no se encuentra")</f>
        <v>Cataluña</v>
      </c>
      <c r="M2115" t="s">
        <v>28</v>
      </c>
      <c r="N2115">
        <v>5</v>
      </c>
    </row>
    <row r="2116" spans="1:14" x14ac:dyDescent="0.25">
      <c r="A2116">
        <v>3115</v>
      </c>
      <c r="B2116" s="1">
        <v>45928</v>
      </c>
      <c r="C2116" s="4">
        <f>MONTH(datos_ventas[[#This Row],[Fecha]])</f>
        <v>9</v>
      </c>
      <c r="D2116" s="4">
        <f>WEEKNUM(datos_ventas[[#This Row],[Fecha]],2)</f>
        <v>39</v>
      </c>
      <c r="E2116" t="s">
        <v>16</v>
      </c>
      <c r="F2116" t="s">
        <v>11</v>
      </c>
      <c r="G2116">
        <v>2</v>
      </c>
      <c r="H2116">
        <v>51495</v>
      </c>
      <c r="I2116">
        <v>3039</v>
      </c>
      <c r="J2116" t="s">
        <v>27</v>
      </c>
      <c r="K2116" t="str">
        <f>_xlfn.XLOOKUP(datos_ventas[[#This Row],[Ciudad]],Tabla2[Ciudades],Tabla2[Provincias],"no se encuentra")</f>
        <v>Sevilla</v>
      </c>
      <c r="L2116" t="str">
        <f>_xlfn.XLOOKUP(datos_ventas[[#This Row],[Provincia]],Tabla2[Provincias],Tabla2[Comunidades],"no se encuentra")</f>
        <v>Andalucía</v>
      </c>
      <c r="M2116" t="s">
        <v>13</v>
      </c>
      <c r="N2116">
        <v>3</v>
      </c>
    </row>
    <row r="2117" spans="1:14" x14ac:dyDescent="0.25">
      <c r="A2117">
        <v>3116</v>
      </c>
      <c r="B2117" s="1">
        <v>45995</v>
      </c>
      <c r="C2117" s="4">
        <f>MONTH(datos_ventas[[#This Row],[Fecha]])</f>
        <v>12</v>
      </c>
      <c r="D2117" s="4">
        <f>WEEKNUM(datos_ventas[[#This Row],[Fecha]],2)</f>
        <v>49</v>
      </c>
      <c r="E2117" t="s">
        <v>23</v>
      </c>
      <c r="F2117" t="s">
        <v>18</v>
      </c>
      <c r="G2117">
        <v>3</v>
      </c>
      <c r="H2117">
        <v>92336</v>
      </c>
      <c r="I2117">
        <v>2374</v>
      </c>
      <c r="J2117" t="s">
        <v>32</v>
      </c>
      <c r="K2117" t="str">
        <f>_xlfn.XLOOKUP(datos_ventas[[#This Row],[Ciudad]],Tabla2[Ciudades],Tabla2[Provincias],"no se encuentra")</f>
        <v>Barcelona</v>
      </c>
      <c r="L2117" t="str">
        <f>_xlfn.XLOOKUP(datos_ventas[[#This Row],[Provincia]],Tabla2[Provincias],Tabla2[Comunidades],"no se encuentra")</f>
        <v>Cataluña</v>
      </c>
      <c r="M2117" t="s">
        <v>15</v>
      </c>
      <c r="N2117">
        <v>2</v>
      </c>
    </row>
    <row r="2118" spans="1:14" x14ac:dyDescent="0.25">
      <c r="A2118">
        <v>3117</v>
      </c>
      <c r="B2118" s="1">
        <v>45806</v>
      </c>
      <c r="C2118" s="4">
        <f>MONTH(datos_ventas[[#This Row],[Fecha]])</f>
        <v>5</v>
      </c>
      <c r="D2118" s="4">
        <f>WEEKNUM(datos_ventas[[#This Row],[Fecha]],2)</f>
        <v>22</v>
      </c>
      <c r="E2118" t="s">
        <v>20</v>
      </c>
      <c r="F2118" t="s">
        <v>21</v>
      </c>
      <c r="G2118">
        <v>2</v>
      </c>
      <c r="H2118">
        <v>97197</v>
      </c>
      <c r="I2118">
        <v>2686</v>
      </c>
      <c r="J2118" t="s">
        <v>32</v>
      </c>
      <c r="K2118" t="str">
        <f>_xlfn.XLOOKUP(datos_ventas[[#This Row],[Ciudad]],Tabla2[Ciudades],Tabla2[Provincias],"no se encuentra")</f>
        <v>Barcelona</v>
      </c>
      <c r="L2118" t="str">
        <f>_xlfn.XLOOKUP(datos_ventas[[#This Row],[Provincia]],Tabla2[Provincias],Tabla2[Comunidades],"no se encuentra")</f>
        <v>Cataluña</v>
      </c>
      <c r="M2118" t="s">
        <v>13</v>
      </c>
      <c r="N2118">
        <v>5</v>
      </c>
    </row>
    <row r="2119" spans="1:14" x14ac:dyDescent="0.25">
      <c r="A2119">
        <v>3118</v>
      </c>
      <c r="B2119" s="1">
        <v>46004</v>
      </c>
      <c r="C2119" s="4">
        <f>MONTH(datos_ventas[[#This Row],[Fecha]])</f>
        <v>12</v>
      </c>
      <c r="D2119" s="4">
        <f>WEEKNUM(datos_ventas[[#This Row],[Fecha]],2)</f>
        <v>50</v>
      </c>
      <c r="E2119" t="s">
        <v>23</v>
      </c>
      <c r="F2119" t="s">
        <v>18</v>
      </c>
      <c r="G2119">
        <v>3</v>
      </c>
      <c r="H2119">
        <v>6491</v>
      </c>
      <c r="I2119">
        <v>4081</v>
      </c>
      <c r="J2119" t="s">
        <v>12</v>
      </c>
      <c r="K2119" t="str">
        <f>_xlfn.XLOOKUP(datos_ventas[[#This Row],[Ciudad]],Tabla2[Ciudades],Tabla2[Provincias],"no se encuentra")</f>
        <v>Málaga</v>
      </c>
      <c r="L2119" t="str">
        <f>_xlfn.XLOOKUP(datos_ventas[[#This Row],[Provincia]],Tabla2[Provincias],Tabla2[Comunidades],"no se encuentra")</f>
        <v>Andalucía</v>
      </c>
      <c r="M2119" t="s">
        <v>28</v>
      </c>
      <c r="N2119">
        <v>3</v>
      </c>
    </row>
    <row r="2120" spans="1:14" x14ac:dyDescent="0.25">
      <c r="A2120">
        <v>3119</v>
      </c>
      <c r="B2120" s="1">
        <v>46005</v>
      </c>
      <c r="C2120" s="4">
        <f>MONTH(datos_ventas[[#This Row],[Fecha]])</f>
        <v>12</v>
      </c>
      <c r="D2120" s="4">
        <f>WEEKNUM(datos_ventas[[#This Row],[Fecha]],2)</f>
        <v>50</v>
      </c>
      <c r="E2120" t="s">
        <v>26</v>
      </c>
      <c r="F2120" t="s">
        <v>18</v>
      </c>
      <c r="G2120">
        <v>3</v>
      </c>
      <c r="H2120">
        <v>7981</v>
      </c>
      <c r="I2120">
        <v>4269</v>
      </c>
      <c r="J2120" t="s">
        <v>12</v>
      </c>
      <c r="K2120" t="str">
        <f>_xlfn.XLOOKUP(datos_ventas[[#This Row],[Ciudad]],Tabla2[Ciudades],Tabla2[Provincias],"no se encuentra")</f>
        <v>Málaga</v>
      </c>
      <c r="L2120" t="str">
        <f>_xlfn.XLOOKUP(datos_ventas[[#This Row],[Provincia]],Tabla2[Provincias],Tabla2[Comunidades],"no se encuentra")</f>
        <v>Andalucía</v>
      </c>
      <c r="M2120" t="s">
        <v>19</v>
      </c>
      <c r="N2120">
        <v>1</v>
      </c>
    </row>
    <row r="2121" spans="1:14" x14ac:dyDescent="0.25">
      <c r="A2121">
        <v>3120</v>
      </c>
      <c r="B2121" s="1">
        <v>45911</v>
      </c>
      <c r="C2121" s="4">
        <f>MONTH(datos_ventas[[#This Row],[Fecha]])</f>
        <v>9</v>
      </c>
      <c r="D2121" s="4">
        <f>WEEKNUM(datos_ventas[[#This Row],[Fecha]],2)</f>
        <v>37</v>
      </c>
      <c r="E2121" t="s">
        <v>16</v>
      </c>
      <c r="F2121" t="s">
        <v>11</v>
      </c>
      <c r="G2121">
        <v>2</v>
      </c>
      <c r="H2121">
        <v>103758</v>
      </c>
      <c r="I2121">
        <v>2586</v>
      </c>
      <c r="J2121" t="s">
        <v>12</v>
      </c>
      <c r="K2121" t="str">
        <f>_xlfn.XLOOKUP(datos_ventas[[#This Row],[Ciudad]],Tabla2[Ciudades],Tabla2[Provincias],"no se encuentra")</f>
        <v>Málaga</v>
      </c>
      <c r="L2121" t="str">
        <f>_xlfn.XLOOKUP(datos_ventas[[#This Row],[Provincia]],Tabla2[Provincias],Tabla2[Comunidades],"no se encuentra")</f>
        <v>Andalucía</v>
      </c>
      <c r="M2121" t="s">
        <v>13</v>
      </c>
      <c r="N2121">
        <v>4</v>
      </c>
    </row>
    <row r="2122" spans="1:14" x14ac:dyDescent="0.25">
      <c r="A2122">
        <v>3121</v>
      </c>
      <c r="B2122" s="1">
        <v>45853</v>
      </c>
      <c r="C2122" s="4">
        <f>MONTH(datos_ventas[[#This Row],[Fecha]])</f>
        <v>7</v>
      </c>
      <c r="D2122" s="4">
        <f>WEEKNUM(datos_ventas[[#This Row],[Fecha]],2)</f>
        <v>29</v>
      </c>
      <c r="E2122" t="s">
        <v>20</v>
      </c>
      <c r="F2122" t="s">
        <v>21</v>
      </c>
      <c r="G2122">
        <v>5</v>
      </c>
      <c r="H2122">
        <v>118221</v>
      </c>
      <c r="I2122">
        <v>443</v>
      </c>
      <c r="J2122" t="s">
        <v>12</v>
      </c>
      <c r="K2122" t="str">
        <f>_xlfn.XLOOKUP(datos_ventas[[#This Row],[Ciudad]],Tabla2[Ciudades],Tabla2[Provincias],"no se encuentra")</f>
        <v>Málaga</v>
      </c>
      <c r="L2122" t="str">
        <f>_xlfn.XLOOKUP(datos_ventas[[#This Row],[Provincia]],Tabla2[Provincias],Tabla2[Comunidades],"no se encuentra")</f>
        <v>Andalucía</v>
      </c>
      <c r="M2122" t="s">
        <v>28</v>
      </c>
      <c r="N2122">
        <v>5</v>
      </c>
    </row>
    <row r="2123" spans="1:14" x14ac:dyDescent="0.25">
      <c r="A2123">
        <v>3122</v>
      </c>
      <c r="B2123" s="1">
        <v>45741</v>
      </c>
      <c r="C2123" s="4">
        <f>MONTH(datos_ventas[[#This Row],[Fecha]])</f>
        <v>3</v>
      </c>
      <c r="D2123" s="4">
        <f>WEEKNUM(datos_ventas[[#This Row],[Fecha]],2)</f>
        <v>13</v>
      </c>
      <c r="E2123" t="s">
        <v>23</v>
      </c>
      <c r="F2123" t="s">
        <v>18</v>
      </c>
      <c r="G2123">
        <v>1</v>
      </c>
      <c r="H2123">
        <v>109539</v>
      </c>
      <c r="I2123">
        <v>4247</v>
      </c>
      <c r="J2123" t="s">
        <v>22</v>
      </c>
      <c r="K2123" t="str">
        <f>_xlfn.XLOOKUP(datos_ventas[[#This Row],[Ciudad]],Tabla2[Ciudades],Tabla2[Provincias],"no se encuentra")</f>
        <v>Valencia</v>
      </c>
      <c r="L2123" t="str">
        <f>_xlfn.XLOOKUP(datos_ventas[[#This Row],[Provincia]],Tabla2[Provincias],Tabla2[Comunidades],"no se encuentra")</f>
        <v>Comunidad Valenciana</v>
      </c>
      <c r="M2123" t="s">
        <v>28</v>
      </c>
      <c r="N2123">
        <v>1</v>
      </c>
    </row>
    <row r="2124" spans="1:14" x14ac:dyDescent="0.25">
      <c r="A2124">
        <v>3123</v>
      </c>
      <c r="B2124" s="1">
        <v>45694</v>
      </c>
      <c r="C2124" s="4">
        <f>MONTH(datos_ventas[[#This Row],[Fecha]])</f>
        <v>2</v>
      </c>
      <c r="D2124" s="4">
        <f>WEEKNUM(datos_ventas[[#This Row],[Fecha]],2)</f>
        <v>6</v>
      </c>
      <c r="E2124" t="s">
        <v>16</v>
      </c>
      <c r="F2124" t="s">
        <v>11</v>
      </c>
      <c r="G2124">
        <v>4</v>
      </c>
      <c r="H2124">
        <v>95002</v>
      </c>
      <c r="I2124">
        <v>1187</v>
      </c>
      <c r="J2124" t="s">
        <v>27</v>
      </c>
      <c r="K2124" t="str">
        <f>_xlfn.XLOOKUP(datos_ventas[[#This Row],[Ciudad]],Tabla2[Ciudades],Tabla2[Provincias],"no se encuentra")</f>
        <v>Sevilla</v>
      </c>
      <c r="L2124" t="str">
        <f>_xlfn.XLOOKUP(datos_ventas[[#This Row],[Provincia]],Tabla2[Provincias],Tabla2[Comunidades],"no se encuentra")</f>
        <v>Andalucía</v>
      </c>
      <c r="M2124" t="s">
        <v>15</v>
      </c>
      <c r="N2124">
        <v>2</v>
      </c>
    </row>
    <row r="2125" spans="1:14" x14ac:dyDescent="0.25">
      <c r="A2125">
        <v>3124</v>
      </c>
      <c r="B2125" s="1">
        <v>45738</v>
      </c>
      <c r="C2125" s="4">
        <f>MONTH(datos_ventas[[#This Row],[Fecha]])</f>
        <v>3</v>
      </c>
      <c r="D2125" s="4">
        <f>WEEKNUM(datos_ventas[[#This Row],[Fecha]],2)</f>
        <v>12</v>
      </c>
      <c r="E2125" t="s">
        <v>26</v>
      </c>
      <c r="F2125" t="s">
        <v>18</v>
      </c>
      <c r="G2125">
        <v>3</v>
      </c>
      <c r="H2125">
        <v>13148</v>
      </c>
      <c r="I2125">
        <v>1934</v>
      </c>
      <c r="J2125" t="s">
        <v>27</v>
      </c>
      <c r="K2125" t="str">
        <f>_xlfn.XLOOKUP(datos_ventas[[#This Row],[Ciudad]],Tabla2[Ciudades],Tabla2[Provincias],"no se encuentra")</f>
        <v>Sevilla</v>
      </c>
      <c r="L2125" t="str">
        <f>_xlfn.XLOOKUP(datos_ventas[[#This Row],[Provincia]],Tabla2[Provincias],Tabla2[Comunidades],"no se encuentra")</f>
        <v>Andalucía</v>
      </c>
      <c r="M2125" t="s">
        <v>15</v>
      </c>
      <c r="N2125">
        <v>1</v>
      </c>
    </row>
    <row r="2126" spans="1:14" x14ac:dyDescent="0.25">
      <c r="A2126">
        <v>3125</v>
      </c>
      <c r="B2126" s="1">
        <v>45662</v>
      </c>
      <c r="C2126" s="4">
        <f>MONTH(datos_ventas[[#This Row],[Fecha]])</f>
        <v>1</v>
      </c>
      <c r="D2126" s="4">
        <f>WEEKNUM(datos_ventas[[#This Row],[Fecha]],2)</f>
        <v>1</v>
      </c>
      <c r="E2126" t="s">
        <v>16</v>
      </c>
      <c r="F2126" t="s">
        <v>11</v>
      </c>
      <c r="G2126">
        <v>3</v>
      </c>
      <c r="H2126">
        <v>17509</v>
      </c>
      <c r="I2126">
        <v>1226</v>
      </c>
      <c r="J2126" t="s">
        <v>27</v>
      </c>
      <c r="K2126" t="str">
        <f>_xlfn.XLOOKUP(datos_ventas[[#This Row],[Ciudad]],Tabla2[Ciudades],Tabla2[Provincias],"no se encuentra")</f>
        <v>Sevilla</v>
      </c>
      <c r="L2126" t="str">
        <f>_xlfn.XLOOKUP(datos_ventas[[#This Row],[Provincia]],Tabla2[Provincias],Tabla2[Comunidades],"no se encuentra")</f>
        <v>Andalucía</v>
      </c>
      <c r="M2126" t="s">
        <v>13</v>
      </c>
      <c r="N2126">
        <v>3</v>
      </c>
    </row>
    <row r="2127" spans="1:14" x14ac:dyDescent="0.25">
      <c r="A2127">
        <v>3126</v>
      </c>
      <c r="B2127" s="1">
        <v>45674</v>
      </c>
      <c r="C2127" s="4">
        <f>MONTH(datos_ventas[[#This Row],[Fecha]])</f>
        <v>1</v>
      </c>
      <c r="D2127" s="4">
        <f>WEEKNUM(datos_ventas[[#This Row],[Fecha]],2)</f>
        <v>3</v>
      </c>
      <c r="E2127" t="s">
        <v>23</v>
      </c>
      <c r="F2127" t="s">
        <v>18</v>
      </c>
      <c r="G2127">
        <v>3</v>
      </c>
      <c r="H2127">
        <v>47614</v>
      </c>
      <c r="I2127">
        <v>532</v>
      </c>
      <c r="J2127" t="s">
        <v>12</v>
      </c>
      <c r="K2127" t="str">
        <f>_xlfn.XLOOKUP(datos_ventas[[#This Row],[Ciudad]],Tabla2[Ciudades],Tabla2[Provincias],"no se encuentra")</f>
        <v>Málaga</v>
      </c>
      <c r="L2127" t="str">
        <f>_xlfn.XLOOKUP(datos_ventas[[#This Row],[Provincia]],Tabla2[Provincias],Tabla2[Comunidades],"no se encuentra")</f>
        <v>Andalucía</v>
      </c>
      <c r="M2127" t="s">
        <v>15</v>
      </c>
      <c r="N2127">
        <v>3</v>
      </c>
    </row>
    <row r="2128" spans="1:14" x14ac:dyDescent="0.25">
      <c r="A2128">
        <v>3127</v>
      </c>
      <c r="B2128" s="1">
        <v>45978</v>
      </c>
      <c r="C2128" s="4">
        <f>MONTH(datos_ventas[[#This Row],[Fecha]])</f>
        <v>11</v>
      </c>
      <c r="D2128" s="4">
        <f>WEEKNUM(datos_ventas[[#This Row],[Fecha]],2)</f>
        <v>47</v>
      </c>
      <c r="E2128" t="s">
        <v>23</v>
      </c>
      <c r="F2128" t="s">
        <v>18</v>
      </c>
      <c r="G2128">
        <v>1</v>
      </c>
      <c r="H2128">
        <v>69975</v>
      </c>
      <c r="I2128">
        <v>4649</v>
      </c>
      <c r="J2128" t="s">
        <v>31</v>
      </c>
      <c r="K2128" t="str">
        <f>_xlfn.XLOOKUP(datos_ventas[[#This Row],[Ciudad]],Tabla2[Ciudades],Tabla2[Provincias],"no se encuentra")</f>
        <v>Vizcaya</v>
      </c>
      <c r="L2128" t="str">
        <f>_xlfn.XLOOKUP(datos_ventas[[#This Row],[Provincia]],Tabla2[Provincias],Tabla2[Comunidades],"no se encuentra")</f>
        <v>País Vasco</v>
      </c>
      <c r="M2128" t="s">
        <v>13</v>
      </c>
      <c r="N2128">
        <v>5</v>
      </c>
    </row>
    <row r="2129" spans="1:14" x14ac:dyDescent="0.25">
      <c r="A2129">
        <v>3128</v>
      </c>
      <c r="B2129" s="1">
        <v>45894</v>
      </c>
      <c r="C2129" s="4">
        <f>MONTH(datos_ventas[[#This Row],[Fecha]])</f>
        <v>8</v>
      </c>
      <c r="D2129" s="4">
        <f>WEEKNUM(datos_ventas[[#This Row],[Fecha]],2)</f>
        <v>35</v>
      </c>
      <c r="E2129" t="s">
        <v>17</v>
      </c>
      <c r="F2129" t="s">
        <v>18</v>
      </c>
      <c r="G2129">
        <v>5</v>
      </c>
      <c r="H2129">
        <v>9625</v>
      </c>
      <c r="I2129">
        <v>3941</v>
      </c>
      <c r="J2129" t="s">
        <v>27</v>
      </c>
      <c r="K2129" t="str">
        <f>_xlfn.XLOOKUP(datos_ventas[[#This Row],[Ciudad]],Tabla2[Ciudades],Tabla2[Provincias],"no se encuentra")</f>
        <v>Sevilla</v>
      </c>
      <c r="L2129" t="str">
        <f>_xlfn.XLOOKUP(datos_ventas[[#This Row],[Provincia]],Tabla2[Provincias],Tabla2[Comunidades],"no se encuentra")</f>
        <v>Andalucía</v>
      </c>
      <c r="M2129" t="s">
        <v>28</v>
      </c>
      <c r="N2129">
        <v>2</v>
      </c>
    </row>
    <row r="2130" spans="1:14" x14ac:dyDescent="0.25">
      <c r="A2130">
        <v>3129</v>
      </c>
      <c r="B2130" s="1">
        <v>45955</v>
      </c>
      <c r="C2130" s="4">
        <f>MONTH(datos_ventas[[#This Row],[Fecha]])</f>
        <v>10</v>
      </c>
      <c r="D2130" s="4">
        <f>WEEKNUM(datos_ventas[[#This Row],[Fecha]],2)</f>
        <v>43</v>
      </c>
      <c r="E2130" t="s">
        <v>20</v>
      </c>
      <c r="F2130" t="s">
        <v>21</v>
      </c>
      <c r="G2130">
        <v>2</v>
      </c>
      <c r="H2130">
        <v>29372</v>
      </c>
      <c r="I2130">
        <v>4785</v>
      </c>
      <c r="J2130" t="s">
        <v>14</v>
      </c>
      <c r="K2130" t="str">
        <f>_xlfn.XLOOKUP(datos_ventas[[#This Row],[Ciudad]],Tabla2[Ciudades],Tabla2[Provincias],"no se encuentra")</f>
        <v>Madrid</v>
      </c>
      <c r="L2130" t="str">
        <f>_xlfn.XLOOKUP(datos_ventas[[#This Row],[Provincia]],Tabla2[Provincias],Tabla2[Comunidades],"no se encuentra")</f>
        <v>Comunidad de Madrid</v>
      </c>
      <c r="M2130" t="s">
        <v>13</v>
      </c>
      <c r="N2130">
        <v>4</v>
      </c>
    </row>
    <row r="2131" spans="1:14" x14ac:dyDescent="0.25">
      <c r="A2131">
        <v>3130</v>
      </c>
      <c r="B2131" s="1">
        <v>45669</v>
      </c>
      <c r="C2131" s="4">
        <f>MONTH(datos_ventas[[#This Row],[Fecha]])</f>
        <v>1</v>
      </c>
      <c r="D2131" s="4">
        <f>WEEKNUM(datos_ventas[[#This Row],[Fecha]],2)</f>
        <v>2</v>
      </c>
      <c r="E2131" t="s">
        <v>20</v>
      </c>
      <c r="F2131" t="s">
        <v>21</v>
      </c>
      <c r="G2131">
        <v>2</v>
      </c>
      <c r="H2131">
        <v>90946</v>
      </c>
      <c r="I2131">
        <v>194</v>
      </c>
      <c r="J2131" t="s">
        <v>12</v>
      </c>
      <c r="K2131" t="str">
        <f>_xlfn.XLOOKUP(datos_ventas[[#This Row],[Ciudad]],Tabla2[Ciudades],Tabla2[Provincias],"no se encuentra")</f>
        <v>Málaga</v>
      </c>
      <c r="L2131" t="str">
        <f>_xlfn.XLOOKUP(datos_ventas[[#This Row],[Provincia]],Tabla2[Provincias],Tabla2[Comunidades],"no se encuentra")</f>
        <v>Andalucía</v>
      </c>
      <c r="M2131" t="s">
        <v>15</v>
      </c>
      <c r="N2131">
        <v>3</v>
      </c>
    </row>
    <row r="2132" spans="1:14" x14ac:dyDescent="0.25">
      <c r="A2132">
        <v>3131</v>
      </c>
      <c r="B2132" s="1">
        <v>45720</v>
      </c>
      <c r="C2132" s="4">
        <f>MONTH(datos_ventas[[#This Row],[Fecha]])</f>
        <v>3</v>
      </c>
      <c r="D2132" s="4">
        <f>WEEKNUM(datos_ventas[[#This Row],[Fecha]],2)</f>
        <v>10</v>
      </c>
      <c r="E2132" t="s">
        <v>16</v>
      </c>
      <c r="F2132" t="s">
        <v>11</v>
      </c>
      <c r="G2132">
        <v>4</v>
      </c>
      <c r="H2132">
        <v>38137</v>
      </c>
      <c r="I2132">
        <v>3504</v>
      </c>
      <c r="J2132" t="s">
        <v>12</v>
      </c>
      <c r="K2132" t="str">
        <f>_xlfn.XLOOKUP(datos_ventas[[#This Row],[Ciudad]],Tabla2[Ciudades],Tabla2[Provincias],"no se encuentra")</f>
        <v>Málaga</v>
      </c>
      <c r="L2132" t="str">
        <f>_xlfn.XLOOKUP(datos_ventas[[#This Row],[Provincia]],Tabla2[Provincias],Tabla2[Comunidades],"no se encuentra")</f>
        <v>Andalucía</v>
      </c>
      <c r="M2132" t="s">
        <v>19</v>
      </c>
      <c r="N2132">
        <v>1</v>
      </c>
    </row>
    <row r="2133" spans="1:14" x14ac:dyDescent="0.25">
      <c r="A2133">
        <v>3132</v>
      </c>
      <c r="B2133" s="1">
        <v>45718</v>
      </c>
      <c r="C2133" s="4">
        <f>MONTH(datos_ventas[[#This Row],[Fecha]])</f>
        <v>3</v>
      </c>
      <c r="D2133" s="4">
        <f>WEEKNUM(datos_ventas[[#This Row],[Fecha]],2)</f>
        <v>9</v>
      </c>
      <c r="E2133" t="s">
        <v>20</v>
      </c>
      <c r="F2133" t="s">
        <v>21</v>
      </c>
      <c r="G2133">
        <v>1</v>
      </c>
      <c r="H2133">
        <v>61216</v>
      </c>
      <c r="I2133">
        <v>3296</v>
      </c>
      <c r="J2133" t="s">
        <v>14</v>
      </c>
      <c r="K2133" t="str">
        <f>_xlfn.XLOOKUP(datos_ventas[[#This Row],[Ciudad]],Tabla2[Ciudades],Tabla2[Provincias],"no se encuentra")</f>
        <v>Madrid</v>
      </c>
      <c r="L2133" t="str">
        <f>_xlfn.XLOOKUP(datos_ventas[[#This Row],[Provincia]],Tabla2[Provincias],Tabla2[Comunidades],"no se encuentra")</f>
        <v>Comunidad de Madrid</v>
      </c>
      <c r="M2133" t="s">
        <v>19</v>
      </c>
      <c r="N2133">
        <v>2</v>
      </c>
    </row>
    <row r="2134" spans="1:14" x14ac:dyDescent="0.25">
      <c r="A2134">
        <v>3133</v>
      </c>
      <c r="B2134" s="1">
        <v>45965</v>
      </c>
      <c r="C2134" s="4">
        <f>MONTH(datos_ventas[[#This Row],[Fecha]])</f>
        <v>11</v>
      </c>
      <c r="D2134" s="4">
        <f>WEEKNUM(datos_ventas[[#This Row],[Fecha]],2)</f>
        <v>45</v>
      </c>
      <c r="E2134" t="s">
        <v>29</v>
      </c>
      <c r="F2134" t="s">
        <v>30</v>
      </c>
      <c r="G2134">
        <v>1</v>
      </c>
      <c r="H2134">
        <v>20869</v>
      </c>
      <c r="I2134">
        <v>983</v>
      </c>
      <c r="J2134" t="s">
        <v>12</v>
      </c>
      <c r="K2134" t="str">
        <f>_xlfn.XLOOKUP(datos_ventas[[#This Row],[Ciudad]],Tabla2[Ciudades],Tabla2[Provincias],"no se encuentra")</f>
        <v>Málaga</v>
      </c>
      <c r="L2134" t="str">
        <f>_xlfn.XLOOKUP(datos_ventas[[#This Row],[Provincia]],Tabla2[Provincias],Tabla2[Comunidades],"no se encuentra")</f>
        <v>Andalucía</v>
      </c>
      <c r="M2134" t="s">
        <v>13</v>
      </c>
      <c r="N2134">
        <v>3</v>
      </c>
    </row>
    <row r="2135" spans="1:14" x14ac:dyDescent="0.25">
      <c r="A2135">
        <v>3134</v>
      </c>
      <c r="B2135" s="1">
        <v>45658</v>
      </c>
      <c r="C2135" s="4">
        <f>MONTH(datos_ventas[[#This Row],[Fecha]])</f>
        <v>1</v>
      </c>
      <c r="D2135" s="4">
        <f>WEEKNUM(datos_ventas[[#This Row],[Fecha]],2)</f>
        <v>1</v>
      </c>
      <c r="E2135" t="s">
        <v>29</v>
      </c>
      <c r="F2135" t="s">
        <v>30</v>
      </c>
      <c r="G2135">
        <v>3</v>
      </c>
      <c r="H2135">
        <v>7162</v>
      </c>
      <c r="I2135">
        <v>1802</v>
      </c>
      <c r="J2135" t="s">
        <v>27</v>
      </c>
      <c r="K2135" t="str">
        <f>_xlfn.XLOOKUP(datos_ventas[[#This Row],[Ciudad]],Tabla2[Ciudades],Tabla2[Provincias],"no se encuentra")</f>
        <v>Sevilla</v>
      </c>
      <c r="L2135" t="str">
        <f>_xlfn.XLOOKUP(datos_ventas[[#This Row],[Provincia]],Tabla2[Provincias],Tabla2[Comunidades],"no se encuentra")</f>
        <v>Andalucía</v>
      </c>
      <c r="M2135" t="s">
        <v>13</v>
      </c>
      <c r="N2135">
        <v>4</v>
      </c>
    </row>
    <row r="2136" spans="1:14" x14ac:dyDescent="0.25">
      <c r="A2136">
        <v>3135</v>
      </c>
      <c r="B2136" s="1">
        <v>45903</v>
      </c>
      <c r="C2136" s="4">
        <f>MONTH(datos_ventas[[#This Row],[Fecha]])</f>
        <v>9</v>
      </c>
      <c r="D2136" s="4">
        <f>WEEKNUM(datos_ventas[[#This Row],[Fecha]],2)</f>
        <v>36</v>
      </c>
      <c r="E2136" t="s">
        <v>17</v>
      </c>
      <c r="F2136" t="s">
        <v>18</v>
      </c>
      <c r="G2136">
        <v>4</v>
      </c>
      <c r="H2136">
        <v>37897</v>
      </c>
      <c r="I2136">
        <v>3337</v>
      </c>
      <c r="J2136" t="s">
        <v>27</v>
      </c>
      <c r="K2136" t="str">
        <f>_xlfn.XLOOKUP(datos_ventas[[#This Row],[Ciudad]],Tabla2[Ciudades],Tabla2[Provincias],"no se encuentra")</f>
        <v>Sevilla</v>
      </c>
      <c r="L2136" t="str">
        <f>_xlfn.XLOOKUP(datos_ventas[[#This Row],[Provincia]],Tabla2[Provincias],Tabla2[Comunidades],"no se encuentra")</f>
        <v>Andalucía</v>
      </c>
      <c r="M2136" t="s">
        <v>15</v>
      </c>
      <c r="N2136">
        <v>3</v>
      </c>
    </row>
    <row r="2137" spans="1:14" x14ac:dyDescent="0.25">
      <c r="A2137">
        <v>3136</v>
      </c>
      <c r="B2137" s="1">
        <v>45744</v>
      </c>
      <c r="C2137" s="4">
        <f>MONTH(datos_ventas[[#This Row],[Fecha]])</f>
        <v>3</v>
      </c>
      <c r="D2137" s="4">
        <f>WEEKNUM(datos_ventas[[#This Row],[Fecha]],2)</f>
        <v>13</v>
      </c>
      <c r="E2137" t="s">
        <v>16</v>
      </c>
      <c r="F2137" t="s">
        <v>11</v>
      </c>
      <c r="G2137">
        <v>4</v>
      </c>
      <c r="H2137">
        <v>67914</v>
      </c>
      <c r="I2137">
        <v>4002</v>
      </c>
      <c r="J2137" t="s">
        <v>31</v>
      </c>
      <c r="K2137" t="str">
        <f>_xlfn.XLOOKUP(datos_ventas[[#This Row],[Ciudad]],Tabla2[Ciudades],Tabla2[Provincias],"no se encuentra")</f>
        <v>Vizcaya</v>
      </c>
      <c r="L2137" t="str">
        <f>_xlfn.XLOOKUP(datos_ventas[[#This Row],[Provincia]],Tabla2[Provincias],Tabla2[Comunidades],"no se encuentra")</f>
        <v>País Vasco</v>
      </c>
      <c r="M2137" t="s">
        <v>15</v>
      </c>
      <c r="N2137">
        <v>4</v>
      </c>
    </row>
    <row r="2138" spans="1:14" x14ac:dyDescent="0.25">
      <c r="A2138">
        <v>3137</v>
      </c>
      <c r="B2138" s="1">
        <v>46011</v>
      </c>
      <c r="C2138" s="4">
        <f>MONTH(datos_ventas[[#This Row],[Fecha]])</f>
        <v>12</v>
      </c>
      <c r="D2138" s="4">
        <f>WEEKNUM(datos_ventas[[#This Row],[Fecha]],2)</f>
        <v>51</v>
      </c>
      <c r="E2138" t="s">
        <v>20</v>
      </c>
      <c r="F2138" t="s">
        <v>21</v>
      </c>
      <c r="G2138">
        <v>5</v>
      </c>
      <c r="H2138">
        <v>93463</v>
      </c>
      <c r="I2138">
        <v>269</v>
      </c>
      <c r="J2138" t="s">
        <v>31</v>
      </c>
      <c r="K2138" t="str">
        <f>_xlfn.XLOOKUP(datos_ventas[[#This Row],[Ciudad]],Tabla2[Ciudades],Tabla2[Provincias],"no se encuentra")</f>
        <v>Vizcaya</v>
      </c>
      <c r="L2138" t="str">
        <f>_xlfn.XLOOKUP(datos_ventas[[#This Row],[Provincia]],Tabla2[Provincias],Tabla2[Comunidades],"no se encuentra")</f>
        <v>País Vasco</v>
      </c>
      <c r="M2138" t="s">
        <v>13</v>
      </c>
      <c r="N2138">
        <v>4</v>
      </c>
    </row>
    <row r="2139" spans="1:14" x14ac:dyDescent="0.25">
      <c r="A2139">
        <v>3138</v>
      </c>
      <c r="B2139" s="1">
        <v>45666</v>
      </c>
      <c r="C2139" s="4">
        <f>MONTH(datos_ventas[[#This Row],[Fecha]])</f>
        <v>1</v>
      </c>
      <c r="D2139" s="4">
        <f>WEEKNUM(datos_ventas[[#This Row],[Fecha]],2)</f>
        <v>2</v>
      </c>
      <c r="E2139" t="s">
        <v>26</v>
      </c>
      <c r="F2139" t="s">
        <v>18</v>
      </c>
      <c r="G2139">
        <v>2</v>
      </c>
      <c r="H2139">
        <v>67635</v>
      </c>
      <c r="I2139">
        <v>4008</v>
      </c>
      <c r="J2139" t="s">
        <v>31</v>
      </c>
      <c r="K2139" t="str">
        <f>_xlfn.XLOOKUP(datos_ventas[[#This Row],[Ciudad]],Tabla2[Ciudades],Tabla2[Provincias],"no se encuentra")</f>
        <v>Vizcaya</v>
      </c>
      <c r="L2139" t="str">
        <f>_xlfn.XLOOKUP(datos_ventas[[#This Row],[Provincia]],Tabla2[Provincias],Tabla2[Comunidades],"no se encuentra")</f>
        <v>País Vasco</v>
      </c>
      <c r="M2139" t="s">
        <v>19</v>
      </c>
      <c r="N2139">
        <v>1</v>
      </c>
    </row>
    <row r="2140" spans="1:14" x14ac:dyDescent="0.25">
      <c r="A2140">
        <v>3139</v>
      </c>
      <c r="B2140" s="1">
        <v>45882</v>
      </c>
      <c r="C2140" s="4">
        <f>MONTH(datos_ventas[[#This Row],[Fecha]])</f>
        <v>8</v>
      </c>
      <c r="D2140" s="4">
        <f>WEEKNUM(datos_ventas[[#This Row],[Fecha]],2)</f>
        <v>33</v>
      </c>
      <c r="E2140" t="s">
        <v>17</v>
      </c>
      <c r="F2140" t="s">
        <v>18</v>
      </c>
      <c r="G2140">
        <v>4</v>
      </c>
      <c r="H2140">
        <v>16294</v>
      </c>
      <c r="I2140">
        <v>1969</v>
      </c>
      <c r="J2140" t="s">
        <v>14</v>
      </c>
      <c r="K2140" t="str">
        <f>_xlfn.XLOOKUP(datos_ventas[[#This Row],[Ciudad]],Tabla2[Ciudades],Tabla2[Provincias],"no se encuentra")</f>
        <v>Madrid</v>
      </c>
      <c r="L2140" t="str">
        <f>_xlfn.XLOOKUP(datos_ventas[[#This Row],[Provincia]],Tabla2[Provincias],Tabla2[Comunidades],"no se encuentra")</f>
        <v>Comunidad de Madrid</v>
      </c>
      <c r="M2140" t="s">
        <v>19</v>
      </c>
      <c r="N2140">
        <v>3</v>
      </c>
    </row>
    <row r="2141" spans="1:14" x14ac:dyDescent="0.25">
      <c r="A2141">
        <v>3140</v>
      </c>
      <c r="B2141" s="1">
        <v>45826</v>
      </c>
      <c r="C2141" s="4">
        <f>MONTH(datos_ventas[[#This Row],[Fecha]])</f>
        <v>6</v>
      </c>
      <c r="D2141" s="4">
        <f>WEEKNUM(datos_ventas[[#This Row],[Fecha]],2)</f>
        <v>25</v>
      </c>
      <c r="E2141" t="s">
        <v>29</v>
      </c>
      <c r="F2141" t="s">
        <v>30</v>
      </c>
      <c r="G2141">
        <v>4</v>
      </c>
      <c r="H2141">
        <v>110146</v>
      </c>
      <c r="I2141">
        <v>1454</v>
      </c>
      <c r="J2141" t="s">
        <v>12</v>
      </c>
      <c r="K2141" t="str">
        <f>_xlfn.XLOOKUP(datos_ventas[[#This Row],[Ciudad]],Tabla2[Ciudades],Tabla2[Provincias],"no se encuentra")</f>
        <v>Málaga</v>
      </c>
      <c r="L2141" t="str">
        <f>_xlfn.XLOOKUP(datos_ventas[[#This Row],[Provincia]],Tabla2[Provincias],Tabla2[Comunidades],"no se encuentra")</f>
        <v>Andalucía</v>
      </c>
      <c r="M2141" t="s">
        <v>15</v>
      </c>
      <c r="N2141">
        <v>4</v>
      </c>
    </row>
    <row r="2142" spans="1:14" x14ac:dyDescent="0.25">
      <c r="A2142">
        <v>3141</v>
      </c>
      <c r="B2142" s="1">
        <v>45807</v>
      </c>
      <c r="C2142" s="4">
        <f>MONTH(datos_ventas[[#This Row],[Fecha]])</f>
        <v>5</v>
      </c>
      <c r="D2142" s="4">
        <f>WEEKNUM(datos_ventas[[#This Row],[Fecha]],2)</f>
        <v>22</v>
      </c>
      <c r="E2142" t="s">
        <v>24</v>
      </c>
      <c r="F2142" t="s">
        <v>25</v>
      </c>
      <c r="G2142">
        <v>2</v>
      </c>
      <c r="H2142">
        <v>94078</v>
      </c>
      <c r="I2142">
        <v>2772</v>
      </c>
      <c r="J2142" t="s">
        <v>14</v>
      </c>
      <c r="K2142" t="str">
        <f>_xlfn.XLOOKUP(datos_ventas[[#This Row],[Ciudad]],Tabla2[Ciudades],Tabla2[Provincias],"no se encuentra")</f>
        <v>Madrid</v>
      </c>
      <c r="L2142" t="str">
        <f>_xlfn.XLOOKUP(datos_ventas[[#This Row],[Provincia]],Tabla2[Provincias],Tabla2[Comunidades],"no se encuentra")</f>
        <v>Comunidad de Madrid</v>
      </c>
      <c r="M2142" t="s">
        <v>15</v>
      </c>
      <c r="N2142">
        <v>1</v>
      </c>
    </row>
    <row r="2143" spans="1:14" x14ac:dyDescent="0.25">
      <c r="A2143">
        <v>3142</v>
      </c>
      <c r="B2143" s="1">
        <v>45869</v>
      </c>
      <c r="C2143" s="4">
        <f>MONTH(datos_ventas[[#This Row],[Fecha]])</f>
        <v>7</v>
      </c>
      <c r="D2143" s="4">
        <f>WEEKNUM(datos_ventas[[#This Row],[Fecha]],2)</f>
        <v>31</v>
      </c>
      <c r="E2143" t="s">
        <v>10</v>
      </c>
      <c r="F2143" t="s">
        <v>11</v>
      </c>
      <c r="G2143">
        <v>3</v>
      </c>
      <c r="H2143">
        <v>31643</v>
      </c>
      <c r="I2143">
        <v>3252</v>
      </c>
      <c r="J2143" t="s">
        <v>32</v>
      </c>
      <c r="K2143" t="str">
        <f>_xlfn.XLOOKUP(datos_ventas[[#This Row],[Ciudad]],Tabla2[Ciudades],Tabla2[Provincias],"no se encuentra")</f>
        <v>Barcelona</v>
      </c>
      <c r="L2143" t="str">
        <f>_xlfn.XLOOKUP(datos_ventas[[#This Row],[Provincia]],Tabla2[Provincias],Tabla2[Comunidades],"no se encuentra")</f>
        <v>Cataluña</v>
      </c>
      <c r="M2143" t="s">
        <v>15</v>
      </c>
      <c r="N2143">
        <v>4</v>
      </c>
    </row>
    <row r="2144" spans="1:14" x14ac:dyDescent="0.25">
      <c r="A2144">
        <v>3143</v>
      </c>
      <c r="B2144" s="1">
        <v>45755</v>
      </c>
      <c r="C2144" s="4">
        <f>MONTH(datos_ventas[[#This Row],[Fecha]])</f>
        <v>4</v>
      </c>
      <c r="D2144" s="4">
        <f>WEEKNUM(datos_ventas[[#This Row],[Fecha]],2)</f>
        <v>15</v>
      </c>
      <c r="E2144" t="s">
        <v>10</v>
      </c>
      <c r="F2144" t="s">
        <v>11</v>
      </c>
      <c r="G2144">
        <v>1</v>
      </c>
      <c r="H2144">
        <v>52614</v>
      </c>
      <c r="I2144">
        <v>1916</v>
      </c>
      <c r="J2144" t="s">
        <v>22</v>
      </c>
      <c r="K2144" t="str">
        <f>_xlfn.XLOOKUP(datos_ventas[[#This Row],[Ciudad]],Tabla2[Ciudades],Tabla2[Provincias],"no se encuentra")</f>
        <v>Valencia</v>
      </c>
      <c r="L2144" t="str">
        <f>_xlfn.XLOOKUP(datos_ventas[[#This Row],[Provincia]],Tabla2[Provincias],Tabla2[Comunidades],"no se encuentra")</f>
        <v>Comunidad Valenciana</v>
      </c>
      <c r="M2144" t="s">
        <v>28</v>
      </c>
      <c r="N2144">
        <v>4</v>
      </c>
    </row>
    <row r="2145" spans="1:14" x14ac:dyDescent="0.25">
      <c r="A2145">
        <v>3144</v>
      </c>
      <c r="B2145" s="1">
        <v>45968</v>
      </c>
      <c r="C2145" s="4">
        <f>MONTH(datos_ventas[[#This Row],[Fecha]])</f>
        <v>11</v>
      </c>
      <c r="D2145" s="4">
        <f>WEEKNUM(datos_ventas[[#This Row],[Fecha]],2)</f>
        <v>45</v>
      </c>
      <c r="E2145" t="s">
        <v>26</v>
      </c>
      <c r="F2145" t="s">
        <v>18</v>
      </c>
      <c r="G2145">
        <v>3</v>
      </c>
      <c r="H2145">
        <v>16563</v>
      </c>
      <c r="I2145">
        <v>4158</v>
      </c>
      <c r="J2145" t="s">
        <v>31</v>
      </c>
      <c r="K2145" t="str">
        <f>_xlfn.XLOOKUP(datos_ventas[[#This Row],[Ciudad]],Tabla2[Ciudades],Tabla2[Provincias],"no se encuentra")</f>
        <v>Vizcaya</v>
      </c>
      <c r="L2145" t="str">
        <f>_xlfn.XLOOKUP(datos_ventas[[#This Row],[Provincia]],Tabla2[Provincias],Tabla2[Comunidades],"no se encuentra")</f>
        <v>País Vasco</v>
      </c>
      <c r="M2145" t="s">
        <v>28</v>
      </c>
      <c r="N2145">
        <v>2</v>
      </c>
    </row>
    <row r="2146" spans="1:14" x14ac:dyDescent="0.25">
      <c r="A2146">
        <v>3145</v>
      </c>
      <c r="B2146" s="1">
        <v>45940</v>
      </c>
      <c r="C2146" s="4">
        <f>MONTH(datos_ventas[[#This Row],[Fecha]])</f>
        <v>10</v>
      </c>
      <c r="D2146" s="4">
        <f>WEEKNUM(datos_ventas[[#This Row],[Fecha]],2)</f>
        <v>41</v>
      </c>
      <c r="E2146" t="s">
        <v>16</v>
      </c>
      <c r="F2146" t="s">
        <v>11</v>
      </c>
      <c r="G2146">
        <v>3</v>
      </c>
      <c r="H2146">
        <v>5737</v>
      </c>
      <c r="I2146">
        <v>2162</v>
      </c>
      <c r="J2146" t="s">
        <v>22</v>
      </c>
      <c r="K2146" t="str">
        <f>_xlfn.XLOOKUP(datos_ventas[[#This Row],[Ciudad]],Tabla2[Ciudades],Tabla2[Provincias],"no se encuentra")</f>
        <v>Valencia</v>
      </c>
      <c r="L2146" t="str">
        <f>_xlfn.XLOOKUP(datos_ventas[[#This Row],[Provincia]],Tabla2[Provincias],Tabla2[Comunidades],"no se encuentra")</f>
        <v>Comunidad Valenciana</v>
      </c>
      <c r="M2146" t="s">
        <v>15</v>
      </c>
      <c r="N2146">
        <v>4</v>
      </c>
    </row>
    <row r="2147" spans="1:14" x14ac:dyDescent="0.25">
      <c r="A2147">
        <v>3146</v>
      </c>
      <c r="B2147" s="1">
        <v>45715</v>
      </c>
      <c r="C2147" s="4">
        <f>MONTH(datos_ventas[[#This Row],[Fecha]])</f>
        <v>2</v>
      </c>
      <c r="D2147" s="4">
        <f>WEEKNUM(datos_ventas[[#This Row],[Fecha]],2)</f>
        <v>9</v>
      </c>
      <c r="E2147" t="s">
        <v>17</v>
      </c>
      <c r="F2147" t="s">
        <v>18</v>
      </c>
      <c r="G2147">
        <v>4</v>
      </c>
      <c r="H2147">
        <v>66654</v>
      </c>
      <c r="I2147">
        <v>4641</v>
      </c>
      <c r="J2147" t="s">
        <v>14</v>
      </c>
      <c r="K2147" t="str">
        <f>_xlfn.XLOOKUP(datos_ventas[[#This Row],[Ciudad]],Tabla2[Ciudades],Tabla2[Provincias],"no se encuentra")</f>
        <v>Madrid</v>
      </c>
      <c r="L2147" t="str">
        <f>_xlfn.XLOOKUP(datos_ventas[[#This Row],[Provincia]],Tabla2[Provincias],Tabla2[Comunidades],"no se encuentra")</f>
        <v>Comunidad de Madrid</v>
      </c>
      <c r="M2147" t="s">
        <v>28</v>
      </c>
      <c r="N2147">
        <v>4</v>
      </c>
    </row>
    <row r="2148" spans="1:14" x14ac:dyDescent="0.25">
      <c r="A2148">
        <v>3147</v>
      </c>
      <c r="B2148" s="1">
        <v>45726</v>
      </c>
      <c r="C2148" s="4">
        <f>MONTH(datos_ventas[[#This Row],[Fecha]])</f>
        <v>3</v>
      </c>
      <c r="D2148" s="4">
        <f>WEEKNUM(datos_ventas[[#This Row],[Fecha]],2)</f>
        <v>11</v>
      </c>
      <c r="E2148" t="s">
        <v>17</v>
      </c>
      <c r="F2148" t="s">
        <v>18</v>
      </c>
      <c r="G2148">
        <v>3</v>
      </c>
      <c r="H2148">
        <v>8255</v>
      </c>
      <c r="I2148">
        <v>4501</v>
      </c>
      <c r="J2148" t="s">
        <v>27</v>
      </c>
      <c r="K2148" t="str">
        <f>_xlfn.XLOOKUP(datos_ventas[[#This Row],[Ciudad]],Tabla2[Ciudades],Tabla2[Provincias],"no se encuentra")</f>
        <v>Sevilla</v>
      </c>
      <c r="L2148" t="str">
        <f>_xlfn.XLOOKUP(datos_ventas[[#This Row],[Provincia]],Tabla2[Provincias],Tabla2[Comunidades],"no se encuentra")</f>
        <v>Andalucía</v>
      </c>
      <c r="M2148" t="s">
        <v>13</v>
      </c>
      <c r="N2148">
        <v>2</v>
      </c>
    </row>
    <row r="2149" spans="1:14" x14ac:dyDescent="0.25">
      <c r="A2149">
        <v>3148</v>
      </c>
      <c r="B2149" s="1">
        <v>45713</v>
      </c>
      <c r="C2149" s="4">
        <f>MONTH(datos_ventas[[#This Row],[Fecha]])</f>
        <v>2</v>
      </c>
      <c r="D2149" s="4">
        <f>WEEKNUM(datos_ventas[[#This Row],[Fecha]],2)</f>
        <v>9</v>
      </c>
      <c r="E2149" t="s">
        <v>23</v>
      </c>
      <c r="F2149" t="s">
        <v>18</v>
      </c>
      <c r="G2149">
        <v>1</v>
      </c>
      <c r="H2149">
        <v>70799</v>
      </c>
      <c r="I2149">
        <v>4888</v>
      </c>
      <c r="J2149" t="s">
        <v>31</v>
      </c>
      <c r="K2149" t="str">
        <f>_xlfn.XLOOKUP(datos_ventas[[#This Row],[Ciudad]],Tabla2[Ciudades],Tabla2[Provincias],"no se encuentra")</f>
        <v>Vizcaya</v>
      </c>
      <c r="L2149" t="str">
        <f>_xlfn.XLOOKUP(datos_ventas[[#This Row],[Provincia]],Tabla2[Provincias],Tabla2[Comunidades],"no se encuentra")</f>
        <v>País Vasco</v>
      </c>
      <c r="M2149" t="s">
        <v>19</v>
      </c>
      <c r="N2149">
        <v>2</v>
      </c>
    </row>
    <row r="2150" spans="1:14" x14ac:dyDescent="0.25">
      <c r="A2150">
        <v>3149</v>
      </c>
      <c r="B2150" s="1">
        <v>45773</v>
      </c>
      <c r="C2150" s="4">
        <f>MONTH(datos_ventas[[#This Row],[Fecha]])</f>
        <v>4</v>
      </c>
      <c r="D2150" s="4">
        <f>WEEKNUM(datos_ventas[[#This Row],[Fecha]],2)</f>
        <v>17</v>
      </c>
      <c r="E2150" t="s">
        <v>10</v>
      </c>
      <c r="F2150" t="s">
        <v>11</v>
      </c>
      <c r="G2150">
        <v>1</v>
      </c>
      <c r="H2150">
        <v>56968</v>
      </c>
      <c r="I2150">
        <v>3515</v>
      </c>
      <c r="J2150" t="s">
        <v>32</v>
      </c>
      <c r="K2150" t="str">
        <f>_xlfn.XLOOKUP(datos_ventas[[#This Row],[Ciudad]],Tabla2[Ciudades],Tabla2[Provincias],"no se encuentra")</f>
        <v>Barcelona</v>
      </c>
      <c r="L2150" t="str">
        <f>_xlfn.XLOOKUP(datos_ventas[[#This Row],[Provincia]],Tabla2[Provincias],Tabla2[Comunidades],"no se encuentra")</f>
        <v>Cataluña</v>
      </c>
      <c r="M2150" t="s">
        <v>13</v>
      </c>
      <c r="N2150">
        <v>1</v>
      </c>
    </row>
    <row r="2151" spans="1:14" x14ac:dyDescent="0.25">
      <c r="A2151">
        <v>3150</v>
      </c>
      <c r="B2151" s="1">
        <v>45698</v>
      </c>
      <c r="C2151" s="4">
        <f>MONTH(datos_ventas[[#This Row],[Fecha]])</f>
        <v>2</v>
      </c>
      <c r="D2151" s="4">
        <f>WEEKNUM(datos_ventas[[#This Row],[Fecha]],2)</f>
        <v>7</v>
      </c>
      <c r="E2151" t="s">
        <v>29</v>
      </c>
      <c r="F2151" t="s">
        <v>30</v>
      </c>
      <c r="G2151">
        <v>1</v>
      </c>
      <c r="H2151">
        <v>72515</v>
      </c>
      <c r="I2151">
        <v>3847</v>
      </c>
      <c r="J2151" t="s">
        <v>12</v>
      </c>
      <c r="K2151" t="str">
        <f>_xlfn.XLOOKUP(datos_ventas[[#This Row],[Ciudad]],Tabla2[Ciudades],Tabla2[Provincias],"no se encuentra")</f>
        <v>Málaga</v>
      </c>
      <c r="L2151" t="str">
        <f>_xlfn.XLOOKUP(datos_ventas[[#This Row],[Provincia]],Tabla2[Provincias],Tabla2[Comunidades],"no se encuentra")</f>
        <v>Andalucía</v>
      </c>
      <c r="M2151" t="s">
        <v>19</v>
      </c>
      <c r="N2151">
        <v>3</v>
      </c>
    </row>
    <row r="2152" spans="1:14" x14ac:dyDescent="0.25">
      <c r="A2152">
        <v>3151</v>
      </c>
      <c r="B2152" s="1">
        <v>45738</v>
      </c>
      <c r="C2152" s="4">
        <f>MONTH(datos_ventas[[#This Row],[Fecha]])</f>
        <v>3</v>
      </c>
      <c r="D2152" s="4">
        <f>WEEKNUM(datos_ventas[[#This Row],[Fecha]],2)</f>
        <v>12</v>
      </c>
      <c r="E2152" t="s">
        <v>20</v>
      </c>
      <c r="F2152" t="s">
        <v>21</v>
      </c>
      <c r="G2152">
        <v>3</v>
      </c>
      <c r="H2152">
        <v>6727</v>
      </c>
      <c r="I2152">
        <v>359</v>
      </c>
      <c r="J2152" t="s">
        <v>32</v>
      </c>
      <c r="K2152" t="str">
        <f>_xlfn.XLOOKUP(datos_ventas[[#This Row],[Ciudad]],Tabla2[Ciudades],Tabla2[Provincias],"no se encuentra")</f>
        <v>Barcelona</v>
      </c>
      <c r="L2152" t="str">
        <f>_xlfn.XLOOKUP(datos_ventas[[#This Row],[Provincia]],Tabla2[Provincias],Tabla2[Comunidades],"no se encuentra")</f>
        <v>Cataluña</v>
      </c>
      <c r="M2152" t="s">
        <v>28</v>
      </c>
      <c r="N2152">
        <v>5</v>
      </c>
    </row>
    <row r="2153" spans="1:14" x14ac:dyDescent="0.25">
      <c r="A2153">
        <v>3152</v>
      </c>
      <c r="B2153" s="1">
        <v>45926</v>
      </c>
      <c r="C2153" s="4">
        <f>MONTH(datos_ventas[[#This Row],[Fecha]])</f>
        <v>9</v>
      </c>
      <c r="D2153" s="4">
        <f>WEEKNUM(datos_ventas[[#This Row],[Fecha]],2)</f>
        <v>39</v>
      </c>
      <c r="E2153" t="s">
        <v>20</v>
      </c>
      <c r="F2153" t="s">
        <v>21</v>
      </c>
      <c r="G2153">
        <v>3</v>
      </c>
      <c r="H2153">
        <v>81978</v>
      </c>
      <c r="I2153">
        <v>337</v>
      </c>
      <c r="J2153" t="s">
        <v>14</v>
      </c>
      <c r="K2153" t="str">
        <f>_xlfn.XLOOKUP(datos_ventas[[#This Row],[Ciudad]],Tabla2[Ciudades],Tabla2[Provincias],"no se encuentra")</f>
        <v>Madrid</v>
      </c>
      <c r="L2153" t="str">
        <f>_xlfn.XLOOKUP(datos_ventas[[#This Row],[Provincia]],Tabla2[Provincias],Tabla2[Comunidades],"no se encuentra")</f>
        <v>Comunidad de Madrid</v>
      </c>
      <c r="M2153" t="s">
        <v>19</v>
      </c>
      <c r="N2153">
        <v>5</v>
      </c>
    </row>
    <row r="2154" spans="1:14" x14ac:dyDescent="0.25">
      <c r="A2154">
        <v>3153</v>
      </c>
      <c r="B2154" s="1">
        <v>45666</v>
      </c>
      <c r="C2154" s="4">
        <f>MONTH(datos_ventas[[#This Row],[Fecha]])</f>
        <v>1</v>
      </c>
      <c r="D2154" s="4">
        <f>WEEKNUM(datos_ventas[[#This Row],[Fecha]],2)</f>
        <v>2</v>
      </c>
      <c r="E2154" t="s">
        <v>26</v>
      </c>
      <c r="F2154" t="s">
        <v>18</v>
      </c>
      <c r="G2154">
        <v>5</v>
      </c>
      <c r="H2154">
        <v>32914</v>
      </c>
      <c r="I2154">
        <v>3341</v>
      </c>
      <c r="J2154" t="s">
        <v>32</v>
      </c>
      <c r="K2154" t="str">
        <f>_xlfn.XLOOKUP(datos_ventas[[#This Row],[Ciudad]],Tabla2[Ciudades],Tabla2[Provincias],"no se encuentra")</f>
        <v>Barcelona</v>
      </c>
      <c r="L2154" t="str">
        <f>_xlfn.XLOOKUP(datos_ventas[[#This Row],[Provincia]],Tabla2[Provincias],Tabla2[Comunidades],"no se encuentra")</f>
        <v>Cataluña</v>
      </c>
      <c r="M2154" t="s">
        <v>15</v>
      </c>
      <c r="N2154">
        <v>1</v>
      </c>
    </row>
    <row r="2155" spans="1:14" x14ac:dyDescent="0.25">
      <c r="A2155">
        <v>3154</v>
      </c>
      <c r="B2155" s="1">
        <v>45759</v>
      </c>
      <c r="C2155" s="4">
        <f>MONTH(datos_ventas[[#This Row],[Fecha]])</f>
        <v>4</v>
      </c>
      <c r="D2155" s="4">
        <f>WEEKNUM(datos_ventas[[#This Row],[Fecha]],2)</f>
        <v>15</v>
      </c>
      <c r="E2155" t="s">
        <v>26</v>
      </c>
      <c r="F2155" t="s">
        <v>18</v>
      </c>
      <c r="G2155">
        <v>5</v>
      </c>
      <c r="H2155">
        <v>65929</v>
      </c>
      <c r="I2155">
        <v>2037</v>
      </c>
      <c r="J2155" t="s">
        <v>22</v>
      </c>
      <c r="K2155" t="str">
        <f>_xlfn.XLOOKUP(datos_ventas[[#This Row],[Ciudad]],Tabla2[Ciudades],Tabla2[Provincias],"no se encuentra")</f>
        <v>Valencia</v>
      </c>
      <c r="L2155" t="str">
        <f>_xlfn.XLOOKUP(datos_ventas[[#This Row],[Provincia]],Tabla2[Provincias],Tabla2[Comunidades],"no se encuentra")</f>
        <v>Comunidad Valenciana</v>
      </c>
      <c r="M2155" t="s">
        <v>19</v>
      </c>
      <c r="N2155">
        <v>2</v>
      </c>
    </row>
    <row r="2156" spans="1:14" x14ac:dyDescent="0.25">
      <c r="A2156">
        <v>3155</v>
      </c>
      <c r="B2156" s="1">
        <v>45750</v>
      </c>
      <c r="C2156" s="4">
        <f>MONTH(datos_ventas[[#This Row],[Fecha]])</f>
        <v>4</v>
      </c>
      <c r="D2156" s="4">
        <f>WEEKNUM(datos_ventas[[#This Row],[Fecha]],2)</f>
        <v>14</v>
      </c>
      <c r="E2156" t="s">
        <v>24</v>
      </c>
      <c r="F2156" t="s">
        <v>25</v>
      </c>
      <c r="G2156">
        <v>4</v>
      </c>
      <c r="H2156">
        <v>94723</v>
      </c>
      <c r="I2156">
        <v>3499</v>
      </c>
      <c r="J2156" t="s">
        <v>14</v>
      </c>
      <c r="K2156" t="str">
        <f>_xlfn.XLOOKUP(datos_ventas[[#This Row],[Ciudad]],Tabla2[Ciudades],Tabla2[Provincias],"no se encuentra")</f>
        <v>Madrid</v>
      </c>
      <c r="L2156" t="str">
        <f>_xlfn.XLOOKUP(datos_ventas[[#This Row],[Provincia]],Tabla2[Provincias],Tabla2[Comunidades],"no se encuentra")</f>
        <v>Comunidad de Madrid</v>
      </c>
      <c r="M2156" t="s">
        <v>19</v>
      </c>
      <c r="N2156">
        <v>4</v>
      </c>
    </row>
    <row r="2157" spans="1:14" x14ac:dyDescent="0.25">
      <c r="A2157">
        <v>3156</v>
      </c>
      <c r="B2157" s="1">
        <v>45944</v>
      </c>
      <c r="C2157" s="4">
        <f>MONTH(datos_ventas[[#This Row],[Fecha]])</f>
        <v>10</v>
      </c>
      <c r="D2157" s="4">
        <f>WEEKNUM(datos_ventas[[#This Row],[Fecha]],2)</f>
        <v>42</v>
      </c>
      <c r="E2157" t="s">
        <v>10</v>
      </c>
      <c r="F2157" t="s">
        <v>11</v>
      </c>
      <c r="G2157">
        <v>3</v>
      </c>
      <c r="H2157">
        <v>7039</v>
      </c>
      <c r="I2157">
        <v>543</v>
      </c>
      <c r="J2157" t="s">
        <v>14</v>
      </c>
      <c r="K2157" t="str">
        <f>_xlfn.XLOOKUP(datos_ventas[[#This Row],[Ciudad]],Tabla2[Ciudades],Tabla2[Provincias],"no se encuentra")</f>
        <v>Madrid</v>
      </c>
      <c r="L2157" t="str">
        <f>_xlfn.XLOOKUP(datos_ventas[[#This Row],[Provincia]],Tabla2[Provincias],Tabla2[Comunidades],"no se encuentra")</f>
        <v>Comunidad de Madrid</v>
      </c>
      <c r="M2157" t="s">
        <v>15</v>
      </c>
      <c r="N2157">
        <v>4</v>
      </c>
    </row>
    <row r="2158" spans="1:14" x14ac:dyDescent="0.25">
      <c r="A2158">
        <v>3157</v>
      </c>
      <c r="B2158" s="1">
        <v>45808</v>
      </c>
      <c r="C2158" s="4">
        <f>MONTH(datos_ventas[[#This Row],[Fecha]])</f>
        <v>5</v>
      </c>
      <c r="D2158" s="4">
        <f>WEEKNUM(datos_ventas[[#This Row],[Fecha]],2)</f>
        <v>22</v>
      </c>
      <c r="E2158" t="s">
        <v>23</v>
      </c>
      <c r="F2158" t="s">
        <v>18</v>
      </c>
      <c r="G2158">
        <v>1</v>
      </c>
      <c r="H2158">
        <v>33481</v>
      </c>
      <c r="I2158">
        <v>2091</v>
      </c>
      <c r="J2158" t="s">
        <v>22</v>
      </c>
      <c r="K2158" t="str">
        <f>_xlfn.XLOOKUP(datos_ventas[[#This Row],[Ciudad]],Tabla2[Ciudades],Tabla2[Provincias],"no se encuentra")</f>
        <v>Valencia</v>
      </c>
      <c r="L2158" t="str">
        <f>_xlfn.XLOOKUP(datos_ventas[[#This Row],[Provincia]],Tabla2[Provincias],Tabla2[Comunidades],"no se encuentra")</f>
        <v>Comunidad Valenciana</v>
      </c>
      <c r="M2158" t="s">
        <v>28</v>
      </c>
      <c r="N2158">
        <v>2</v>
      </c>
    </row>
    <row r="2159" spans="1:14" x14ac:dyDescent="0.25">
      <c r="A2159">
        <v>3158</v>
      </c>
      <c r="B2159" s="1">
        <v>45867</v>
      </c>
      <c r="C2159" s="4">
        <f>MONTH(datos_ventas[[#This Row],[Fecha]])</f>
        <v>7</v>
      </c>
      <c r="D2159" s="4">
        <f>WEEKNUM(datos_ventas[[#This Row],[Fecha]],2)</f>
        <v>31</v>
      </c>
      <c r="E2159" t="s">
        <v>29</v>
      </c>
      <c r="F2159" t="s">
        <v>30</v>
      </c>
      <c r="G2159">
        <v>5</v>
      </c>
      <c r="H2159">
        <v>68433</v>
      </c>
      <c r="I2159">
        <v>2714</v>
      </c>
      <c r="J2159" t="s">
        <v>22</v>
      </c>
      <c r="K2159" t="str">
        <f>_xlfn.XLOOKUP(datos_ventas[[#This Row],[Ciudad]],Tabla2[Ciudades],Tabla2[Provincias],"no se encuentra")</f>
        <v>Valencia</v>
      </c>
      <c r="L2159" t="str">
        <f>_xlfn.XLOOKUP(datos_ventas[[#This Row],[Provincia]],Tabla2[Provincias],Tabla2[Comunidades],"no se encuentra")</f>
        <v>Comunidad Valenciana</v>
      </c>
      <c r="M2159" t="s">
        <v>19</v>
      </c>
      <c r="N2159">
        <v>1</v>
      </c>
    </row>
    <row r="2160" spans="1:14" x14ac:dyDescent="0.25">
      <c r="A2160">
        <v>3159</v>
      </c>
      <c r="B2160" s="1">
        <v>45926</v>
      </c>
      <c r="C2160" s="4">
        <f>MONTH(datos_ventas[[#This Row],[Fecha]])</f>
        <v>9</v>
      </c>
      <c r="D2160" s="4">
        <f>WEEKNUM(datos_ventas[[#This Row],[Fecha]],2)</f>
        <v>39</v>
      </c>
      <c r="E2160" t="s">
        <v>20</v>
      </c>
      <c r="F2160" t="s">
        <v>21</v>
      </c>
      <c r="G2160">
        <v>1</v>
      </c>
      <c r="H2160">
        <v>4154</v>
      </c>
      <c r="I2160">
        <v>1315</v>
      </c>
      <c r="J2160" t="s">
        <v>31</v>
      </c>
      <c r="K2160" t="str">
        <f>_xlfn.XLOOKUP(datos_ventas[[#This Row],[Ciudad]],Tabla2[Ciudades],Tabla2[Provincias],"no se encuentra")</f>
        <v>Vizcaya</v>
      </c>
      <c r="L2160" t="str">
        <f>_xlfn.XLOOKUP(datos_ventas[[#This Row],[Provincia]],Tabla2[Provincias],Tabla2[Comunidades],"no se encuentra")</f>
        <v>País Vasco</v>
      </c>
      <c r="M2160" t="s">
        <v>28</v>
      </c>
      <c r="N2160">
        <v>3</v>
      </c>
    </row>
    <row r="2161" spans="1:14" x14ac:dyDescent="0.25">
      <c r="A2161">
        <v>3160</v>
      </c>
      <c r="B2161" s="1">
        <v>45970</v>
      </c>
      <c r="C2161" s="4">
        <f>MONTH(datos_ventas[[#This Row],[Fecha]])</f>
        <v>11</v>
      </c>
      <c r="D2161" s="4">
        <f>WEEKNUM(datos_ventas[[#This Row],[Fecha]],2)</f>
        <v>45</v>
      </c>
      <c r="E2161" t="s">
        <v>17</v>
      </c>
      <c r="F2161" t="s">
        <v>18</v>
      </c>
      <c r="G2161">
        <v>5</v>
      </c>
      <c r="H2161">
        <v>63956</v>
      </c>
      <c r="I2161">
        <v>4354</v>
      </c>
      <c r="J2161" t="s">
        <v>22</v>
      </c>
      <c r="K2161" t="str">
        <f>_xlfn.XLOOKUP(datos_ventas[[#This Row],[Ciudad]],Tabla2[Ciudades],Tabla2[Provincias],"no se encuentra")</f>
        <v>Valencia</v>
      </c>
      <c r="L2161" t="str">
        <f>_xlfn.XLOOKUP(datos_ventas[[#This Row],[Provincia]],Tabla2[Provincias],Tabla2[Comunidades],"no se encuentra")</f>
        <v>Comunidad Valenciana</v>
      </c>
      <c r="M2161" t="s">
        <v>19</v>
      </c>
      <c r="N2161">
        <v>4</v>
      </c>
    </row>
    <row r="2162" spans="1:14" x14ac:dyDescent="0.25">
      <c r="A2162">
        <v>3161</v>
      </c>
      <c r="B2162" s="1">
        <v>45840</v>
      </c>
      <c r="C2162" s="4">
        <f>MONTH(datos_ventas[[#This Row],[Fecha]])</f>
        <v>7</v>
      </c>
      <c r="D2162" s="4">
        <f>WEEKNUM(datos_ventas[[#This Row],[Fecha]],2)</f>
        <v>27</v>
      </c>
      <c r="E2162" t="s">
        <v>20</v>
      </c>
      <c r="F2162" t="s">
        <v>21</v>
      </c>
      <c r="G2162">
        <v>5</v>
      </c>
      <c r="H2162">
        <v>49721</v>
      </c>
      <c r="I2162">
        <v>4672</v>
      </c>
      <c r="J2162" t="s">
        <v>27</v>
      </c>
      <c r="K2162" t="str">
        <f>_xlfn.XLOOKUP(datos_ventas[[#This Row],[Ciudad]],Tabla2[Ciudades],Tabla2[Provincias],"no se encuentra")</f>
        <v>Sevilla</v>
      </c>
      <c r="L2162" t="str">
        <f>_xlfn.XLOOKUP(datos_ventas[[#This Row],[Provincia]],Tabla2[Provincias],Tabla2[Comunidades],"no se encuentra")</f>
        <v>Andalucía</v>
      </c>
      <c r="M2162" t="s">
        <v>15</v>
      </c>
      <c r="N2162">
        <v>2</v>
      </c>
    </row>
    <row r="2163" spans="1:14" x14ac:dyDescent="0.25">
      <c r="A2163">
        <v>3162</v>
      </c>
      <c r="B2163" s="1">
        <v>45734</v>
      </c>
      <c r="C2163" s="4">
        <f>MONTH(datos_ventas[[#This Row],[Fecha]])</f>
        <v>3</v>
      </c>
      <c r="D2163" s="4">
        <f>WEEKNUM(datos_ventas[[#This Row],[Fecha]],2)</f>
        <v>12</v>
      </c>
      <c r="E2163" t="s">
        <v>26</v>
      </c>
      <c r="F2163" t="s">
        <v>18</v>
      </c>
      <c r="G2163">
        <v>2</v>
      </c>
      <c r="H2163">
        <v>109493</v>
      </c>
      <c r="I2163">
        <v>824</v>
      </c>
      <c r="J2163" t="s">
        <v>22</v>
      </c>
      <c r="K2163" t="str">
        <f>_xlfn.XLOOKUP(datos_ventas[[#This Row],[Ciudad]],Tabla2[Ciudades],Tabla2[Provincias],"no se encuentra")</f>
        <v>Valencia</v>
      </c>
      <c r="L2163" t="str">
        <f>_xlfn.XLOOKUP(datos_ventas[[#This Row],[Provincia]],Tabla2[Provincias],Tabla2[Comunidades],"no se encuentra")</f>
        <v>Comunidad Valenciana</v>
      </c>
      <c r="M2163" t="s">
        <v>15</v>
      </c>
      <c r="N2163">
        <v>2</v>
      </c>
    </row>
    <row r="2164" spans="1:14" x14ac:dyDescent="0.25">
      <c r="A2164">
        <v>3163</v>
      </c>
      <c r="B2164" s="1">
        <v>45770</v>
      </c>
      <c r="C2164" s="4">
        <f>MONTH(datos_ventas[[#This Row],[Fecha]])</f>
        <v>4</v>
      </c>
      <c r="D2164" s="4">
        <f>WEEKNUM(datos_ventas[[#This Row],[Fecha]],2)</f>
        <v>17</v>
      </c>
      <c r="E2164" t="s">
        <v>26</v>
      </c>
      <c r="F2164" t="s">
        <v>18</v>
      </c>
      <c r="G2164">
        <v>1</v>
      </c>
      <c r="H2164">
        <v>20114</v>
      </c>
      <c r="I2164">
        <v>2759</v>
      </c>
      <c r="J2164" t="s">
        <v>31</v>
      </c>
      <c r="K2164" t="str">
        <f>_xlfn.XLOOKUP(datos_ventas[[#This Row],[Ciudad]],Tabla2[Ciudades],Tabla2[Provincias],"no se encuentra")</f>
        <v>Vizcaya</v>
      </c>
      <c r="L2164" t="str">
        <f>_xlfn.XLOOKUP(datos_ventas[[#This Row],[Provincia]],Tabla2[Provincias],Tabla2[Comunidades],"no se encuentra")</f>
        <v>País Vasco</v>
      </c>
      <c r="M2164" t="s">
        <v>19</v>
      </c>
      <c r="N2164">
        <v>5</v>
      </c>
    </row>
    <row r="2165" spans="1:14" x14ac:dyDescent="0.25">
      <c r="A2165">
        <v>3164</v>
      </c>
      <c r="B2165" s="1">
        <v>46007</v>
      </c>
      <c r="C2165" s="4">
        <f>MONTH(datos_ventas[[#This Row],[Fecha]])</f>
        <v>12</v>
      </c>
      <c r="D2165" s="4">
        <f>WEEKNUM(datos_ventas[[#This Row],[Fecha]],2)</f>
        <v>51</v>
      </c>
      <c r="E2165" t="s">
        <v>26</v>
      </c>
      <c r="F2165" t="s">
        <v>18</v>
      </c>
      <c r="G2165">
        <v>5</v>
      </c>
      <c r="H2165">
        <v>10818</v>
      </c>
      <c r="I2165">
        <v>356</v>
      </c>
      <c r="J2165" t="s">
        <v>14</v>
      </c>
      <c r="K2165" t="str">
        <f>_xlfn.XLOOKUP(datos_ventas[[#This Row],[Ciudad]],Tabla2[Ciudades],Tabla2[Provincias],"no se encuentra")</f>
        <v>Madrid</v>
      </c>
      <c r="L2165" t="str">
        <f>_xlfn.XLOOKUP(datos_ventas[[#This Row],[Provincia]],Tabla2[Provincias],Tabla2[Comunidades],"no se encuentra")</f>
        <v>Comunidad de Madrid</v>
      </c>
      <c r="M2165" t="s">
        <v>28</v>
      </c>
      <c r="N2165">
        <v>1</v>
      </c>
    </row>
    <row r="2166" spans="1:14" x14ac:dyDescent="0.25">
      <c r="A2166">
        <v>3165</v>
      </c>
      <c r="B2166" s="1">
        <v>45669</v>
      </c>
      <c r="C2166" s="4">
        <f>MONTH(datos_ventas[[#This Row],[Fecha]])</f>
        <v>1</v>
      </c>
      <c r="D2166" s="4">
        <f>WEEKNUM(datos_ventas[[#This Row],[Fecha]],2)</f>
        <v>2</v>
      </c>
      <c r="E2166" t="s">
        <v>24</v>
      </c>
      <c r="F2166" t="s">
        <v>25</v>
      </c>
      <c r="G2166">
        <v>3</v>
      </c>
      <c r="H2166">
        <v>52928</v>
      </c>
      <c r="I2166">
        <v>1347</v>
      </c>
      <c r="J2166" t="s">
        <v>31</v>
      </c>
      <c r="K2166" t="str">
        <f>_xlfn.XLOOKUP(datos_ventas[[#This Row],[Ciudad]],Tabla2[Ciudades],Tabla2[Provincias],"no se encuentra")</f>
        <v>Vizcaya</v>
      </c>
      <c r="L2166" t="str">
        <f>_xlfn.XLOOKUP(datos_ventas[[#This Row],[Provincia]],Tabla2[Provincias],Tabla2[Comunidades],"no se encuentra")</f>
        <v>País Vasco</v>
      </c>
      <c r="M2166" t="s">
        <v>13</v>
      </c>
      <c r="N2166">
        <v>4</v>
      </c>
    </row>
    <row r="2167" spans="1:14" x14ac:dyDescent="0.25">
      <c r="A2167">
        <v>3166</v>
      </c>
      <c r="B2167" s="1">
        <v>45738</v>
      </c>
      <c r="C2167" s="4">
        <f>MONTH(datos_ventas[[#This Row],[Fecha]])</f>
        <v>3</v>
      </c>
      <c r="D2167" s="4">
        <f>WEEKNUM(datos_ventas[[#This Row],[Fecha]],2)</f>
        <v>12</v>
      </c>
      <c r="E2167" t="s">
        <v>24</v>
      </c>
      <c r="F2167" t="s">
        <v>25</v>
      </c>
      <c r="G2167">
        <v>4</v>
      </c>
      <c r="H2167">
        <v>80809</v>
      </c>
      <c r="I2167">
        <v>2204</v>
      </c>
      <c r="J2167" t="s">
        <v>27</v>
      </c>
      <c r="K2167" t="str">
        <f>_xlfn.XLOOKUP(datos_ventas[[#This Row],[Ciudad]],Tabla2[Ciudades],Tabla2[Provincias],"no se encuentra")</f>
        <v>Sevilla</v>
      </c>
      <c r="L2167" t="str">
        <f>_xlfn.XLOOKUP(datos_ventas[[#This Row],[Provincia]],Tabla2[Provincias],Tabla2[Comunidades],"no se encuentra")</f>
        <v>Andalucía</v>
      </c>
      <c r="M2167" t="s">
        <v>13</v>
      </c>
      <c r="N2167">
        <v>1</v>
      </c>
    </row>
    <row r="2168" spans="1:14" x14ac:dyDescent="0.25">
      <c r="A2168">
        <v>3167</v>
      </c>
      <c r="B2168" s="1">
        <v>45806</v>
      </c>
      <c r="C2168" s="4">
        <f>MONTH(datos_ventas[[#This Row],[Fecha]])</f>
        <v>5</v>
      </c>
      <c r="D2168" s="4">
        <f>WEEKNUM(datos_ventas[[#This Row],[Fecha]],2)</f>
        <v>22</v>
      </c>
      <c r="E2168" t="s">
        <v>24</v>
      </c>
      <c r="F2168" t="s">
        <v>25</v>
      </c>
      <c r="G2168">
        <v>2</v>
      </c>
      <c r="H2168">
        <v>62392</v>
      </c>
      <c r="I2168">
        <v>1275</v>
      </c>
      <c r="J2168" t="s">
        <v>22</v>
      </c>
      <c r="K2168" t="str">
        <f>_xlfn.XLOOKUP(datos_ventas[[#This Row],[Ciudad]],Tabla2[Ciudades],Tabla2[Provincias],"no se encuentra")</f>
        <v>Valencia</v>
      </c>
      <c r="L2168" t="str">
        <f>_xlfn.XLOOKUP(datos_ventas[[#This Row],[Provincia]],Tabla2[Provincias],Tabla2[Comunidades],"no se encuentra")</f>
        <v>Comunidad Valenciana</v>
      </c>
      <c r="M2168" t="s">
        <v>19</v>
      </c>
      <c r="N2168">
        <v>2</v>
      </c>
    </row>
    <row r="2169" spans="1:14" x14ac:dyDescent="0.25">
      <c r="A2169">
        <v>3168</v>
      </c>
      <c r="B2169" s="1">
        <v>45707</v>
      </c>
      <c r="C2169" s="4">
        <f>MONTH(datos_ventas[[#This Row],[Fecha]])</f>
        <v>2</v>
      </c>
      <c r="D2169" s="4">
        <f>WEEKNUM(datos_ventas[[#This Row],[Fecha]],2)</f>
        <v>8</v>
      </c>
      <c r="E2169" t="s">
        <v>17</v>
      </c>
      <c r="F2169" t="s">
        <v>18</v>
      </c>
      <c r="G2169">
        <v>5</v>
      </c>
      <c r="H2169">
        <v>100592</v>
      </c>
      <c r="I2169">
        <v>2808</v>
      </c>
      <c r="J2169" t="s">
        <v>22</v>
      </c>
      <c r="K2169" t="str">
        <f>_xlfn.XLOOKUP(datos_ventas[[#This Row],[Ciudad]],Tabla2[Ciudades],Tabla2[Provincias],"no se encuentra")</f>
        <v>Valencia</v>
      </c>
      <c r="L2169" t="str">
        <f>_xlfn.XLOOKUP(datos_ventas[[#This Row],[Provincia]],Tabla2[Provincias],Tabla2[Comunidades],"no se encuentra")</f>
        <v>Comunidad Valenciana</v>
      </c>
      <c r="M2169" t="s">
        <v>13</v>
      </c>
      <c r="N2169">
        <v>4</v>
      </c>
    </row>
    <row r="2170" spans="1:14" x14ac:dyDescent="0.25">
      <c r="A2170">
        <v>3169</v>
      </c>
      <c r="B2170" s="1">
        <v>45829</v>
      </c>
      <c r="C2170" s="4">
        <f>MONTH(datos_ventas[[#This Row],[Fecha]])</f>
        <v>6</v>
      </c>
      <c r="D2170" s="4">
        <f>WEEKNUM(datos_ventas[[#This Row],[Fecha]],2)</f>
        <v>25</v>
      </c>
      <c r="E2170" t="s">
        <v>16</v>
      </c>
      <c r="F2170" t="s">
        <v>11</v>
      </c>
      <c r="G2170">
        <v>1</v>
      </c>
      <c r="H2170">
        <v>8453</v>
      </c>
      <c r="I2170">
        <v>1422</v>
      </c>
      <c r="J2170" t="s">
        <v>22</v>
      </c>
      <c r="K2170" t="str">
        <f>_xlfn.XLOOKUP(datos_ventas[[#This Row],[Ciudad]],Tabla2[Ciudades],Tabla2[Provincias],"no se encuentra")</f>
        <v>Valencia</v>
      </c>
      <c r="L2170" t="str">
        <f>_xlfn.XLOOKUP(datos_ventas[[#This Row],[Provincia]],Tabla2[Provincias],Tabla2[Comunidades],"no se encuentra")</f>
        <v>Comunidad Valenciana</v>
      </c>
      <c r="M2170" t="s">
        <v>19</v>
      </c>
      <c r="N2170">
        <v>1</v>
      </c>
    </row>
    <row r="2171" spans="1:14" x14ac:dyDescent="0.25">
      <c r="A2171">
        <v>3170</v>
      </c>
      <c r="B2171" s="1">
        <v>45824</v>
      </c>
      <c r="C2171" s="4">
        <f>MONTH(datos_ventas[[#This Row],[Fecha]])</f>
        <v>6</v>
      </c>
      <c r="D2171" s="4">
        <f>WEEKNUM(datos_ventas[[#This Row],[Fecha]],2)</f>
        <v>25</v>
      </c>
      <c r="E2171" t="s">
        <v>29</v>
      </c>
      <c r="F2171" t="s">
        <v>30</v>
      </c>
      <c r="G2171">
        <v>3</v>
      </c>
      <c r="H2171">
        <v>67223</v>
      </c>
      <c r="I2171">
        <v>571</v>
      </c>
      <c r="J2171" t="s">
        <v>27</v>
      </c>
      <c r="K2171" t="str">
        <f>_xlfn.XLOOKUP(datos_ventas[[#This Row],[Ciudad]],Tabla2[Ciudades],Tabla2[Provincias],"no se encuentra")</f>
        <v>Sevilla</v>
      </c>
      <c r="L2171" t="str">
        <f>_xlfn.XLOOKUP(datos_ventas[[#This Row],[Provincia]],Tabla2[Provincias],Tabla2[Comunidades],"no se encuentra")</f>
        <v>Andalucía</v>
      </c>
      <c r="M2171" t="s">
        <v>15</v>
      </c>
      <c r="N2171">
        <v>3</v>
      </c>
    </row>
    <row r="2172" spans="1:14" x14ac:dyDescent="0.25">
      <c r="A2172">
        <v>3171</v>
      </c>
      <c r="B2172" s="1">
        <v>45917</v>
      </c>
      <c r="C2172" s="4">
        <f>MONTH(datos_ventas[[#This Row],[Fecha]])</f>
        <v>9</v>
      </c>
      <c r="D2172" s="4">
        <f>WEEKNUM(datos_ventas[[#This Row],[Fecha]],2)</f>
        <v>38</v>
      </c>
      <c r="E2172" t="s">
        <v>16</v>
      </c>
      <c r="F2172" t="s">
        <v>11</v>
      </c>
      <c r="G2172">
        <v>3</v>
      </c>
      <c r="H2172">
        <v>115403</v>
      </c>
      <c r="I2172">
        <v>1866</v>
      </c>
      <c r="J2172" t="s">
        <v>22</v>
      </c>
      <c r="K2172" t="str">
        <f>_xlfn.XLOOKUP(datos_ventas[[#This Row],[Ciudad]],Tabla2[Ciudades],Tabla2[Provincias],"no se encuentra")</f>
        <v>Valencia</v>
      </c>
      <c r="L2172" t="str">
        <f>_xlfn.XLOOKUP(datos_ventas[[#This Row],[Provincia]],Tabla2[Provincias],Tabla2[Comunidades],"no se encuentra")</f>
        <v>Comunidad Valenciana</v>
      </c>
      <c r="M2172" t="s">
        <v>13</v>
      </c>
      <c r="N2172">
        <v>4</v>
      </c>
    </row>
    <row r="2173" spans="1:14" x14ac:dyDescent="0.25">
      <c r="A2173">
        <v>3172</v>
      </c>
      <c r="B2173" s="1">
        <v>45925</v>
      </c>
      <c r="C2173" s="4">
        <f>MONTH(datos_ventas[[#This Row],[Fecha]])</f>
        <v>9</v>
      </c>
      <c r="D2173" s="4">
        <f>WEEKNUM(datos_ventas[[#This Row],[Fecha]],2)</f>
        <v>39</v>
      </c>
      <c r="E2173" t="s">
        <v>29</v>
      </c>
      <c r="F2173" t="s">
        <v>30</v>
      </c>
      <c r="G2173">
        <v>5</v>
      </c>
      <c r="H2173">
        <v>2412</v>
      </c>
      <c r="I2173">
        <v>1217</v>
      </c>
      <c r="J2173" t="s">
        <v>31</v>
      </c>
      <c r="K2173" t="str">
        <f>_xlfn.XLOOKUP(datos_ventas[[#This Row],[Ciudad]],Tabla2[Ciudades],Tabla2[Provincias],"no se encuentra")</f>
        <v>Vizcaya</v>
      </c>
      <c r="L2173" t="str">
        <f>_xlfn.XLOOKUP(datos_ventas[[#This Row],[Provincia]],Tabla2[Provincias],Tabla2[Comunidades],"no se encuentra")</f>
        <v>País Vasco</v>
      </c>
      <c r="M2173" t="s">
        <v>15</v>
      </c>
      <c r="N2173">
        <v>5</v>
      </c>
    </row>
    <row r="2174" spans="1:14" x14ac:dyDescent="0.25">
      <c r="A2174">
        <v>3173</v>
      </c>
      <c r="B2174" s="1">
        <v>45850</v>
      </c>
      <c r="C2174" s="4">
        <f>MONTH(datos_ventas[[#This Row],[Fecha]])</f>
        <v>7</v>
      </c>
      <c r="D2174" s="4">
        <f>WEEKNUM(datos_ventas[[#This Row],[Fecha]],2)</f>
        <v>28</v>
      </c>
      <c r="E2174" t="s">
        <v>24</v>
      </c>
      <c r="F2174" t="s">
        <v>25</v>
      </c>
      <c r="G2174">
        <v>2</v>
      </c>
      <c r="H2174">
        <v>91461</v>
      </c>
      <c r="I2174">
        <v>1841</v>
      </c>
      <c r="J2174" t="s">
        <v>22</v>
      </c>
      <c r="K2174" t="str">
        <f>_xlfn.XLOOKUP(datos_ventas[[#This Row],[Ciudad]],Tabla2[Ciudades],Tabla2[Provincias],"no se encuentra")</f>
        <v>Valencia</v>
      </c>
      <c r="L2174" t="str">
        <f>_xlfn.XLOOKUP(datos_ventas[[#This Row],[Provincia]],Tabla2[Provincias],Tabla2[Comunidades],"no se encuentra")</f>
        <v>Comunidad Valenciana</v>
      </c>
      <c r="M2174" t="s">
        <v>28</v>
      </c>
      <c r="N2174">
        <v>2</v>
      </c>
    </row>
    <row r="2175" spans="1:14" x14ac:dyDescent="0.25">
      <c r="A2175">
        <v>3174</v>
      </c>
      <c r="B2175" s="1">
        <v>46006</v>
      </c>
      <c r="C2175" s="4">
        <f>MONTH(datos_ventas[[#This Row],[Fecha]])</f>
        <v>12</v>
      </c>
      <c r="D2175" s="4">
        <f>WEEKNUM(datos_ventas[[#This Row],[Fecha]],2)</f>
        <v>51</v>
      </c>
      <c r="E2175" t="s">
        <v>16</v>
      </c>
      <c r="F2175" t="s">
        <v>11</v>
      </c>
      <c r="G2175">
        <v>5</v>
      </c>
      <c r="H2175">
        <v>106363</v>
      </c>
      <c r="I2175">
        <v>454</v>
      </c>
      <c r="J2175" t="s">
        <v>31</v>
      </c>
      <c r="K2175" t="str">
        <f>_xlfn.XLOOKUP(datos_ventas[[#This Row],[Ciudad]],Tabla2[Ciudades],Tabla2[Provincias],"no se encuentra")</f>
        <v>Vizcaya</v>
      </c>
      <c r="L2175" t="str">
        <f>_xlfn.XLOOKUP(datos_ventas[[#This Row],[Provincia]],Tabla2[Provincias],Tabla2[Comunidades],"no se encuentra")</f>
        <v>País Vasco</v>
      </c>
      <c r="M2175" t="s">
        <v>28</v>
      </c>
      <c r="N2175">
        <v>4</v>
      </c>
    </row>
    <row r="2176" spans="1:14" x14ac:dyDescent="0.25">
      <c r="A2176">
        <v>3175</v>
      </c>
      <c r="B2176" s="1">
        <v>45709</v>
      </c>
      <c r="C2176" s="4">
        <f>MONTH(datos_ventas[[#This Row],[Fecha]])</f>
        <v>2</v>
      </c>
      <c r="D2176" s="4">
        <f>WEEKNUM(datos_ventas[[#This Row],[Fecha]],2)</f>
        <v>8</v>
      </c>
      <c r="E2176" t="s">
        <v>16</v>
      </c>
      <c r="F2176" t="s">
        <v>11</v>
      </c>
      <c r="G2176">
        <v>3</v>
      </c>
      <c r="H2176">
        <v>77942</v>
      </c>
      <c r="I2176">
        <v>1093</v>
      </c>
      <c r="J2176" t="s">
        <v>32</v>
      </c>
      <c r="K2176" t="str">
        <f>_xlfn.XLOOKUP(datos_ventas[[#This Row],[Ciudad]],Tabla2[Ciudades],Tabla2[Provincias],"no se encuentra")</f>
        <v>Barcelona</v>
      </c>
      <c r="L2176" t="str">
        <f>_xlfn.XLOOKUP(datos_ventas[[#This Row],[Provincia]],Tabla2[Provincias],Tabla2[Comunidades],"no se encuentra")</f>
        <v>Cataluña</v>
      </c>
      <c r="M2176" t="s">
        <v>15</v>
      </c>
      <c r="N2176">
        <v>4</v>
      </c>
    </row>
    <row r="2177" spans="1:14" x14ac:dyDescent="0.25">
      <c r="A2177">
        <v>3176</v>
      </c>
      <c r="B2177" s="1">
        <v>45690</v>
      </c>
      <c r="C2177" s="4">
        <f>MONTH(datos_ventas[[#This Row],[Fecha]])</f>
        <v>2</v>
      </c>
      <c r="D2177" s="4">
        <f>WEEKNUM(datos_ventas[[#This Row],[Fecha]],2)</f>
        <v>5</v>
      </c>
      <c r="E2177" t="s">
        <v>17</v>
      </c>
      <c r="F2177" t="s">
        <v>18</v>
      </c>
      <c r="G2177">
        <v>4</v>
      </c>
      <c r="H2177">
        <v>69225</v>
      </c>
      <c r="I2177">
        <v>675</v>
      </c>
      <c r="J2177" t="s">
        <v>22</v>
      </c>
      <c r="K2177" t="str">
        <f>_xlfn.XLOOKUP(datos_ventas[[#This Row],[Ciudad]],Tabla2[Ciudades],Tabla2[Provincias],"no se encuentra")</f>
        <v>Valencia</v>
      </c>
      <c r="L2177" t="str">
        <f>_xlfn.XLOOKUP(datos_ventas[[#This Row],[Provincia]],Tabla2[Provincias],Tabla2[Comunidades],"no se encuentra")</f>
        <v>Comunidad Valenciana</v>
      </c>
      <c r="M2177" t="s">
        <v>13</v>
      </c>
      <c r="N2177">
        <v>2</v>
      </c>
    </row>
    <row r="2178" spans="1:14" x14ac:dyDescent="0.25">
      <c r="A2178">
        <v>3177</v>
      </c>
      <c r="B2178" s="1">
        <v>45872</v>
      </c>
      <c r="C2178" s="4">
        <f>MONTH(datos_ventas[[#This Row],[Fecha]])</f>
        <v>8</v>
      </c>
      <c r="D2178" s="4">
        <f>WEEKNUM(datos_ventas[[#This Row],[Fecha]],2)</f>
        <v>31</v>
      </c>
      <c r="E2178" t="s">
        <v>24</v>
      </c>
      <c r="F2178" t="s">
        <v>25</v>
      </c>
      <c r="G2178">
        <v>3</v>
      </c>
      <c r="H2178">
        <v>83767</v>
      </c>
      <c r="I2178">
        <v>3133</v>
      </c>
      <c r="J2178" t="s">
        <v>14</v>
      </c>
      <c r="K2178" t="str">
        <f>_xlfn.XLOOKUP(datos_ventas[[#This Row],[Ciudad]],Tabla2[Ciudades],Tabla2[Provincias],"no se encuentra")</f>
        <v>Madrid</v>
      </c>
      <c r="L2178" t="str">
        <f>_xlfn.XLOOKUP(datos_ventas[[#This Row],[Provincia]],Tabla2[Provincias],Tabla2[Comunidades],"no se encuentra")</f>
        <v>Comunidad de Madrid</v>
      </c>
      <c r="M2178" t="s">
        <v>15</v>
      </c>
      <c r="N2178">
        <v>5</v>
      </c>
    </row>
    <row r="2179" spans="1:14" x14ac:dyDescent="0.25">
      <c r="A2179">
        <v>3178</v>
      </c>
      <c r="B2179" s="1">
        <v>45776</v>
      </c>
      <c r="C2179" s="4">
        <f>MONTH(datos_ventas[[#This Row],[Fecha]])</f>
        <v>4</v>
      </c>
      <c r="D2179" s="4">
        <f>WEEKNUM(datos_ventas[[#This Row],[Fecha]],2)</f>
        <v>18</v>
      </c>
      <c r="E2179" t="s">
        <v>20</v>
      </c>
      <c r="F2179" t="s">
        <v>21</v>
      </c>
      <c r="G2179">
        <v>3</v>
      </c>
      <c r="H2179">
        <v>7110</v>
      </c>
      <c r="I2179">
        <v>1571</v>
      </c>
      <c r="J2179" t="s">
        <v>32</v>
      </c>
      <c r="K2179" t="str">
        <f>_xlfn.XLOOKUP(datos_ventas[[#This Row],[Ciudad]],Tabla2[Ciudades],Tabla2[Provincias],"no se encuentra")</f>
        <v>Barcelona</v>
      </c>
      <c r="L2179" t="str">
        <f>_xlfn.XLOOKUP(datos_ventas[[#This Row],[Provincia]],Tabla2[Provincias],Tabla2[Comunidades],"no se encuentra")</f>
        <v>Cataluña</v>
      </c>
      <c r="M2179" t="s">
        <v>19</v>
      </c>
      <c r="N2179">
        <v>1</v>
      </c>
    </row>
    <row r="2180" spans="1:14" x14ac:dyDescent="0.25">
      <c r="A2180">
        <v>3179</v>
      </c>
      <c r="B2180" s="1">
        <v>45840</v>
      </c>
      <c r="C2180" s="4">
        <f>MONTH(datos_ventas[[#This Row],[Fecha]])</f>
        <v>7</v>
      </c>
      <c r="D2180" s="4">
        <f>WEEKNUM(datos_ventas[[#This Row],[Fecha]],2)</f>
        <v>27</v>
      </c>
      <c r="E2180" t="s">
        <v>26</v>
      </c>
      <c r="F2180" t="s">
        <v>18</v>
      </c>
      <c r="G2180">
        <v>5</v>
      </c>
      <c r="H2180">
        <v>75758</v>
      </c>
      <c r="I2180">
        <v>1956</v>
      </c>
      <c r="J2180" t="s">
        <v>22</v>
      </c>
      <c r="K2180" t="str">
        <f>_xlfn.XLOOKUP(datos_ventas[[#This Row],[Ciudad]],Tabla2[Ciudades],Tabla2[Provincias],"no se encuentra")</f>
        <v>Valencia</v>
      </c>
      <c r="L2180" t="str">
        <f>_xlfn.XLOOKUP(datos_ventas[[#This Row],[Provincia]],Tabla2[Provincias],Tabla2[Comunidades],"no se encuentra")</f>
        <v>Comunidad Valenciana</v>
      </c>
      <c r="M2180" t="s">
        <v>28</v>
      </c>
      <c r="N2180">
        <v>4</v>
      </c>
    </row>
    <row r="2181" spans="1:14" x14ac:dyDescent="0.25">
      <c r="A2181">
        <v>3180</v>
      </c>
      <c r="B2181" s="1">
        <v>45951</v>
      </c>
      <c r="C2181" s="4">
        <f>MONTH(datos_ventas[[#This Row],[Fecha]])</f>
        <v>10</v>
      </c>
      <c r="D2181" s="4">
        <f>WEEKNUM(datos_ventas[[#This Row],[Fecha]],2)</f>
        <v>43</v>
      </c>
      <c r="E2181" t="s">
        <v>17</v>
      </c>
      <c r="F2181" t="s">
        <v>18</v>
      </c>
      <c r="G2181">
        <v>4</v>
      </c>
      <c r="H2181">
        <v>31504</v>
      </c>
      <c r="I2181">
        <v>1031</v>
      </c>
      <c r="J2181" t="s">
        <v>22</v>
      </c>
      <c r="K2181" t="str">
        <f>_xlfn.XLOOKUP(datos_ventas[[#This Row],[Ciudad]],Tabla2[Ciudades],Tabla2[Provincias],"no se encuentra")</f>
        <v>Valencia</v>
      </c>
      <c r="L2181" t="str">
        <f>_xlfn.XLOOKUP(datos_ventas[[#This Row],[Provincia]],Tabla2[Provincias],Tabla2[Comunidades],"no se encuentra")</f>
        <v>Comunidad Valenciana</v>
      </c>
      <c r="M2181" t="s">
        <v>19</v>
      </c>
      <c r="N2181">
        <v>1</v>
      </c>
    </row>
    <row r="2182" spans="1:14" x14ac:dyDescent="0.25">
      <c r="A2182">
        <v>3181</v>
      </c>
      <c r="B2182" s="1">
        <v>45729</v>
      </c>
      <c r="C2182" s="4">
        <f>MONTH(datos_ventas[[#This Row],[Fecha]])</f>
        <v>3</v>
      </c>
      <c r="D2182" s="4">
        <f>WEEKNUM(datos_ventas[[#This Row],[Fecha]],2)</f>
        <v>11</v>
      </c>
      <c r="E2182" t="s">
        <v>29</v>
      </c>
      <c r="F2182" t="s">
        <v>30</v>
      </c>
      <c r="G2182">
        <v>4</v>
      </c>
      <c r="H2182">
        <v>3604</v>
      </c>
      <c r="I2182">
        <v>3672</v>
      </c>
      <c r="J2182" t="s">
        <v>32</v>
      </c>
      <c r="K2182" t="str">
        <f>_xlfn.XLOOKUP(datos_ventas[[#This Row],[Ciudad]],Tabla2[Ciudades],Tabla2[Provincias],"no se encuentra")</f>
        <v>Barcelona</v>
      </c>
      <c r="L2182" t="str">
        <f>_xlfn.XLOOKUP(datos_ventas[[#This Row],[Provincia]],Tabla2[Provincias],Tabla2[Comunidades],"no se encuentra")</f>
        <v>Cataluña</v>
      </c>
      <c r="M2182" t="s">
        <v>13</v>
      </c>
      <c r="N2182">
        <v>5</v>
      </c>
    </row>
    <row r="2183" spans="1:14" x14ac:dyDescent="0.25">
      <c r="A2183">
        <v>3182</v>
      </c>
      <c r="B2183" s="1">
        <v>46007</v>
      </c>
      <c r="C2183" s="4">
        <f>MONTH(datos_ventas[[#This Row],[Fecha]])</f>
        <v>12</v>
      </c>
      <c r="D2183" s="4">
        <f>WEEKNUM(datos_ventas[[#This Row],[Fecha]],2)</f>
        <v>51</v>
      </c>
      <c r="E2183" t="s">
        <v>16</v>
      </c>
      <c r="F2183" t="s">
        <v>11</v>
      </c>
      <c r="G2183">
        <v>1</v>
      </c>
      <c r="H2183">
        <v>83339</v>
      </c>
      <c r="I2183">
        <v>4051</v>
      </c>
      <c r="J2183" t="s">
        <v>32</v>
      </c>
      <c r="K2183" t="str">
        <f>_xlfn.XLOOKUP(datos_ventas[[#This Row],[Ciudad]],Tabla2[Ciudades],Tabla2[Provincias],"no se encuentra")</f>
        <v>Barcelona</v>
      </c>
      <c r="L2183" t="str">
        <f>_xlfn.XLOOKUP(datos_ventas[[#This Row],[Provincia]],Tabla2[Provincias],Tabla2[Comunidades],"no se encuentra")</f>
        <v>Cataluña</v>
      </c>
      <c r="M2183" t="s">
        <v>19</v>
      </c>
      <c r="N2183">
        <v>4</v>
      </c>
    </row>
    <row r="2184" spans="1:14" x14ac:dyDescent="0.25">
      <c r="A2184">
        <v>3183</v>
      </c>
      <c r="B2184" s="1">
        <v>45816</v>
      </c>
      <c r="C2184" s="4">
        <f>MONTH(datos_ventas[[#This Row],[Fecha]])</f>
        <v>6</v>
      </c>
      <c r="D2184" s="4">
        <f>WEEKNUM(datos_ventas[[#This Row],[Fecha]],2)</f>
        <v>23</v>
      </c>
      <c r="E2184" t="s">
        <v>20</v>
      </c>
      <c r="F2184" t="s">
        <v>21</v>
      </c>
      <c r="G2184">
        <v>1</v>
      </c>
      <c r="H2184">
        <v>37458</v>
      </c>
      <c r="I2184">
        <v>1368</v>
      </c>
      <c r="J2184" t="s">
        <v>27</v>
      </c>
      <c r="K2184" t="str">
        <f>_xlfn.XLOOKUP(datos_ventas[[#This Row],[Ciudad]],Tabla2[Ciudades],Tabla2[Provincias],"no se encuentra")</f>
        <v>Sevilla</v>
      </c>
      <c r="L2184" t="str">
        <f>_xlfn.XLOOKUP(datos_ventas[[#This Row],[Provincia]],Tabla2[Provincias],Tabla2[Comunidades],"no se encuentra")</f>
        <v>Andalucía</v>
      </c>
      <c r="M2184" t="s">
        <v>19</v>
      </c>
      <c r="N2184">
        <v>3</v>
      </c>
    </row>
    <row r="2185" spans="1:14" x14ac:dyDescent="0.25">
      <c r="A2185">
        <v>3184</v>
      </c>
      <c r="B2185" s="1">
        <v>45770</v>
      </c>
      <c r="C2185" s="4">
        <f>MONTH(datos_ventas[[#This Row],[Fecha]])</f>
        <v>4</v>
      </c>
      <c r="D2185" s="4">
        <f>WEEKNUM(datos_ventas[[#This Row],[Fecha]],2)</f>
        <v>17</v>
      </c>
      <c r="E2185" t="s">
        <v>16</v>
      </c>
      <c r="F2185" t="s">
        <v>11</v>
      </c>
      <c r="G2185">
        <v>2</v>
      </c>
      <c r="H2185">
        <v>945</v>
      </c>
      <c r="I2185">
        <v>2722</v>
      </c>
      <c r="J2185" t="s">
        <v>12</v>
      </c>
      <c r="K2185" t="str">
        <f>_xlfn.XLOOKUP(datos_ventas[[#This Row],[Ciudad]],Tabla2[Ciudades],Tabla2[Provincias],"no se encuentra")</f>
        <v>Málaga</v>
      </c>
      <c r="L2185" t="str">
        <f>_xlfn.XLOOKUP(datos_ventas[[#This Row],[Provincia]],Tabla2[Provincias],Tabla2[Comunidades],"no se encuentra")</f>
        <v>Andalucía</v>
      </c>
      <c r="M2185" t="s">
        <v>28</v>
      </c>
      <c r="N2185">
        <v>1</v>
      </c>
    </row>
    <row r="2186" spans="1:14" x14ac:dyDescent="0.25">
      <c r="A2186">
        <v>3185</v>
      </c>
      <c r="B2186" s="1">
        <v>45913</v>
      </c>
      <c r="C2186" s="4">
        <f>MONTH(datos_ventas[[#This Row],[Fecha]])</f>
        <v>9</v>
      </c>
      <c r="D2186" s="4">
        <f>WEEKNUM(datos_ventas[[#This Row],[Fecha]],2)</f>
        <v>37</v>
      </c>
      <c r="E2186" t="s">
        <v>26</v>
      </c>
      <c r="F2186" t="s">
        <v>18</v>
      </c>
      <c r="G2186">
        <v>5</v>
      </c>
      <c r="H2186">
        <v>78772</v>
      </c>
      <c r="I2186">
        <v>2167</v>
      </c>
      <c r="J2186" t="s">
        <v>31</v>
      </c>
      <c r="K2186" t="str">
        <f>_xlfn.XLOOKUP(datos_ventas[[#This Row],[Ciudad]],Tabla2[Ciudades],Tabla2[Provincias],"no se encuentra")</f>
        <v>Vizcaya</v>
      </c>
      <c r="L2186" t="str">
        <f>_xlfn.XLOOKUP(datos_ventas[[#This Row],[Provincia]],Tabla2[Provincias],Tabla2[Comunidades],"no se encuentra")</f>
        <v>País Vasco</v>
      </c>
      <c r="M2186" t="s">
        <v>15</v>
      </c>
      <c r="N2186">
        <v>3</v>
      </c>
    </row>
    <row r="2187" spans="1:14" x14ac:dyDescent="0.25">
      <c r="A2187">
        <v>3186</v>
      </c>
      <c r="B2187" s="1">
        <v>45780</v>
      </c>
      <c r="C2187" s="4">
        <f>MONTH(datos_ventas[[#This Row],[Fecha]])</f>
        <v>5</v>
      </c>
      <c r="D2187" s="4">
        <f>WEEKNUM(datos_ventas[[#This Row],[Fecha]],2)</f>
        <v>18</v>
      </c>
      <c r="E2187" t="s">
        <v>26</v>
      </c>
      <c r="F2187" t="s">
        <v>18</v>
      </c>
      <c r="G2187">
        <v>2</v>
      </c>
      <c r="H2187">
        <v>71281</v>
      </c>
      <c r="I2187">
        <v>556</v>
      </c>
      <c r="J2187" t="s">
        <v>22</v>
      </c>
      <c r="K2187" t="str">
        <f>_xlfn.XLOOKUP(datos_ventas[[#This Row],[Ciudad]],Tabla2[Ciudades],Tabla2[Provincias],"no se encuentra")</f>
        <v>Valencia</v>
      </c>
      <c r="L2187" t="str">
        <f>_xlfn.XLOOKUP(datos_ventas[[#This Row],[Provincia]],Tabla2[Provincias],Tabla2[Comunidades],"no se encuentra")</f>
        <v>Comunidad Valenciana</v>
      </c>
      <c r="M2187" t="s">
        <v>19</v>
      </c>
      <c r="N2187">
        <v>1</v>
      </c>
    </row>
    <row r="2188" spans="1:14" x14ac:dyDescent="0.25">
      <c r="A2188">
        <v>3187</v>
      </c>
      <c r="B2188" s="1">
        <v>45750</v>
      </c>
      <c r="C2188" s="4">
        <f>MONTH(datos_ventas[[#This Row],[Fecha]])</f>
        <v>4</v>
      </c>
      <c r="D2188" s="4">
        <f>WEEKNUM(datos_ventas[[#This Row],[Fecha]],2)</f>
        <v>14</v>
      </c>
      <c r="E2188" t="s">
        <v>24</v>
      </c>
      <c r="F2188" t="s">
        <v>25</v>
      </c>
      <c r="G2188">
        <v>3</v>
      </c>
      <c r="H2188">
        <v>50034</v>
      </c>
      <c r="I2188">
        <v>1509</v>
      </c>
      <c r="J2188" t="s">
        <v>14</v>
      </c>
      <c r="K2188" t="str">
        <f>_xlfn.XLOOKUP(datos_ventas[[#This Row],[Ciudad]],Tabla2[Ciudades],Tabla2[Provincias],"no se encuentra")</f>
        <v>Madrid</v>
      </c>
      <c r="L2188" t="str">
        <f>_xlfn.XLOOKUP(datos_ventas[[#This Row],[Provincia]],Tabla2[Provincias],Tabla2[Comunidades],"no se encuentra")</f>
        <v>Comunidad de Madrid</v>
      </c>
      <c r="M2188" t="s">
        <v>28</v>
      </c>
      <c r="N2188">
        <v>3</v>
      </c>
    </row>
    <row r="2189" spans="1:14" x14ac:dyDescent="0.25">
      <c r="A2189">
        <v>3188</v>
      </c>
      <c r="B2189" s="1">
        <v>45805</v>
      </c>
      <c r="C2189" s="4">
        <f>MONTH(datos_ventas[[#This Row],[Fecha]])</f>
        <v>5</v>
      </c>
      <c r="D2189" s="4">
        <f>WEEKNUM(datos_ventas[[#This Row],[Fecha]],2)</f>
        <v>22</v>
      </c>
      <c r="E2189" t="s">
        <v>20</v>
      </c>
      <c r="F2189" t="s">
        <v>21</v>
      </c>
      <c r="G2189">
        <v>1</v>
      </c>
      <c r="H2189">
        <v>41437</v>
      </c>
      <c r="I2189">
        <v>4265</v>
      </c>
      <c r="J2189" t="s">
        <v>14</v>
      </c>
      <c r="K2189" t="str">
        <f>_xlfn.XLOOKUP(datos_ventas[[#This Row],[Ciudad]],Tabla2[Ciudades],Tabla2[Provincias],"no se encuentra")</f>
        <v>Madrid</v>
      </c>
      <c r="L2189" t="str">
        <f>_xlfn.XLOOKUP(datos_ventas[[#This Row],[Provincia]],Tabla2[Provincias],Tabla2[Comunidades],"no se encuentra")</f>
        <v>Comunidad de Madrid</v>
      </c>
      <c r="M2189" t="s">
        <v>15</v>
      </c>
      <c r="N2189">
        <v>3</v>
      </c>
    </row>
    <row r="2190" spans="1:14" x14ac:dyDescent="0.25">
      <c r="A2190">
        <v>3189</v>
      </c>
      <c r="B2190" s="1">
        <v>45799</v>
      </c>
      <c r="C2190" s="4">
        <f>MONTH(datos_ventas[[#This Row],[Fecha]])</f>
        <v>5</v>
      </c>
      <c r="D2190" s="4">
        <f>WEEKNUM(datos_ventas[[#This Row],[Fecha]],2)</f>
        <v>21</v>
      </c>
      <c r="E2190" t="s">
        <v>24</v>
      </c>
      <c r="F2190" t="s">
        <v>25</v>
      </c>
      <c r="G2190">
        <v>3</v>
      </c>
      <c r="H2190">
        <v>96174</v>
      </c>
      <c r="I2190">
        <v>2926</v>
      </c>
      <c r="J2190" t="s">
        <v>31</v>
      </c>
      <c r="K2190" t="str">
        <f>_xlfn.XLOOKUP(datos_ventas[[#This Row],[Ciudad]],Tabla2[Ciudades],Tabla2[Provincias],"no se encuentra")</f>
        <v>Vizcaya</v>
      </c>
      <c r="L2190" t="str">
        <f>_xlfn.XLOOKUP(datos_ventas[[#This Row],[Provincia]],Tabla2[Provincias],Tabla2[Comunidades],"no se encuentra")</f>
        <v>País Vasco</v>
      </c>
      <c r="M2190" t="s">
        <v>19</v>
      </c>
      <c r="N2190">
        <v>2</v>
      </c>
    </row>
    <row r="2191" spans="1:14" x14ac:dyDescent="0.25">
      <c r="A2191">
        <v>3190</v>
      </c>
      <c r="B2191" s="1">
        <v>45957</v>
      </c>
      <c r="C2191" s="4">
        <f>MONTH(datos_ventas[[#This Row],[Fecha]])</f>
        <v>10</v>
      </c>
      <c r="D2191" s="4">
        <f>WEEKNUM(datos_ventas[[#This Row],[Fecha]],2)</f>
        <v>44</v>
      </c>
      <c r="E2191" t="s">
        <v>20</v>
      </c>
      <c r="F2191" t="s">
        <v>21</v>
      </c>
      <c r="G2191">
        <v>4</v>
      </c>
      <c r="H2191">
        <v>1008</v>
      </c>
      <c r="I2191">
        <v>2717</v>
      </c>
      <c r="J2191" t="s">
        <v>31</v>
      </c>
      <c r="K2191" t="str">
        <f>_xlfn.XLOOKUP(datos_ventas[[#This Row],[Ciudad]],Tabla2[Ciudades],Tabla2[Provincias],"no se encuentra")</f>
        <v>Vizcaya</v>
      </c>
      <c r="L2191" t="str">
        <f>_xlfn.XLOOKUP(datos_ventas[[#This Row],[Provincia]],Tabla2[Provincias],Tabla2[Comunidades],"no se encuentra")</f>
        <v>País Vasco</v>
      </c>
      <c r="M2191" t="s">
        <v>19</v>
      </c>
      <c r="N2191">
        <v>4</v>
      </c>
    </row>
    <row r="2192" spans="1:14" x14ac:dyDescent="0.25">
      <c r="A2192">
        <v>3191</v>
      </c>
      <c r="B2192" s="1">
        <v>45815</v>
      </c>
      <c r="C2192" s="4">
        <f>MONTH(datos_ventas[[#This Row],[Fecha]])</f>
        <v>6</v>
      </c>
      <c r="D2192" s="4">
        <f>WEEKNUM(datos_ventas[[#This Row],[Fecha]],2)</f>
        <v>23</v>
      </c>
      <c r="E2192" t="s">
        <v>29</v>
      </c>
      <c r="F2192" t="s">
        <v>30</v>
      </c>
      <c r="G2192">
        <v>4</v>
      </c>
      <c r="H2192">
        <v>2362</v>
      </c>
      <c r="I2192">
        <v>685</v>
      </c>
      <c r="J2192" t="s">
        <v>22</v>
      </c>
      <c r="K2192" t="str">
        <f>_xlfn.XLOOKUP(datos_ventas[[#This Row],[Ciudad]],Tabla2[Ciudades],Tabla2[Provincias],"no se encuentra")</f>
        <v>Valencia</v>
      </c>
      <c r="L2192" t="str">
        <f>_xlfn.XLOOKUP(datos_ventas[[#This Row],[Provincia]],Tabla2[Provincias],Tabla2[Comunidades],"no se encuentra")</f>
        <v>Comunidad Valenciana</v>
      </c>
      <c r="M2192" t="s">
        <v>15</v>
      </c>
      <c r="N2192">
        <v>1</v>
      </c>
    </row>
    <row r="2193" spans="1:14" x14ac:dyDescent="0.25">
      <c r="A2193">
        <v>3192</v>
      </c>
      <c r="B2193" s="1">
        <v>45798</v>
      </c>
      <c r="C2193" s="4">
        <f>MONTH(datos_ventas[[#This Row],[Fecha]])</f>
        <v>5</v>
      </c>
      <c r="D2193" s="4">
        <f>WEEKNUM(datos_ventas[[#This Row],[Fecha]],2)</f>
        <v>21</v>
      </c>
      <c r="E2193" t="s">
        <v>26</v>
      </c>
      <c r="F2193" t="s">
        <v>18</v>
      </c>
      <c r="G2193">
        <v>4</v>
      </c>
      <c r="H2193">
        <v>99198</v>
      </c>
      <c r="I2193">
        <v>1722</v>
      </c>
      <c r="J2193" t="s">
        <v>14</v>
      </c>
      <c r="K2193" t="str">
        <f>_xlfn.XLOOKUP(datos_ventas[[#This Row],[Ciudad]],Tabla2[Ciudades],Tabla2[Provincias],"no se encuentra")</f>
        <v>Madrid</v>
      </c>
      <c r="L2193" t="str">
        <f>_xlfn.XLOOKUP(datos_ventas[[#This Row],[Provincia]],Tabla2[Provincias],Tabla2[Comunidades],"no se encuentra")</f>
        <v>Comunidad de Madrid</v>
      </c>
      <c r="M2193" t="s">
        <v>28</v>
      </c>
      <c r="N2193">
        <v>3</v>
      </c>
    </row>
    <row r="2194" spans="1:14" x14ac:dyDescent="0.25">
      <c r="A2194">
        <v>3193</v>
      </c>
      <c r="B2194" s="1">
        <v>45750</v>
      </c>
      <c r="C2194" s="4">
        <f>MONTH(datos_ventas[[#This Row],[Fecha]])</f>
        <v>4</v>
      </c>
      <c r="D2194" s="4">
        <f>WEEKNUM(datos_ventas[[#This Row],[Fecha]],2)</f>
        <v>14</v>
      </c>
      <c r="E2194" t="s">
        <v>16</v>
      </c>
      <c r="F2194" t="s">
        <v>11</v>
      </c>
      <c r="G2194">
        <v>3</v>
      </c>
      <c r="H2194">
        <v>96305</v>
      </c>
      <c r="I2194">
        <v>536</v>
      </c>
      <c r="J2194" t="s">
        <v>27</v>
      </c>
      <c r="K2194" t="str">
        <f>_xlfn.XLOOKUP(datos_ventas[[#This Row],[Ciudad]],Tabla2[Ciudades],Tabla2[Provincias],"no se encuentra")</f>
        <v>Sevilla</v>
      </c>
      <c r="L2194" t="str">
        <f>_xlfn.XLOOKUP(datos_ventas[[#This Row],[Provincia]],Tabla2[Provincias],Tabla2[Comunidades],"no se encuentra")</f>
        <v>Andalucía</v>
      </c>
      <c r="M2194" t="s">
        <v>15</v>
      </c>
      <c r="N2194">
        <v>3</v>
      </c>
    </row>
    <row r="2195" spans="1:14" x14ac:dyDescent="0.25">
      <c r="A2195">
        <v>3194</v>
      </c>
      <c r="B2195" s="1">
        <v>45839</v>
      </c>
      <c r="C2195" s="4">
        <f>MONTH(datos_ventas[[#This Row],[Fecha]])</f>
        <v>7</v>
      </c>
      <c r="D2195" s="4">
        <f>WEEKNUM(datos_ventas[[#This Row],[Fecha]],2)</f>
        <v>27</v>
      </c>
      <c r="E2195" t="s">
        <v>23</v>
      </c>
      <c r="F2195" t="s">
        <v>18</v>
      </c>
      <c r="G2195">
        <v>2</v>
      </c>
      <c r="H2195">
        <v>32074</v>
      </c>
      <c r="I2195">
        <v>618</v>
      </c>
      <c r="J2195" t="s">
        <v>12</v>
      </c>
      <c r="K2195" t="str">
        <f>_xlfn.XLOOKUP(datos_ventas[[#This Row],[Ciudad]],Tabla2[Ciudades],Tabla2[Provincias],"no se encuentra")</f>
        <v>Málaga</v>
      </c>
      <c r="L2195" t="str">
        <f>_xlfn.XLOOKUP(datos_ventas[[#This Row],[Provincia]],Tabla2[Provincias],Tabla2[Comunidades],"no se encuentra")</f>
        <v>Andalucía</v>
      </c>
      <c r="M2195" t="s">
        <v>28</v>
      </c>
      <c r="N2195">
        <v>5</v>
      </c>
    </row>
    <row r="2196" spans="1:14" x14ac:dyDescent="0.25">
      <c r="A2196">
        <v>3195</v>
      </c>
      <c r="B2196" s="1">
        <v>45775</v>
      </c>
      <c r="C2196" s="4">
        <f>MONTH(datos_ventas[[#This Row],[Fecha]])</f>
        <v>4</v>
      </c>
      <c r="D2196" s="4">
        <f>WEEKNUM(datos_ventas[[#This Row],[Fecha]],2)</f>
        <v>18</v>
      </c>
      <c r="E2196" t="s">
        <v>10</v>
      </c>
      <c r="F2196" t="s">
        <v>11</v>
      </c>
      <c r="G2196">
        <v>4</v>
      </c>
      <c r="H2196">
        <v>116351</v>
      </c>
      <c r="I2196">
        <v>3063</v>
      </c>
      <c r="J2196" t="s">
        <v>12</v>
      </c>
      <c r="K2196" t="str">
        <f>_xlfn.XLOOKUP(datos_ventas[[#This Row],[Ciudad]],Tabla2[Ciudades],Tabla2[Provincias],"no se encuentra")</f>
        <v>Málaga</v>
      </c>
      <c r="L2196" t="str">
        <f>_xlfn.XLOOKUP(datos_ventas[[#This Row],[Provincia]],Tabla2[Provincias],Tabla2[Comunidades],"no se encuentra")</f>
        <v>Andalucía</v>
      </c>
      <c r="M2196" t="s">
        <v>15</v>
      </c>
      <c r="N2196">
        <v>4</v>
      </c>
    </row>
    <row r="2197" spans="1:14" x14ac:dyDescent="0.25">
      <c r="A2197">
        <v>3196</v>
      </c>
      <c r="B2197" s="1">
        <v>45723</v>
      </c>
      <c r="C2197" s="4">
        <f>MONTH(datos_ventas[[#This Row],[Fecha]])</f>
        <v>3</v>
      </c>
      <c r="D2197" s="4">
        <f>WEEKNUM(datos_ventas[[#This Row],[Fecha]],2)</f>
        <v>10</v>
      </c>
      <c r="E2197" t="s">
        <v>20</v>
      </c>
      <c r="F2197" t="s">
        <v>21</v>
      </c>
      <c r="G2197">
        <v>1</v>
      </c>
      <c r="H2197">
        <v>34588</v>
      </c>
      <c r="I2197">
        <v>3763</v>
      </c>
      <c r="J2197" t="s">
        <v>22</v>
      </c>
      <c r="K2197" t="str">
        <f>_xlfn.XLOOKUP(datos_ventas[[#This Row],[Ciudad]],Tabla2[Ciudades],Tabla2[Provincias],"no se encuentra")</f>
        <v>Valencia</v>
      </c>
      <c r="L2197" t="str">
        <f>_xlfn.XLOOKUP(datos_ventas[[#This Row],[Provincia]],Tabla2[Provincias],Tabla2[Comunidades],"no se encuentra")</f>
        <v>Comunidad Valenciana</v>
      </c>
      <c r="M2197" t="s">
        <v>28</v>
      </c>
      <c r="N2197">
        <v>1</v>
      </c>
    </row>
    <row r="2198" spans="1:14" x14ac:dyDescent="0.25">
      <c r="A2198">
        <v>3197</v>
      </c>
      <c r="B2198" s="1">
        <v>45738</v>
      </c>
      <c r="C2198" s="4">
        <f>MONTH(datos_ventas[[#This Row],[Fecha]])</f>
        <v>3</v>
      </c>
      <c r="D2198" s="4">
        <f>WEEKNUM(datos_ventas[[#This Row],[Fecha]],2)</f>
        <v>12</v>
      </c>
      <c r="E2198" t="s">
        <v>20</v>
      </c>
      <c r="F2198" t="s">
        <v>21</v>
      </c>
      <c r="G2198">
        <v>5</v>
      </c>
      <c r="H2198">
        <v>79385</v>
      </c>
      <c r="I2198">
        <v>4352</v>
      </c>
      <c r="J2198" t="s">
        <v>12</v>
      </c>
      <c r="K2198" t="str">
        <f>_xlfn.XLOOKUP(datos_ventas[[#This Row],[Ciudad]],Tabla2[Ciudades],Tabla2[Provincias],"no se encuentra")</f>
        <v>Málaga</v>
      </c>
      <c r="L2198" t="str">
        <f>_xlfn.XLOOKUP(datos_ventas[[#This Row],[Provincia]],Tabla2[Provincias],Tabla2[Comunidades],"no se encuentra")</f>
        <v>Andalucía</v>
      </c>
      <c r="M2198" t="s">
        <v>13</v>
      </c>
      <c r="N2198">
        <v>3</v>
      </c>
    </row>
    <row r="2199" spans="1:14" x14ac:dyDescent="0.25">
      <c r="A2199">
        <v>3198</v>
      </c>
      <c r="B2199" s="1">
        <v>45956</v>
      </c>
      <c r="C2199" s="4">
        <f>MONTH(datos_ventas[[#This Row],[Fecha]])</f>
        <v>10</v>
      </c>
      <c r="D2199" s="4">
        <f>WEEKNUM(datos_ventas[[#This Row],[Fecha]],2)</f>
        <v>43</v>
      </c>
      <c r="E2199" t="s">
        <v>23</v>
      </c>
      <c r="F2199" t="s">
        <v>18</v>
      </c>
      <c r="G2199">
        <v>5</v>
      </c>
      <c r="H2199">
        <v>4975</v>
      </c>
      <c r="I2199">
        <v>1353</v>
      </c>
      <c r="J2199" t="s">
        <v>31</v>
      </c>
      <c r="K2199" t="str">
        <f>_xlfn.XLOOKUP(datos_ventas[[#This Row],[Ciudad]],Tabla2[Ciudades],Tabla2[Provincias],"no se encuentra")</f>
        <v>Vizcaya</v>
      </c>
      <c r="L2199" t="str">
        <f>_xlfn.XLOOKUP(datos_ventas[[#This Row],[Provincia]],Tabla2[Provincias],Tabla2[Comunidades],"no se encuentra")</f>
        <v>País Vasco</v>
      </c>
      <c r="M2199" t="s">
        <v>19</v>
      </c>
      <c r="N2199">
        <v>1</v>
      </c>
    </row>
    <row r="2200" spans="1:14" x14ac:dyDescent="0.25">
      <c r="A2200">
        <v>3199</v>
      </c>
      <c r="B2200" s="1">
        <v>45915</v>
      </c>
      <c r="C2200" s="4">
        <f>MONTH(datos_ventas[[#This Row],[Fecha]])</f>
        <v>9</v>
      </c>
      <c r="D2200" s="4">
        <f>WEEKNUM(datos_ventas[[#This Row],[Fecha]],2)</f>
        <v>38</v>
      </c>
      <c r="E2200" t="s">
        <v>16</v>
      </c>
      <c r="F2200" t="s">
        <v>11</v>
      </c>
      <c r="G2200">
        <v>3</v>
      </c>
      <c r="H2200">
        <v>36229</v>
      </c>
      <c r="I2200">
        <v>1694</v>
      </c>
      <c r="J2200" t="s">
        <v>31</v>
      </c>
      <c r="K2200" t="str">
        <f>_xlfn.XLOOKUP(datos_ventas[[#This Row],[Ciudad]],Tabla2[Ciudades],Tabla2[Provincias],"no se encuentra")</f>
        <v>Vizcaya</v>
      </c>
      <c r="L2200" t="str">
        <f>_xlfn.XLOOKUP(datos_ventas[[#This Row],[Provincia]],Tabla2[Provincias],Tabla2[Comunidades],"no se encuentra")</f>
        <v>País Vasco</v>
      </c>
      <c r="M2200" t="s">
        <v>19</v>
      </c>
      <c r="N2200">
        <v>2</v>
      </c>
    </row>
    <row r="2201" spans="1:14" x14ac:dyDescent="0.25">
      <c r="A2201">
        <v>3200</v>
      </c>
      <c r="B2201" s="1">
        <v>45949</v>
      </c>
      <c r="C2201" s="4">
        <f>MONTH(datos_ventas[[#This Row],[Fecha]])</f>
        <v>10</v>
      </c>
      <c r="D2201" s="4">
        <f>WEEKNUM(datos_ventas[[#This Row],[Fecha]],2)</f>
        <v>42</v>
      </c>
      <c r="E2201" t="s">
        <v>17</v>
      </c>
      <c r="F2201" t="s">
        <v>18</v>
      </c>
      <c r="G2201">
        <v>5</v>
      </c>
      <c r="H2201">
        <v>3344</v>
      </c>
      <c r="I2201">
        <v>3047</v>
      </c>
      <c r="J2201" t="s">
        <v>32</v>
      </c>
      <c r="K2201" t="str">
        <f>_xlfn.XLOOKUP(datos_ventas[[#This Row],[Ciudad]],Tabla2[Ciudades],Tabla2[Provincias],"no se encuentra")</f>
        <v>Barcelona</v>
      </c>
      <c r="L2201" t="str">
        <f>_xlfn.XLOOKUP(datos_ventas[[#This Row],[Provincia]],Tabla2[Provincias],Tabla2[Comunidades],"no se encuentra")</f>
        <v>Cataluña</v>
      </c>
      <c r="M2201" t="s">
        <v>19</v>
      </c>
      <c r="N2201">
        <v>3</v>
      </c>
    </row>
    <row r="2202" spans="1:14" x14ac:dyDescent="0.25">
      <c r="A2202">
        <v>3201</v>
      </c>
      <c r="B2202" s="1">
        <v>45702</v>
      </c>
      <c r="C2202" s="4">
        <f>MONTH(datos_ventas[[#This Row],[Fecha]])</f>
        <v>2</v>
      </c>
      <c r="D2202" s="4">
        <f>WEEKNUM(datos_ventas[[#This Row],[Fecha]],2)</f>
        <v>7</v>
      </c>
      <c r="E2202" t="s">
        <v>16</v>
      </c>
      <c r="F2202" t="s">
        <v>11</v>
      </c>
      <c r="G2202">
        <v>2</v>
      </c>
      <c r="H2202">
        <v>77358</v>
      </c>
      <c r="I2202">
        <v>2421</v>
      </c>
      <c r="J2202" t="s">
        <v>12</v>
      </c>
      <c r="K2202" t="str">
        <f>_xlfn.XLOOKUP(datos_ventas[[#This Row],[Ciudad]],Tabla2[Ciudades],Tabla2[Provincias],"no se encuentra")</f>
        <v>Málaga</v>
      </c>
      <c r="L2202" t="str">
        <f>_xlfn.XLOOKUP(datos_ventas[[#This Row],[Provincia]],Tabla2[Provincias],Tabla2[Comunidades],"no se encuentra")</f>
        <v>Andalucía</v>
      </c>
      <c r="M2202" t="s">
        <v>19</v>
      </c>
      <c r="N2202">
        <v>1</v>
      </c>
    </row>
    <row r="2203" spans="1:14" x14ac:dyDescent="0.25">
      <c r="A2203">
        <v>3202</v>
      </c>
      <c r="B2203" s="1">
        <v>45853</v>
      </c>
      <c r="C2203" s="4">
        <f>MONTH(datos_ventas[[#This Row],[Fecha]])</f>
        <v>7</v>
      </c>
      <c r="D2203" s="4">
        <f>WEEKNUM(datos_ventas[[#This Row],[Fecha]],2)</f>
        <v>29</v>
      </c>
      <c r="E2203" t="s">
        <v>26</v>
      </c>
      <c r="F2203" t="s">
        <v>18</v>
      </c>
      <c r="G2203">
        <v>4</v>
      </c>
      <c r="H2203">
        <v>105612</v>
      </c>
      <c r="I2203">
        <v>1209</v>
      </c>
      <c r="J2203" t="s">
        <v>31</v>
      </c>
      <c r="K2203" t="str">
        <f>_xlfn.XLOOKUP(datos_ventas[[#This Row],[Ciudad]],Tabla2[Ciudades],Tabla2[Provincias],"no se encuentra")</f>
        <v>Vizcaya</v>
      </c>
      <c r="L2203" t="str">
        <f>_xlfn.XLOOKUP(datos_ventas[[#This Row],[Provincia]],Tabla2[Provincias],Tabla2[Comunidades],"no se encuentra")</f>
        <v>País Vasco</v>
      </c>
      <c r="M2203" t="s">
        <v>13</v>
      </c>
      <c r="N2203">
        <v>1</v>
      </c>
    </row>
    <row r="2204" spans="1:14" x14ac:dyDescent="0.25">
      <c r="A2204">
        <v>3203</v>
      </c>
      <c r="B2204" s="1">
        <v>45787</v>
      </c>
      <c r="C2204" s="4">
        <f>MONTH(datos_ventas[[#This Row],[Fecha]])</f>
        <v>5</v>
      </c>
      <c r="D2204" s="4">
        <f>WEEKNUM(datos_ventas[[#This Row],[Fecha]],2)</f>
        <v>19</v>
      </c>
      <c r="E2204" t="s">
        <v>17</v>
      </c>
      <c r="F2204" t="s">
        <v>18</v>
      </c>
      <c r="G2204">
        <v>4</v>
      </c>
      <c r="H2204">
        <v>16973</v>
      </c>
      <c r="I2204">
        <v>388</v>
      </c>
      <c r="J2204" t="s">
        <v>14</v>
      </c>
      <c r="K2204" t="str">
        <f>_xlfn.XLOOKUP(datos_ventas[[#This Row],[Ciudad]],Tabla2[Ciudades],Tabla2[Provincias],"no se encuentra")</f>
        <v>Madrid</v>
      </c>
      <c r="L2204" t="str">
        <f>_xlfn.XLOOKUP(datos_ventas[[#This Row],[Provincia]],Tabla2[Provincias],Tabla2[Comunidades],"no se encuentra")</f>
        <v>Comunidad de Madrid</v>
      </c>
      <c r="M2204" t="s">
        <v>28</v>
      </c>
      <c r="N2204">
        <v>2</v>
      </c>
    </row>
    <row r="2205" spans="1:14" x14ac:dyDescent="0.25">
      <c r="A2205">
        <v>3204</v>
      </c>
      <c r="B2205" s="1">
        <v>45979</v>
      </c>
      <c r="C2205" s="4">
        <f>MONTH(datos_ventas[[#This Row],[Fecha]])</f>
        <v>11</v>
      </c>
      <c r="D2205" s="4">
        <f>WEEKNUM(datos_ventas[[#This Row],[Fecha]],2)</f>
        <v>47</v>
      </c>
      <c r="E2205" t="s">
        <v>29</v>
      </c>
      <c r="F2205" t="s">
        <v>30</v>
      </c>
      <c r="G2205">
        <v>1</v>
      </c>
      <c r="H2205">
        <v>101603</v>
      </c>
      <c r="I2205">
        <v>2283</v>
      </c>
      <c r="J2205" t="s">
        <v>14</v>
      </c>
      <c r="K2205" t="str">
        <f>_xlfn.XLOOKUP(datos_ventas[[#This Row],[Ciudad]],Tabla2[Ciudades],Tabla2[Provincias],"no se encuentra")</f>
        <v>Madrid</v>
      </c>
      <c r="L2205" t="str">
        <f>_xlfn.XLOOKUP(datos_ventas[[#This Row],[Provincia]],Tabla2[Provincias],Tabla2[Comunidades],"no se encuentra")</f>
        <v>Comunidad de Madrid</v>
      </c>
      <c r="M2205" t="s">
        <v>15</v>
      </c>
      <c r="N2205">
        <v>2</v>
      </c>
    </row>
    <row r="2206" spans="1:14" x14ac:dyDescent="0.25">
      <c r="A2206">
        <v>3205</v>
      </c>
      <c r="B2206" s="1">
        <v>45797</v>
      </c>
      <c r="C2206" s="4">
        <f>MONTH(datos_ventas[[#This Row],[Fecha]])</f>
        <v>5</v>
      </c>
      <c r="D2206" s="4">
        <f>WEEKNUM(datos_ventas[[#This Row],[Fecha]],2)</f>
        <v>21</v>
      </c>
      <c r="E2206" t="s">
        <v>29</v>
      </c>
      <c r="F2206" t="s">
        <v>30</v>
      </c>
      <c r="G2206">
        <v>1</v>
      </c>
      <c r="H2206">
        <v>86545</v>
      </c>
      <c r="I2206">
        <v>767</v>
      </c>
      <c r="J2206" t="s">
        <v>14</v>
      </c>
      <c r="K2206" t="str">
        <f>_xlfn.XLOOKUP(datos_ventas[[#This Row],[Ciudad]],Tabla2[Ciudades],Tabla2[Provincias],"no se encuentra")</f>
        <v>Madrid</v>
      </c>
      <c r="L2206" t="str">
        <f>_xlfn.XLOOKUP(datos_ventas[[#This Row],[Provincia]],Tabla2[Provincias],Tabla2[Comunidades],"no se encuentra")</f>
        <v>Comunidad de Madrid</v>
      </c>
      <c r="M2206" t="s">
        <v>13</v>
      </c>
      <c r="N2206">
        <v>1</v>
      </c>
    </row>
    <row r="2207" spans="1:14" x14ac:dyDescent="0.25">
      <c r="A2207">
        <v>3206</v>
      </c>
      <c r="B2207" s="1">
        <v>45768</v>
      </c>
      <c r="C2207" s="4">
        <f>MONTH(datos_ventas[[#This Row],[Fecha]])</f>
        <v>4</v>
      </c>
      <c r="D2207" s="4">
        <f>WEEKNUM(datos_ventas[[#This Row],[Fecha]],2)</f>
        <v>17</v>
      </c>
      <c r="E2207" t="s">
        <v>29</v>
      </c>
      <c r="F2207" t="s">
        <v>30</v>
      </c>
      <c r="G2207">
        <v>3</v>
      </c>
      <c r="H2207">
        <v>92198</v>
      </c>
      <c r="I2207">
        <v>2788</v>
      </c>
      <c r="J2207" t="s">
        <v>31</v>
      </c>
      <c r="K2207" t="str">
        <f>_xlfn.XLOOKUP(datos_ventas[[#This Row],[Ciudad]],Tabla2[Ciudades],Tabla2[Provincias],"no se encuentra")</f>
        <v>Vizcaya</v>
      </c>
      <c r="L2207" t="str">
        <f>_xlfn.XLOOKUP(datos_ventas[[#This Row],[Provincia]],Tabla2[Provincias],Tabla2[Comunidades],"no se encuentra")</f>
        <v>País Vasco</v>
      </c>
      <c r="M2207" t="s">
        <v>15</v>
      </c>
      <c r="N2207">
        <v>3</v>
      </c>
    </row>
    <row r="2208" spans="1:14" x14ac:dyDescent="0.25">
      <c r="A2208">
        <v>3207</v>
      </c>
      <c r="B2208" s="1">
        <v>45924</v>
      </c>
      <c r="C2208" s="4">
        <f>MONTH(datos_ventas[[#This Row],[Fecha]])</f>
        <v>9</v>
      </c>
      <c r="D2208" s="4">
        <f>WEEKNUM(datos_ventas[[#This Row],[Fecha]],2)</f>
        <v>39</v>
      </c>
      <c r="E2208" t="s">
        <v>16</v>
      </c>
      <c r="F2208" t="s">
        <v>11</v>
      </c>
      <c r="G2208">
        <v>3</v>
      </c>
      <c r="H2208">
        <v>77537</v>
      </c>
      <c r="I2208">
        <v>3046</v>
      </c>
      <c r="J2208" t="s">
        <v>32</v>
      </c>
      <c r="K2208" t="str">
        <f>_xlfn.XLOOKUP(datos_ventas[[#This Row],[Ciudad]],Tabla2[Ciudades],Tabla2[Provincias],"no se encuentra")</f>
        <v>Barcelona</v>
      </c>
      <c r="L2208" t="str">
        <f>_xlfn.XLOOKUP(datos_ventas[[#This Row],[Provincia]],Tabla2[Provincias],Tabla2[Comunidades],"no se encuentra")</f>
        <v>Cataluña</v>
      </c>
      <c r="M2208" t="s">
        <v>19</v>
      </c>
      <c r="N2208">
        <v>3</v>
      </c>
    </row>
    <row r="2209" spans="1:14" x14ac:dyDescent="0.25">
      <c r="A2209">
        <v>3208</v>
      </c>
      <c r="B2209" s="1">
        <v>46006</v>
      </c>
      <c r="C2209" s="4">
        <f>MONTH(datos_ventas[[#This Row],[Fecha]])</f>
        <v>12</v>
      </c>
      <c r="D2209" s="4">
        <f>WEEKNUM(datos_ventas[[#This Row],[Fecha]],2)</f>
        <v>51</v>
      </c>
      <c r="E2209" t="s">
        <v>20</v>
      </c>
      <c r="F2209" t="s">
        <v>21</v>
      </c>
      <c r="G2209">
        <v>3</v>
      </c>
      <c r="H2209">
        <v>9444</v>
      </c>
      <c r="I2209">
        <v>2742</v>
      </c>
      <c r="J2209" t="s">
        <v>27</v>
      </c>
      <c r="K2209" t="str">
        <f>_xlfn.XLOOKUP(datos_ventas[[#This Row],[Ciudad]],Tabla2[Ciudades],Tabla2[Provincias],"no se encuentra")</f>
        <v>Sevilla</v>
      </c>
      <c r="L2209" t="str">
        <f>_xlfn.XLOOKUP(datos_ventas[[#This Row],[Provincia]],Tabla2[Provincias],Tabla2[Comunidades],"no se encuentra")</f>
        <v>Andalucía</v>
      </c>
      <c r="M2209" t="s">
        <v>19</v>
      </c>
      <c r="N2209">
        <v>4</v>
      </c>
    </row>
    <row r="2210" spans="1:14" x14ac:dyDescent="0.25">
      <c r="A2210">
        <v>3209</v>
      </c>
      <c r="B2210" s="1">
        <v>45855</v>
      </c>
      <c r="C2210" s="4">
        <f>MONTH(datos_ventas[[#This Row],[Fecha]])</f>
        <v>7</v>
      </c>
      <c r="D2210" s="4">
        <f>WEEKNUM(datos_ventas[[#This Row],[Fecha]],2)</f>
        <v>29</v>
      </c>
      <c r="E2210" t="s">
        <v>16</v>
      </c>
      <c r="F2210" t="s">
        <v>11</v>
      </c>
      <c r="G2210">
        <v>5</v>
      </c>
      <c r="H2210">
        <v>69029</v>
      </c>
      <c r="I2210">
        <v>2125</v>
      </c>
      <c r="J2210" t="s">
        <v>31</v>
      </c>
      <c r="K2210" t="str">
        <f>_xlfn.XLOOKUP(datos_ventas[[#This Row],[Ciudad]],Tabla2[Ciudades],Tabla2[Provincias],"no se encuentra")</f>
        <v>Vizcaya</v>
      </c>
      <c r="L2210" t="str">
        <f>_xlfn.XLOOKUP(datos_ventas[[#This Row],[Provincia]],Tabla2[Provincias],Tabla2[Comunidades],"no se encuentra")</f>
        <v>País Vasco</v>
      </c>
      <c r="M2210" t="s">
        <v>28</v>
      </c>
      <c r="N2210">
        <v>5</v>
      </c>
    </row>
    <row r="2211" spans="1:14" x14ac:dyDescent="0.25">
      <c r="A2211">
        <v>3210</v>
      </c>
      <c r="B2211" s="1">
        <v>46002</v>
      </c>
      <c r="C2211" s="4">
        <f>MONTH(datos_ventas[[#This Row],[Fecha]])</f>
        <v>12</v>
      </c>
      <c r="D2211" s="4">
        <f>WEEKNUM(datos_ventas[[#This Row],[Fecha]],2)</f>
        <v>50</v>
      </c>
      <c r="E2211" t="s">
        <v>10</v>
      </c>
      <c r="F2211" t="s">
        <v>11</v>
      </c>
      <c r="G2211">
        <v>2</v>
      </c>
      <c r="H2211">
        <v>20499</v>
      </c>
      <c r="I2211">
        <v>2966</v>
      </c>
      <c r="J2211" t="s">
        <v>12</v>
      </c>
      <c r="K2211" t="str">
        <f>_xlfn.XLOOKUP(datos_ventas[[#This Row],[Ciudad]],Tabla2[Ciudades],Tabla2[Provincias],"no se encuentra")</f>
        <v>Málaga</v>
      </c>
      <c r="L2211" t="str">
        <f>_xlfn.XLOOKUP(datos_ventas[[#This Row],[Provincia]],Tabla2[Provincias],Tabla2[Comunidades],"no se encuentra")</f>
        <v>Andalucía</v>
      </c>
      <c r="M2211" t="s">
        <v>13</v>
      </c>
      <c r="N2211">
        <v>2</v>
      </c>
    </row>
    <row r="2212" spans="1:14" x14ac:dyDescent="0.25">
      <c r="A2212">
        <v>3211</v>
      </c>
      <c r="B2212" s="1">
        <v>45661</v>
      </c>
      <c r="C2212" s="4">
        <f>MONTH(datos_ventas[[#This Row],[Fecha]])</f>
        <v>1</v>
      </c>
      <c r="D2212" s="4">
        <f>WEEKNUM(datos_ventas[[#This Row],[Fecha]],2)</f>
        <v>1</v>
      </c>
      <c r="E2212" t="s">
        <v>24</v>
      </c>
      <c r="F2212" t="s">
        <v>25</v>
      </c>
      <c r="G2212">
        <v>1</v>
      </c>
      <c r="H2212">
        <v>40038</v>
      </c>
      <c r="I2212">
        <v>3447</v>
      </c>
      <c r="J2212" t="s">
        <v>12</v>
      </c>
      <c r="K2212" t="str">
        <f>_xlfn.XLOOKUP(datos_ventas[[#This Row],[Ciudad]],Tabla2[Ciudades],Tabla2[Provincias],"no se encuentra")</f>
        <v>Málaga</v>
      </c>
      <c r="L2212" t="str">
        <f>_xlfn.XLOOKUP(datos_ventas[[#This Row],[Provincia]],Tabla2[Provincias],Tabla2[Comunidades],"no se encuentra")</f>
        <v>Andalucía</v>
      </c>
      <c r="M2212" t="s">
        <v>13</v>
      </c>
      <c r="N2212">
        <v>2</v>
      </c>
    </row>
    <row r="2213" spans="1:14" x14ac:dyDescent="0.25">
      <c r="A2213">
        <v>3212</v>
      </c>
      <c r="B2213" s="1">
        <v>45705</v>
      </c>
      <c r="C2213" s="4">
        <f>MONTH(datos_ventas[[#This Row],[Fecha]])</f>
        <v>2</v>
      </c>
      <c r="D2213" s="4">
        <f>WEEKNUM(datos_ventas[[#This Row],[Fecha]],2)</f>
        <v>8</v>
      </c>
      <c r="E2213" t="s">
        <v>10</v>
      </c>
      <c r="F2213" t="s">
        <v>11</v>
      </c>
      <c r="G2213">
        <v>1</v>
      </c>
      <c r="H2213">
        <v>112151</v>
      </c>
      <c r="I2213">
        <v>303</v>
      </c>
      <c r="J2213" t="s">
        <v>32</v>
      </c>
      <c r="K2213" t="str">
        <f>_xlfn.XLOOKUP(datos_ventas[[#This Row],[Ciudad]],Tabla2[Ciudades],Tabla2[Provincias],"no se encuentra")</f>
        <v>Barcelona</v>
      </c>
      <c r="L2213" t="str">
        <f>_xlfn.XLOOKUP(datos_ventas[[#This Row],[Provincia]],Tabla2[Provincias],Tabla2[Comunidades],"no se encuentra")</f>
        <v>Cataluña</v>
      </c>
      <c r="M2213" t="s">
        <v>28</v>
      </c>
      <c r="N2213">
        <v>3</v>
      </c>
    </row>
    <row r="2214" spans="1:14" x14ac:dyDescent="0.25">
      <c r="A2214">
        <v>3213</v>
      </c>
      <c r="B2214" s="1">
        <v>45756</v>
      </c>
      <c r="C2214" s="4">
        <f>MONTH(datos_ventas[[#This Row],[Fecha]])</f>
        <v>4</v>
      </c>
      <c r="D2214" s="4">
        <f>WEEKNUM(datos_ventas[[#This Row],[Fecha]],2)</f>
        <v>15</v>
      </c>
      <c r="E2214" t="s">
        <v>24</v>
      </c>
      <c r="F2214" t="s">
        <v>25</v>
      </c>
      <c r="G2214">
        <v>4</v>
      </c>
      <c r="H2214">
        <v>90739</v>
      </c>
      <c r="I2214">
        <v>2406</v>
      </c>
      <c r="J2214" t="s">
        <v>12</v>
      </c>
      <c r="K2214" t="str">
        <f>_xlfn.XLOOKUP(datos_ventas[[#This Row],[Ciudad]],Tabla2[Ciudades],Tabla2[Provincias],"no se encuentra")</f>
        <v>Málaga</v>
      </c>
      <c r="L2214" t="str">
        <f>_xlfn.XLOOKUP(datos_ventas[[#This Row],[Provincia]],Tabla2[Provincias],Tabla2[Comunidades],"no se encuentra")</f>
        <v>Andalucía</v>
      </c>
      <c r="M2214" t="s">
        <v>13</v>
      </c>
      <c r="N2214">
        <v>5</v>
      </c>
    </row>
    <row r="2215" spans="1:14" x14ac:dyDescent="0.25">
      <c r="A2215">
        <v>3214</v>
      </c>
      <c r="B2215" s="1">
        <v>45805</v>
      </c>
      <c r="C2215" s="4">
        <f>MONTH(datos_ventas[[#This Row],[Fecha]])</f>
        <v>5</v>
      </c>
      <c r="D2215" s="4">
        <f>WEEKNUM(datos_ventas[[#This Row],[Fecha]],2)</f>
        <v>22</v>
      </c>
      <c r="E2215" t="s">
        <v>29</v>
      </c>
      <c r="F2215" t="s">
        <v>30</v>
      </c>
      <c r="G2215">
        <v>3</v>
      </c>
      <c r="H2215">
        <v>41443</v>
      </c>
      <c r="I2215">
        <v>3958</v>
      </c>
      <c r="J2215" t="s">
        <v>14</v>
      </c>
      <c r="K2215" t="str">
        <f>_xlfn.XLOOKUP(datos_ventas[[#This Row],[Ciudad]],Tabla2[Ciudades],Tabla2[Provincias],"no se encuentra")</f>
        <v>Madrid</v>
      </c>
      <c r="L2215" t="str">
        <f>_xlfn.XLOOKUP(datos_ventas[[#This Row],[Provincia]],Tabla2[Provincias],Tabla2[Comunidades],"no se encuentra")</f>
        <v>Comunidad de Madrid</v>
      </c>
      <c r="M2215" t="s">
        <v>19</v>
      </c>
      <c r="N2215">
        <v>5</v>
      </c>
    </row>
    <row r="2216" spans="1:14" x14ac:dyDescent="0.25">
      <c r="A2216">
        <v>3215</v>
      </c>
      <c r="B2216" s="1">
        <v>45790</v>
      </c>
      <c r="C2216" s="4">
        <f>MONTH(datos_ventas[[#This Row],[Fecha]])</f>
        <v>5</v>
      </c>
      <c r="D2216" s="4">
        <f>WEEKNUM(datos_ventas[[#This Row],[Fecha]],2)</f>
        <v>20</v>
      </c>
      <c r="E2216" t="s">
        <v>23</v>
      </c>
      <c r="F2216" t="s">
        <v>18</v>
      </c>
      <c r="G2216">
        <v>3</v>
      </c>
      <c r="H2216">
        <v>114211</v>
      </c>
      <c r="I2216">
        <v>1513</v>
      </c>
      <c r="J2216" t="s">
        <v>12</v>
      </c>
      <c r="K2216" t="str">
        <f>_xlfn.XLOOKUP(datos_ventas[[#This Row],[Ciudad]],Tabla2[Ciudades],Tabla2[Provincias],"no se encuentra")</f>
        <v>Málaga</v>
      </c>
      <c r="L2216" t="str">
        <f>_xlfn.XLOOKUP(datos_ventas[[#This Row],[Provincia]],Tabla2[Provincias],Tabla2[Comunidades],"no se encuentra")</f>
        <v>Andalucía</v>
      </c>
      <c r="M2216" t="s">
        <v>19</v>
      </c>
      <c r="N2216">
        <v>2</v>
      </c>
    </row>
    <row r="2217" spans="1:14" x14ac:dyDescent="0.25">
      <c r="A2217">
        <v>3216</v>
      </c>
      <c r="B2217" s="1">
        <v>45899</v>
      </c>
      <c r="C2217" s="4">
        <f>MONTH(datos_ventas[[#This Row],[Fecha]])</f>
        <v>8</v>
      </c>
      <c r="D2217" s="4">
        <f>WEEKNUM(datos_ventas[[#This Row],[Fecha]],2)</f>
        <v>35</v>
      </c>
      <c r="E2217" t="s">
        <v>26</v>
      </c>
      <c r="F2217" t="s">
        <v>18</v>
      </c>
      <c r="G2217">
        <v>4</v>
      </c>
      <c r="H2217">
        <v>65495</v>
      </c>
      <c r="I2217">
        <v>2756</v>
      </c>
      <c r="J2217" t="s">
        <v>27</v>
      </c>
      <c r="K2217" t="str">
        <f>_xlfn.XLOOKUP(datos_ventas[[#This Row],[Ciudad]],Tabla2[Ciudades],Tabla2[Provincias],"no se encuentra")</f>
        <v>Sevilla</v>
      </c>
      <c r="L2217" t="str">
        <f>_xlfn.XLOOKUP(datos_ventas[[#This Row],[Provincia]],Tabla2[Provincias],Tabla2[Comunidades],"no se encuentra")</f>
        <v>Andalucía</v>
      </c>
      <c r="M2217" t="s">
        <v>28</v>
      </c>
      <c r="N2217">
        <v>4</v>
      </c>
    </row>
    <row r="2218" spans="1:14" x14ac:dyDescent="0.25">
      <c r="A2218">
        <v>3217</v>
      </c>
      <c r="B2218" s="1">
        <v>45804</v>
      </c>
      <c r="C2218" s="4">
        <f>MONTH(datos_ventas[[#This Row],[Fecha]])</f>
        <v>5</v>
      </c>
      <c r="D2218" s="4">
        <f>WEEKNUM(datos_ventas[[#This Row],[Fecha]],2)</f>
        <v>22</v>
      </c>
      <c r="E2218" t="s">
        <v>17</v>
      </c>
      <c r="F2218" t="s">
        <v>18</v>
      </c>
      <c r="G2218">
        <v>3</v>
      </c>
      <c r="H2218">
        <v>6188</v>
      </c>
      <c r="I2218">
        <v>4219</v>
      </c>
      <c r="J2218" t="s">
        <v>31</v>
      </c>
      <c r="K2218" t="str">
        <f>_xlfn.XLOOKUP(datos_ventas[[#This Row],[Ciudad]],Tabla2[Ciudades],Tabla2[Provincias],"no se encuentra")</f>
        <v>Vizcaya</v>
      </c>
      <c r="L2218" t="str">
        <f>_xlfn.XLOOKUP(datos_ventas[[#This Row],[Provincia]],Tabla2[Provincias],Tabla2[Comunidades],"no se encuentra")</f>
        <v>País Vasco</v>
      </c>
      <c r="M2218" t="s">
        <v>13</v>
      </c>
      <c r="N2218">
        <v>5</v>
      </c>
    </row>
    <row r="2219" spans="1:14" x14ac:dyDescent="0.25">
      <c r="A2219">
        <v>3218</v>
      </c>
      <c r="B2219" s="1">
        <v>45775</v>
      </c>
      <c r="C2219" s="4">
        <f>MONTH(datos_ventas[[#This Row],[Fecha]])</f>
        <v>4</v>
      </c>
      <c r="D2219" s="4">
        <f>WEEKNUM(datos_ventas[[#This Row],[Fecha]],2)</f>
        <v>18</v>
      </c>
      <c r="E2219" t="s">
        <v>20</v>
      </c>
      <c r="F2219" t="s">
        <v>21</v>
      </c>
      <c r="G2219">
        <v>3</v>
      </c>
      <c r="H2219">
        <v>82437</v>
      </c>
      <c r="I2219">
        <v>632</v>
      </c>
      <c r="J2219" t="s">
        <v>32</v>
      </c>
      <c r="K2219" t="str">
        <f>_xlfn.XLOOKUP(datos_ventas[[#This Row],[Ciudad]],Tabla2[Ciudades],Tabla2[Provincias],"no se encuentra")</f>
        <v>Barcelona</v>
      </c>
      <c r="L2219" t="str">
        <f>_xlfn.XLOOKUP(datos_ventas[[#This Row],[Provincia]],Tabla2[Provincias],Tabla2[Comunidades],"no se encuentra")</f>
        <v>Cataluña</v>
      </c>
      <c r="M2219" t="s">
        <v>28</v>
      </c>
      <c r="N2219">
        <v>4</v>
      </c>
    </row>
    <row r="2220" spans="1:14" x14ac:dyDescent="0.25">
      <c r="A2220">
        <v>3219</v>
      </c>
      <c r="B2220" s="1">
        <v>45764</v>
      </c>
      <c r="C2220" s="4">
        <f>MONTH(datos_ventas[[#This Row],[Fecha]])</f>
        <v>4</v>
      </c>
      <c r="D2220" s="4">
        <f>WEEKNUM(datos_ventas[[#This Row],[Fecha]],2)</f>
        <v>16</v>
      </c>
      <c r="E2220" t="s">
        <v>10</v>
      </c>
      <c r="F2220" t="s">
        <v>11</v>
      </c>
      <c r="G2220">
        <v>2</v>
      </c>
      <c r="H2220">
        <v>32843</v>
      </c>
      <c r="I2220">
        <v>56</v>
      </c>
      <c r="J2220" t="s">
        <v>12</v>
      </c>
      <c r="K2220" t="str">
        <f>_xlfn.XLOOKUP(datos_ventas[[#This Row],[Ciudad]],Tabla2[Ciudades],Tabla2[Provincias],"no se encuentra")</f>
        <v>Málaga</v>
      </c>
      <c r="L2220" t="str">
        <f>_xlfn.XLOOKUP(datos_ventas[[#This Row],[Provincia]],Tabla2[Provincias],Tabla2[Comunidades],"no se encuentra")</f>
        <v>Andalucía</v>
      </c>
      <c r="M2220" t="s">
        <v>15</v>
      </c>
      <c r="N2220">
        <v>3</v>
      </c>
    </row>
    <row r="2221" spans="1:14" x14ac:dyDescent="0.25">
      <c r="A2221">
        <v>3220</v>
      </c>
      <c r="B2221" s="1">
        <v>45929</v>
      </c>
      <c r="C2221" s="4">
        <f>MONTH(datos_ventas[[#This Row],[Fecha]])</f>
        <v>9</v>
      </c>
      <c r="D2221" s="4">
        <f>WEEKNUM(datos_ventas[[#This Row],[Fecha]],2)</f>
        <v>40</v>
      </c>
      <c r="E2221" t="s">
        <v>24</v>
      </c>
      <c r="F2221" t="s">
        <v>25</v>
      </c>
      <c r="G2221">
        <v>2</v>
      </c>
      <c r="H2221">
        <v>58002</v>
      </c>
      <c r="I2221">
        <v>4587</v>
      </c>
      <c r="J2221" t="s">
        <v>27</v>
      </c>
      <c r="K2221" t="str">
        <f>_xlfn.XLOOKUP(datos_ventas[[#This Row],[Ciudad]],Tabla2[Ciudades],Tabla2[Provincias],"no se encuentra")</f>
        <v>Sevilla</v>
      </c>
      <c r="L2221" t="str">
        <f>_xlfn.XLOOKUP(datos_ventas[[#This Row],[Provincia]],Tabla2[Provincias],Tabla2[Comunidades],"no se encuentra")</f>
        <v>Andalucía</v>
      </c>
      <c r="M2221" t="s">
        <v>19</v>
      </c>
      <c r="N2221">
        <v>3</v>
      </c>
    </row>
    <row r="2222" spans="1:14" x14ac:dyDescent="0.25">
      <c r="A2222">
        <v>3221</v>
      </c>
      <c r="B2222" s="1">
        <v>45685</v>
      </c>
      <c r="C2222" s="4">
        <f>MONTH(datos_ventas[[#This Row],[Fecha]])</f>
        <v>1</v>
      </c>
      <c r="D2222" s="4">
        <f>WEEKNUM(datos_ventas[[#This Row],[Fecha]],2)</f>
        <v>5</v>
      </c>
      <c r="E2222" t="s">
        <v>20</v>
      </c>
      <c r="F2222" t="s">
        <v>21</v>
      </c>
      <c r="G2222">
        <v>5</v>
      </c>
      <c r="H2222">
        <v>7688</v>
      </c>
      <c r="I2222">
        <v>4585</v>
      </c>
      <c r="J2222" t="s">
        <v>27</v>
      </c>
      <c r="K2222" t="str">
        <f>_xlfn.XLOOKUP(datos_ventas[[#This Row],[Ciudad]],Tabla2[Ciudades],Tabla2[Provincias],"no se encuentra")</f>
        <v>Sevilla</v>
      </c>
      <c r="L2222" t="str">
        <f>_xlfn.XLOOKUP(datos_ventas[[#This Row],[Provincia]],Tabla2[Provincias],Tabla2[Comunidades],"no se encuentra")</f>
        <v>Andalucía</v>
      </c>
      <c r="M2222" t="s">
        <v>28</v>
      </c>
      <c r="N2222">
        <v>3</v>
      </c>
    </row>
    <row r="2223" spans="1:14" x14ac:dyDescent="0.25">
      <c r="A2223">
        <v>3222</v>
      </c>
      <c r="B2223" s="1">
        <v>45938</v>
      </c>
      <c r="C2223" s="4">
        <f>MONTH(datos_ventas[[#This Row],[Fecha]])</f>
        <v>10</v>
      </c>
      <c r="D2223" s="4">
        <f>WEEKNUM(datos_ventas[[#This Row],[Fecha]],2)</f>
        <v>41</v>
      </c>
      <c r="E2223" t="s">
        <v>24</v>
      </c>
      <c r="F2223" t="s">
        <v>25</v>
      </c>
      <c r="G2223">
        <v>5</v>
      </c>
      <c r="H2223">
        <v>27905</v>
      </c>
      <c r="I2223">
        <v>2324</v>
      </c>
      <c r="J2223" t="s">
        <v>12</v>
      </c>
      <c r="K2223" t="str">
        <f>_xlfn.XLOOKUP(datos_ventas[[#This Row],[Ciudad]],Tabla2[Ciudades],Tabla2[Provincias],"no se encuentra")</f>
        <v>Málaga</v>
      </c>
      <c r="L2223" t="str">
        <f>_xlfn.XLOOKUP(datos_ventas[[#This Row],[Provincia]],Tabla2[Provincias],Tabla2[Comunidades],"no se encuentra")</f>
        <v>Andalucía</v>
      </c>
      <c r="M2223" t="s">
        <v>19</v>
      </c>
      <c r="N2223">
        <v>3</v>
      </c>
    </row>
    <row r="2224" spans="1:14" x14ac:dyDescent="0.25">
      <c r="A2224">
        <v>3223</v>
      </c>
      <c r="B2224" s="1">
        <v>45810</v>
      </c>
      <c r="C2224" s="4">
        <f>MONTH(datos_ventas[[#This Row],[Fecha]])</f>
        <v>6</v>
      </c>
      <c r="D2224" s="4">
        <f>WEEKNUM(datos_ventas[[#This Row],[Fecha]],2)</f>
        <v>23</v>
      </c>
      <c r="E2224" t="s">
        <v>29</v>
      </c>
      <c r="F2224" t="s">
        <v>30</v>
      </c>
      <c r="G2224">
        <v>3</v>
      </c>
      <c r="H2224">
        <v>52921</v>
      </c>
      <c r="I2224">
        <v>3234</v>
      </c>
      <c r="J2224" t="s">
        <v>14</v>
      </c>
      <c r="K2224" t="str">
        <f>_xlfn.XLOOKUP(datos_ventas[[#This Row],[Ciudad]],Tabla2[Ciudades],Tabla2[Provincias],"no se encuentra")</f>
        <v>Madrid</v>
      </c>
      <c r="L2224" t="str">
        <f>_xlfn.XLOOKUP(datos_ventas[[#This Row],[Provincia]],Tabla2[Provincias],Tabla2[Comunidades],"no se encuentra")</f>
        <v>Comunidad de Madrid</v>
      </c>
      <c r="M2224" t="s">
        <v>15</v>
      </c>
      <c r="N2224">
        <v>2</v>
      </c>
    </row>
    <row r="2225" spans="1:14" x14ac:dyDescent="0.25">
      <c r="A2225">
        <v>3224</v>
      </c>
      <c r="B2225" s="1">
        <v>45832</v>
      </c>
      <c r="C2225" s="4">
        <f>MONTH(datos_ventas[[#This Row],[Fecha]])</f>
        <v>6</v>
      </c>
      <c r="D2225" s="4">
        <f>WEEKNUM(datos_ventas[[#This Row],[Fecha]],2)</f>
        <v>26</v>
      </c>
      <c r="E2225" t="s">
        <v>17</v>
      </c>
      <c r="F2225" t="s">
        <v>18</v>
      </c>
      <c r="G2225">
        <v>4</v>
      </c>
      <c r="H2225">
        <v>80791</v>
      </c>
      <c r="I2225">
        <v>2851</v>
      </c>
      <c r="J2225" t="s">
        <v>22</v>
      </c>
      <c r="K2225" t="str">
        <f>_xlfn.XLOOKUP(datos_ventas[[#This Row],[Ciudad]],Tabla2[Ciudades],Tabla2[Provincias],"no se encuentra")</f>
        <v>Valencia</v>
      </c>
      <c r="L2225" t="str">
        <f>_xlfn.XLOOKUP(datos_ventas[[#This Row],[Provincia]],Tabla2[Provincias],Tabla2[Comunidades],"no se encuentra")</f>
        <v>Comunidad Valenciana</v>
      </c>
      <c r="M2225" t="s">
        <v>15</v>
      </c>
      <c r="N2225">
        <v>5</v>
      </c>
    </row>
    <row r="2226" spans="1:14" x14ac:dyDescent="0.25">
      <c r="A2226">
        <v>3225</v>
      </c>
      <c r="B2226" s="1">
        <v>45953</v>
      </c>
      <c r="C2226" s="4">
        <f>MONTH(datos_ventas[[#This Row],[Fecha]])</f>
        <v>10</v>
      </c>
      <c r="D2226" s="4">
        <f>WEEKNUM(datos_ventas[[#This Row],[Fecha]],2)</f>
        <v>43</v>
      </c>
      <c r="E2226" t="s">
        <v>24</v>
      </c>
      <c r="F2226" t="s">
        <v>25</v>
      </c>
      <c r="G2226">
        <v>3</v>
      </c>
      <c r="H2226">
        <v>76444</v>
      </c>
      <c r="I2226">
        <v>1135</v>
      </c>
      <c r="J2226" t="s">
        <v>27</v>
      </c>
      <c r="K2226" t="str">
        <f>_xlfn.XLOOKUP(datos_ventas[[#This Row],[Ciudad]],Tabla2[Ciudades],Tabla2[Provincias],"no se encuentra")</f>
        <v>Sevilla</v>
      </c>
      <c r="L2226" t="str">
        <f>_xlfn.XLOOKUP(datos_ventas[[#This Row],[Provincia]],Tabla2[Provincias],Tabla2[Comunidades],"no se encuentra")</f>
        <v>Andalucía</v>
      </c>
      <c r="M2226" t="s">
        <v>13</v>
      </c>
      <c r="N2226">
        <v>1</v>
      </c>
    </row>
    <row r="2227" spans="1:14" x14ac:dyDescent="0.25">
      <c r="A2227">
        <v>3226</v>
      </c>
      <c r="B2227" s="1">
        <v>45918</v>
      </c>
      <c r="C2227" s="4">
        <f>MONTH(datos_ventas[[#This Row],[Fecha]])</f>
        <v>9</v>
      </c>
      <c r="D2227" s="4">
        <f>WEEKNUM(datos_ventas[[#This Row],[Fecha]],2)</f>
        <v>38</v>
      </c>
      <c r="E2227" t="s">
        <v>20</v>
      </c>
      <c r="F2227" t="s">
        <v>21</v>
      </c>
      <c r="G2227">
        <v>4</v>
      </c>
      <c r="H2227">
        <v>80179</v>
      </c>
      <c r="I2227">
        <v>2088</v>
      </c>
      <c r="J2227" t="s">
        <v>14</v>
      </c>
      <c r="K2227" t="str">
        <f>_xlfn.XLOOKUP(datos_ventas[[#This Row],[Ciudad]],Tabla2[Ciudades],Tabla2[Provincias],"no se encuentra")</f>
        <v>Madrid</v>
      </c>
      <c r="L2227" t="str">
        <f>_xlfn.XLOOKUP(datos_ventas[[#This Row],[Provincia]],Tabla2[Provincias],Tabla2[Comunidades],"no se encuentra")</f>
        <v>Comunidad de Madrid</v>
      </c>
      <c r="M2227" t="s">
        <v>13</v>
      </c>
      <c r="N2227">
        <v>1</v>
      </c>
    </row>
    <row r="2228" spans="1:14" x14ac:dyDescent="0.25">
      <c r="A2228">
        <v>3227</v>
      </c>
      <c r="B2228" s="1">
        <v>45867</v>
      </c>
      <c r="C2228" s="4">
        <f>MONTH(datos_ventas[[#This Row],[Fecha]])</f>
        <v>7</v>
      </c>
      <c r="D2228" s="4">
        <f>WEEKNUM(datos_ventas[[#This Row],[Fecha]],2)</f>
        <v>31</v>
      </c>
      <c r="E2228" t="s">
        <v>23</v>
      </c>
      <c r="F2228" t="s">
        <v>18</v>
      </c>
      <c r="G2228">
        <v>5</v>
      </c>
      <c r="H2228">
        <v>26333</v>
      </c>
      <c r="I2228">
        <v>1081</v>
      </c>
      <c r="J2228" t="s">
        <v>12</v>
      </c>
      <c r="K2228" t="str">
        <f>_xlfn.XLOOKUP(datos_ventas[[#This Row],[Ciudad]],Tabla2[Ciudades],Tabla2[Provincias],"no se encuentra")</f>
        <v>Málaga</v>
      </c>
      <c r="L2228" t="str">
        <f>_xlfn.XLOOKUP(datos_ventas[[#This Row],[Provincia]],Tabla2[Provincias],Tabla2[Comunidades],"no se encuentra")</f>
        <v>Andalucía</v>
      </c>
      <c r="M2228" t="s">
        <v>28</v>
      </c>
      <c r="N2228">
        <v>5</v>
      </c>
    </row>
    <row r="2229" spans="1:14" x14ac:dyDescent="0.25">
      <c r="A2229">
        <v>3228</v>
      </c>
      <c r="B2229" s="1">
        <v>45729</v>
      </c>
      <c r="C2229" s="4">
        <f>MONTH(datos_ventas[[#This Row],[Fecha]])</f>
        <v>3</v>
      </c>
      <c r="D2229" s="4">
        <f>WEEKNUM(datos_ventas[[#This Row],[Fecha]],2)</f>
        <v>11</v>
      </c>
      <c r="E2229" t="s">
        <v>23</v>
      </c>
      <c r="F2229" t="s">
        <v>18</v>
      </c>
      <c r="G2229">
        <v>2</v>
      </c>
      <c r="H2229">
        <v>113753</v>
      </c>
      <c r="I2229">
        <v>301</v>
      </c>
      <c r="J2229" t="s">
        <v>32</v>
      </c>
      <c r="K2229" t="str">
        <f>_xlfn.XLOOKUP(datos_ventas[[#This Row],[Ciudad]],Tabla2[Ciudades],Tabla2[Provincias],"no se encuentra")</f>
        <v>Barcelona</v>
      </c>
      <c r="L2229" t="str">
        <f>_xlfn.XLOOKUP(datos_ventas[[#This Row],[Provincia]],Tabla2[Provincias],Tabla2[Comunidades],"no se encuentra")</f>
        <v>Cataluña</v>
      </c>
      <c r="M2229" t="s">
        <v>15</v>
      </c>
      <c r="N2229">
        <v>4</v>
      </c>
    </row>
    <row r="2230" spans="1:14" x14ac:dyDescent="0.25">
      <c r="A2230">
        <v>3229</v>
      </c>
      <c r="B2230" s="1">
        <v>45687</v>
      </c>
      <c r="C2230" s="4">
        <f>MONTH(datos_ventas[[#This Row],[Fecha]])</f>
        <v>1</v>
      </c>
      <c r="D2230" s="4">
        <f>WEEKNUM(datos_ventas[[#This Row],[Fecha]],2)</f>
        <v>5</v>
      </c>
      <c r="E2230" t="s">
        <v>29</v>
      </c>
      <c r="F2230" t="s">
        <v>30</v>
      </c>
      <c r="G2230">
        <v>3</v>
      </c>
      <c r="H2230">
        <v>115483</v>
      </c>
      <c r="I2230">
        <v>2402</v>
      </c>
      <c r="J2230" t="s">
        <v>31</v>
      </c>
      <c r="K2230" t="str">
        <f>_xlfn.XLOOKUP(datos_ventas[[#This Row],[Ciudad]],Tabla2[Ciudades],Tabla2[Provincias],"no se encuentra")</f>
        <v>Vizcaya</v>
      </c>
      <c r="L2230" t="str">
        <f>_xlfn.XLOOKUP(datos_ventas[[#This Row],[Provincia]],Tabla2[Provincias],Tabla2[Comunidades],"no se encuentra")</f>
        <v>País Vasco</v>
      </c>
      <c r="M2230" t="s">
        <v>15</v>
      </c>
      <c r="N2230">
        <v>4</v>
      </c>
    </row>
    <row r="2231" spans="1:14" x14ac:dyDescent="0.25">
      <c r="A2231">
        <v>3230</v>
      </c>
      <c r="B2231" s="1">
        <v>45742</v>
      </c>
      <c r="C2231" s="4">
        <f>MONTH(datos_ventas[[#This Row],[Fecha]])</f>
        <v>3</v>
      </c>
      <c r="D2231" s="4">
        <f>WEEKNUM(datos_ventas[[#This Row],[Fecha]],2)</f>
        <v>13</v>
      </c>
      <c r="E2231" t="s">
        <v>29</v>
      </c>
      <c r="F2231" t="s">
        <v>30</v>
      </c>
      <c r="G2231">
        <v>5</v>
      </c>
      <c r="H2231">
        <v>71425</v>
      </c>
      <c r="I2231">
        <v>3354</v>
      </c>
      <c r="J2231" t="s">
        <v>27</v>
      </c>
      <c r="K2231" t="str">
        <f>_xlfn.XLOOKUP(datos_ventas[[#This Row],[Ciudad]],Tabla2[Ciudades],Tabla2[Provincias],"no se encuentra")</f>
        <v>Sevilla</v>
      </c>
      <c r="L2231" t="str">
        <f>_xlfn.XLOOKUP(datos_ventas[[#This Row],[Provincia]],Tabla2[Provincias],Tabla2[Comunidades],"no se encuentra")</f>
        <v>Andalucía</v>
      </c>
      <c r="M2231" t="s">
        <v>13</v>
      </c>
      <c r="N2231">
        <v>1</v>
      </c>
    </row>
    <row r="2232" spans="1:14" x14ac:dyDescent="0.25">
      <c r="A2232">
        <v>3231</v>
      </c>
      <c r="B2232" s="1">
        <v>45946</v>
      </c>
      <c r="C2232" s="4">
        <f>MONTH(datos_ventas[[#This Row],[Fecha]])</f>
        <v>10</v>
      </c>
      <c r="D2232" s="4">
        <f>WEEKNUM(datos_ventas[[#This Row],[Fecha]],2)</f>
        <v>42</v>
      </c>
      <c r="E2232" t="s">
        <v>23</v>
      </c>
      <c r="F2232" t="s">
        <v>18</v>
      </c>
      <c r="G2232">
        <v>4</v>
      </c>
      <c r="H2232">
        <v>55772</v>
      </c>
      <c r="I2232">
        <v>2599</v>
      </c>
      <c r="J2232" t="s">
        <v>31</v>
      </c>
      <c r="K2232" t="str">
        <f>_xlfn.XLOOKUP(datos_ventas[[#This Row],[Ciudad]],Tabla2[Ciudades],Tabla2[Provincias],"no se encuentra")</f>
        <v>Vizcaya</v>
      </c>
      <c r="L2232" t="str">
        <f>_xlfn.XLOOKUP(datos_ventas[[#This Row],[Provincia]],Tabla2[Provincias],Tabla2[Comunidades],"no se encuentra")</f>
        <v>País Vasco</v>
      </c>
      <c r="M2232" t="s">
        <v>15</v>
      </c>
      <c r="N2232">
        <v>4</v>
      </c>
    </row>
    <row r="2233" spans="1:14" x14ac:dyDescent="0.25">
      <c r="A2233">
        <v>3232</v>
      </c>
      <c r="B2233" s="1">
        <v>45903</v>
      </c>
      <c r="C2233" s="4">
        <f>MONTH(datos_ventas[[#This Row],[Fecha]])</f>
        <v>9</v>
      </c>
      <c r="D2233" s="4">
        <f>WEEKNUM(datos_ventas[[#This Row],[Fecha]],2)</f>
        <v>36</v>
      </c>
      <c r="E2233" t="s">
        <v>20</v>
      </c>
      <c r="F2233" t="s">
        <v>21</v>
      </c>
      <c r="G2233">
        <v>1</v>
      </c>
      <c r="H2233">
        <v>388</v>
      </c>
      <c r="I2233">
        <v>2622</v>
      </c>
      <c r="J2233" t="s">
        <v>31</v>
      </c>
      <c r="K2233" t="str">
        <f>_xlfn.XLOOKUP(datos_ventas[[#This Row],[Ciudad]],Tabla2[Ciudades],Tabla2[Provincias],"no se encuentra")</f>
        <v>Vizcaya</v>
      </c>
      <c r="L2233" t="str">
        <f>_xlfn.XLOOKUP(datos_ventas[[#This Row],[Provincia]],Tabla2[Provincias],Tabla2[Comunidades],"no se encuentra")</f>
        <v>País Vasco</v>
      </c>
      <c r="M2233" t="s">
        <v>19</v>
      </c>
      <c r="N2233">
        <v>1</v>
      </c>
    </row>
    <row r="2234" spans="1:14" x14ac:dyDescent="0.25">
      <c r="A2234">
        <v>3233</v>
      </c>
      <c r="B2234" s="1">
        <v>45765</v>
      </c>
      <c r="C2234" s="4">
        <f>MONTH(datos_ventas[[#This Row],[Fecha]])</f>
        <v>4</v>
      </c>
      <c r="D2234" s="4">
        <f>WEEKNUM(datos_ventas[[#This Row],[Fecha]],2)</f>
        <v>16</v>
      </c>
      <c r="E2234" t="s">
        <v>23</v>
      </c>
      <c r="F2234" t="s">
        <v>18</v>
      </c>
      <c r="G2234">
        <v>2</v>
      </c>
      <c r="H2234">
        <v>115759</v>
      </c>
      <c r="I2234">
        <v>687</v>
      </c>
      <c r="J2234" t="s">
        <v>32</v>
      </c>
      <c r="K2234" t="str">
        <f>_xlfn.XLOOKUP(datos_ventas[[#This Row],[Ciudad]],Tabla2[Ciudades],Tabla2[Provincias],"no se encuentra")</f>
        <v>Barcelona</v>
      </c>
      <c r="L2234" t="str">
        <f>_xlfn.XLOOKUP(datos_ventas[[#This Row],[Provincia]],Tabla2[Provincias],Tabla2[Comunidades],"no se encuentra")</f>
        <v>Cataluña</v>
      </c>
      <c r="M2234" t="s">
        <v>13</v>
      </c>
      <c r="N2234">
        <v>1</v>
      </c>
    </row>
    <row r="2235" spans="1:14" x14ac:dyDescent="0.25">
      <c r="A2235">
        <v>3234</v>
      </c>
      <c r="B2235" s="1">
        <v>45953</v>
      </c>
      <c r="C2235" s="4">
        <f>MONTH(datos_ventas[[#This Row],[Fecha]])</f>
        <v>10</v>
      </c>
      <c r="D2235" s="4">
        <f>WEEKNUM(datos_ventas[[#This Row],[Fecha]],2)</f>
        <v>43</v>
      </c>
      <c r="E2235" t="s">
        <v>16</v>
      </c>
      <c r="F2235" t="s">
        <v>11</v>
      </c>
      <c r="G2235">
        <v>3</v>
      </c>
      <c r="H2235">
        <v>100989</v>
      </c>
      <c r="I2235">
        <v>2528</v>
      </c>
      <c r="J2235" t="s">
        <v>12</v>
      </c>
      <c r="K2235" t="str">
        <f>_xlfn.XLOOKUP(datos_ventas[[#This Row],[Ciudad]],Tabla2[Ciudades],Tabla2[Provincias],"no se encuentra")</f>
        <v>Málaga</v>
      </c>
      <c r="L2235" t="str">
        <f>_xlfn.XLOOKUP(datos_ventas[[#This Row],[Provincia]],Tabla2[Provincias],Tabla2[Comunidades],"no se encuentra")</f>
        <v>Andalucía</v>
      </c>
      <c r="M2235" t="s">
        <v>19</v>
      </c>
      <c r="N2235">
        <v>2</v>
      </c>
    </row>
    <row r="2236" spans="1:14" x14ac:dyDescent="0.25">
      <c r="A2236">
        <v>3235</v>
      </c>
      <c r="B2236" s="1">
        <v>45731</v>
      </c>
      <c r="C2236" s="4">
        <f>MONTH(datos_ventas[[#This Row],[Fecha]])</f>
        <v>3</v>
      </c>
      <c r="D2236" s="4">
        <f>WEEKNUM(datos_ventas[[#This Row],[Fecha]],2)</f>
        <v>11</v>
      </c>
      <c r="E2236" t="s">
        <v>29</v>
      </c>
      <c r="F2236" t="s">
        <v>30</v>
      </c>
      <c r="G2236">
        <v>5</v>
      </c>
      <c r="H2236">
        <v>118935</v>
      </c>
      <c r="I2236">
        <v>3258</v>
      </c>
      <c r="J2236" t="s">
        <v>31</v>
      </c>
      <c r="K2236" t="str">
        <f>_xlfn.XLOOKUP(datos_ventas[[#This Row],[Ciudad]],Tabla2[Ciudades],Tabla2[Provincias],"no se encuentra")</f>
        <v>Vizcaya</v>
      </c>
      <c r="L2236" t="str">
        <f>_xlfn.XLOOKUP(datos_ventas[[#This Row],[Provincia]],Tabla2[Provincias],Tabla2[Comunidades],"no se encuentra")</f>
        <v>País Vasco</v>
      </c>
      <c r="M2236" t="s">
        <v>13</v>
      </c>
      <c r="N2236">
        <v>5</v>
      </c>
    </row>
    <row r="2237" spans="1:14" x14ac:dyDescent="0.25">
      <c r="A2237">
        <v>3236</v>
      </c>
      <c r="B2237" s="1">
        <v>45830</v>
      </c>
      <c r="C2237" s="4">
        <f>MONTH(datos_ventas[[#This Row],[Fecha]])</f>
        <v>6</v>
      </c>
      <c r="D2237" s="4">
        <f>WEEKNUM(datos_ventas[[#This Row],[Fecha]],2)</f>
        <v>25</v>
      </c>
      <c r="E2237" t="s">
        <v>26</v>
      </c>
      <c r="F2237" t="s">
        <v>18</v>
      </c>
      <c r="G2237">
        <v>2</v>
      </c>
      <c r="H2237">
        <v>35836</v>
      </c>
      <c r="I2237">
        <v>1522</v>
      </c>
      <c r="J2237" t="s">
        <v>12</v>
      </c>
      <c r="K2237" t="str">
        <f>_xlfn.XLOOKUP(datos_ventas[[#This Row],[Ciudad]],Tabla2[Ciudades],Tabla2[Provincias],"no se encuentra")</f>
        <v>Málaga</v>
      </c>
      <c r="L2237" t="str">
        <f>_xlfn.XLOOKUP(datos_ventas[[#This Row],[Provincia]],Tabla2[Provincias],Tabla2[Comunidades],"no se encuentra")</f>
        <v>Andalucía</v>
      </c>
      <c r="M2237" t="s">
        <v>15</v>
      </c>
      <c r="N2237">
        <v>1</v>
      </c>
    </row>
    <row r="2238" spans="1:14" x14ac:dyDescent="0.25">
      <c r="A2238">
        <v>3237</v>
      </c>
      <c r="B2238" s="1">
        <v>45824</v>
      </c>
      <c r="C2238" s="4">
        <f>MONTH(datos_ventas[[#This Row],[Fecha]])</f>
        <v>6</v>
      </c>
      <c r="D2238" s="4">
        <f>WEEKNUM(datos_ventas[[#This Row],[Fecha]],2)</f>
        <v>25</v>
      </c>
      <c r="E2238" t="s">
        <v>24</v>
      </c>
      <c r="F2238" t="s">
        <v>25</v>
      </c>
      <c r="G2238">
        <v>5</v>
      </c>
      <c r="H2238">
        <v>53888</v>
      </c>
      <c r="I2238">
        <v>394</v>
      </c>
      <c r="J2238" t="s">
        <v>31</v>
      </c>
      <c r="K2238" t="str">
        <f>_xlfn.XLOOKUP(datos_ventas[[#This Row],[Ciudad]],Tabla2[Ciudades],Tabla2[Provincias],"no se encuentra")</f>
        <v>Vizcaya</v>
      </c>
      <c r="L2238" t="str">
        <f>_xlfn.XLOOKUP(datos_ventas[[#This Row],[Provincia]],Tabla2[Provincias],Tabla2[Comunidades],"no se encuentra")</f>
        <v>País Vasco</v>
      </c>
      <c r="M2238" t="s">
        <v>15</v>
      </c>
      <c r="N2238">
        <v>2</v>
      </c>
    </row>
    <row r="2239" spans="1:14" x14ac:dyDescent="0.25">
      <c r="A2239">
        <v>3238</v>
      </c>
      <c r="B2239" s="1">
        <v>45944</v>
      </c>
      <c r="C2239" s="4">
        <f>MONTH(datos_ventas[[#This Row],[Fecha]])</f>
        <v>10</v>
      </c>
      <c r="D2239" s="4">
        <f>WEEKNUM(datos_ventas[[#This Row],[Fecha]],2)</f>
        <v>42</v>
      </c>
      <c r="E2239" t="s">
        <v>26</v>
      </c>
      <c r="F2239" t="s">
        <v>18</v>
      </c>
      <c r="G2239">
        <v>1</v>
      </c>
      <c r="H2239">
        <v>116821</v>
      </c>
      <c r="I2239">
        <v>4257</v>
      </c>
      <c r="J2239" t="s">
        <v>27</v>
      </c>
      <c r="K2239" t="str">
        <f>_xlfn.XLOOKUP(datos_ventas[[#This Row],[Ciudad]],Tabla2[Ciudades],Tabla2[Provincias],"no se encuentra")</f>
        <v>Sevilla</v>
      </c>
      <c r="L2239" t="str">
        <f>_xlfn.XLOOKUP(datos_ventas[[#This Row],[Provincia]],Tabla2[Provincias],Tabla2[Comunidades],"no se encuentra")</f>
        <v>Andalucía</v>
      </c>
      <c r="M2239" t="s">
        <v>13</v>
      </c>
      <c r="N2239">
        <v>4</v>
      </c>
    </row>
    <row r="2240" spans="1:14" x14ac:dyDescent="0.25">
      <c r="A2240">
        <v>3239</v>
      </c>
      <c r="B2240" s="1">
        <v>45882</v>
      </c>
      <c r="C2240" s="4">
        <f>MONTH(datos_ventas[[#This Row],[Fecha]])</f>
        <v>8</v>
      </c>
      <c r="D2240" s="4">
        <f>WEEKNUM(datos_ventas[[#This Row],[Fecha]],2)</f>
        <v>33</v>
      </c>
      <c r="E2240" t="s">
        <v>17</v>
      </c>
      <c r="F2240" t="s">
        <v>18</v>
      </c>
      <c r="G2240">
        <v>5</v>
      </c>
      <c r="H2240">
        <v>15391</v>
      </c>
      <c r="I2240">
        <v>3971</v>
      </c>
      <c r="J2240" t="s">
        <v>31</v>
      </c>
      <c r="K2240" t="str">
        <f>_xlfn.XLOOKUP(datos_ventas[[#This Row],[Ciudad]],Tabla2[Ciudades],Tabla2[Provincias],"no se encuentra")</f>
        <v>Vizcaya</v>
      </c>
      <c r="L2240" t="str">
        <f>_xlfn.XLOOKUP(datos_ventas[[#This Row],[Provincia]],Tabla2[Provincias],Tabla2[Comunidades],"no se encuentra")</f>
        <v>País Vasco</v>
      </c>
      <c r="M2240" t="s">
        <v>13</v>
      </c>
      <c r="N2240">
        <v>1</v>
      </c>
    </row>
    <row r="2241" spans="1:14" x14ac:dyDescent="0.25">
      <c r="A2241">
        <v>3240</v>
      </c>
      <c r="B2241" s="1">
        <v>45833</v>
      </c>
      <c r="C2241" s="4">
        <f>MONTH(datos_ventas[[#This Row],[Fecha]])</f>
        <v>6</v>
      </c>
      <c r="D2241" s="4">
        <f>WEEKNUM(datos_ventas[[#This Row],[Fecha]],2)</f>
        <v>26</v>
      </c>
      <c r="E2241" t="s">
        <v>26</v>
      </c>
      <c r="F2241" t="s">
        <v>18</v>
      </c>
      <c r="G2241">
        <v>4</v>
      </c>
      <c r="H2241">
        <v>114362</v>
      </c>
      <c r="I2241">
        <v>185</v>
      </c>
      <c r="J2241" t="s">
        <v>32</v>
      </c>
      <c r="K2241" t="str">
        <f>_xlfn.XLOOKUP(datos_ventas[[#This Row],[Ciudad]],Tabla2[Ciudades],Tabla2[Provincias],"no se encuentra")</f>
        <v>Barcelona</v>
      </c>
      <c r="L2241" t="str">
        <f>_xlfn.XLOOKUP(datos_ventas[[#This Row],[Provincia]],Tabla2[Provincias],Tabla2[Comunidades],"no se encuentra")</f>
        <v>Cataluña</v>
      </c>
      <c r="M2241" t="s">
        <v>15</v>
      </c>
      <c r="N2241">
        <v>5</v>
      </c>
    </row>
    <row r="2242" spans="1:14" x14ac:dyDescent="0.25">
      <c r="A2242">
        <v>3241</v>
      </c>
      <c r="B2242" s="1">
        <v>45970</v>
      </c>
      <c r="C2242" s="4">
        <f>MONTH(datos_ventas[[#This Row],[Fecha]])</f>
        <v>11</v>
      </c>
      <c r="D2242" s="4">
        <f>WEEKNUM(datos_ventas[[#This Row],[Fecha]],2)</f>
        <v>45</v>
      </c>
      <c r="E2242" t="s">
        <v>26</v>
      </c>
      <c r="F2242" t="s">
        <v>18</v>
      </c>
      <c r="G2242">
        <v>4</v>
      </c>
      <c r="H2242">
        <v>67555</v>
      </c>
      <c r="I2242">
        <v>4715</v>
      </c>
      <c r="J2242" t="s">
        <v>12</v>
      </c>
      <c r="K2242" t="str">
        <f>_xlfn.XLOOKUP(datos_ventas[[#This Row],[Ciudad]],Tabla2[Ciudades],Tabla2[Provincias],"no se encuentra")</f>
        <v>Málaga</v>
      </c>
      <c r="L2242" t="str">
        <f>_xlfn.XLOOKUP(datos_ventas[[#This Row],[Provincia]],Tabla2[Provincias],Tabla2[Comunidades],"no se encuentra")</f>
        <v>Andalucía</v>
      </c>
      <c r="M2242" t="s">
        <v>28</v>
      </c>
      <c r="N2242">
        <v>3</v>
      </c>
    </row>
    <row r="2243" spans="1:14" x14ac:dyDescent="0.25">
      <c r="A2243">
        <v>3242</v>
      </c>
      <c r="B2243" s="1">
        <v>45676</v>
      </c>
      <c r="C2243" s="4">
        <f>MONTH(datos_ventas[[#This Row],[Fecha]])</f>
        <v>1</v>
      </c>
      <c r="D2243" s="4">
        <f>WEEKNUM(datos_ventas[[#This Row],[Fecha]],2)</f>
        <v>3</v>
      </c>
      <c r="E2243" t="s">
        <v>26</v>
      </c>
      <c r="F2243" t="s">
        <v>18</v>
      </c>
      <c r="G2243">
        <v>4</v>
      </c>
      <c r="H2243">
        <v>63118</v>
      </c>
      <c r="I2243">
        <v>1943</v>
      </c>
      <c r="J2243" t="s">
        <v>14</v>
      </c>
      <c r="K2243" t="str">
        <f>_xlfn.XLOOKUP(datos_ventas[[#This Row],[Ciudad]],Tabla2[Ciudades],Tabla2[Provincias],"no se encuentra")</f>
        <v>Madrid</v>
      </c>
      <c r="L2243" t="str">
        <f>_xlfn.XLOOKUP(datos_ventas[[#This Row],[Provincia]],Tabla2[Provincias],Tabla2[Comunidades],"no se encuentra")</f>
        <v>Comunidad de Madrid</v>
      </c>
      <c r="M2243" t="s">
        <v>15</v>
      </c>
      <c r="N2243">
        <v>3</v>
      </c>
    </row>
    <row r="2244" spans="1:14" x14ac:dyDescent="0.25">
      <c r="A2244">
        <v>3243</v>
      </c>
      <c r="B2244" s="1">
        <v>45914</v>
      </c>
      <c r="C2244" s="4">
        <f>MONTH(datos_ventas[[#This Row],[Fecha]])</f>
        <v>9</v>
      </c>
      <c r="D2244" s="4">
        <f>WEEKNUM(datos_ventas[[#This Row],[Fecha]],2)</f>
        <v>37</v>
      </c>
      <c r="E2244" t="s">
        <v>26</v>
      </c>
      <c r="F2244" t="s">
        <v>18</v>
      </c>
      <c r="G2244">
        <v>4</v>
      </c>
      <c r="H2244">
        <v>76435</v>
      </c>
      <c r="I2244">
        <v>4068</v>
      </c>
      <c r="J2244" t="s">
        <v>32</v>
      </c>
      <c r="K2244" t="str">
        <f>_xlfn.XLOOKUP(datos_ventas[[#This Row],[Ciudad]],Tabla2[Ciudades],Tabla2[Provincias],"no se encuentra")</f>
        <v>Barcelona</v>
      </c>
      <c r="L2244" t="str">
        <f>_xlfn.XLOOKUP(datos_ventas[[#This Row],[Provincia]],Tabla2[Provincias],Tabla2[Comunidades],"no se encuentra")</f>
        <v>Cataluña</v>
      </c>
      <c r="M2244" t="s">
        <v>19</v>
      </c>
      <c r="N2244">
        <v>5</v>
      </c>
    </row>
    <row r="2245" spans="1:14" x14ac:dyDescent="0.25">
      <c r="A2245">
        <v>3244</v>
      </c>
      <c r="B2245" s="1">
        <v>46020</v>
      </c>
      <c r="C2245" s="4">
        <f>MONTH(datos_ventas[[#This Row],[Fecha]])</f>
        <v>12</v>
      </c>
      <c r="D2245" s="4">
        <f>WEEKNUM(datos_ventas[[#This Row],[Fecha]],2)</f>
        <v>53</v>
      </c>
      <c r="E2245" t="s">
        <v>26</v>
      </c>
      <c r="F2245" t="s">
        <v>18</v>
      </c>
      <c r="G2245">
        <v>2</v>
      </c>
      <c r="H2245">
        <v>97638</v>
      </c>
      <c r="I2245">
        <v>2971</v>
      </c>
      <c r="J2245" t="s">
        <v>31</v>
      </c>
      <c r="K2245" t="str">
        <f>_xlfn.XLOOKUP(datos_ventas[[#This Row],[Ciudad]],Tabla2[Ciudades],Tabla2[Provincias],"no se encuentra")</f>
        <v>Vizcaya</v>
      </c>
      <c r="L2245" t="str">
        <f>_xlfn.XLOOKUP(datos_ventas[[#This Row],[Provincia]],Tabla2[Provincias],Tabla2[Comunidades],"no se encuentra")</f>
        <v>País Vasco</v>
      </c>
      <c r="M2245" t="s">
        <v>19</v>
      </c>
      <c r="N2245">
        <v>3</v>
      </c>
    </row>
    <row r="2246" spans="1:14" x14ac:dyDescent="0.25">
      <c r="A2246">
        <v>3245</v>
      </c>
      <c r="B2246" s="1">
        <v>46020</v>
      </c>
      <c r="C2246" s="4">
        <f>MONTH(datos_ventas[[#This Row],[Fecha]])</f>
        <v>12</v>
      </c>
      <c r="D2246" s="4">
        <f>WEEKNUM(datos_ventas[[#This Row],[Fecha]],2)</f>
        <v>53</v>
      </c>
      <c r="E2246" t="s">
        <v>16</v>
      </c>
      <c r="F2246" t="s">
        <v>11</v>
      </c>
      <c r="G2246">
        <v>2</v>
      </c>
      <c r="H2246">
        <v>61906</v>
      </c>
      <c r="I2246">
        <v>475</v>
      </c>
      <c r="J2246" t="s">
        <v>27</v>
      </c>
      <c r="K2246" t="str">
        <f>_xlfn.XLOOKUP(datos_ventas[[#This Row],[Ciudad]],Tabla2[Ciudades],Tabla2[Provincias],"no se encuentra")</f>
        <v>Sevilla</v>
      </c>
      <c r="L2246" t="str">
        <f>_xlfn.XLOOKUP(datos_ventas[[#This Row],[Provincia]],Tabla2[Provincias],Tabla2[Comunidades],"no se encuentra")</f>
        <v>Andalucía</v>
      </c>
      <c r="M2246" t="s">
        <v>15</v>
      </c>
      <c r="N2246">
        <v>5</v>
      </c>
    </row>
    <row r="2247" spans="1:14" x14ac:dyDescent="0.25">
      <c r="A2247">
        <v>3246</v>
      </c>
      <c r="B2247" s="1">
        <v>45942</v>
      </c>
      <c r="C2247" s="4">
        <f>MONTH(datos_ventas[[#This Row],[Fecha]])</f>
        <v>10</v>
      </c>
      <c r="D2247" s="4">
        <f>WEEKNUM(datos_ventas[[#This Row],[Fecha]],2)</f>
        <v>41</v>
      </c>
      <c r="E2247" t="s">
        <v>26</v>
      </c>
      <c r="F2247" t="s">
        <v>18</v>
      </c>
      <c r="G2247">
        <v>3</v>
      </c>
      <c r="H2247">
        <v>2278</v>
      </c>
      <c r="I2247">
        <v>3043</v>
      </c>
      <c r="J2247" t="s">
        <v>14</v>
      </c>
      <c r="K2247" t="str">
        <f>_xlfn.XLOOKUP(datos_ventas[[#This Row],[Ciudad]],Tabla2[Ciudades],Tabla2[Provincias],"no se encuentra")</f>
        <v>Madrid</v>
      </c>
      <c r="L2247" t="str">
        <f>_xlfn.XLOOKUP(datos_ventas[[#This Row],[Provincia]],Tabla2[Provincias],Tabla2[Comunidades],"no se encuentra")</f>
        <v>Comunidad de Madrid</v>
      </c>
      <c r="M2247" t="s">
        <v>13</v>
      </c>
      <c r="N2247">
        <v>3</v>
      </c>
    </row>
    <row r="2248" spans="1:14" x14ac:dyDescent="0.25">
      <c r="A2248">
        <v>3247</v>
      </c>
      <c r="B2248" s="1">
        <v>45906</v>
      </c>
      <c r="C2248" s="4">
        <f>MONTH(datos_ventas[[#This Row],[Fecha]])</f>
        <v>9</v>
      </c>
      <c r="D2248" s="4">
        <f>WEEKNUM(datos_ventas[[#This Row],[Fecha]],2)</f>
        <v>36</v>
      </c>
      <c r="E2248" t="s">
        <v>10</v>
      </c>
      <c r="F2248" t="s">
        <v>11</v>
      </c>
      <c r="G2248">
        <v>2</v>
      </c>
      <c r="H2248">
        <v>74447</v>
      </c>
      <c r="I2248">
        <v>3246</v>
      </c>
      <c r="J2248" t="s">
        <v>14</v>
      </c>
      <c r="K2248" t="str">
        <f>_xlfn.XLOOKUP(datos_ventas[[#This Row],[Ciudad]],Tabla2[Ciudades],Tabla2[Provincias],"no se encuentra")</f>
        <v>Madrid</v>
      </c>
      <c r="L2248" t="str">
        <f>_xlfn.XLOOKUP(datos_ventas[[#This Row],[Provincia]],Tabla2[Provincias],Tabla2[Comunidades],"no se encuentra")</f>
        <v>Comunidad de Madrid</v>
      </c>
      <c r="M2248" t="s">
        <v>15</v>
      </c>
      <c r="N2248">
        <v>4</v>
      </c>
    </row>
    <row r="2249" spans="1:14" x14ac:dyDescent="0.25">
      <c r="A2249">
        <v>3248</v>
      </c>
      <c r="B2249" s="1">
        <v>45892</v>
      </c>
      <c r="C2249" s="4">
        <f>MONTH(datos_ventas[[#This Row],[Fecha]])</f>
        <v>8</v>
      </c>
      <c r="D2249" s="4">
        <f>WEEKNUM(datos_ventas[[#This Row],[Fecha]],2)</f>
        <v>34</v>
      </c>
      <c r="E2249" t="s">
        <v>23</v>
      </c>
      <c r="F2249" t="s">
        <v>18</v>
      </c>
      <c r="G2249">
        <v>1</v>
      </c>
      <c r="H2249">
        <v>79556</v>
      </c>
      <c r="I2249">
        <v>2413</v>
      </c>
      <c r="J2249" t="s">
        <v>32</v>
      </c>
      <c r="K2249" t="str">
        <f>_xlfn.XLOOKUP(datos_ventas[[#This Row],[Ciudad]],Tabla2[Ciudades],Tabla2[Provincias],"no se encuentra")</f>
        <v>Barcelona</v>
      </c>
      <c r="L2249" t="str">
        <f>_xlfn.XLOOKUP(datos_ventas[[#This Row],[Provincia]],Tabla2[Provincias],Tabla2[Comunidades],"no se encuentra")</f>
        <v>Cataluña</v>
      </c>
      <c r="M2249" t="s">
        <v>15</v>
      </c>
      <c r="N2249">
        <v>1</v>
      </c>
    </row>
    <row r="2250" spans="1:14" x14ac:dyDescent="0.25">
      <c r="A2250">
        <v>3249</v>
      </c>
      <c r="B2250" s="1">
        <v>45959</v>
      </c>
      <c r="C2250" s="4">
        <f>MONTH(datos_ventas[[#This Row],[Fecha]])</f>
        <v>10</v>
      </c>
      <c r="D2250" s="4">
        <f>WEEKNUM(datos_ventas[[#This Row],[Fecha]],2)</f>
        <v>44</v>
      </c>
      <c r="E2250" t="s">
        <v>24</v>
      </c>
      <c r="F2250" t="s">
        <v>25</v>
      </c>
      <c r="G2250">
        <v>2</v>
      </c>
      <c r="H2250">
        <v>77416</v>
      </c>
      <c r="I2250">
        <v>3705</v>
      </c>
      <c r="J2250" t="s">
        <v>32</v>
      </c>
      <c r="K2250" t="str">
        <f>_xlfn.XLOOKUP(datos_ventas[[#This Row],[Ciudad]],Tabla2[Ciudades],Tabla2[Provincias],"no se encuentra")</f>
        <v>Barcelona</v>
      </c>
      <c r="L2250" t="str">
        <f>_xlfn.XLOOKUP(datos_ventas[[#This Row],[Provincia]],Tabla2[Provincias],Tabla2[Comunidades],"no se encuentra")</f>
        <v>Cataluña</v>
      </c>
      <c r="M2250" t="s">
        <v>19</v>
      </c>
      <c r="N2250">
        <v>2</v>
      </c>
    </row>
    <row r="2251" spans="1:14" x14ac:dyDescent="0.25">
      <c r="A2251">
        <v>3250</v>
      </c>
      <c r="B2251" s="1">
        <v>45721</v>
      </c>
      <c r="C2251" s="4">
        <f>MONTH(datos_ventas[[#This Row],[Fecha]])</f>
        <v>3</v>
      </c>
      <c r="D2251" s="4">
        <f>WEEKNUM(datos_ventas[[#This Row],[Fecha]],2)</f>
        <v>10</v>
      </c>
      <c r="E2251" t="s">
        <v>10</v>
      </c>
      <c r="F2251" t="s">
        <v>11</v>
      </c>
      <c r="G2251">
        <v>1</v>
      </c>
      <c r="H2251">
        <v>43853</v>
      </c>
      <c r="I2251">
        <v>4098</v>
      </c>
      <c r="J2251" t="s">
        <v>32</v>
      </c>
      <c r="K2251" t="str">
        <f>_xlfn.XLOOKUP(datos_ventas[[#This Row],[Ciudad]],Tabla2[Ciudades],Tabla2[Provincias],"no se encuentra")</f>
        <v>Barcelona</v>
      </c>
      <c r="L2251" t="str">
        <f>_xlfn.XLOOKUP(datos_ventas[[#This Row],[Provincia]],Tabla2[Provincias],Tabla2[Comunidades],"no se encuentra")</f>
        <v>Cataluña</v>
      </c>
      <c r="M2251" t="s">
        <v>15</v>
      </c>
      <c r="N2251">
        <v>1</v>
      </c>
    </row>
    <row r="2252" spans="1:14" x14ac:dyDescent="0.25">
      <c r="A2252">
        <v>3251</v>
      </c>
      <c r="B2252" s="1">
        <v>45755</v>
      </c>
      <c r="C2252" s="4">
        <f>MONTH(datos_ventas[[#This Row],[Fecha]])</f>
        <v>4</v>
      </c>
      <c r="D2252" s="4">
        <f>WEEKNUM(datos_ventas[[#This Row],[Fecha]],2)</f>
        <v>15</v>
      </c>
      <c r="E2252" t="s">
        <v>16</v>
      </c>
      <c r="F2252" t="s">
        <v>11</v>
      </c>
      <c r="G2252">
        <v>1</v>
      </c>
      <c r="H2252">
        <v>101935</v>
      </c>
      <c r="I2252">
        <v>3678</v>
      </c>
      <c r="J2252" t="s">
        <v>14</v>
      </c>
      <c r="K2252" t="str">
        <f>_xlfn.XLOOKUP(datos_ventas[[#This Row],[Ciudad]],Tabla2[Ciudades],Tabla2[Provincias],"no se encuentra")</f>
        <v>Madrid</v>
      </c>
      <c r="L2252" t="str">
        <f>_xlfn.XLOOKUP(datos_ventas[[#This Row],[Provincia]],Tabla2[Provincias],Tabla2[Comunidades],"no se encuentra")</f>
        <v>Comunidad de Madrid</v>
      </c>
      <c r="M2252" t="s">
        <v>13</v>
      </c>
      <c r="N2252">
        <v>3</v>
      </c>
    </row>
    <row r="2253" spans="1:14" x14ac:dyDescent="0.25">
      <c r="A2253">
        <v>3252</v>
      </c>
      <c r="B2253" s="1">
        <v>45759</v>
      </c>
      <c r="C2253" s="4">
        <f>MONTH(datos_ventas[[#This Row],[Fecha]])</f>
        <v>4</v>
      </c>
      <c r="D2253" s="4">
        <f>WEEKNUM(datos_ventas[[#This Row],[Fecha]],2)</f>
        <v>15</v>
      </c>
      <c r="E2253" t="s">
        <v>29</v>
      </c>
      <c r="F2253" t="s">
        <v>30</v>
      </c>
      <c r="G2253">
        <v>2</v>
      </c>
      <c r="H2253">
        <v>20695</v>
      </c>
      <c r="I2253">
        <v>2258</v>
      </c>
      <c r="J2253" t="s">
        <v>27</v>
      </c>
      <c r="K2253" t="str">
        <f>_xlfn.XLOOKUP(datos_ventas[[#This Row],[Ciudad]],Tabla2[Ciudades],Tabla2[Provincias],"no se encuentra")</f>
        <v>Sevilla</v>
      </c>
      <c r="L2253" t="str">
        <f>_xlfn.XLOOKUP(datos_ventas[[#This Row],[Provincia]],Tabla2[Provincias],Tabla2[Comunidades],"no se encuentra")</f>
        <v>Andalucía</v>
      </c>
      <c r="M2253" t="s">
        <v>13</v>
      </c>
      <c r="N2253">
        <v>4</v>
      </c>
    </row>
    <row r="2254" spans="1:14" x14ac:dyDescent="0.25">
      <c r="A2254">
        <v>3253</v>
      </c>
      <c r="B2254" s="1">
        <v>45958</v>
      </c>
      <c r="C2254" s="4">
        <f>MONTH(datos_ventas[[#This Row],[Fecha]])</f>
        <v>10</v>
      </c>
      <c r="D2254" s="4">
        <f>WEEKNUM(datos_ventas[[#This Row],[Fecha]],2)</f>
        <v>44</v>
      </c>
      <c r="E2254" t="s">
        <v>26</v>
      </c>
      <c r="F2254" t="s">
        <v>18</v>
      </c>
      <c r="G2254">
        <v>5</v>
      </c>
      <c r="H2254">
        <v>54657</v>
      </c>
      <c r="I2254">
        <v>1546</v>
      </c>
      <c r="J2254" t="s">
        <v>22</v>
      </c>
      <c r="K2254" t="str">
        <f>_xlfn.XLOOKUP(datos_ventas[[#This Row],[Ciudad]],Tabla2[Ciudades],Tabla2[Provincias],"no se encuentra")</f>
        <v>Valencia</v>
      </c>
      <c r="L2254" t="str">
        <f>_xlfn.XLOOKUP(datos_ventas[[#This Row],[Provincia]],Tabla2[Provincias],Tabla2[Comunidades],"no se encuentra")</f>
        <v>Comunidad Valenciana</v>
      </c>
      <c r="M2254" t="s">
        <v>15</v>
      </c>
      <c r="N2254">
        <v>5</v>
      </c>
    </row>
    <row r="2255" spans="1:14" x14ac:dyDescent="0.25">
      <c r="A2255">
        <v>3254</v>
      </c>
      <c r="B2255" s="1">
        <v>45694</v>
      </c>
      <c r="C2255" s="4">
        <f>MONTH(datos_ventas[[#This Row],[Fecha]])</f>
        <v>2</v>
      </c>
      <c r="D2255" s="4">
        <f>WEEKNUM(datos_ventas[[#This Row],[Fecha]],2)</f>
        <v>6</v>
      </c>
      <c r="E2255" t="s">
        <v>26</v>
      </c>
      <c r="F2255" t="s">
        <v>18</v>
      </c>
      <c r="G2255">
        <v>4</v>
      </c>
      <c r="H2255">
        <v>34165</v>
      </c>
      <c r="I2255">
        <v>3976</v>
      </c>
      <c r="J2255" t="s">
        <v>27</v>
      </c>
      <c r="K2255" t="str">
        <f>_xlfn.XLOOKUP(datos_ventas[[#This Row],[Ciudad]],Tabla2[Ciudades],Tabla2[Provincias],"no se encuentra")</f>
        <v>Sevilla</v>
      </c>
      <c r="L2255" t="str">
        <f>_xlfn.XLOOKUP(datos_ventas[[#This Row],[Provincia]],Tabla2[Provincias],Tabla2[Comunidades],"no se encuentra")</f>
        <v>Andalucía</v>
      </c>
      <c r="M2255" t="s">
        <v>15</v>
      </c>
      <c r="N2255">
        <v>4</v>
      </c>
    </row>
    <row r="2256" spans="1:14" x14ac:dyDescent="0.25">
      <c r="A2256">
        <v>3255</v>
      </c>
      <c r="B2256" s="1">
        <v>45808</v>
      </c>
      <c r="C2256" s="4">
        <f>MONTH(datos_ventas[[#This Row],[Fecha]])</f>
        <v>5</v>
      </c>
      <c r="D2256" s="4">
        <f>WEEKNUM(datos_ventas[[#This Row],[Fecha]],2)</f>
        <v>22</v>
      </c>
      <c r="E2256" t="s">
        <v>17</v>
      </c>
      <c r="F2256" t="s">
        <v>18</v>
      </c>
      <c r="G2256">
        <v>5</v>
      </c>
      <c r="H2256">
        <v>5633</v>
      </c>
      <c r="I2256">
        <v>976</v>
      </c>
      <c r="J2256" t="s">
        <v>32</v>
      </c>
      <c r="K2256" t="str">
        <f>_xlfn.XLOOKUP(datos_ventas[[#This Row],[Ciudad]],Tabla2[Ciudades],Tabla2[Provincias],"no se encuentra")</f>
        <v>Barcelona</v>
      </c>
      <c r="L2256" t="str">
        <f>_xlfn.XLOOKUP(datos_ventas[[#This Row],[Provincia]],Tabla2[Provincias],Tabla2[Comunidades],"no se encuentra")</f>
        <v>Cataluña</v>
      </c>
      <c r="M2256" t="s">
        <v>28</v>
      </c>
      <c r="N2256">
        <v>1</v>
      </c>
    </row>
    <row r="2257" spans="1:14" x14ac:dyDescent="0.25">
      <c r="A2257">
        <v>3256</v>
      </c>
      <c r="B2257" s="1">
        <v>45697</v>
      </c>
      <c r="C2257" s="4">
        <f>MONTH(datos_ventas[[#This Row],[Fecha]])</f>
        <v>2</v>
      </c>
      <c r="D2257" s="4">
        <f>WEEKNUM(datos_ventas[[#This Row],[Fecha]],2)</f>
        <v>6</v>
      </c>
      <c r="E2257" t="s">
        <v>29</v>
      </c>
      <c r="F2257" t="s">
        <v>30</v>
      </c>
      <c r="G2257">
        <v>5</v>
      </c>
      <c r="H2257">
        <v>8010</v>
      </c>
      <c r="I2257">
        <v>3326</v>
      </c>
      <c r="J2257" t="s">
        <v>31</v>
      </c>
      <c r="K2257" t="str">
        <f>_xlfn.XLOOKUP(datos_ventas[[#This Row],[Ciudad]],Tabla2[Ciudades],Tabla2[Provincias],"no se encuentra")</f>
        <v>Vizcaya</v>
      </c>
      <c r="L2257" t="str">
        <f>_xlfn.XLOOKUP(datos_ventas[[#This Row],[Provincia]],Tabla2[Provincias],Tabla2[Comunidades],"no se encuentra")</f>
        <v>País Vasco</v>
      </c>
      <c r="M2257" t="s">
        <v>19</v>
      </c>
      <c r="N2257">
        <v>3</v>
      </c>
    </row>
    <row r="2258" spans="1:14" x14ac:dyDescent="0.25">
      <c r="A2258">
        <v>3257</v>
      </c>
      <c r="B2258" s="1">
        <v>46021</v>
      </c>
      <c r="C2258" s="4">
        <f>MONTH(datos_ventas[[#This Row],[Fecha]])</f>
        <v>12</v>
      </c>
      <c r="D2258" s="4">
        <f>WEEKNUM(datos_ventas[[#This Row],[Fecha]],2)</f>
        <v>53</v>
      </c>
      <c r="E2258" t="s">
        <v>17</v>
      </c>
      <c r="F2258" t="s">
        <v>18</v>
      </c>
      <c r="G2258">
        <v>2</v>
      </c>
      <c r="H2258">
        <v>9076</v>
      </c>
      <c r="I2258">
        <v>1559</v>
      </c>
      <c r="J2258" t="s">
        <v>31</v>
      </c>
      <c r="K2258" t="str">
        <f>_xlfn.XLOOKUP(datos_ventas[[#This Row],[Ciudad]],Tabla2[Ciudades],Tabla2[Provincias],"no se encuentra")</f>
        <v>Vizcaya</v>
      </c>
      <c r="L2258" t="str">
        <f>_xlfn.XLOOKUP(datos_ventas[[#This Row],[Provincia]],Tabla2[Provincias],Tabla2[Comunidades],"no se encuentra")</f>
        <v>País Vasco</v>
      </c>
      <c r="M2258" t="s">
        <v>19</v>
      </c>
      <c r="N2258">
        <v>5</v>
      </c>
    </row>
    <row r="2259" spans="1:14" x14ac:dyDescent="0.25">
      <c r="A2259">
        <v>3258</v>
      </c>
      <c r="B2259" s="1">
        <v>45679</v>
      </c>
      <c r="C2259" s="4">
        <f>MONTH(datos_ventas[[#This Row],[Fecha]])</f>
        <v>1</v>
      </c>
      <c r="D2259" s="4">
        <f>WEEKNUM(datos_ventas[[#This Row],[Fecha]],2)</f>
        <v>4</v>
      </c>
      <c r="E2259" t="s">
        <v>29</v>
      </c>
      <c r="F2259" t="s">
        <v>30</v>
      </c>
      <c r="G2259">
        <v>5</v>
      </c>
      <c r="H2259">
        <v>4515</v>
      </c>
      <c r="I2259">
        <v>1234</v>
      </c>
      <c r="J2259" t="s">
        <v>14</v>
      </c>
      <c r="K2259" t="str">
        <f>_xlfn.XLOOKUP(datos_ventas[[#This Row],[Ciudad]],Tabla2[Ciudades],Tabla2[Provincias],"no se encuentra")</f>
        <v>Madrid</v>
      </c>
      <c r="L2259" t="str">
        <f>_xlfn.XLOOKUP(datos_ventas[[#This Row],[Provincia]],Tabla2[Provincias],Tabla2[Comunidades],"no se encuentra")</f>
        <v>Comunidad de Madrid</v>
      </c>
      <c r="M2259" t="s">
        <v>19</v>
      </c>
      <c r="N2259">
        <v>3</v>
      </c>
    </row>
    <row r="2260" spans="1:14" x14ac:dyDescent="0.25">
      <c r="A2260">
        <v>3259</v>
      </c>
      <c r="B2260" s="1">
        <v>45981</v>
      </c>
      <c r="C2260" s="4">
        <f>MONTH(datos_ventas[[#This Row],[Fecha]])</f>
        <v>11</v>
      </c>
      <c r="D2260" s="4">
        <f>WEEKNUM(datos_ventas[[#This Row],[Fecha]],2)</f>
        <v>47</v>
      </c>
      <c r="E2260" t="s">
        <v>17</v>
      </c>
      <c r="F2260" t="s">
        <v>18</v>
      </c>
      <c r="G2260">
        <v>4</v>
      </c>
      <c r="H2260">
        <v>3371</v>
      </c>
      <c r="I2260">
        <v>3325</v>
      </c>
      <c r="J2260" t="s">
        <v>32</v>
      </c>
      <c r="K2260" t="str">
        <f>_xlfn.XLOOKUP(datos_ventas[[#This Row],[Ciudad]],Tabla2[Ciudades],Tabla2[Provincias],"no se encuentra")</f>
        <v>Barcelona</v>
      </c>
      <c r="L2260" t="str">
        <f>_xlfn.XLOOKUP(datos_ventas[[#This Row],[Provincia]],Tabla2[Provincias],Tabla2[Comunidades],"no se encuentra")</f>
        <v>Cataluña</v>
      </c>
      <c r="M2260" t="s">
        <v>19</v>
      </c>
      <c r="N2260">
        <v>5</v>
      </c>
    </row>
    <row r="2261" spans="1:14" x14ac:dyDescent="0.25">
      <c r="A2261">
        <v>3260</v>
      </c>
      <c r="B2261" s="1">
        <v>45974</v>
      </c>
      <c r="C2261" s="4">
        <f>MONTH(datos_ventas[[#This Row],[Fecha]])</f>
        <v>11</v>
      </c>
      <c r="D2261" s="4">
        <f>WEEKNUM(datos_ventas[[#This Row],[Fecha]],2)</f>
        <v>46</v>
      </c>
      <c r="E2261" t="s">
        <v>20</v>
      </c>
      <c r="F2261" t="s">
        <v>21</v>
      </c>
      <c r="G2261">
        <v>5</v>
      </c>
      <c r="H2261">
        <v>35726</v>
      </c>
      <c r="I2261">
        <v>3739</v>
      </c>
      <c r="J2261" t="s">
        <v>32</v>
      </c>
      <c r="K2261" t="str">
        <f>_xlfn.XLOOKUP(datos_ventas[[#This Row],[Ciudad]],Tabla2[Ciudades],Tabla2[Provincias],"no se encuentra")</f>
        <v>Barcelona</v>
      </c>
      <c r="L2261" t="str">
        <f>_xlfn.XLOOKUP(datos_ventas[[#This Row],[Provincia]],Tabla2[Provincias],Tabla2[Comunidades],"no se encuentra")</f>
        <v>Cataluña</v>
      </c>
      <c r="M2261" t="s">
        <v>13</v>
      </c>
      <c r="N2261">
        <v>1</v>
      </c>
    </row>
    <row r="2262" spans="1:14" x14ac:dyDescent="0.25">
      <c r="A2262">
        <v>3261</v>
      </c>
      <c r="B2262" s="1">
        <v>45799</v>
      </c>
      <c r="C2262" s="4">
        <f>MONTH(datos_ventas[[#This Row],[Fecha]])</f>
        <v>5</v>
      </c>
      <c r="D2262" s="4">
        <f>WEEKNUM(datos_ventas[[#This Row],[Fecha]],2)</f>
        <v>21</v>
      </c>
      <c r="E2262" t="s">
        <v>17</v>
      </c>
      <c r="F2262" t="s">
        <v>18</v>
      </c>
      <c r="G2262">
        <v>4</v>
      </c>
      <c r="H2262">
        <v>74772</v>
      </c>
      <c r="I2262">
        <v>4758</v>
      </c>
      <c r="J2262" t="s">
        <v>31</v>
      </c>
      <c r="K2262" t="str">
        <f>_xlfn.XLOOKUP(datos_ventas[[#This Row],[Ciudad]],Tabla2[Ciudades],Tabla2[Provincias],"no se encuentra")</f>
        <v>Vizcaya</v>
      </c>
      <c r="L2262" t="str">
        <f>_xlfn.XLOOKUP(datos_ventas[[#This Row],[Provincia]],Tabla2[Provincias],Tabla2[Comunidades],"no se encuentra")</f>
        <v>País Vasco</v>
      </c>
      <c r="M2262" t="s">
        <v>13</v>
      </c>
      <c r="N2262">
        <v>2</v>
      </c>
    </row>
    <row r="2263" spans="1:14" x14ac:dyDescent="0.25">
      <c r="A2263">
        <v>3262</v>
      </c>
      <c r="B2263" s="1">
        <v>45679</v>
      </c>
      <c r="C2263" s="4">
        <f>MONTH(datos_ventas[[#This Row],[Fecha]])</f>
        <v>1</v>
      </c>
      <c r="D2263" s="4">
        <f>WEEKNUM(datos_ventas[[#This Row],[Fecha]],2)</f>
        <v>4</v>
      </c>
      <c r="E2263" t="s">
        <v>23</v>
      </c>
      <c r="F2263" t="s">
        <v>18</v>
      </c>
      <c r="G2263">
        <v>2</v>
      </c>
      <c r="H2263">
        <v>84741</v>
      </c>
      <c r="I2263">
        <v>4355</v>
      </c>
      <c r="J2263" t="s">
        <v>14</v>
      </c>
      <c r="K2263" t="str">
        <f>_xlfn.XLOOKUP(datos_ventas[[#This Row],[Ciudad]],Tabla2[Ciudades],Tabla2[Provincias],"no se encuentra")</f>
        <v>Madrid</v>
      </c>
      <c r="L2263" t="str">
        <f>_xlfn.XLOOKUP(datos_ventas[[#This Row],[Provincia]],Tabla2[Provincias],Tabla2[Comunidades],"no se encuentra")</f>
        <v>Comunidad de Madrid</v>
      </c>
      <c r="M2263" t="s">
        <v>13</v>
      </c>
      <c r="N2263">
        <v>3</v>
      </c>
    </row>
    <row r="2264" spans="1:14" x14ac:dyDescent="0.25">
      <c r="A2264">
        <v>3263</v>
      </c>
      <c r="B2264" s="1">
        <v>46006</v>
      </c>
      <c r="C2264" s="4">
        <f>MONTH(datos_ventas[[#This Row],[Fecha]])</f>
        <v>12</v>
      </c>
      <c r="D2264" s="4">
        <f>WEEKNUM(datos_ventas[[#This Row],[Fecha]],2)</f>
        <v>51</v>
      </c>
      <c r="E2264" t="s">
        <v>24</v>
      </c>
      <c r="F2264" t="s">
        <v>25</v>
      </c>
      <c r="G2264">
        <v>2</v>
      </c>
      <c r="H2264">
        <v>10476</v>
      </c>
      <c r="I2264">
        <v>3373</v>
      </c>
      <c r="J2264" t="s">
        <v>31</v>
      </c>
      <c r="K2264" t="str">
        <f>_xlfn.XLOOKUP(datos_ventas[[#This Row],[Ciudad]],Tabla2[Ciudades],Tabla2[Provincias],"no se encuentra")</f>
        <v>Vizcaya</v>
      </c>
      <c r="L2264" t="str">
        <f>_xlfn.XLOOKUP(datos_ventas[[#This Row],[Provincia]],Tabla2[Provincias],Tabla2[Comunidades],"no se encuentra")</f>
        <v>País Vasco</v>
      </c>
      <c r="M2264" t="s">
        <v>28</v>
      </c>
      <c r="N2264">
        <v>5</v>
      </c>
    </row>
    <row r="2265" spans="1:14" x14ac:dyDescent="0.25">
      <c r="A2265">
        <v>3264</v>
      </c>
      <c r="B2265" s="1">
        <v>45747</v>
      </c>
      <c r="C2265" s="4">
        <f>MONTH(datos_ventas[[#This Row],[Fecha]])</f>
        <v>3</v>
      </c>
      <c r="D2265" s="4">
        <f>WEEKNUM(datos_ventas[[#This Row],[Fecha]],2)</f>
        <v>14</v>
      </c>
      <c r="E2265" t="s">
        <v>26</v>
      </c>
      <c r="F2265" t="s">
        <v>18</v>
      </c>
      <c r="G2265">
        <v>1</v>
      </c>
      <c r="H2265">
        <v>12004</v>
      </c>
      <c r="I2265">
        <v>4342</v>
      </c>
      <c r="J2265" t="s">
        <v>12</v>
      </c>
      <c r="K2265" t="str">
        <f>_xlfn.XLOOKUP(datos_ventas[[#This Row],[Ciudad]],Tabla2[Ciudades],Tabla2[Provincias],"no se encuentra")</f>
        <v>Málaga</v>
      </c>
      <c r="L2265" t="str">
        <f>_xlfn.XLOOKUP(datos_ventas[[#This Row],[Provincia]],Tabla2[Provincias],Tabla2[Comunidades],"no se encuentra")</f>
        <v>Andalucía</v>
      </c>
      <c r="M2265" t="s">
        <v>19</v>
      </c>
      <c r="N2265">
        <v>1</v>
      </c>
    </row>
    <row r="2266" spans="1:14" x14ac:dyDescent="0.25">
      <c r="A2266">
        <v>3265</v>
      </c>
      <c r="B2266" s="1">
        <v>45749</v>
      </c>
      <c r="C2266" s="4">
        <f>MONTH(datos_ventas[[#This Row],[Fecha]])</f>
        <v>4</v>
      </c>
      <c r="D2266" s="4">
        <f>WEEKNUM(datos_ventas[[#This Row],[Fecha]],2)</f>
        <v>14</v>
      </c>
      <c r="E2266" t="s">
        <v>10</v>
      </c>
      <c r="F2266" t="s">
        <v>11</v>
      </c>
      <c r="G2266">
        <v>3</v>
      </c>
      <c r="H2266">
        <v>23465</v>
      </c>
      <c r="I2266">
        <v>3175</v>
      </c>
      <c r="J2266" t="s">
        <v>27</v>
      </c>
      <c r="K2266" t="str">
        <f>_xlfn.XLOOKUP(datos_ventas[[#This Row],[Ciudad]],Tabla2[Ciudades],Tabla2[Provincias],"no se encuentra")</f>
        <v>Sevilla</v>
      </c>
      <c r="L2266" t="str">
        <f>_xlfn.XLOOKUP(datos_ventas[[#This Row],[Provincia]],Tabla2[Provincias],Tabla2[Comunidades],"no se encuentra")</f>
        <v>Andalucía</v>
      </c>
      <c r="M2266" t="s">
        <v>15</v>
      </c>
      <c r="N2266">
        <v>1</v>
      </c>
    </row>
    <row r="2267" spans="1:14" x14ac:dyDescent="0.25">
      <c r="A2267">
        <v>3266</v>
      </c>
      <c r="B2267" s="1">
        <v>45985</v>
      </c>
      <c r="C2267" s="4">
        <f>MONTH(datos_ventas[[#This Row],[Fecha]])</f>
        <v>11</v>
      </c>
      <c r="D2267" s="4">
        <f>WEEKNUM(datos_ventas[[#This Row],[Fecha]],2)</f>
        <v>48</v>
      </c>
      <c r="E2267" t="s">
        <v>20</v>
      </c>
      <c r="F2267" t="s">
        <v>21</v>
      </c>
      <c r="G2267">
        <v>1</v>
      </c>
      <c r="H2267">
        <v>52296</v>
      </c>
      <c r="I2267">
        <v>3852</v>
      </c>
      <c r="J2267" t="s">
        <v>12</v>
      </c>
      <c r="K2267" t="str">
        <f>_xlfn.XLOOKUP(datos_ventas[[#This Row],[Ciudad]],Tabla2[Ciudades],Tabla2[Provincias],"no se encuentra")</f>
        <v>Málaga</v>
      </c>
      <c r="L2267" t="str">
        <f>_xlfn.XLOOKUP(datos_ventas[[#This Row],[Provincia]],Tabla2[Provincias],Tabla2[Comunidades],"no se encuentra")</f>
        <v>Andalucía</v>
      </c>
      <c r="M2267" t="s">
        <v>19</v>
      </c>
      <c r="N2267">
        <v>5</v>
      </c>
    </row>
    <row r="2268" spans="1:14" x14ac:dyDescent="0.25">
      <c r="A2268">
        <v>3267</v>
      </c>
      <c r="B2268" s="1">
        <v>45668</v>
      </c>
      <c r="C2268" s="4">
        <f>MONTH(datos_ventas[[#This Row],[Fecha]])</f>
        <v>1</v>
      </c>
      <c r="D2268" s="4">
        <f>WEEKNUM(datos_ventas[[#This Row],[Fecha]],2)</f>
        <v>2</v>
      </c>
      <c r="E2268" t="s">
        <v>26</v>
      </c>
      <c r="F2268" t="s">
        <v>18</v>
      </c>
      <c r="G2268">
        <v>1</v>
      </c>
      <c r="H2268">
        <v>11725</v>
      </c>
      <c r="I2268">
        <v>819</v>
      </c>
      <c r="J2268" t="s">
        <v>22</v>
      </c>
      <c r="K2268" t="str">
        <f>_xlfn.XLOOKUP(datos_ventas[[#This Row],[Ciudad]],Tabla2[Ciudades],Tabla2[Provincias],"no se encuentra")</f>
        <v>Valencia</v>
      </c>
      <c r="L2268" t="str">
        <f>_xlfn.XLOOKUP(datos_ventas[[#This Row],[Provincia]],Tabla2[Provincias],Tabla2[Comunidades],"no se encuentra")</f>
        <v>Comunidad Valenciana</v>
      </c>
      <c r="M2268" t="s">
        <v>28</v>
      </c>
      <c r="N2268">
        <v>2</v>
      </c>
    </row>
    <row r="2269" spans="1:14" x14ac:dyDescent="0.25">
      <c r="A2269">
        <v>3268</v>
      </c>
      <c r="B2269" s="1">
        <v>45999</v>
      </c>
      <c r="C2269" s="4">
        <f>MONTH(datos_ventas[[#This Row],[Fecha]])</f>
        <v>12</v>
      </c>
      <c r="D2269" s="4">
        <f>WEEKNUM(datos_ventas[[#This Row],[Fecha]],2)</f>
        <v>50</v>
      </c>
      <c r="E2269" t="s">
        <v>16</v>
      </c>
      <c r="F2269" t="s">
        <v>11</v>
      </c>
      <c r="G2269">
        <v>1</v>
      </c>
      <c r="H2269">
        <v>96163</v>
      </c>
      <c r="I2269">
        <v>2355</v>
      </c>
      <c r="J2269" t="s">
        <v>27</v>
      </c>
      <c r="K2269" t="str">
        <f>_xlfn.XLOOKUP(datos_ventas[[#This Row],[Ciudad]],Tabla2[Ciudades],Tabla2[Provincias],"no se encuentra")</f>
        <v>Sevilla</v>
      </c>
      <c r="L2269" t="str">
        <f>_xlfn.XLOOKUP(datos_ventas[[#This Row],[Provincia]],Tabla2[Provincias],Tabla2[Comunidades],"no se encuentra")</f>
        <v>Andalucía</v>
      </c>
      <c r="M2269" t="s">
        <v>15</v>
      </c>
      <c r="N2269">
        <v>1</v>
      </c>
    </row>
    <row r="2270" spans="1:14" x14ac:dyDescent="0.25">
      <c r="A2270">
        <v>3269</v>
      </c>
      <c r="B2270" s="1">
        <v>45969</v>
      </c>
      <c r="C2270" s="4">
        <f>MONTH(datos_ventas[[#This Row],[Fecha]])</f>
        <v>11</v>
      </c>
      <c r="D2270" s="4">
        <f>WEEKNUM(datos_ventas[[#This Row],[Fecha]],2)</f>
        <v>45</v>
      </c>
      <c r="E2270" t="s">
        <v>23</v>
      </c>
      <c r="F2270" t="s">
        <v>18</v>
      </c>
      <c r="G2270">
        <v>2</v>
      </c>
      <c r="H2270">
        <v>45792</v>
      </c>
      <c r="I2270">
        <v>2763</v>
      </c>
      <c r="J2270" t="s">
        <v>22</v>
      </c>
      <c r="K2270" t="str">
        <f>_xlfn.XLOOKUP(datos_ventas[[#This Row],[Ciudad]],Tabla2[Ciudades],Tabla2[Provincias],"no se encuentra")</f>
        <v>Valencia</v>
      </c>
      <c r="L2270" t="str">
        <f>_xlfn.XLOOKUP(datos_ventas[[#This Row],[Provincia]],Tabla2[Provincias],Tabla2[Comunidades],"no se encuentra")</f>
        <v>Comunidad Valenciana</v>
      </c>
      <c r="M2270" t="s">
        <v>28</v>
      </c>
      <c r="N2270">
        <v>5</v>
      </c>
    </row>
    <row r="2271" spans="1:14" x14ac:dyDescent="0.25">
      <c r="A2271">
        <v>3270</v>
      </c>
      <c r="B2271" s="1">
        <v>45753</v>
      </c>
      <c r="C2271" s="4">
        <f>MONTH(datos_ventas[[#This Row],[Fecha]])</f>
        <v>4</v>
      </c>
      <c r="D2271" s="4">
        <f>WEEKNUM(datos_ventas[[#This Row],[Fecha]],2)</f>
        <v>14</v>
      </c>
      <c r="E2271" t="s">
        <v>20</v>
      </c>
      <c r="F2271" t="s">
        <v>21</v>
      </c>
      <c r="G2271">
        <v>1</v>
      </c>
      <c r="H2271">
        <v>96733</v>
      </c>
      <c r="I2271">
        <v>2163</v>
      </c>
      <c r="J2271" t="s">
        <v>22</v>
      </c>
      <c r="K2271" t="str">
        <f>_xlfn.XLOOKUP(datos_ventas[[#This Row],[Ciudad]],Tabla2[Ciudades],Tabla2[Provincias],"no se encuentra")</f>
        <v>Valencia</v>
      </c>
      <c r="L2271" t="str">
        <f>_xlfn.XLOOKUP(datos_ventas[[#This Row],[Provincia]],Tabla2[Provincias],Tabla2[Comunidades],"no se encuentra")</f>
        <v>Comunidad Valenciana</v>
      </c>
      <c r="M2271" t="s">
        <v>13</v>
      </c>
      <c r="N2271">
        <v>5</v>
      </c>
    </row>
    <row r="2272" spans="1:14" x14ac:dyDescent="0.25">
      <c r="A2272">
        <v>3271</v>
      </c>
      <c r="B2272" s="1">
        <v>45945</v>
      </c>
      <c r="C2272" s="4">
        <f>MONTH(datos_ventas[[#This Row],[Fecha]])</f>
        <v>10</v>
      </c>
      <c r="D2272" s="4">
        <f>WEEKNUM(datos_ventas[[#This Row],[Fecha]],2)</f>
        <v>42</v>
      </c>
      <c r="E2272" t="s">
        <v>16</v>
      </c>
      <c r="F2272" t="s">
        <v>11</v>
      </c>
      <c r="G2272">
        <v>2</v>
      </c>
      <c r="H2272">
        <v>96341</v>
      </c>
      <c r="I2272">
        <v>1271</v>
      </c>
      <c r="J2272" t="s">
        <v>27</v>
      </c>
      <c r="K2272" t="str">
        <f>_xlfn.XLOOKUP(datos_ventas[[#This Row],[Ciudad]],Tabla2[Ciudades],Tabla2[Provincias],"no se encuentra")</f>
        <v>Sevilla</v>
      </c>
      <c r="L2272" t="str">
        <f>_xlfn.XLOOKUP(datos_ventas[[#This Row],[Provincia]],Tabla2[Provincias],Tabla2[Comunidades],"no se encuentra")</f>
        <v>Andalucía</v>
      </c>
      <c r="M2272" t="s">
        <v>15</v>
      </c>
      <c r="N2272">
        <v>4</v>
      </c>
    </row>
    <row r="2273" spans="1:14" x14ac:dyDescent="0.25">
      <c r="A2273">
        <v>3272</v>
      </c>
      <c r="B2273" s="1">
        <v>45938</v>
      </c>
      <c r="C2273" s="4">
        <f>MONTH(datos_ventas[[#This Row],[Fecha]])</f>
        <v>10</v>
      </c>
      <c r="D2273" s="4">
        <f>WEEKNUM(datos_ventas[[#This Row],[Fecha]],2)</f>
        <v>41</v>
      </c>
      <c r="E2273" t="s">
        <v>20</v>
      </c>
      <c r="F2273" t="s">
        <v>21</v>
      </c>
      <c r="G2273">
        <v>4</v>
      </c>
      <c r="H2273">
        <v>12348</v>
      </c>
      <c r="I2273">
        <v>3805</v>
      </c>
      <c r="J2273" t="s">
        <v>12</v>
      </c>
      <c r="K2273" t="str">
        <f>_xlfn.XLOOKUP(datos_ventas[[#This Row],[Ciudad]],Tabla2[Ciudades],Tabla2[Provincias],"no se encuentra")</f>
        <v>Málaga</v>
      </c>
      <c r="L2273" t="str">
        <f>_xlfn.XLOOKUP(datos_ventas[[#This Row],[Provincia]],Tabla2[Provincias],Tabla2[Comunidades],"no se encuentra")</f>
        <v>Andalucía</v>
      </c>
      <c r="M2273" t="s">
        <v>19</v>
      </c>
      <c r="N2273">
        <v>4</v>
      </c>
    </row>
    <row r="2274" spans="1:14" x14ac:dyDescent="0.25">
      <c r="A2274">
        <v>3273</v>
      </c>
      <c r="B2274" s="1">
        <v>46006</v>
      </c>
      <c r="C2274" s="4">
        <f>MONTH(datos_ventas[[#This Row],[Fecha]])</f>
        <v>12</v>
      </c>
      <c r="D2274" s="4">
        <f>WEEKNUM(datos_ventas[[#This Row],[Fecha]],2)</f>
        <v>51</v>
      </c>
      <c r="E2274" t="s">
        <v>16</v>
      </c>
      <c r="F2274" t="s">
        <v>11</v>
      </c>
      <c r="G2274">
        <v>5</v>
      </c>
      <c r="H2274">
        <v>12267</v>
      </c>
      <c r="I2274">
        <v>3733</v>
      </c>
      <c r="J2274" t="s">
        <v>32</v>
      </c>
      <c r="K2274" t="str">
        <f>_xlfn.XLOOKUP(datos_ventas[[#This Row],[Ciudad]],Tabla2[Ciudades],Tabla2[Provincias],"no se encuentra")</f>
        <v>Barcelona</v>
      </c>
      <c r="L2274" t="str">
        <f>_xlfn.XLOOKUP(datos_ventas[[#This Row],[Provincia]],Tabla2[Provincias],Tabla2[Comunidades],"no se encuentra")</f>
        <v>Cataluña</v>
      </c>
      <c r="M2274" t="s">
        <v>15</v>
      </c>
      <c r="N2274">
        <v>1</v>
      </c>
    </row>
    <row r="2275" spans="1:14" x14ac:dyDescent="0.25">
      <c r="A2275">
        <v>3274</v>
      </c>
      <c r="B2275" s="1">
        <v>45856</v>
      </c>
      <c r="C2275" s="4">
        <f>MONTH(datos_ventas[[#This Row],[Fecha]])</f>
        <v>7</v>
      </c>
      <c r="D2275" s="4">
        <f>WEEKNUM(datos_ventas[[#This Row],[Fecha]],2)</f>
        <v>29</v>
      </c>
      <c r="E2275" t="s">
        <v>23</v>
      </c>
      <c r="F2275" t="s">
        <v>18</v>
      </c>
      <c r="G2275">
        <v>3</v>
      </c>
      <c r="H2275">
        <v>50518</v>
      </c>
      <c r="I2275">
        <v>383</v>
      </c>
      <c r="J2275" t="s">
        <v>12</v>
      </c>
      <c r="K2275" t="str">
        <f>_xlfn.XLOOKUP(datos_ventas[[#This Row],[Ciudad]],Tabla2[Ciudades],Tabla2[Provincias],"no se encuentra")</f>
        <v>Málaga</v>
      </c>
      <c r="L2275" t="str">
        <f>_xlfn.XLOOKUP(datos_ventas[[#This Row],[Provincia]],Tabla2[Provincias],Tabla2[Comunidades],"no se encuentra")</f>
        <v>Andalucía</v>
      </c>
      <c r="M2275" t="s">
        <v>19</v>
      </c>
      <c r="N2275">
        <v>5</v>
      </c>
    </row>
    <row r="2276" spans="1:14" x14ac:dyDescent="0.25">
      <c r="A2276">
        <v>3275</v>
      </c>
      <c r="B2276" s="1">
        <v>45916</v>
      </c>
      <c r="C2276" s="4">
        <f>MONTH(datos_ventas[[#This Row],[Fecha]])</f>
        <v>9</v>
      </c>
      <c r="D2276" s="4">
        <f>WEEKNUM(datos_ventas[[#This Row],[Fecha]],2)</f>
        <v>38</v>
      </c>
      <c r="E2276" t="s">
        <v>29</v>
      </c>
      <c r="F2276" t="s">
        <v>30</v>
      </c>
      <c r="G2276">
        <v>2</v>
      </c>
      <c r="H2276">
        <v>6797</v>
      </c>
      <c r="I2276">
        <v>102</v>
      </c>
      <c r="J2276" t="s">
        <v>32</v>
      </c>
      <c r="K2276" t="str">
        <f>_xlfn.XLOOKUP(datos_ventas[[#This Row],[Ciudad]],Tabla2[Ciudades],Tabla2[Provincias],"no se encuentra")</f>
        <v>Barcelona</v>
      </c>
      <c r="L2276" t="str">
        <f>_xlfn.XLOOKUP(datos_ventas[[#This Row],[Provincia]],Tabla2[Provincias],Tabla2[Comunidades],"no se encuentra")</f>
        <v>Cataluña</v>
      </c>
      <c r="M2276" t="s">
        <v>19</v>
      </c>
      <c r="N2276">
        <v>3</v>
      </c>
    </row>
    <row r="2277" spans="1:14" x14ac:dyDescent="0.25">
      <c r="A2277">
        <v>3276</v>
      </c>
      <c r="B2277" s="1">
        <v>45875</v>
      </c>
      <c r="C2277" s="4">
        <f>MONTH(datos_ventas[[#This Row],[Fecha]])</f>
        <v>8</v>
      </c>
      <c r="D2277" s="4">
        <f>WEEKNUM(datos_ventas[[#This Row],[Fecha]],2)</f>
        <v>32</v>
      </c>
      <c r="E2277" t="s">
        <v>16</v>
      </c>
      <c r="F2277" t="s">
        <v>11</v>
      </c>
      <c r="G2277">
        <v>2</v>
      </c>
      <c r="H2277">
        <v>18275</v>
      </c>
      <c r="I2277">
        <v>2688</v>
      </c>
      <c r="J2277" t="s">
        <v>12</v>
      </c>
      <c r="K2277" t="str">
        <f>_xlfn.XLOOKUP(datos_ventas[[#This Row],[Ciudad]],Tabla2[Ciudades],Tabla2[Provincias],"no se encuentra")</f>
        <v>Málaga</v>
      </c>
      <c r="L2277" t="str">
        <f>_xlfn.XLOOKUP(datos_ventas[[#This Row],[Provincia]],Tabla2[Provincias],Tabla2[Comunidades],"no se encuentra")</f>
        <v>Andalucía</v>
      </c>
      <c r="M2277" t="s">
        <v>19</v>
      </c>
      <c r="N2277">
        <v>4</v>
      </c>
    </row>
    <row r="2278" spans="1:14" x14ac:dyDescent="0.25">
      <c r="A2278">
        <v>3277</v>
      </c>
      <c r="B2278" s="1">
        <v>45898</v>
      </c>
      <c r="C2278" s="4">
        <f>MONTH(datos_ventas[[#This Row],[Fecha]])</f>
        <v>8</v>
      </c>
      <c r="D2278" s="4">
        <f>WEEKNUM(datos_ventas[[#This Row],[Fecha]],2)</f>
        <v>35</v>
      </c>
      <c r="E2278" t="s">
        <v>29</v>
      </c>
      <c r="F2278" t="s">
        <v>30</v>
      </c>
      <c r="G2278">
        <v>1</v>
      </c>
      <c r="H2278">
        <v>6589</v>
      </c>
      <c r="I2278">
        <v>4757</v>
      </c>
      <c r="J2278" t="s">
        <v>32</v>
      </c>
      <c r="K2278" t="str">
        <f>_xlfn.XLOOKUP(datos_ventas[[#This Row],[Ciudad]],Tabla2[Ciudades],Tabla2[Provincias],"no se encuentra")</f>
        <v>Barcelona</v>
      </c>
      <c r="L2278" t="str">
        <f>_xlfn.XLOOKUP(datos_ventas[[#This Row],[Provincia]],Tabla2[Provincias],Tabla2[Comunidades],"no se encuentra")</f>
        <v>Cataluña</v>
      </c>
      <c r="M2278" t="s">
        <v>13</v>
      </c>
      <c r="N2278">
        <v>2</v>
      </c>
    </row>
    <row r="2279" spans="1:14" x14ac:dyDescent="0.25">
      <c r="A2279">
        <v>3278</v>
      </c>
      <c r="B2279" s="1">
        <v>45791</v>
      </c>
      <c r="C2279" s="4">
        <f>MONTH(datos_ventas[[#This Row],[Fecha]])</f>
        <v>5</v>
      </c>
      <c r="D2279" s="4">
        <f>WEEKNUM(datos_ventas[[#This Row],[Fecha]],2)</f>
        <v>20</v>
      </c>
      <c r="E2279" t="s">
        <v>17</v>
      </c>
      <c r="F2279" t="s">
        <v>18</v>
      </c>
      <c r="G2279">
        <v>4</v>
      </c>
      <c r="H2279">
        <v>57681</v>
      </c>
      <c r="I2279">
        <v>1422</v>
      </c>
      <c r="J2279" t="s">
        <v>14</v>
      </c>
      <c r="K2279" t="str">
        <f>_xlfn.XLOOKUP(datos_ventas[[#This Row],[Ciudad]],Tabla2[Ciudades],Tabla2[Provincias],"no se encuentra")</f>
        <v>Madrid</v>
      </c>
      <c r="L2279" t="str">
        <f>_xlfn.XLOOKUP(datos_ventas[[#This Row],[Provincia]],Tabla2[Provincias],Tabla2[Comunidades],"no se encuentra")</f>
        <v>Comunidad de Madrid</v>
      </c>
      <c r="M2279" t="s">
        <v>19</v>
      </c>
      <c r="N2279">
        <v>2</v>
      </c>
    </row>
    <row r="2280" spans="1:14" x14ac:dyDescent="0.25">
      <c r="A2280">
        <v>3279</v>
      </c>
      <c r="B2280" s="1">
        <v>45803</v>
      </c>
      <c r="C2280" s="4">
        <f>MONTH(datos_ventas[[#This Row],[Fecha]])</f>
        <v>5</v>
      </c>
      <c r="D2280" s="4">
        <f>WEEKNUM(datos_ventas[[#This Row],[Fecha]],2)</f>
        <v>22</v>
      </c>
      <c r="E2280" t="s">
        <v>20</v>
      </c>
      <c r="F2280" t="s">
        <v>21</v>
      </c>
      <c r="G2280">
        <v>1</v>
      </c>
      <c r="H2280">
        <v>6676</v>
      </c>
      <c r="I2280">
        <v>1222</v>
      </c>
      <c r="J2280" t="s">
        <v>27</v>
      </c>
      <c r="K2280" t="str">
        <f>_xlfn.XLOOKUP(datos_ventas[[#This Row],[Ciudad]],Tabla2[Ciudades],Tabla2[Provincias],"no se encuentra")</f>
        <v>Sevilla</v>
      </c>
      <c r="L2280" t="str">
        <f>_xlfn.XLOOKUP(datos_ventas[[#This Row],[Provincia]],Tabla2[Provincias],Tabla2[Comunidades],"no se encuentra")</f>
        <v>Andalucía</v>
      </c>
      <c r="M2280" t="s">
        <v>13</v>
      </c>
      <c r="N2280">
        <v>3</v>
      </c>
    </row>
    <row r="2281" spans="1:14" x14ac:dyDescent="0.25">
      <c r="A2281">
        <v>3280</v>
      </c>
      <c r="B2281" s="1">
        <v>45834</v>
      </c>
      <c r="C2281" s="4">
        <f>MONTH(datos_ventas[[#This Row],[Fecha]])</f>
        <v>6</v>
      </c>
      <c r="D2281" s="4">
        <f>WEEKNUM(datos_ventas[[#This Row],[Fecha]],2)</f>
        <v>26</v>
      </c>
      <c r="E2281" t="s">
        <v>10</v>
      </c>
      <c r="F2281" t="s">
        <v>11</v>
      </c>
      <c r="G2281">
        <v>5</v>
      </c>
      <c r="H2281">
        <v>87359</v>
      </c>
      <c r="I2281">
        <v>3555</v>
      </c>
      <c r="J2281" t="s">
        <v>31</v>
      </c>
      <c r="K2281" t="str">
        <f>_xlfn.XLOOKUP(datos_ventas[[#This Row],[Ciudad]],Tabla2[Ciudades],Tabla2[Provincias],"no se encuentra")</f>
        <v>Vizcaya</v>
      </c>
      <c r="L2281" t="str">
        <f>_xlfn.XLOOKUP(datos_ventas[[#This Row],[Provincia]],Tabla2[Provincias],Tabla2[Comunidades],"no se encuentra")</f>
        <v>País Vasco</v>
      </c>
      <c r="M2281" t="s">
        <v>15</v>
      </c>
      <c r="N2281">
        <v>3</v>
      </c>
    </row>
    <row r="2282" spans="1:14" x14ac:dyDescent="0.25">
      <c r="A2282">
        <v>3281</v>
      </c>
      <c r="B2282" s="1">
        <v>45732</v>
      </c>
      <c r="C2282" s="4">
        <f>MONTH(datos_ventas[[#This Row],[Fecha]])</f>
        <v>3</v>
      </c>
      <c r="D2282" s="4">
        <f>WEEKNUM(datos_ventas[[#This Row],[Fecha]],2)</f>
        <v>11</v>
      </c>
      <c r="E2282" t="s">
        <v>24</v>
      </c>
      <c r="F2282" t="s">
        <v>25</v>
      </c>
      <c r="G2282">
        <v>2</v>
      </c>
      <c r="H2282">
        <v>115388</v>
      </c>
      <c r="I2282">
        <v>4083</v>
      </c>
      <c r="J2282" t="s">
        <v>31</v>
      </c>
      <c r="K2282" t="str">
        <f>_xlfn.XLOOKUP(datos_ventas[[#This Row],[Ciudad]],Tabla2[Ciudades],Tabla2[Provincias],"no se encuentra")</f>
        <v>Vizcaya</v>
      </c>
      <c r="L2282" t="str">
        <f>_xlfn.XLOOKUP(datos_ventas[[#This Row],[Provincia]],Tabla2[Provincias],Tabla2[Comunidades],"no se encuentra")</f>
        <v>País Vasco</v>
      </c>
      <c r="M2282" t="s">
        <v>15</v>
      </c>
      <c r="N2282">
        <v>5</v>
      </c>
    </row>
    <row r="2283" spans="1:14" x14ac:dyDescent="0.25">
      <c r="A2283">
        <v>3282</v>
      </c>
      <c r="B2283" s="1">
        <v>45909</v>
      </c>
      <c r="C2283" s="4">
        <f>MONTH(datos_ventas[[#This Row],[Fecha]])</f>
        <v>9</v>
      </c>
      <c r="D2283" s="4">
        <f>WEEKNUM(datos_ventas[[#This Row],[Fecha]],2)</f>
        <v>37</v>
      </c>
      <c r="E2283" t="s">
        <v>29</v>
      </c>
      <c r="F2283" t="s">
        <v>30</v>
      </c>
      <c r="G2283">
        <v>4</v>
      </c>
      <c r="H2283">
        <v>34328</v>
      </c>
      <c r="I2283">
        <v>3848</v>
      </c>
      <c r="J2283" t="s">
        <v>22</v>
      </c>
      <c r="K2283" t="str">
        <f>_xlfn.XLOOKUP(datos_ventas[[#This Row],[Ciudad]],Tabla2[Ciudades],Tabla2[Provincias],"no se encuentra")</f>
        <v>Valencia</v>
      </c>
      <c r="L2283" t="str">
        <f>_xlfn.XLOOKUP(datos_ventas[[#This Row],[Provincia]],Tabla2[Provincias],Tabla2[Comunidades],"no se encuentra")</f>
        <v>Comunidad Valenciana</v>
      </c>
      <c r="M2283" t="s">
        <v>15</v>
      </c>
      <c r="N2283">
        <v>1</v>
      </c>
    </row>
    <row r="2284" spans="1:14" x14ac:dyDescent="0.25">
      <c r="A2284">
        <v>3283</v>
      </c>
      <c r="B2284" s="1">
        <v>45949</v>
      </c>
      <c r="C2284" s="4">
        <f>MONTH(datos_ventas[[#This Row],[Fecha]])</f>
        <v>10</v>
      </c>
      <c r="D2284" s="4">
        <f>WEEKNUM(datos_ventas[[#This Row],[Fecha]],2)</f>
        <v>42</v>
      </c>
      <c r="E2284" t="s">
        <v>26</v>
      </c>
      <c r="F2284" t="s">
        <v>18</v>
      </c>
      <c r="G2284">
        <v>4</v>
      </c>
      <c r="H2284">
        <v>50214</v>
      </c>
      <c r="I2284">
        <v>607</v>
      </c>
      <c r="J2284" t="s">
        <v>12</v>
      </c>
      <c r="K2284" t="str">
        <f>_xlfn.XLOOKUP(datos_ventas[[#This Row],[Ciudad]],Tabla2[Ciudades],Tabla2[Provincias],"no se encuentra")</f>
        <v>Málaga</v>
      </c>
      <c r="L2284" t="str">
        <f>_xlfn.XLOOKUP(datos_ventas[[#This Row],[Provincia]],Tabla2[Provincias],Tabla2[Comunidades],"no se encuentra")</f>
        <v>Andalucía</v>
      </c>
      <c r="M2284" t="s">
        <v>15</v>
      </c>
      <c r="N2284">
        <v>5</v>
      </c>
    </row>
    <row r="2285" spans="1:14" x14ac:dyDescent="0.25">
      <c r="A2285">
        <v>3284</v>
      </c>
      <c r="B2285" s="1">
        <v>45938</v>
      </c>
      <c r="C2285" s="4">
        <f>MONTH(datos_ventas[[#This Row],[Fecha]])</f>
        <v>10</v>
      </c>
      <c r="D2285" s="4">
        <f>WEEKNUM(datos_ventas[[#This Row],[Fecha]],2)</f>
        <v>41</v>
      </c>
      <c r="E2285" t="s">
        <v>26</v>
      </c>
      <c r="F2285" t="s">
        <v>18</v>
      </c>
      <c r="G2285">
        <v>4</v>
      </c>
      <c r="H2285">
        <v>94666</v>
      </c>
      <c r="I2285">
        <v>463</v>
      </c>
      <c r="J2285" t="s">
        <v>31</v>
      </c>
      <c r="K2285" t="str">
        <f>_xlfn.XLOOKUP(datos_ventas[[#This Row],[Ciudad]],Tabla2[Ciudades],Tabla2[Provincias],"no se encuentra")</f>
        <v>Vizcaya</v>
      </c>
      <c r="L2285" t="str">
        <f>_xlfn.XLOOKUP(datos_ventas[[#This Row],[Provincia]],Tabla2[Provincias],Tabla2[Comunidades],"no se encuentra")</f>
        <v>País Vasco</v>
      </c>
      <c r="M2285" t="s">
        <v>15</v>
      </c>
      <c r="N2285">
        <v>2</v>
      </c>
    </row>
    <row r="2286" spans="1:14" x14ac:dyDescent="0.25">
      <c r="A2286">
        <v>3285</v>
      </c>
      <c r="B2286" s="1">
        <v>45702</v>
      </c>
      <c r="C2286" s="4">
        <f>MONTH(datos_ventas[[#This Row],[Fecha]])</f>
        <v>2</v>
      </c>
      <c r="D2286" s="4">
        <f>WEEKNUM(datos_ventas[[#This Row],[Fecha]],2)</f>
        <v>7</v>
      </c>
      <c r="E2286" t="s">
        <v>29</v>
      </c>
      <c r="F2286" t="s">
        <v>30</v>
      </c>
      <c r="G2286">
        <v>4</v>
      </c>
      <c r="H2286">
        <v>91671</v>
      </c>
      <c r="I2286">
        <v>1106</v>
      </c>
      <c r="J2286" t="s">
        <v>32</v>
      </c>
      <c r="K2286" t="str">
        <f>_xlfn.XLOOKUP(datos_ventas[[#This Row],[Ciudad]],Tabla2[Ciudades],Tabla2[Provincias],"no se encuentra")</f>
        <v>Barcelona</v>
      </c>
      <c r="L2286" t="str">
        <f>_xlfn.XLOOKUP(datos_ventas[[#This Row],[Provincia]],Tabla2[Provincias],Tabla2[Comunidades],"no se encuentra")</f>
        <v>Cataluña</v>
      </c>
      <c r="M2286" t="s">
        <v>19</v>
      </c>
      <c r="N2286">
        <v>5</v>
      </c>
    </row>
    <row r="2287" spans="1:14" x14ac:dyDescent="0.25">
      <c r="A2287">
        <v>3286</v>
      </c>
      <c r="B2287" s="1">
        <v>45873</v>
      </c>
      <c r="C2287" s="4">
        <f>MONTH(datos_ventas[[#This Row],[Fecha]])</f>
        <v>8</v>
      </c>
      <c r="D2287" s="4">
        <f>WEEKNUM(datos_ventas[[#This Row],[Fecha]],2)</f>
        <v>32</v>
      </c>
      <c r="E2287" t="s">
        <v>29</v>
      </c>
      <c r="F2287" t="s">
        <v>30</v>
      </c>
      <c r="G2287">
        <v>5</v>
      </c>
      <c r="H2287">
        <v>67319</v>
      </c>
      <c r="I2287">
        <v>273</v>
      </c>
      <c r="J2287" t="s">
        <v>32</v>
      </c>
      <c r="K2287" t="str">
        <f>_xlfn.XLOOKUP(datos_ventas[[#This Row],[Ciudad]],Tabla2[Ciudades],Tabla2[Provincias],"no se encuentra")</f>
        <v>Barcelona</v>
      </c>
      <c r="L2287" t="str">
        <f>_xlfn.XLOOKUP(datos_ventas[[#This Row],[Provincia]],Tabla2[Provincias],Tabla2[Comunidades],"no se encuentra")</f>
        <v>Cataluña</v>
      </c>
      <c r="M2287" t="s">
        <v>28</v>
      </c>
      <c r="N2287">
        <v>1</v>
      </c>
    </row>
    <row r="2288" spans="1:14" x14ac:dyDescent="0.25">
      <c r="A2288">
        <v>3287</v>
      </c>
      <c r="B2288" s="1">
        <v>45755</v>
      </c>
      <c r="C2288" s="4">
        <f>MONTH(datos_ventas[[#This Row],[Fecha]])</f>
        <v>4</v>
      </c>
      <c r="D2288" s="4">
        <f>WEEKNUM(datos_ventas[[#This Row],[Fecha]],2)</f>
        <v>15</v>
      </c>
      <c r="E2288" t="s">
        <v>23</v>
      </c>
      <c r="F2288" t="s">
        <v>18</v>
      </c>
      <c r="G2288">
        <v>4</v>
      </c>
      <c r="H2288">
        <v>66672</v>
      </c>
      <c r="I2288">
        <v>3825</v>
      </c>
      <c r="J2288" t="s">
        <v>22</v>
      </c>
      <c r="K2288" t="str">
        <f>_xlfn.XLOOKUP(datos_ventas[[#This Row],[Ciudad]],Tabla2[Ciudades],Tabla2[Provincias],"no se encuentra")</f>
        <v>Valencia</v>
      </c>
      <c r="L2288" t="str">
        <f>_xlfn.XLOOKUP(datos_ventas[[#This Row],[Provincia]],Tabla2[Provincias],Tabla2[Comunidades],"no se encuentra")</f>
        <v>Comunidad Valenciana</v>
      </c>
      <c r="M2288" t="s">
        <v>13</v>
      </c>
      <c r="N2288">
        <v>2</v>
      </c>
    </row>
    <row r="2289" spans="1:14" x14ac:dyDescent="0.25">
      <c r="A2289">
        <v>3288</v>
      </c>
      <c r="B2289" s="1">
        <v>45790</v>
      </c>
      <c r="C2289" s="4">
        <f>MONTH(datos_ventas[[#This Row],[Fecha]])</f>
        <v>5</v>
      </c>
      <c r="D2289" s="4">
        <f>WEEKNUM(datos_ventas[[#This Row],[Fecha]],2)</f>
        <v>20</v>
      </c>
      <c r="E2289" t="s">
        <v>23</v>
      </c>
      <c r="F2289" t="s">
        <v>18</v>
      </c>
      <c r="G2289">
        <v>3</v>
      </c>
      <c r="H2289">
        <v>91119</v>
      </c>
      <c r="I2289">
        <v>2821</v>
      </c>
      <c r="J2289" t="s">
        <v>12</v>
      </c>
      <c r="K2289" t="str">
        <f>_xlfn.XLOOKUP(datos_ventas[[#This Row],[Ciudad]],Tabla2[Ciudades],Tabla2[Provincias],"no se encuentra")</f>
        <v>Málaga</v>
      </c>
      <c r="L2289" t="str">
        <f>_xlfn.XLOOKUP(datos_ventas[[#This Row],[Provincia]],Tabla2[Provincias],Tabla2[Comunidades],"no se encuentra")</f>
        <v>Andalucía</v>
      </c>
      <c r="M2289" t="s">
        <v>13</v>
      </c>
      <c r="N2289">
        <v>1</v>
      </c>
    </row>
    <row r="2290" spans="1:14" x14ac:dyDescent="0.25">
      <c r="A2290">
        <v>3289</v>
      </c>
      <c r="B2290" s="1">
        <v>45856</v>
      </c>
      <c r="C2290" s="4">
        <f>MONTH(datos_ventas[[#This Row],[Fecha]])</f>
        <v>7</v>
      </c>
      <c r="D2290" s="4">
        <f>WEEKNUM(datos_ventas[[#This Row],[Fecha]],2)</f>
        <v>29</v>
      </c>
      <c r="E2290" t="s">
        <v>17</v>
      </c>
      <c r="F2290" t="s">
        <v>18</v>
      </c>
      <c r="G2290">
        <v>5</v>
      </c>
      <c r="H2290">
        <v>7268</v>
      </c>
      <c r="I2290">
        <v>1494</v>
      </c>
      <c r="J2290" t="s">
        <v>22</v>
      </c>
      <c r="K2290" t="str">
        <f>_xlfn.XLOOKUP(datos_ventas[[#This Row],[Ciudad]],Tabla2[Ciudades],Tabla2[Provincias],"no se encuentra")</f>
        <v>Valencia</v>
      </c>
      <c r="L2290" t="str">
        <f>_xlfn.XLOOKUP(datos_ventas[[#This Row],[Provincia]],Tabla2[Provincias],Tabla2[Comunidades],"no se encuentra")</f>
        <v>Comunidad Valenciana</v>
      </c>
      <c r="M2290" t="s">
        <v>19</v>
      </c>
      <c r="N2290">
        <v>5</v>
      </c>
    </row>
    <row r="2291" spans="1:14" x14ac:dyDescent="0.25">
      <c r="A2291">
        <v>3290</v>
      </c>
      <c r="B2291" s="1">
        <v>45941</v>
      </c>
      <c r="C2291" s="4">
        <f>MONTH(datos_ventas[[#This Row],[Fecha]])</f>
        <v>10</v>
      </c>
      <c r="D2291" s="4">
        <f>WEEKNUM(datos_ventas[[#This Row],[Fecha]],2)</f>
        <v>41</v>
      </c>
      <c r="E2291" t="s">
        <v>20</v>
      </c>
      <c r="F2291" t="s">
        <v>21</v>
      </c>
      <c r="G2291">
        <v>3</v>
      </c>
      <c r="H2291">
        <v>8094</v>
      </c>
      <c r="I2291">
        <v>2158</v>
      </c>
      <c r="J2291" t="s">
        <v>12</v>
      </c>
      <c r="K2291" t="str">
        <f>_xlfn.XLOOKUP(datos_ventas[[#This Row],[Ciudad]],Tabla2[Ciudades],Tabla2[Provincias],"no se encuentra")</f>
        <v>Málaga</v>
      </c>
      <c r="L2291" t="str">
        <f>_xlfn.XLOOKUP(datos_ventas[[#This Row],[Provincia]],Tabla2[Provincias],Tabla2[Comunidades],"no se encuentra")</f>
        <v>Andalucía</v>
      </c>
      <c r="M2291" t="s">
        <v>19</v>
      </c>
      <c r="N2291">
        <v>3</v>
      </c>
    </row>
    <row r="2292" spans="1:14" x14ac:dyDescent="0.25">
      <c r="A2292">
        <v>3291</v>
      </c>
      <c r="B2292" s="1">
        <v>45878</v>
      </c>
      <c r="C2292" s="4">
        <f>MONTH(datos_ventas[[#This Row],[Fecha]])</f>
        <v>8</v>
      </c>
      <c r="D2292" s="4">
        <f>WEEKNUM(datos_ventas[[#This Row],[Fecha]],2)</f>
        <v>32</v>
      </c>
      <c r="E2292" t="s">
        <v>17</v>
      </c>
      <c r="F2292" t="s">
        <v>18</v>
      </c>
      <c r="G2292">
        <v>4</v>
      </c>
      <c r="H2292">
        <v>11610</v>
      </c>
      <c r="I2292">
        <v>112</v>
      </c>
      <c r="J2292" t="s">
        <v>32</v>
      </c>
      <c r="K2292" t="str">
        <f>_xlfn.XLOOKUP(datos_ventas[[#This Row],[Ciudad]],Tabla2[Ciudades],Tabla2[Provincias],"no se encuentra")</f>
        <v>Barcelona</v>
      </c>
      <c r="L2292" t="str">
        <f>_xlfn.XLOOKUP(datos_ventas[[#This Row],[Provincia]],Tabla2[Provincias],Tabla2[Comunidades],"no se encuentra")</f>
        <v>Cataluña</v>
      </c>
      <c r="M2292" t="s">
        <v>28</v>
      </c>
      <c r="N2292">
        <v>4</v>
      </c>
    </row>
    <row r="2293" spans="1:14" x14ac:dyDescent="0.25">
      <c r="A2293">
        <v>3292</v>
      </c>
      <c r="B2293" s="1">
        <v>45927</v>
      </c>
      <c r="C2293" s="4">
        <f>MONTH(datos_ventas[[#This Row],[Fecha]])</f>
        <v>9</v>
      </c>
      <c r="D2293" s="4">
        <f>WEEKNUM(datos_ventas[[#This Row],[Fecha]],2)</f>
        <v>39</v>
      </c>
      <c r="E2293" t="s">
        <v>23</v>
      </c>
      <c r="F2293" t="s">
        <v>18</v>
      </c>
      <c r="G2293">
        <v>2</v>
      </c>
      <c r="H2293">
        <v>90078</v>
      </c>
      <c r="I2293">
        <v>1085</v>
      </c>
      <c r="J2293" t="s">
        <v>31</v>
      </c>
      <c r="K2293" t="str">
        <f>_xlfn.XLOOKUP(datos_ventas[[#This Row],[Ciudad]],Tabla2[Ciudades],Tabla2[Provincias],"no se encuentra")</f>
        <v>Vizcaya</v>
      </c>
      <c r="L2293" t="str">
        <f>_xlfn.XLOOKUP(datos_ventas[[#This Row],[Provincia]],Tabla2[Provincias],Tabla2[Comunidades],"no se encuentra")</f>
        <v>País Vasco</v>
      </c>
      <c r="M2293" t="s">
        <v>15</v>
      </c>
      <c r="N2293">
        <v>5</v>
      </c>
    </row>
    <row r="2294" spans="1:14" x14ac:dyDescent="0.25">
      <c r="A2294">
        <v>3293</v>
      </c>
      <c r="B2294" s="1">
        <v>45743</v>
      </c>
      <c r="C2294" s="4">
        <f>MONTH(datos_ventas[[#This Row],[Fecha]])</f>
        <v>3</v>
      </c>
      <c r="D2294" s="4">
        <f>WEEKNUM(datos_ventas[[#This Row],[Fecha]],2)</f>
        <v>13</v>
      </c>
      <c r="E2294" t="s">
        <v>17</v>
      </c>
      <c r="F2294" t="s">
        <v>18</v>
      </c>
      <c r="G2294">
        <v>2</v>
      </c>
      <c r="H2294">
        <v>60703</v>
      </c>
      <c r="I2294">
        <v>1404</v>
      </c>
      <c r="J2294" t="s">
        <v>14</v>
      </c>
      <c r="K2294" t="str">
        <f>_xlfn.XLOOKUP(datos_ventas[[#This Row],[Ciudad]],Tabla2[Ciudades],Tabla2[Provincias],"no se encuentra")</f>
        <v>Madrid</v>
      </c>
      <c r="L2294" t="str">
        <f>_xlfn.XLOOKUP(datos_ventas[[#This Row],[Provincia]],Tabla2[Provincias],Tabla2[Comunidades],"no se encuentra")</f>
        <v>Comunidad de Madrid</v>
      </c>
      <c r="M2294" t="s">
        <v>13</v>
      </c>
      <c r="N2294">
        <v>4</v>
      </c>
    </row>
    <row r="2295" spans="1:14" x14ac:dyDescent="0.25">
      <c r="A2295">
        <v>3294</v>
      </c>
      <c r="B2295" s="1">
        <v>45871</v>
      </c>
      <c r="C2295" s="4">
        <f>MONTH(datos_ventas[[#This Row],[Fecha]])</f>
        <v>8</v>
      </c>
      <c r="D2295" s="4">
        <f>WEEKNUM(datos_ventas[[#This Row],[Fecha]],2)</f>
        <v>31</v>
      </c>
      <c r="E2295" t="s">
        <v>20</v>
      </c>
      <c r="F2295" t="s">
        <v>21</v>
      </c>
      <c r="G2295">
        <v>4</v>
      </c>
      <c r="H2295">
        <v>51679</v>
      </c>
      <c r="I2295">
        <v>737</v>
      </c>
      <c r="J2295" t="s">
        <v>22</v>
      </c>
      <c r="K2295" t="str">
        <f>_xlfn.XLOOKUP(datos_ventas[[#This Row],[Ciudad]],Tabla2[Ciudades],Tabla2[Provincias],"no se encuentra")</f>
        <v>Valencia</v>
      </c>
      <c r="L2295" t="str">
        <f>_xlfn.XLOOKUP(datos_ventas[[#This Row],[Provincia]],Tabla2[Provincias],Tabla2[Comunidades],"no se encuentra")</f>
        <v>Comunidad Valenciana</v>
      </c>
      <c r="M2295" t="s">
        <v>13</v>
      </c>
      <c r="N2295">
        <v>3</v>
      </c>
    </row>
    <row r="2296" spans="1:14" x14ac:dyDescent="0.25">
      <c r="A2296">
        <v>3295</v>
      </c>
      <c r="B2296" s="1">
        <v>45930</v>
      </c>
      <c r="C2296" s="4">
        <f>MONTH(datos_ventas[[#This Row],[Fecha]])</f>
        <v>9</v>
      </c>
      <c r="D2296" s="4">
        <f>WEEKNUM(datos_ventas[[#This Row],[Fecha]],2)</f>
        <v>40</v>
      </c>
      <c r="E2296" t="s">
        <v>24</v>
      </c>
      <c r="F2296" t="s">
        <v>25</v>
      </c>
      <c r="G2296">
        <v>1</v>
      </c>
      <c r="H2296">
        <v>7986</v>
      </c>
      <c r="I2296">
        <v>2962</v>
      </c>
      <c r="J2296" t="s">
        <v>32</v>
      </c>
      <c r="K2296" t="str">
        <f>_xlfn.XLOOKUP(datos_ventas[[#This Row],[Ciudad]],Tabla2[Ciudades],Tabla2[Provincias],"no se encuentra")</f>
        <v>Barcelona</v>
      </c>
      <c r="L2296" t="str">
        <f>_xlfn.XLOOKUP(datos_ventas[[#This Row],[Provincia]],Tabla2[Provincias],Tabla2[Comunidades],"no se encuentra")</f>
        <v>Cataluña</v>
      </c>
      <c r="M2296" t="s">
        <v>13</v>
      </c>
      <c r="N2296">
        <v>2</v>
      </c>
    </row>
    <row r="2297" spans="1:14" x14ac:dyDescent="0.25">
      <c r="A2297">
        <v>3296</v>
      </c>
      <c r="B2297" s="1">
        <v>45668</v>
      </c>
      <c r="C2297" s="4">
        <f>MONTH(datos_ventas[[#This Row],[Fecha]])</f>
        <v>1</v>
      </c>
      <c r="D2297" s="4">
        <f>WEEKNUM(datos_ventas[[#This Row],[Fecha]],2)</f>
        <v>2</v>
      </c>
      <c r="E2297" t="s">
        <v>29</v>
      </c>
      <c r="F2297" t="s">
        <v>30</v>
      </c>
      <c r="G2297">
        <v>5</v>
      </c>
      <c r="H2297">
        <v>61458</v>
      </c>
      <c r="I2297">
        <v>1108</v>
      </c>
      <c r="J2297" t="s">
        <v>14</v>
      </c>
      <c r="K2297" t="str">
        <f>_xlfn.XLOOKUP(datos_ventas[[#This Row],[Ciudad]],Tabla2[Ciudades],Tabla2[Provincias],"no se encuentra")</f>
        <v>Madrid</v>
      </c>
      <c r="L2297" t="str">
        <f>_xlfn.XLOOKUP(datos_ventas[[#This Row],[Provincia]],Tabla2[Provincias],Tabla2[Comunidades],"no se encuentra")</f>
        <v>Comunidad de Madrid</v>
      </c>
      <c r="M2297" t="s">
        <v>13</v>
      </c>
      <c r="N2297">
        <v>5</v>
      </c>
    </row>
    <row r="2298" spans="1:14" x14ac:dyDescent="0.25">
      <c r="A2298">
        <v>3297</v>
      </c>
      <c r="B2298" s="1">
        <v>45687</v>
      </c>
      <c r="C2298" s="4">
        <f>MONTH(datos_ventas[[#This Row],[Fecha]])</f>
        <v>1</v>
      </c>
      <c r="D2298" s="4">
        <f>WEEKNUM(datos_ventas[[#This Row],[Fecha]],2)</f>
        <v>5</v>
      </c>
      <c r="E2298" t="s">
        <v>29</v>
      </c>
      <c r="F2298" t="s">
        <v>30</v>
      </c>
      <c r="G2298">
        <v>1</v>
      </c>
      <c r="H2298">
        <v>87372</v>
      </c>
      <c r="I2298">
        <v>2883</v>
      </c>
      <c r="J2298" t="s">
        <v>31</v>
      </c>
      <c r="K2298" t="str">
        <f>_xlfn.XLOOKUP(datos_ventas[[#This Row],[Ciudad]],Tabla2[Ciudades],Tabla2[Provincias],"no se encuentra")</f>
        <v>Vizcaya</v>
      </c>
      <c r="L2298" t="str">
        <f>_xlfn.XLOOKUP(datos_ventas[[#This Row],[Provincia]],Tabla2[Provincias],Tabla2[Comunidades],"no se encuentra")</f>
        <v>País Vasco</v>
      </c>
      <c r="M2298" t="s">
        <v>13</v>
      </c>
      <c r="N2298">
        <v>3</v>
      </c>
    </row>
    <row r="2299" spans="1:14" x14ac:dyDescent="0.25">
      <c r="A2299">
        <v>3298</v>
      </c>
      <c r="B2299" s="1">
        <v>45815</v>
      </c>
      <c r="C2299" s="4">
        <f>MONTH(datos_ventas[[#This Row],[Fecha]])</f>
        <v>6</v>
      </c>
      <c r="D2299" s="4">
        <f>WEEKNUM(datos_ventas[[#This Row],[Fecha]],2)</f>
        <v>23</v>
      </c>
      <c r="E2299" t="s">
        <v>23</v>
      </c>
      <c r="F2299" t="s">
        <v>18</v>
      </c>
      <c r="G2299">
        <v>3</v>
      </c>
      <c r="H2299">
        <v>24305</v>
      </c>
      <c r="I2299">
        <v>1548</v>
      </c>
      <c r="J2299" t="s">
        <v>14</v>
      </c>
      <c r="K2299" t="str">
        <f>_xlfn.XLOOKUP(datos_ventas[[#This Row],[Ciudad]],Tabla2[Ciudades],Tabla2[Provincias],"no se encuentra")</f>
        <v>Madrid</v>
      </c>
      <c r="L2299" t="str">
        <f>_xlfn.XLOOKUP(datos_ventas[[#This Row],[Provincia]],Tabla2[Provincias],Tabla2[Comunidades],"no se encuentra")</f>
        <v>Comunidad de Madrid</v>
      </c>
      <c r="M2299" t="s">
        <v>19</v>
      </c>
      <c r="N2299">
        <v>5</v>
      </c>
    </row>
    <row r="2300" spans="1:14" x14ac:dyDescent="0.25">
      <c r="A2300">
        <v>3299</v>
      </c>
      <c r="B2300" s="1">
        <v>45737</v>
      </c>
      <c r="C2300" s="4">
        <f>MONTH(datos_ventas[[#This Row],[Fecha]])</f>
        <v>3</v>
      </c>
      <c r="D2300" s="4">
        <f>WEEKNUM(datos_ventas[[#This Row],[Fecha]],2)</f>
        <v>12</v>
      </c>
      <c r="E2300" t="s">
        <v>23</v>
      </c>
      <c r="F2300" t="s">
        <v>18</v>
      </c>
      <c r="G2300">
        <v>4</v>
      </c>
      <c r="H2300">
        <v>72865</v>
      </c>
      <c r="I2300">
        <v>2794</v>
      </c>
      <c r="J2300" t="s">
        <v>14</v>
      </c>
      <c r="K2300" t="str">
        <f>_xlfn.XLOOKUP(datos_ventas[[#This Row],[Ciudad]],Tabla2[Ciudades],Tabla2[Provincias],"no se encuentra")</f>
        <v>Madrid</v>
      </c>
      <c r="L2300" t="str">
        <f>_xlfn.XLOOKUP(datos_ventas[[#This Row],[Provincia]],Tabla2[Provincias],Tabla2[Comunidades],"no se encuentra")</f>
        <v>Comunidad de Madrid</v>
      </c>
      <c r="M2300" t="s">
        <v>28</v>
      </c>
      <c r="N2300">
        <v>2</v>
      </c>
    </row>
    <row r="2301" spans="1:14" x14ac:dyDescent="0.25">
      <c r="A2301">
        <v>3300</v>
      </c>
      <c r="B2301" s="1">
        <v>45849</v>
      </c>
      <c r="C2301" s="4">
        <f>MONTH(datos_ventas[[#This Row],[Fecha]])</f>
        <v>7</v>
      </c>
      <c r="D2301" s="4">
        <f>WEEKNUM(datos_ventas[[#This Row],[Fecha]],2)</f>
        <v>28</v>
      </c>
      <c r="E2301" t="s">
        <v>17</v>
      </c>
      <c r="F2301" t="s">
        <v>18</v>
      </c>
      <c r="G2301">
        <v>1</v>
      </c>
      <c r="H2301">
        <v>78124</v>
      </c>
      <c r="I2301">
        <v>478</v>
      </c>
      <c r="J2301" t="s">
        <v>14</v>
      </c>
      <c r="K2301" t="str">
        <f>_xlfn.XLOOKUP(datos_ventas[[#This Row],[Ciudad]],Tabla2[Ciudades],Tabla2[Provincias],"no se encuentra")</f>
        <v>Madrid</v>
      </c>
      <c r="L2301" t="str">
        <f>_xlfn.XLOOKUP(datos_ventas[[#This Row],[Provincia]],Tabla2[Provincias],Tabla2[Comunidades],"no se encuentra")</f>
        <v>Comunidad de Madrid</v>
      </c>
      <c r="M2301" t="s">
        <v>28</v>
      </c>
      <c r="N2301">
        <v>3</v>
      </c>
    </row>
    <row r="2302" spans="1:14" x14ac:dyDescent="0.25">
      <c r="A2302">
        <v>3301</v>
      </c>
      <c r="B2302" s="1">
        <v>45964</v>
      </c>
      <c r="C2302" s="4">
        <f>MONTH(datos_ventas[[#This Row],[Fecha]])</f>
        <v>11</v>
      </c>
      <c r="D2302" s="4">
        <f>WEEKNUM(datos_ventas[[#This Row],[Fecha]],2)</f>
        <v>45</v>
      </c>
      <c r="E2302" t="s">
        <v>29</v>
      </c>
      <c r="F2302" t="s">
        <v>30</v>
      </c>
      <c r="G2302">
        <v>2</v>
      </c>
      <c r="H2302">
        <v>26166</v>
      </c>
      <c r="I2302">
        <v>3568</v>
      </c>
      <c r="J2302" t="s">
        <v>32</v>
      </c>
      <c r="K2302" t="str">
        <f>_xlfn.XLOOKUP(datos_ventas[[#This Row],[Ciudad]],Tabla2[Ciudades],Tabla2[Provincias],"no se encuentra")</f>
        <v>Barcelona</v>
      </c>
      <c r="L2302" t="str">
        <f>_xlfn.XLOOKUP(datos_ventas[[#This Row],[Provincia]],Tabla2[Provincias],Tabla2[Comunidades],"no se encuentra")</f>
        <v>Cataluña</v>
      </c>
      <c r="M2302" t="s">
        <v>19</v>
      </c>
      <c r="N2302">
        <v>1</v>
      </c>
    </row>
    <row r="2303" spans="1:14" x14ac:dyDescent="0.25">
      <c r="A2303">
        <v>3302</v>
      </c>
      <c r="B2303" s="1">
        <v>45917</v>
      </c>
      <c r="C2303" s="4">
        <f>MONTH(datos_ventas[[#This Row],[Fecha]])</f>
        <v>9</v>
      </c>
      <c r="D2303" s="4">
        <f>WEEKNUM(datos_ventas[[#This Row],[Fecha]],2)</f>
        <v>38</v>
      </c>
      <c r="E2303" t="s">
        <v>10</v>
      </c>
      <c r="F2303" t="s">
        <v>11</v>
      </c>
      <c r="G2303">
        <v>4</v>
      </c>
      <c r="H2303">
        <v>50167</v>
      </c>
      <c r="I2303">
        <v>4595</v>
      </c>
      <c r="J2303" t="s">
        <v>32</v>
      </c>
      <c r="K2303" t="str">
        <f>_xlfn.XLOOKUP(datos_ventas[[#This Row],[Ciudad]],Tabla2[Ciudades],Tabla2[Provincias],"no se encuentra")</f>
        <v>Barcelona</v>
      </c>
      <c r="L2303" t="str">
        <f>_xlfn.XLOOKUP(datos_ventas[[#This Row],[Provincia]],Tabla2[Provincias],Tabla2[Comunidades],"no se encuentra")</f>
        <v>Cataluña</v>
      </c>
      <c r="M2303" t="s">
        <v>15</v>
      </c>
      <c r="N2303">
        <v>5</v>
      </c>
    </row>
    <row r="2304" spans="1:14" x14ac:dyDescent="0.25">
      <c r="A2304">
        <v>3303</v>
      </c>
      <c r="B2304" s="1">
        <v>45985</v>
      </c>
      <c r="C2304" s="4">
        <f>MONTH(datos_ventas[[#This Row],[Fecha]])</f>
        <v>11</v>
      </c>
      <c r="D2304" s="4">
        <f>WEEKNUM(datos_ventas[[#This Row],[Fecha]],2)</f>
        <v>48</v>
      </c>
      <c r="E2304" t="s">
        <v>20</v>
      </c>
      <c r="F2304" t="s">
        <v>21</v>
      </c>
      <c r="G2304">
        <v>4</v>
      </c>
      <c r="H2304">
        <v>50274</v>
      </c>
      <c r="I2304">
        <v>4808</v>
      </c>
      <c r="J2304" t="s">
        <v>22</v>
      </c>
      <c r="K2304" t="str">
        <f>_xlfn.XLOOKUP(datos_ventas[[#This Row],[Ciudad]],Tabla2[Ciudades],Tabla2[Provincias],"no se encuentra")</f>
        <v>Valencia</v>
      </c>
      <c r="L2304" t="str">
        <f>_xlfn.XLOOKUP(datos_ventas[[#This Row],[Provincia]],Tabla2[Provincias],Tabla2[Comunidades],"no se encuentra")</f>
        <v>Comunidad Valenciana</v>
      </c>
      <c r="M2304" t="s">
        <v>19</v>
      </c>
      <c r="N2304">
        <v>4</v>
      </c>
    </row>
    <row r="2305" spans="1:14" x14ac:dyDescent="0.25">
      <c r="A2305">
        <v>3304</v>
      </c>
      <c r="B2305" s="1">
        <v>45742</v>
      </c>
      <c r="C2305" s="4">
        <f>MONTH(datos_ventas[[#This Row],[Fecha]])</f>
        <v>3</v>
      </c>
      <c r="D2305" s="4">
        <f>WEEKNUM(datos_ventas[[#This Row],[Fecha]],2)</f>
        <v>13</v>
      </c>
      <c r="E2305" t="s">
        <v>17</v>
      </c>
      <c r="F2305" t="s">
        <v>18</v>
      </c>
      <c r="G2305">
        <v>3</v>
      </c>
      <c r="H2305">
        <v>55311</v>
      </c>
      <c r="I2305">
        <v>2098</v>
      </c>
      <c r="J2305" t="s">
        <v>12</v>
      </c>
      <c r="K2305" t="str">
        <f>_xlfn.XLOOKUP(datos_ventas[[#This Row],[Ciudad]],Tabla2[Ciudades],Tabla2[Provincias],"no se encuentra")</f>
        <v>Málaga</v>
      </c>
      <c r="L2305" t="str">
        <f>_xlfn.XLOOKUP(datos_ventas[[#This Row],[Provincia]],Tabla2[Provincias],Tabla2[Comunidades],"no se encuentra")</f>
        <v>Andalucía</v>
      </c>
      <c r="M2305" t="s">
        <v>19</v>
      </c>
      <c r="N2305">
        <v>1</v>
      </c>
    </row>
    <row r="2306" spans="1:14" x14ac:dyDescent="0.25">
      <c r="A2306">
        <v>3305</v>
      </c>
      <c r="B2306" s="1">
        <v>45747</v>
      </c>
      <c r="C2306" s="4">
        <f>MONTH(datos_ventas[[#This Row],[Fecha]])</f>
        <v>3</v>
      </c>
      <c r="D2306" s="4">
        <f>WEEKNUM(datos_ventas[[#This Row],[Fecha]],2)</f>
        <v>14</v>
      </c>
      <c r="E2306" t="s">
        <v>16</v>
      </c>
      <c r="F2306" t="s">
        <v>11</v>
      </c>
      <c r="G2306">
        <v>1</v>
      </c>
      <c r="H2306">
        <v>8714</v>
      </c>
      <c r="I2306">
        <v>642</v>
      </c>
      <c r="J2306" t="s">
        <v>12</v>
      </c>
      <c r="K2306" t="str">
        <f>_xlfn.XLOOKUP(datos_ventas[[#This Row],[Ciudad]],Tabla2[Ciudades],Tabla2[Provincias],"no se encuentra")</f>
        <v>Málaga</v>
      </c>
      <c r="L2306" t="str">
        <f>_xlfn.XLOOKUP(datos_ventas[[#This Row],[Provincia]],Tabla2[Provincias],Tabla2[Comunidades],"no se encuentra")</f>
        <v>Andalucía</v>
      </c>
      <c r="M2306" t="s">
        <v>19</v>
      </c>
      <c r="N2306">
        <v>1</v>
      </c>
    </row>
    <row r="2307" spans="1:14" x14ac:dyDescent="0.25">
      <c r="A2307">
        <v>3306</v>
      </c>
      <c r="B2307" s="1">
        <v>45767</v>
      </c>
      <c r="C2307" s="4">
        <f>MONTH(datos_ventas[[#This Row],[Fecha]])</f>
        <v>4</v>
      </c>
      <c r="D2307" s="4">
        <f>WEEKNUM(datos_ventas[[#This Row],[Fecha]],2)</f>
        <v>16</v>
      </c>
      <c r="E2307" t="s">
        <v>29</v>
      </c>
      <c r="F2307" t="s">
        <v>30</v>
      </c>
      <c r="G2307">
        <v>2</v>
      </c>
      <c r="H2307">
        <v>4382</v>
      </c>
      <c r="I2307">
        <v>60</v>
      </c>
      <c r="J2307" t="s">
        <v>22</v>
      </c>
      <c r="K2307" t="str">
        <f>_xlfn.XLOOKUP(datos_ventas[[#This Row],[Ciudad]],Tabla2[Ciudades],Tabla2[Provincias],"no se encuentra")</f>
        <v>Valencia</v>
      </c>
      <c r="L2307" t="str">
        <f>_xlfn.XLOOKUP(datos_ventas[[#This Row],[Provincia]],Tabla2[Provincias],Tabla2[Comunidades],"no se encuentra")</f>
        <v>Comunidad Valenciana</v>
      </c>
      <c r="M2307" t="s">
        <v>19</v>
      </c>
      <c r="N2307">
        <v>1</v>
      </c>
    </row>
    <row r="2308" spans="1:14" x14ac:dyDescent="0.25">
      <c r="A2308">
        <v>3307</v>
      </c>
      <c r="B2308" s="1">
        <v>45859</v>
      </c>
      <c r="C2308" s="4">
        <f>MONTH(datos_ventas[[#This Row],[Fecha]])</f>
        <v>7</v>
      </c>
      <c r="D2308" s="4">
        <f>WEEKNUM(datos_ventas[[#This Row],[Fecha]],2)</f>
        <v>30</v>
      </c>
      <c r="E2308" t="s">
        <v>23</v>
      </c>
      <c r="F2308" t="s">
        <v>18</v>
      </c>
      <c r="G2308">
        <v>3</v>
      </c>
      <c r="H2308">
        <v>114491</v>
      </c>
      <c r="I2308">
        <v>1997</v>
      </c>
      <c r="J2308" t="s">
        <v>31</v>
      </c>
      <c r="K2308" t="str">
        <f>_xlfn.XLOOKUP(datos_ventas[[#This Row],[Ciudad]],Tabla2[Ciudades],Tabla2[Provincias],"no se encuentra")</f>
        <v>Vizcaya</v>
      </c>
      <c r="L2308" t="str">
        <f>_xlfn.XLOOKUP(datos_ventas[[#This Row],[Provincia]],Tabla2[Provincias],Tabla2[Comunidades],"no se encuentra")</f>
        <v>País Vasco</v>
      </c>
      <c r="M2308" t="s">
        <v>28</v>
      </c>
      <c r="N2308">
        <v>2</v>
      </c>
    </row>
    <row r="2309" spans="1:14" x14ac:dyDescent="0.25">
      <c r="A2309">
        <v>3308</v>
      </c>
      <c r="B2309" s="1">
        <v>45772</v>
      </c>
      <c r="C2309" s="4">
        <f>MONTH(datos_ventas[[#This Row],[Fecha]])</f>
        <v>4</v>
      </c>
      <c r="D2309" s="4">
        <f>WEEKNUM(datos_ventas[[#This Row],[Fecha]],2)</f>
        <v>17</v>
      </c>
      <c r="E2309" t="s">
        <v>17</v>
      </c>
      <c r="F2309" t="s">
        <v>18</v>
      </c>
      <c r="G2309">
        <v>1</v>
      </c>
      <c r="H2309">
        <v>66025</v>
      </c>
      <c r="I2309">
        <v>1904</v>
      </c>
      <c r="J2309" t="s">
        <v>12</v>
      </c>
      <c r="K2309" t="str">
        <f>_xlfn.XLOOKUP(datos_ventas[[#This Row],[Ciudad]],Tabla2[Ciudades],Tabla2[Provincias],"no se encuentra")</f>
        <v>Málaga</v>
      </c>
      <c r="L2309" t="str">
        <f>_xlfn.XLOOKUP(datos_ventas[[#This Row],[Provincia]],Tabla2[Provincias],Tabla2[Comunidades],"no se encuentra")</f>
        <v>Andalucía</v>
      </c>
      <c r="M2309" t="s">
        <v>19</v>
      </c>
      <c r="N2309">
        <v>4</v>
      </c>
    </row>
    <row r="2310" spans="1:14" x14ac:dyDescent="0.25">
      <c r="A2310">
        <v>3309</v>
      </c>
      <c r="B2310" s="1">
        <v>45756</v>
      </c>
      <c r="C2310" s="4">
        <f>MONTH(datos_ventas[[#This Row],[Fecha]])</f>
        <v>4</v>
      </c>
      <c r="D2310" s="4">
        <f>WEEKNUM(datos_ventas[[#This Row],[Fecha]],2)</f>
        <v>15</v>
      </c>
      <c r="E2310" t="s">
        <v>20</v>
      </c>
      <c r="F2310" t="s">
        <v>21</v>
      </c>
      <c r="G2310">
        <v>3</v>
      </c>
      <c r="H2310">
        <v>36072</v>
      </c>
      <c r="I2310">
        <v>1824</v>
      </c>
      <c r="J2310" t="s">
        <v>22</v>
      </c>
      <c r="K2310" t="str">
        <f>_xlfn.XLOOKUP(datos_ventas[[#This Row],[Ciudad]],Tabla2[Ciudades],Tabla2[Provincias],"no se encuentra")</f>
        <v>Valencia</v>
      </c>
      <c r="L2310" t="str">
        <f>_xlfn.XLOOKUP(datos_ventas[[#This Row],[Provincia]],Tabla2[Provincias],Tabla2[Comunidades],"no se encuentra")</f>
        <v>Comunidad Valenciana</v>
      </c>
      <c r="M2310" t="s">
        <v>28</v>
      </c>
      <c r="N2310">
        <v>4</v>
      </c>
    </row>
    <row r="2311" spans="1:14" x14ac:dyDescent="0.25">
      <c r="A2311">
        <v>3310</v>
      </c>
      <c r="B2311" s="1">
        <v>45961</v>
      </c>
      <c r="C2311" s="4">
        <f>MONTH(datos_ventas[[#This Row],[Fecha]])</f>
        <v>10</v>
      </c>
      <c r="D2311" s="4">
        <f>WEEKNUM(datos_ventas[[#This Row],[Fecha]],2)</f>
        <v>44</v>
      </c>
      <c r="E2311" t="s">
        <v>17</v>
      </c>
      <c r="F2311" t="s">
        <v>18</v>
      </c>
      <c r="G2311">
        <v>5</v>
      </c>
      <c r="H2311">
        <v>45076</v>
      </c>
      <c r="I2311">
        <v>392</v>
      </c>
      <c r="J2311" t="s">
        <v>22</v>
      </c>
      <c r="K2311" t="str">
        <f>_xlfn.XLOOKUP(datos_ventas[[#This Row],[Ciudad]],Tabla2[Ciudades],Tabla2[Provincias],"no se encuentra")</f>
        <v>Valencia</v>
      </c>
      <c r="L2311" t="str">
        <f>_xlfn.XLOOKUP(datos_ventas[[#This Row],[Provincia]],Tabla2[Provincias],Tabla2[Comunidades],"no se encuentra")</f>
        <v>Comunidad Valenciana</v>
      </c>
      <c r="M2311" t="s">
        <v>19</v>
      </c>
      <c r="N2311">
        <v>4</v>
      </c>
    </row>
    <row r="2312" spans="1:14" x14ac:dyDescent="0.25">
      <c r="A2312">
        <v>3311</v>
      </c>
      <c r="B2312" s="1">
        <v>45754</v>
      </c>
      <c r="C2312" s="4">
        <f>MONTH(datos_ventas[[#This Row],[Fecha]])</f>
        <v>4</v>
      </c>
      <c r="D2312" s="4">
        <f>WEEKNUM(datos_ventas[[#This Row],[Fecha]],2)</f>
        <v>15</v>
      </c>
      <c r="E2312" t="s">
        <v>24</v>
      </c>
      <c r="F2312" t="s">
        <v>25</v>
      </c>
      <c r="G2312">
        <v>3</v>
      </c>
      <c r="H2312">
        <v>116408</v>
      </c>
      <c r="I2312">
        <v>4961</v>
      </c>
      <c r="J2312" t="s">
        <v>14</v>
      </c>
      <c r="K2312" t="str">
        <f>_xlfn.XLOOKUP(datos_ventas[[#This Row],[Ciudad]],Tabla2[Ciudades],Tabla2[Provincias],"no se encuentra")</f>
        <v>Madrid</v>
      </c>
      <c r="L2312" t="str">
        <f>_xlfn.XLOOKUP(datos_ventas[[#This Row],[Provincia]],Tabla2[Provincias],Tabla2[Comunidades],"no se encuentra")</f>
        <v>Comunidad de Madrid</v>
      </c>
      <c r="M2312" t="s">
        <v>13</v>
      </c>
      <c r="N2312">
        <v>1</v>
      </c>
    </row>
    <row r="2313" spans="1:14" x14ac:dyDescent="0.25">
      <c r="A2313">
        <v>3312</v>
      </c>
      <c r="B2313" s="1">
        <v>45913</v>
      </c>
      <c r="C2313" s="4">
        <f>MONTH(datos_ventas[[#This Row],[Fecha]])</f>
        <v>9</v>
      </c>
      <c r="D2313" s="4">
        <f>WEEKNUM(datos_ventas[[#This Row],[Fecha]],2)</f>
        <v>37</v>
      </c>
      <c r="E2313" t="s">
        <v>20</v>
      </c>
      <c r="F2313" t="s">
        <v>21</v>
      </c>
      <c r="G2313">
        <v>2</v>
      </c>
      <c r="H2313">
        <v>12862</v>
      </c>
      <c r="I2313">
        <v>2907</v>
      </c>
      <c r="J2313" t="s">
        <v>31</v>
      </c>
      <c r="K2313" t="str">
        <f>_xlfn.XLOOKUP(datos_ventas[[#This Row],[Ciudad]],Tabla2[Ciudades],Tabla2[Provincias],"no se encuentra")</f>
        <v>Vizcaya</v>
      </c>
      <c r="L2313" t="str">
        <f>_xlfn.XLOOKUP(datos_ventas[[#This Row],[Provincia]],Tabla2[Provincias],Tabla2[Comunidades],"no se encuentra")</f>
        <v>País Vasco</v>
      </c>
      <c r="M2313" t="s">
        <v>19</v>
      </c>
      <c r="N2313">
        <v>2</v>
      </c>
    </row>
    <row r="2314" spans="1:14" x14ac:dyDescent="0.25">
      <c r="A2314">
        <v>3313</v>
      </c>
      <c r="B2314" s="1">
        <v>46013</v>
      </c>
      <c r="C2314" s="4">
        <f>MONTH(datos_ventas[[#This Row],[Fecha]])</f>
        <v>12</v>
      </c>
      <c r="D2314" s="4">
        <f>WEEKNUM(datos_ventas[[#This Row],[Fecha]],2)</f>
        <v>52</v>
      </c>
      <c r="E2314" t="s">
        <v>20</v>
      </c>
      <c r="F2314" t="s">
        <v>21</v>
      </c>
      <c r="G2314">
        <v>2</v>
      </c>
      <c r="H2314">
        <v>6738</v>
      </c>
      <c r="I2314">
        <v>2001</v>
      </c>
      <c r="J2314" t="s">
        <v>14</v>
      </c>
      <c r="K2314" t="str">
        <f>_xlfn.XLOOKUP(datos_ventas[[#This Row],[Ciudad]],Tabla2[Ciudades],Tabla2[Provincias],"no se encuentra")</f>
        <v>Madrid</v>
      </c>
      <c r="L2314" t="str">
        <f>_xlfn.XLOOKUP(datos_ventas[[#This Row],[Provincia]],Tabla2[Provincias],Tabla2[Comunidades],"no se encuentra")</f>
        <v>Comunidad de Madrid</v>
      </c>
      <c r="M2314" t="s">
        <v>15</v>
      </c>
      <c r="N2314">
        <v>1</v>
      </c>
    </row>
    <row r="2315" spans="1:14" x14ac:dyDescent="0.25">
      <c r="A2315">
        <v>3314</v>
      </c>
      <c r="B2315" s="1">
        <v>45995</v>
      </c>
      <c r="C2315" s="4">
        <f>MONTH(datos_ventas[[#This Row],[Fecha]])</f>
        <v>12</v>
      </c>
      <c r="D2315" s="4">
        <f>WEEKNUM(datos_ventas[[#This Row],[Fecha]],2)</f>
        <v>49</v>
      </c>
      <c r="E2315" t="s">
        <v>23</v>
      </c>
      <c r="F2315" t="s">
        <v>18</v>
      </c>
      <c r="G2315">
        <v>2</v>
      </c>
      <c r="H2315">
        <v>30991</v>
      </c>
      <c r="I2315">
        <v>1315</v>
      </c>
      <c r="J2315" t="s">
        <v>31</v>
      </c>
      <c r="K2315" t="str">
        <f>_xlfn.XLOOKUP(datos_ventas[[#This Row],[Ciudad]],Tabla2[Ciudades],Tabla2[Provincias],"no se encuentra")</f>
        <v>Vizcaya</v>
      </c>
      <c r="L2315" t="str">
        <f>_xlfn.XLOOKUP(datos_ventas[[#This Row],[Provincia]],Tabla2[Provincias],Tabla2[Comunidades],"no se encuentra")</f>
        <v>País Vasco</v>
      </c>
      <c r="M2315" t="s">
        <v>15</v>
      </c>
      <c r="N2315">
        <v>1</v>
      </c>
    </row>
    <row r="2316" spans="1:14" x14ac:dyDescent="0.25">
      <c r="A2316">
        <v>3315</v>
      </c>
      <c r="B2316" s="1">
        <v>45996</v>
      </c>
      <c r="C2316" s="4">
        <f>MONTH(datos_ventas[[#This Row],[Fecha]])</f>
        <v>12</v>
      </c>
      <c r="D2316" s="4">
        <f>WEEKNUM(datos_ventas[[#This Row],[Fecha]],2)</f>
        <v>49</v>
      </c>
      <c r="E2316" t="s">
        <v>20</v>
      </c>
      <c r="F2316" t="s">
        <v>21</v>
      </c>
      <c r="G2316">
        <v>2</v>
      </c>
      <c r="H2316">
        <v>110712</v>
      </c>
      <c r="I2316">
        <v>1087</v>
      </c>
      <c r="J2316" t="s">
        <v>31</v>
      </c>
      <c r="K2316" t="str">
        <f>_xlfn.XLOOKUP(datos_ventas[[#This Row],[Ciudad]],Tabla2[Ciudades],Tabla2[Provincias],"no se encuentra")</f>
        <v>Vizcaya</v>
      </c>
      <c r="L2316" t="str">
        <f>_xlfn.XLOOKUP(datos_ventas[[#This Row],[Provincia]],Tabla2[Provincias],Tabla2[Comunidades],"no se encuentra")</f>
        <v>País Vasco</v>
      </c>
      <c r="M2316" t="s">
        <v>28</v>
      </c>
      <c r="N2316">
        <v>2</v>
      </c>
    </row>
    <row r="2317" spans="1:14" x14ac:dyDescent="0.25">
      <c r="A2317">
        <v>3316</v>
      </c>
      <c r="B2317" s="1">
        <v>46011</v>
      </c>
      <c r="C2317" s="4">
        <f>MONTH(datos_ventas[[#This Row],[Fecha]])</f>
        <v>12</v>
      </c>
      <c r="D2317" s="4">
        <f>WEEKNUM(datos_ventas[[#This Row],[Fecha]],2)</f>
        <v>51</v>
      </c>
      <c r="E2317" t="s">
        <v>24</v>
      </c>
      <c r="F2317" t="s">
        <v>25</v>
      </c>
      <c r="G2317">
        <v>3</v>
      </c>
      <c r="H2317">
        <v>25934</v>
      </c>
      <c r="I2317">
        <v>3718</v>
      </c>
      <c r="J2317" t="s">
        <v>31</v>
      </c>
      <c r="K2317" t="str">
        <f>_xlfn.XLOOKUP(datos_ventas[[#This Row],[Ciudad]],Tabla2[Ciudades],Tabla2[Provincias],"no se encuentra")</f>
        <v>Vizcaya</v>
      </c>
      <c r="L2317" t="str">
        <f>_xlfn.XLOOKUP(datos_ventas[[#This Row],[Provincia]],Tabla2[Provincias],Tabla2[Comunidades],"no se encuentra")</f>
        <v>País Vasco</v>
      </c>
      <c r="M2317" t="s">
        <v>19</v>
      </c>
      <c r="N2317">
        <v>4</v>
      </c>
    </row>
    <row r="2318" spans="1:14" x14ac:dyDescent="0.25">
      <c r="A2318">
        <v>3317</v>
      </c>
      <c r="B2318" s="1">
        <v>45758</v>
      </c>
      <c r="C2318" s="4">
        <f>MONTH(datos_ventas[[#This Row],[Fecha]])</f>
        <v>4</v>
      </c>
      <c r="D2318" s="4">
        <f>WEEKNUM(datos_ventas[[#This Row],[Fecha]],2)</f>
        <v>15</v>
      </c>
      <c r="E2318" t="s">
        <v>23</v>
      </c>
      <c r="F2318" t="s">
        <v>18</v>
      </c>
      <c r="G2318">
        <v>5</v>
      </c>
      <c r="H2318">
        <v>69223</v>
      </c>
      <c r="I2318">
        <v>4293</v>
      </c>
      <c r="J2318" t="s">
        <v>14</v>
      </c>
      <c r="K2318" t="str">
        <f>_xlfn.XLOOKUP(datos_ventas[[#This Row],[Ciudad]],Tabla2[Ciudades],Tabla2[Provincias],"no se encuentra")</f>
        <v>Madrid</v>
      </c>
      <c r="L2318" t="str">
        <f>_xlfn.XLOOKUP(datos_ventas[[#This Row],[Provincia]],Tabla2[Provincias],Tabla2[Comunidades],"no se encuentra")</f>
        <v>Comunidad de Madrid</v>
      </c>
      <c r="M2318" t="s">
        <v>19</v>
      </c>
      <c r="N2318">
        <v>3</v>
      </c>
    </row>
    <row r="2319" spans="1:14" x14ac:dyDescent="0.25">
      <c r="A2319">
        <v>3318</v>
      </c>
      <c r="B2319" s="1">
        <v>45797</v>
      </c>
      <c r="C2319" s="4">
        <f>MONTH(datos_ventas[[#This Row],[Fecha]])</f>
        <v>5</v>
      </c>
      <c r="D2319" s="4">
        <f>WEEKNUM(datos_ventas[[#This Row],[Fecha]],2)</f>
        <v>21</v>
      </c>
      <c r="E2319" t="s">
        <v>24</v>
      </c>
      <c r="F2319" t="s">
        <v>25</v>
      </c>
      <c r="G2319">
        <v>1</v>
      </c>
      <c r="H2319">
        <v>5507</v>
      </c>
      <c r="I2319">
        <v>3672</v>
      </c>
      <c r="J2319" t="s">
        <v>14</v>
      </c>
      <c r="K2319" t="str">
        <f>_xlfn.XLOOKUP(datos_ventas[[#This Row],[Ciudad]],Tabla2[Ciudades],Tabla2[Provincias],"no se encuentra")</f>
        <v>Madrid</v>
      </c>
      <c r="L2319" t="str">
        <f>_xlfn.XLOOKUP(datos_ventas[[#This Row],[Provincia]],Tabla2[Provincias],Tabla2[Comunidades],"no se encuentra")</f>
        <v>Comunidad de Madrid</v>
      </c>
      <c r="M2319" t="s">
        <v>28</v>
      </c>
      <c r="N2319">
        <v>1</v>
      </c>
    </row>
    <row r="2320" spans="1:14" x14ac:dyDescent="0.25">
      <c r="A2320">
        <v>3319</v>
      </c>
      <c r="B2320" s="1">
        <v>45682</v>
      </c>
      <c r="C2320" s="4">
        <f>MONTH(datos_ventas[[#This Row],[Fecha]])</f>
        <v>1</v>
      </c>
      <c r="D2320" s="4">
        <f>WEEKNUM(datos_ventas[[#This Row],[Fecha]],2)</f>
        <v>4</v>
      </c>
      <c r="E2320" t="s">
        <v>24</v>
      </c>
      <c r="F2320" t="s">
        <v>25</v>
      </c>
      <c r="G2320">
        <v>5</v>
      </c>
      <c r="H2320">
        <v>115551</v>
      </c>
      <c r="I2320">
        <v>3091</v>
      </c>
      <c r="J2320" t="s">
        <v>14</v>
      </c>
      <c r="K2320" t="str">
        <f>_xlfn.XLOOKUP(datos_ventas[[#This Row],[Ciudad]],Tabla2[Ciudades],Tabla2[Provincias],"no se encuentra")</f>
        <v>Madrid</v>
      </c>
      <c r="L2320" t="str">
        <f>_xlfn.XLOOKUP(datos_ventas[[#This Row],[Provincia]],Tabla2[Provincias],Tabla2[Comunidades],"no se encuentra")</f>
        <v>Comunidad de Madrid</v>
      </c>
      <c r="M2320" t="s">
        <v>28</v>
      </c>
      <c r="N2320">
        <v>3</v>
      </c>
    </row>
    <row r="2321" spans="1:14" x14ac:dyDescent="0.25">
      <c r="A2321">
        <v>3320</v>
      </c>
      <c r="B2321" s="1">
        <v>45876</v>
      </c>
      <c r="C2321" s="4">
        <f>MONTH(datos_ventas[[#This Row],[Fecha]])</f>
        <v>8</v>
      </c>
      <c r="D2321" s="4">
        <f>WEEKNUM(datos_ventas[[#This Row],[Fecha]],2)</f>
        <v>32</v>
      </c>
      <c r="E2321" t="s">
        <v>20</v>
      </c>
      <c r="F2321" t="s">
        <v>21</v>
      </c>
      <c r="G2321">
        <v>3</v>
      </c>
      <c r="H2321">
        <v>14425</v>
      </c>
      <c r="I2321">
        <v>2597</v>
      </c>
      <c r="J2321" t="s">
        <v>14</v>
      </c>
      <c r="K2321" t="str">
        <f>_xlfn.XLOOKUP(datos_ventas[[#This Row],[Ciudad]],Tabla2[Ciudades],Tabla2[Provincias],"no se encuentra")</f>
        <v>Madrid</v>
      </c>
      <c r="L2321" t="str">
        <f>_xlfn.XLOOKUP(datos_ventas[[#This Row],[Provincia]],Tabla2[Provincias],Tabla2[Comunidades],"no se encuentra")</f>
        <v>Comunidad de Madrid</v>
      </c>
      <c r="M2321" t="s">
        <v>13</v>
      </c>
      <c r="N2321">
        <v>3</v>
      </c>
    </row>
    <row r="2322" spans="1:14" x14ac:dyDescent="0.25">
      <c r="A2322">
        <v>3321</v>
      </c>
      <c r="B2322" s="1">
        <v>45817</v>
      </c>
      <c r="C2322" s="4">
        <f>MONTH(datos_ventas[[#This Row],[Fecha]])</f>
        <v>6</v>
      </c>
      <c r="D2322" s="4">
        <f>WEEKNUM(datos_ventas[[#This Row],[Fecha]],2)</f>
        <v>24</v>
      </c>
      <c r="E2322" t="s">
        <v>29</v>
      </c>
      <c r="F2322" t="s">
        <v>30</v>
      </c>
      <c r="G2322">
        <v>3</v>
      </c>
      <c r="H2322">
        <v>65149</v>
      </c>
      <c r="I2322">
        <v>4047</v>
      </c>
      <c r="J2322" t="s">
        <v>32</v>
      </c>
      <c r="K2322" t="str">
        <f>_xlfn.XLOOKUP(datos_ventas[[#This Row],[Ciudad]],Tabla2[Ciudades],Tabla2[Provincias],"no se encuentra")</f>
        <v>Barcelona</v>
      </c>
      <c r="L2322" t="str">
        <f>_xlfn.XLOOKUP(datos_ventas[[#This Row],[Provincia]],Tabla2[Provincias],Tabla2[Comunidades],"no se encuentra")</f>
        <v>Cataluña</v>
      </c>
      <c r="M2322" t="s">
        <v>19</v>
      </c>
      <c r="N2322">
        <v>4</v>
      </c>
    </row>
    <row r="2323" spans="1:14" x14ac:dyDescent="0.25">
      <c r="A2323">
        <v>3322</v>
      </c>
      <c r="B2323" s="1">
        <v>45926</v>
      </c>
      <c r="C2323" s="4">
        <f>MONTH(datos_ventas[[#This Row],[Fecha]])</f>
        <v>9</v>
      </c>
      <c r="D2323" s="4">
        <f>WEEKNUM(datos_ventas[[#This Row],[Fecha]],2)</f>
        <v>39</v>
      </c>
      <c r="E2323" t="s">
        <v>23</v>
      </c>
      <c r="F2323" t="s">
        <v>18</v>
      </c>
      <c r="G2323">
        <v>4</v>
      </c>
      <c r="H2323">
        <v>8968</v>
      </c>
      <c r="I2323">
        <v>2079</v>
      </c>
      <c r="J2323" t="s">
        <v>22</v>
      </c>
      <c r="K2323" t="str">
        <f>_xlfn.XLOOKUP(datos_ventas[[#This Row],[Ciudad]],Tabla2[Ciudades],Tabla2[Provincias],"no se encuentra")</f>
        <v>Valencia</v>
      </c>
      <c r="L2323" t="str">
        <f>_xlfn.XLOOKUP(datos_ventas[[#This Row],[Provincia]],Tabla2[Provincias],Tabla2[Comunidades],"no se encuentra")</f>
        <v>Comunidad Valenciana</v>
      </c>
      <c r="M2323" t="s">
        <v>13</v>
      </c>
      <c r="N2323">
        <v>2</v>
      </c>
    </row>
    <row r="2324" spans="1:14" x14ac:dyDescent="0.25">
      <c r="A2324">
        <v>3323</v>
      </c>
      <c r="B2324" s="1">
        <v>45730</v>
      </c>
      <c r="C2324" s="4">
        <f>MONTH(datos_ventas[[#This Row],[Fecha]])</f>
        <v>3</v>
      </c>
      <c r="D2324" s="4">
        <f>WEEKNUM(datos_ventas[[#This Row],[Fecha]],2)</f>
        <v>11</v>
      </c>
      <c r="E2324" t="s">
        <v>23</v>
      </c>
      <c r="F2324" t="s">
        <v>18</v>
      </c>
      <c r="G2324">
        <v>1</v>
      </c>
      <c r="H2324">
        <v>28624</v>
      </c>
      <c r="I2324">
        <v>425</v>
      </c>
      <c r="J2324" t="s">
        <v>14</v>
      </c>
      <c r="K2324" t="str">
        <f>_xlfn.XLOOKUP(datos_ventas[[#This Row],[Ciudad]],Tabla2[Ciudades],Tabla2[Provincias],"no se encuentra")</f>
        <v>Madrid</v>
      </c>
      <c r="L2324" t="str">
        <f>_xlfn.XLOOKUP(datos_ventas[[#This Row],[Provincia]],Tabla2[Provincias],Tabla2[Comunidades],"no se encuentra")</f>
        <v>Comunidad de Madrid</v>
      </c>
      <c r="M2324" t="s">
        <v>19</v>
      </c>
      <c r="N2324">
        <v>3</v>
      </c>
    </row>
    <row r="2325" spans="1:14" x14ac:dyDescent="0.25">
      <c r="A2325">
        <v>3324</v>
      </c>
      <c r="B2325" s="1">
        <v>45680</v>
      </c>
      <c r="C2325" s="4">
        <f>MONTH(datos_ventas[[#This Row],[Fecha]])</f>
        <v>1</v>
      </c>
      <c r="D2325" s="4">
        <f>WEEKNUM(datos_ventas[[#This Row],[Fecha]],2)</f>
        <v>4</v>
      </c>
      <c r="E2325" t="s">
        <v>17</v>
      </c>
      <c r="F2325" t="s">
        <v>18</v>
      </c>
      <c r="G2325">
        <v>2</v>
      </c>
      <c r="H2325">
        <v>5518</v>
      </c>
      <c r="I2325">
        <v>4792</v>
      </c>
      <c r="J2325" t="s">
        <v>14</v>
      </c>
      <c r="K2325" t="str">
        <f>_xlfn.XLOOKUP(datos_ventas[[#This Row],[Ciudad]],Tabla2[Ciudades],Tabla2[Provincias],"no se encuentra")</f>
        <v>Madrid</v>
      </c>
      <c r="L2325" t="str">
        <f>_xlfn.XLOOKUP(datos_ventas[[#This Row],[Provincia]],Tabla2[Provincias],Tabla2[Comunidades],"no se encuentra")</f>
        <v>Comunidad de Madrid</v>
      </c>
      <c r="M2325" t="s">
        <v>13</v>
      </c>
      <c r="N2325">
        <v>5</v>
      </c>
    </row>
    <row r="2326" spans="1:14" x14ac:dyDescent="0.25">
      <c r="A2326">
        <v>3325</v>
      </c>
      <c r="B2326" s="1">
        <v>46016</v>
      </c>
      <c r="C2326" s="4">
        <f>MONTH(datos_ventas[[#This Row],[Fecha]])</f>
        <v>12</v>
      </c>
      <c r="D2326" s="4">
        <f>WEEKNUM(datos_ventas[[#This Row],[Fecha]],2)</f>
        <v>52</v>
      </c>
      <c r="E2326" t="s">
        <v>23</v>
      </c>
      <c r="F2326" t="s">
        <v>18</v>
      </c>
      <c r="G2326">
        <v>1</v>
      </c>
      <c r="H2326">
        <v>57855</v>
      </c>
      <c r="I2326">
        <v>1147</v>
      </c>
      <c r="J2326" t="s">
        <v>27</v>
      </c>
      <c r="K2326" t="str">
        <f>_xlfn.XLOOKUP(datos_ventas[[#This Row],[Ciudad]],Tabla2[Ciudades],Tabla2[Provincias],"no se encuentra")</f>
        <v>Sevilla</v>
      </c>
      <c r="L2326" t="str">
        <f>_xlfn.XLOOKUP(datos_ventas[[#This Row],[Provincia]],Tabla2[Provincias],Tabla2[Comunidades],"no se encuentra")</f>
        <v>Andalucía</v>
      </c>
      <c r="M2326" t="s">
        <v>19</v>
      </c>
      <c r="N2326">
        <v>4</v>
      </c>
    </row>
    <row r="2327" spans="1:14" x14ac:dyDescent="0.25">
      <c r="A2327">
        <v>3326</v>
      </c>
      <c r="B2327" s="1">
        <v>45770</v>
      </c>
      <c r="C2327" s="4">
        <f>MONTH(datos_ventas[[#This Row],[Fecha]])</f>
        <v>4</v>
      </c>
      <c r="D2327" s="4">
        <f>WEEKNUM(datos_ventas[[#This Row],[Fecha]],2)</f>
        <v>17</v>
      </c>
      <c r="E2327" t="s">
        <v>10</v>
      </c>
      <c r="F2327" t="s">
        <v>11</v>
      </c>
      <c r="G2327">
        <v>4</v>
      </c>
      <c r="H2327">
        <v>35871</v>
      </c>
      <c r="I2327">
        <v>3095</v>
      </c>
      <c r="J2327" t="s">
        <v>31</v>
      </c>
      <c r="K2327" t="str">
        <f>_xlfn.XLOOKUP(datos_ventas[[#This Row],[Ciudad]],Tabla2[Ciudades],Tabla2[Provincias],"no se encuentra")</f>
        <v>Vizcaya</v>
      </c>
      <c r="L2327" t="str">
        <f>_xlfn.XLOOKUP(datos_ventas[[#This Row],[Provincia]],Tabla2[Provincias],Tabla2[Comunidades],"no se encuentra")</f>
        <v>País Vasco</v>
      </c>
      <c r="M2327" t="s">
        <v>13</v>
      </c>
      <c r="N2327">
        <v>2</v>
      </c>
    </row>
    <row r="2328" spans="1:14" x14ac:dyDescent="0.25">
      <c r="A2328">
        <v>3327</v>
      </c>
      <c r="B2328" s="1">
        <v>46019</v>
      </c>
      <c r="C2328" s="4">
        <f>MONTH(datos_ventas[[#This Row],[Fecha]])</f>
        <v>12</v>
      </c>
      <c r="D2328" s="4">
        <f>WEEKNUM(datos_ventas[[#This Row],[Fecha]],2)</f>
        <v>52</v>
      </c>
      <c r="E2328" t="s">
        <v>10</v>
      </c>
      <c r="F2328" t="s">
        <v>11</v>
      </c>
      <c r="G2328">
        <v>5</v>
      </c>
      <c r="H2328">
        <v>83207</v>
      </c>
      <c r="I2328">
        <v>3994</v>
      </c>
      <c r="J2328" t="s">
        <v>32</v>
      </c>
      <c r="K2328" t="str">
        <f>_xlfn.XLOOKUP(datos_ventas[[#This Row],[Ciudad]],Tabla2[Ciudades],Tabla2[Provincias],"no se encuentra")</f>
        <v>Barcelona</v>
      </c>
      <c r="L2328" t="str">
        <f>_xlfn.XLOOKUP(datos_ventas[[#This Row],[Provincia]],Tabla2[Provincias],Tabla2[Comunidades],"no se encuentra")</f>
        <v>Cataluña</v>
      </c>
      <c r="M2328" t="s">
        <v>28</v>
      </c>
      <c r="N2328">
        <v>3</v>
      </c>
    </row>
    <row r="2329" spans="1:14" x14ac:dyDescent="0.25">
      <c r="A2329">
        <v>3328</v>
      </c>
      <c r="B2329" s="1">
        <v>45823</v>
      </c>
      <c r="C2329" s="4">
        <f>MONTH(datos_ventas[[#This Row],[Fecha]])</f>
        <v>6</v>
      </c>
      <c r="D2329" s="4">
        <f>WEEKNUM(datos_ventas[[#This Row],[Fecha]],2)</f>
        <v>24</v>
      </c>
      <c r="E2329" t="s">
        <v>16</v>
      </c>
      <c r="F2329" t="s">
        <v>11</v>
      </c>
      <c r="G2329">
        <v>5</v>
      </c>
      <c r="H2329">
        <v>104258</v>
      </c>
      <c r="I2329">
        <v>2351</v>
      </c>
      <c r="J2329" t="s">
        <v>12</v>
      </c>
      <c r="K2329" t="str">
        <f>_xlfn.XLOOKUP(datos_ventas[[#This Row],[Ciudad]],Tabla2[Ciudades],Tabla2[Provincias],"no se encuentra")</f>
        <v>Málaga</v>
      </c>
      <c r="L2329" t="str">
        <f>_xlfn.XLOOKUP(datos_ventas[[#This Row],[Provincia]],Tabla2[Provincias],Tabla2[Comunidades],"no se encuentra")</f>
        <v>Andalucía</v>
      </c>
      <c r="M2329" t="s">
        <v>15</v>
      </c>
      <c r="N2329">
        <v>5</v>
      </c>
    </row>
    <row r="2330" spans="1:14" x14ac:dyDescent="0.25">
      <c r="A2330">
        <v>3329</v>
      </c>
      <c r="B2330" s="1">
        <v>45692</v>
      </c>
      <c r="C2330" s="4">
        <f>MONTH(datos_ventas[[#This Row],[Fecha]])</f>
        <v>2</v>
      </c>
      <c r="D2330" s="4">
        <f>WEEKNUM(datos_ventas[[#This Row],[Fecha]],2)</f>
        <v>6</v>
      </c>
      <c r="E2330" t="s">
        <v>23</v>
      </c>
      <c r="F2330" t="s">
        <v>18</v>
      </c>
      <c r="G2330">
        <v>4</v>
      </c>
      <c r="H2330">
        <v>72788</v>
      </c>
      <c r="I2330">
        <v>608</v>
      </c>
      <c r="J2330" t="s">
        <v>12</v>
      </c>
      <c r="K2330" t="str">
        <f>_xlfn.XLOOKUP(datos_ventas[[#This Row],[Ciudad]],Tabla2[Ciudades],Tabla2[Provincias],"no se encuentra")</f>
        <v>Málaga</v>
      </c>
      <c r="L2330" t="str">
        <f>_xlfn.XLOOKUP(datos_ventas[[#This Row],[Provincia]],Tabla2[Provincias],Tabla2[Comunidades],"no se encuentra")</f>
        <v>Andalucía</v>
      </c>
      <c r="M2330" t="s">
        <v>15</v>
      </c>
      <c r="N2330">
        <v>2</v>
      </c>
    </row>
    <row r="2331" spans="1:14" x14ac:dyDescent="0.25">
      <c r="A2331">
        <v>3330</v>
      </c>
      <c r="B2331" s="1">
        <v>45881</v>
      </c>
      <c r="C2331" s="4">
        <f>MONTH(datos_ventas[[#This Row],[Fecha]])</f>
        <v>8</v>
      </c>
      <c r="D2331" s="4">
        <f>WEEKNUM(datos_ventas[[#This Row],[Fecha]],2)</f>
        <v>33</v>
      </c>
      <c r="E2331" t="s">
        <v>26</v>
      </c>
      <c r="F2331" t="s">
        <v>18</v>
      </c>
      <c r="G2331">
        <v>2</v>
      </c>
      <c r="H2331">
        <v>6866</v>
      </c>
      <c r="I2331">
        <v>4001</v>
      </c>
      <c r="J2331" t="s">
        <v>14</v>
      </c>
      <c r="K2331" t="str">
        <f>_xlfn.XLOOKUP(datos_ventas[[#This Row],[Ciudad]],Tabla2[Ciudades],Tabla2[Provincias],"no se encuentra")</f>
        <v>Madrid</v>
      </c>
      <c r="L2331" t="str">
        <f>_xlfn.XLOOKUP(datos_ventas[[#This Row],[Provincia]],Tabla2[Provincias],Tabla2[Comunidades],"no se encuentra")</f>
        <v>Comunidad de Madrid</v>
      </c>
      <c r="M2331" t="s">
        <v>28</v>
      </c>
      <c r="N2331">
        <v>3</v>
      </c>
    </row>
    <row r="2332" spans="1:14" x14ac:dyDescent="0.25">
      <c r="A2332">
        <v>3331</v>
      </c>
      <c r="B2332" s="1">
        <v>45881</v>
      </c>
      <c r="C2332" s="4">
        <f>MONTH(datos_ventas[[#This Row],[Fecha]])</f>
        <v>8</v>
      </c>
      <c r="D2332" s="4">
        <f>WEEKNUM(datos_ventas[[#This Row],[Fecha]],2)</f>
        <v>33</v>
      </c>
      <c r="E2332" t="s">
        <v>20</v>
      </c>
      <c r="F2332" t="s">
        <v>21</v>
      </c>
      <c r="G2332">
        <v>2</v>
      </c>
      <c r="H2332">
        <v>21416</v>
      </c>
      <c r="I2332">
        <v>658</v>
      </c>
      <c r="J2332" t="s">
        <v>12</v>
      </c>
      <c r="K2332" t="str">
        <f>_xlfn.XLOOKUP(datos_ventas[[#This Row],[Ciudad]],Tabla2[Ciudades],Tabla2[Provincias],"no se encuentra")</f>
        <v>Málaga</v>
      </c>
      <c r="L2332" t="str">
        <f>_xlfn.XLOOKUP(datos_ventas[[#This Row],[Provincia]],Tabla2[Provincias],Tabla2[Comunidades],"no se encuentra")</f>
        <v>Andalucía</v>
      </c>
      <c r="M2332" t="s">
        <v>15</v>
      </c>
      <c r="N2332">
        <v>4</v>
      </c>
    </row>
    <row r="2333" spans="1:14" x14ac:dyDescent="0.25">
      <c r="A2333">
        <v>3332</v>
      </c>
      <c r="B2333" s="1">
        <v>45694</v>
      </c>
      <c r="C2333" s="4">
        <f>MONTH(datos_ventas[[#This Row],[Fecha]])</f>
        <v>2</v>
      </c>
      <c r="D2333" s="4">
        <f>WEEKNUM(datos_ventas[[#This Row],[Fecha]],2)</f>
        <v>6</v>
      </c>
      <c r="E2333" t="s">
        <v>23</v>
      </c>
      <c r="F2333" t="s">
        <v>18</v>
      </c>
      <c r="G2333">
        <v>3</v>
      </c>
      <c r="H2333">
        <v>22147</v>
      </c>
      <c r="I2333">
        <v>356</v>
      </c>
      <c r="J2333" t="s">
        <v>12</v>
      </c>
      <c r="K2333" t="str">
        <f>_xlfn.XLOOKUP(datos_ventas[[#This Row],[Ciudad]],Tabla2[Ciudades],Tabla2[Provincias],"no se encuentra")</f>
        <v>Málaga</v>
      </c>
      <c r="L2333" t="str">
        <f>_xlfn.XLOOKUP(datos_ventas[[#This Row],[Provincia]],Tabla2[Provincias],Tabla2[Comunidades],"no se encuentra")</f>
        <v>Andalucía</v>
      </c>
      <c r="M2333" t="s">
        <v>28</v>
      </c>
      <c r="N2333">
        <v>4</v>
      </c>
    </row>
    <row r="2334" spans="1:14" x14ac:dyDescent="0.25">
      <c r="A2334">
        <v>3333</v>
      </c>
      <c r="B2334" s="1">
        <v>45924</v>
      </c>
      <c r="C2334" s="4">
        <f>MONTH(datos_ventas[[#This Row],[Fecha]])</f>
        <v>9</v>
      </c>
      <c r="D2334" s="4">
        <f>WEEKNUM(datos_ventas[[#This Row],[Fecha]],2)</f>
        <v>39</v>
      </c>
      <c r="E2334" t="s">
        <v>17</v>
      </c>
      <c r="F2334" t="s">
        <v>18</v>
      </c>
      <c r="G2334">
        <v>5</v>
      </c>
      <c r="H2334">
        <v>112385</v>
      </c>
      <c r="I2334">
        <v>3602</v>
      </c>
      <c r="J2334" t="s">
        <v>32</v>
      </c>
      <c r="K2334" t="str">
        <f>_xlfn.XLOOKUP(datos_ventas[[#This Row],[Ciudad]],Tabla2[Ciudades],Tabla2[Provincias],"no se encuentra")</f>
        <v>Barcelona</v>
      </c>
      <c r="L2334" t="str">
        <f>_xlfn.XLOOKUP(datos_ventas[[#This Row],[Provincia]],Tabla2[Provincias],Tabla2[Comunidades],"no se encuentra")</f>
        <v>Cataluña</v>
      </c>
      <c r="M2334" t="s">
        <v>15</v>
      </c>
      <c r="N2334">
        <v>5</v>
      </c>
    </row>
    <row r="2335" spans="1:14" x14ac:dyDescent="0.25">
      <c r="A2335">
        <v>3334</v>
      </c>
      <c r="B2335" s="1">
        <v>45881</v>
      </c>
      <c r="C2335" s="4">
        <f>MONTH(datos_ventas[[#This Row],[Fecha]])</f>
        <v>8</v>
      </c>
      <c r="D2335" s="4">
        <f>WEEKNUM(datos_ventas[[#This Row],[Fecha]],2)</f>
        <v>33</v>
      </c>
      <c r="E2335" t="s">
        <v>17</v>
      </c>
      <c r="F2335" t="s">
        <v>18</v>
      </c>
      <c r="G2335">
        <v>4</v>
      </c>
      <c r="H2335">
        <v>69859</v>
      </c>
      <c r="I2335">
        <v>2314</v>
      </c>
      <c r="J2335" t="s">
        <v>32</v>
      </c>
      <c r="K2335" t="str">
        <f>_xlfn.XLOOKUP(datos_ventas[[#This Row],[Ciudad]],Tabla2[Ciudades],Tabla2[Provincias],"no se encuentra")</f>
        <v>Barcelona</v>
      </c>
      <c r="L2335" t="str">
        <f>_xlfn.XLOOKUP(datos_ventas[[#This Row],[Provincia]],Tabla2[Provincias],Tabla2[Comunidades],"no se encuentra")</f>
        <v>Cataluña</v>
      </c>
      <c r="M2335" t="s">
        <v>28</v>
      </c>
      <c r="N2335">
        <v>1</v>
      </c>
    </row>
    <row r="2336" spans="1:14" x14ac:dyDescent="0.25">
      <c r="A2336">
        <v>3335</v>
      </c>
      <c r="B2336" s="1">
        <v>45965</v>
      </c>
      <c r="C2336" s="4">
        <f>MONTH(datos_ventas[[#This Row],[Fecha]])</f>
        <v>11</v>
      </c>
      <c r="D2336" s="4">
        <f>WEEKNUM(datos_ventas[[#This Row],[Fecha]],2)</f>
        <v>45</v>
      </c>
      <c r="E2336" t="s">
        <v>10</v>
      </c>
      <c r="F2336" t="s">
        <v>11</v>
      </c>
      <c r="G2336">
        <v>1</v>
      </c>
      <c r="H2336">
        <v>69695</v>
      </c>
      <c r="I2336">
        <v>2227</v>
      </c>
      <c r="J2336" t="s">
        <v>27</v>
      </c>
      <c r="K2336" t="str">
        <f>_xlfn.XLOOKUP(datos_ventas[[#This Row],[Ciudad]],Tabla2[Ciudades],Tabla2[Provincias],"no se encuentra")</f>
        <v>Sevilla</v>
      </c>
      <c r="L2336" t="str">
        <f>_xlfn.XLOOKUP(datos_ventas[[#This Row],[Provincia]],Tabla2[Provincias],Tabla2[Comunidades],"no se encuentra")</f>
        <v>Andalucía</v>
      </c>
      <c r="M2336" t="s">
        <v>15</v>
      </c>
      <c r="N2336">
        <v>2</v>
      </c>
    </row>
    <row r="2337" spans="1:14" x14ac:dyDescent="0.25">
      <c r="A2337">
        <v>3336</v>
      </c>
      <c r="B2337" s="1">
        <v>45977</v>
      </c>
      <c r="C2337" s="4">
        <f>MONTH(datos_ventas[[#This Row],[Fecha]])</f>
        <v>11</v>
      </c>
      <c r="D2337" s="4">
        <f>WEEKNUM(datos_ventas[[#This Row],[Fecha]],2)</f>
        <v>46</v>
      </c>
      <c r="E2337" t="s">
        <v>29</v>
      </c>
      <c r="F2337" t="s">
        <v>30</v>
      </c>
      <c r="G2337">
        <v>5</v>
      </c>
      <c r="H2337">
        <v>418</v>
      </c>
      <c r="I2337">
        <v>552</v>
      </c>
      <c r="J2337" t="s">
        <v>22</v>
      </c>
      <c r="K2337" t="str">
        <f>_xlfn.XLOOKUP(datos_ventas[[#This Row],[Ciudad]],Tabla2[Ciudades],Tabla2[Provincias],"no se encuentra")</f>
        <v>Valencia</v>
      </c>
      <c r="L2337" t="str">
        <f>_xlfn.XLOOKUP(datos_ventas[[#This Row],[Provincia]],Tabla2[Provincias],Tabla2[Comunidades],"no se encuentra")</f>
        <v>Comunidad Valenciana</v>
      </c>
      <c r="M2337" t="s">
        <v>15</v>
      </c>
      <c r="N2337">
        <v>5</v>
      </c>
    </row>
    <row r="2338" spans="1:14" x14ac:dyDescent="0.25">
      <c r="A2338">
        <v>3337</v>
      </c>
      <c r="B2338" s="1">
        <v>45808</v>
      </c>
      <c r="C2338" s="4">
        <f>MONTH(datos_ventas[[#This Row],[Fecha]])</f>
        <v>5</v>
      </c>
      <c r="D2338" s="4">
        <f>WEEKNUM(datos_ventas[[#This Row],[Fecha]],2)</f>
        <v>22</v>
      </c>
      <c r="E2338" t="s">
        <v>26</v>
      </c>
      <c r="F2338" t="s">
        <v>18</v>
      </c>
      <c r="G2338">
        <v>5</v>
      </c>
      <c r="H2338">
        <v>61862</v>
      </c>
      <c r="I2338">
        <v>3063</v>
      </c>
      <c r="J2338" t="s">
        <v>12</v>
      </c>
      <c r="K2338" t="str">
        <f>_xlfn.XLOOKUP(datos_ventas[[#This Row],[Ciudad]],Tabla2[Ciudades],Tabla2[Provincias],"no se encuentra")</f>
        <v>Málaga</v>
      </c>
      <c r="L2338" t="str">
        <f>_xlfn.XLOOKUP(datos_ventas[[#This Row],[Provincia]],Tabla2[Provincias],Tabla2[Comunidades],"no se encuentra")</f>
        <v>Andalucía</v>
      </c>
      <c r="M2338" t="s">
        <v>19</v>
      </c>
      <c r="N2338">
        <v>4</v>
      </c>
    </row>
    <row r="2339" spans="1:14" x14ac:dyDescent="0.25">
      <c r="A2339">
        <v>3338</v>
      </c>
      <c r="B2339" s="1">
        <v>45882</v>
      </c>
      <c r="C2339" s="4">
        <f>MONTH(datos_ventas[[#This Row],[Fecha]])</f>
        <v>8</v>
      </c>
      <c r="D2339" s="4">
        <f>WEEKNUM(datos_ventas[[#This Row],[Fecha]],2)</f>
        <v>33</v>
      </c>
      <c r="E2339" t="s">
        <v>23</v>
      </c>
      <c r="F2339" t="s">
        <v>18</v>
      </c>
      <c r="G2339">
        <v>3</v>
      </c>
      <c r="H2339">
        <v>113534</v>
      </c>
      <c r="I2339">
        <v>2136</v>
      </c>
      <c r="J2339" t="s">
        <v>27</v>
      </c>
      <c r="K2339" t="str">
        <f>_xlfn.XLOOKUP(datos_ventas[[#This Row],[Ciudad]],Tabla2[Ciudades],Tabla2[Provincias],"no se encuentra")</f>
        <v>Sevilla</v>
      </c>
      <c r="L2339" t="str">
        <f>_xlfn.XLOOKUP(datos_ventas[[#This Row],[Provincia]],Tabla2[Provincias],Tabla2[Comunidades],"no se encuentra")</f>
        <v>Andalucía</v>
      </c>
      <c r="M2339" t="s">
        <v>13</v>
      </c>
      <c r="N2339">
        <v>2</v>
      </c>
    </row>
    <row r="2340" spans="1:14" x14ac:dyDescent="0.25">
      <c r="A2340">
        <v>3339</v>
      </c>
      <c r="B2340" s="1">
        <v>45780</v>
      </c>
      <c r="C2340" s="4">
        <f>MONTH(datos_ventas[[#This Row],[Fecha]])</f>
        <v>5</v>
      </c>
      <c r="D2340" s="4">
        <f>WEEKNUM(datos_ventas[[#This Row],[Fecha]],2)</f>
        <v>18</v>
      </c>
      <c r="E2340" t="s">
        <v>20</v>
      </c>
      <c r="F2340" t="s">
        <v>21</v>
      </c>
      <c r="G2340">
        <v>4</v>
      </c>
      <c r="H2340">
        <v>7742</v>
      </c>
      <c r="I2340">
        <v>3795</v>
      </c>
      <c r="J2340" t="s">
        <v>14</v>
      </c>
      <c r="K2340" t="str">
        <f>_xlfn.XLOOKUP(datos_ventas[[#This Row],[Ciudad]],Tabla2[Ciudades],Tabla2[Provincias],"no se encuentra")</f>
        <v>Madrid</v>
      </c>
      <c r="L2340" t="str">
        <f>_xlfn.XLOOKUP(datos_ventas[[#This Row],[Provincia]],Tabla2[Provincias],Tabla2[Comunidades],"no se encuentra")</f>
        <v>Comunidad de Madrid</v>
      </c>
      <c r="M2340" t="s">
        <v>15</v>
      </c>
      <c r="N2340">
        <v>1</v>
      </c>
    </row>
    <row r="2341" spans="1:14" x14ac:dyDescent="0.25">
      <c r="A2341">
        <v>3340</v>
      </c>
      <c r="B2341" s="1">
        <v>45817</v>
      </c>
      <c r="C2341" s="4">
        <f>MONTH(datos_ventas[[#This Row],[Fecha]])</f>
        <v>6</v>
      </c>
      <c r="D2341" s="4">
        <f>WEEKNUM(datos_ventas[[#This Row],[Fecha]],2)</f>
        <v>24</v>
      </c>
      <c r="E2341" t="s">
        <v>24</v>
      </c>
      <c r="F2341" t="s">
        <v>25</v>
      </c>
      <c r="G2341">
        <v>3</v>
      </c>
      <c r="H2341">
        <v>53261</v>
      </c>
      <c r="I2341">
        <v>2813</v>
      </c>
      <c r="J2341" t="s">
        <v>12</v>
      </c>
      <c r="K2341" t="str">
        <f>_xlfn.XLOOKUP(datos_ventas[[#This Row],[Ciudad]],Tabla2[Ciudades],Tabla2[Provincias],"no se encuentra")</f>
        <v>Málaga</v>
      </c>
      <c r="L2341" t="str">
        <f>_xlfn.XLOOKUP(datos_ventas[[#This Row],[Provincia]],Tabla2[Provincias],Tabla2[Comunidades],"no se encuentra")</f>
        <v>Andalucía</v>
      </c>
      <c r="M2341" t="s">
        <v>28</v>
      </c>
      <c r="N2341">
        <v>4</v>
      </c>
    </row>
    <row r="2342" spans="1:14" x14ac:dyDescent="0.25">
      <c r="A2342">
        <v>3341</v>
      </c>
      <c r="B2342" s="1">
        <v>46002</v>
      </c>
      <c r="C2342" s="4">
        <f>MONTH(datos_ventas[[#This Row],[Fecha]])</f>
        <v>12</v>
      </c>
      <c r="D2342" s="4">
        <f>WEEKNUM(datos_ventas[[#This Row],[Fecha]],2)</f>
        <v>50</v>
      </c>
      <c r="E2342" t="s">
        <v>29</v>
      </c>
      <c r="F2342" t="s">
        <v>30</v>
      </c>
      <c r="G2342">
        <v>2</v>
      </c>
      <c r="H2342">
        <v>1785</v>
      </c>
      <c r="I2342">
        <v>3762</v>
      </c>
      <c r="J2342" t="s">
        <v>32</v>
      </c>
      <c r="K2342" t="str">
        <f>_xlfn.XLOOKUP(datos_ventas[[#This Row],[Ciudad]],Tabla2[Ciudades],Tabla2[Provincias],"no se encuentra")</f>
        <v>Barcelona</v>
      </c>
      <c r="L2342" t="str">
        <f>_xlfn.XLOOKUP(datos_ventas[[#This Row],[Provincia]],Tabla2[Provincias],Tabla2[Comunidades],"no se encuentra")</f>
        <v>Cataluña</v>
      </c>
      <c r="M2342" t="s">
        <v>19</v>
      </c>
      <c r="N2342">
        <v>3</v>
      </c>
    </row>
    <row r="2343" spans="1:14" x14ac:dyDescent="0.25">
      <c r="A2343">
        <v>3342</v>
      </c>
      <c r="B2343" s="1">
        <v>45895</v>
      </c>
      <c r="C2343" s="4">
        <f>MONTH(datos_ventas[[#This Row],[Fecha]])</f>
        <v>8</v>
      </c>
      <c r="D2343" s="4">
        <f>WEEKNUM(datos_ventas[[#This Row],[Fecha]],2)</f>
        <v>35</v>
      </c>
      <c r="E2343" t="s">
        <v>24</v>
      </c>
      <c r="F2343" t="s">
        <v>25</v>
      </c>
      <c r="G2343">
        <v>5</v>
      </c>
      <c r="H2343">
        <v>78312</v>
      </c>
      <c r="I2343">
        <v>1537</v>
      </c>
      <c r="J2343" t="s">
        <v>31</v>
      </c>
      <c r="K2343" t="str">
        <f>_xlfn.XLOOKUP(datos_ventas[[#This Row],[Ciudad]],Tabla2[Ciudades],Tabla2[Provincias],"no se encuentra")</f>
        <v>Vizcaya</v>
      </c>
      <c r="L2343" t="str">
        <f>_xlfn.XLOOKUP(datos_ventas[[#This Row],[Provincia]],Tabla2[Provincias],Tabla2[Comunidades],"no se encuentra")</f>
        <v>País Vasco</v>
      </c>
      <c r="M2343" t="s">
        <v>28</v>
      </c>
      <c r="N2343">
        <v>5</v>
      </c>
    </row>
    <row r="2344" spans="1:14" x14ac:dyDescent="0.25">
      <c r="A2344">
        <v>3343</v>
      </c>
      <c r="B2344" s="1">
        <v>45670</v>
      </c>
      <c r="C2344" s="4">
        <f>MONTH(datos_ventas[[#This Row],[Fecha]])</f>
        <v>1</v>
      </c>
      <c r="D2344" s="4">
        <f>WEEKNUM(datos_ventas[[#This Row],[Fecha]],2)</f>
        <v>3</v>
      </c>
      <c r="E2344" t="s">
        <v>10</v>
      </c>
      <c r="F2344" t="s">
        <v>11</v>
      </c>
      <c r="G2344">
        <v>4</v>
      </c>
      <c r="H2344">
        <v>75478</v>
      </c>
      <c r="I2344">
        <v>205</v>
      </c>
      <c r="J2344" t="s">
        <v>22</v>
      </c>
      <c r="K2344" t="str">
        <f>_xlfn.XLOOKUP(datos_ventas[[#This Row],[Ciudad]],Tabla2[Ciudades],Tabla2[Provincias],"no se encuentra")</f>
        <v>Valencia</v>
      </c>
      <c r="L2344" t="str">
        <f>_xlfn.XLOOKUP(datos_ventas[[#This Row],[Provincia]],Tabla2[Provincias],Tabla2[Comunidades],"no se encuentra")</f>
        <v>Comunidad Valenciana</v>
      </c>
      <c r="M2344" t="s">
        <v>28</v>
      </c>
      <c r="N2344">
        <v>1</v>
      </c>
    </row>
    <row r="2345" spans="1:14" x14ac:dyDescent="0.25">
      <c r="A2345">
        <v>3344</v>
      </c>
      <c r="B2345" s="1">
        <v>45666</v>
      </c>
      <c r="C2345" s="4">
        <f>MONTH(datos_ventas[[#This Row],[Fecha]])</f>
        <v>1</v>
      </c>
      <c r="D2345" s="4">
        <f>WEEKNUM(datos_ventas[[#This Row],[Fecha]],2)</f>
        <v>2</v>
      </c>
      <c r="E2345" t="s">
        <v>20</v>
      </c>
      <c r="F2345" t="s">
        <v>21</v>
      </c>
      <c r="G2345">
        <v>2</v>
      </c>
      <c r="H2345">
        <v>110472</v>
      </c>
      <c r="I2345">
        <v>2445</v>
      </c>
      <c r="J2345" t="s">
        <v>14</v>
      </c>
      <c r="K2345" t="str">
        <f>_xlfn.XLOOKUP(datos_ventas[[#This Row],[Ciudad]],Tabla2[Ciudades],Tabla2[Provincias],"no se encuentra")</f>
        <v>Madrid</v>
      </c>
      <c r="L2345" t="str">
        <f>_xlfn.XLOOKUP(datos_ventas[[#This Row],[Provincia]],Tabla2[Provincias],Tabla2[Comunidades],"no se encuentra")</f>
        <v>Comunidad de Madrid</v>
      </c>
      <c r="M2345" t="s">
        <v>19</v>
      </c>
      <c r="N2345">
        <v>3</v>
      </c>
    </row>
    <row r="2346" spans="1:14" x14ac:dyDescent="0.25">
      <c r="A2346">
        <v>3345</v>
      </c>
      <c r="B2346" s="1">
        <v>45814</v>
      </c>
      <c r="C2346" s="4">
        <f>MONTH(datos_ventas[[#This Row],[Fecha]])</f>
        <v>6</v>
      </c>
      <c r="D2346" s="4">
        <f>WEEKNUM(datos_ventas[[#This Row],[Fecha]],2)</f>
        <v>23</v>
      </c>
      <c r="E2346" t="s">
        <v>20</v>
      </c>
      <c r="F2346" t="s">
        <v>21</v>
      </c>
      <c r="G2346">
        <v>3</v>
      </c>
      <c r="H2346">
        <v>102421</v>
      </c>
      <c r="I2346">
        <v>2946</v>
      </c>
      <c r="J2346" t="s">
        <v>22</v>
      </c>
      <c r="K2346" t="str">
        <f>_xlfn.XLOOKUP(datos_ventas[[#This Row],[Ciudad]],Tabla2[Ciudades],Tabla2[Provincias],"no se encuentra")</f>
        <v>Valencia</v>
      </c>
      <c r="L2346" t="str">
        <f>_xlfn.XLOOKUP(datos_ventas[[#This Row],[Provincia]],Tabla2[Provincias],Tabla2[Comunidades],"no se encuentra")</f>
        <v>Comunidad Valenciana</v>
      </c>
      <c r="M2346" t="s">
        <v>19</v>
      </c>
      <c r="N2346">
        <v>1</v>
      </c>
    </row>
    <row r="2347" spans="1:14" x14ac:dyDescent="0.25">
      <c r="A2347">
        <v>3346</v>
      </c>
      <c r="B2347" s="1">
        <v>45719</v>
      </c>
      <c r="C2347" s="4">
        <f>MONTH(datos_ventas[[#This Row],[Fecha]])</f>
        <v>3</v>
      </c>
      <c r="D2347" s="4">
        <f>WEEKNUM(datos_ventas[[#This Row],[Fecha]],2)</f>
        <v>10</v>
      </c>
      <c r="E2347" t="s">
        <v>29</v>
      </c>
      <c r="F2347" t="s">
        <v>30</v>
      </c>
      <c r="G2347">
        <v>1</v>
      </c>
      <c r="H2347">
        <v>24228</v>
      </c>
      <c r="I2347">
        <v>1711</v>
      </c>
      <c r="J2347" t="s">
        <v>14</v>
      </c>
      <c r="K2347" t="str">
        <f>_xlfn.XLOOKUP(datos_ventas[[#This Row],[Ciudad]],Tabla2[Ciudades],Tabla2[Provincias],"no se encuentra")</f>
        <v>Madrid</v>
      </c>
      <c r="L2347" t="str">
        <f>_xlfn.XLOOKUP(datos_ventas[[#This Row],[Provincia]],Tabla2[Provincias],Tabla2[Comunidades],"no se encuentra")</f>
        <v>Comunidad de Madrid</v>
      </c>
      <c r="M2347" t="s">
        <v>28</v>
      </c>
      <c r="N2347">
        <v>3</v>
      </c>
    </row>
    <row r="2348" spans="1:14" x14ac:dyDescent="0.25">
      <c r="A2348">
        <v>3347</v>
      </c>
      <c r="B2348" s="1">
        <v>45691</v>
      </c>
      <c r="C2348" s="4">
        <f>MONTH(datos_ventas[[#This Row],[Fecha]])</f>
        <v>2</v>
      </c>
      <c r="D2348" s="4">
        <f>WEEKNUM(datos_ventas[[#This Row],[Fecha]],2)</f>
        <v>6</v>
      </c>
      <c r="E2348" t="s">
        <v>20</v>
      </c>
      <c r="F2348" t="s">
        <v>21</v>
      </c>
      <c r="G2348">
        <v>2</v>
      </c>
      <c r="H2348">
        <v>26008</v>
      </c>
      <c r="I2348">
        <v>3175</v>
      </c>
      <c r="J2348" t="s">
        <v>32</v>
      </c>
      <c r="K2348" t="str">
        <f>_xlfn.XLOOKUP(datos_ventas[[#This Row],[Ciudad]],Tabla2[Ciudades],Tabla2[Provincias],"no se encuentra")</f>
        <v>Barcelona</v>
      </c>
      <c r="L2348" t="str">
        <f>_xlfn.XLOOKUP(datos_ventas[[#This Row],[Provincia]],Tabla2[Provincias],Tabla2[Comunidades],"no se encuentra")</f>
        <v>Cataluña</v>
      </c>
      <c r="M2348" t="s">
        <v>13</v>
      </c>
      <c r="N2348">
        <v>5</v>
      </c>
    </row>
    <row r="2349" spans="1:14" x14ac:dyDescent="0.25">
      <c r="A2349">
        <v>3348</v>
      </c>
      <c r="B2349" s="1">
        <v>45740</v>
      </c>
      <c r="C2349" s="4">
        <f>MONTH(datos_ventas[[#This Row],[Fecha]])</f>
        <v>3</v>
      </c>
      <c r="D2349" s="4">
        <f>WEEKNUM(datos_ventas[[#This Row],[Fecha]],2)</f>
        <v>13</v>
      </c>
      <c r="E2349" t="s">
        <v>29</v>
      </c>
      <c r="F2349" t="s">
        <v>30</v>
      </c>
      <c r="G2349">
        <v>4</v>
      </c>
      <c r="H2349">
        <v>41224</v>
      </c>
      <c r="I2349">
        <v>140</v>
      </c>
      <c r="J2349" t="s">
        <v>27</v>
      </c>
      <c r="K2349" t="str">
        <f>_xlfn.XLOOKUP(datos_ventas[[#This Row],[Ciudad]],Tabla2[Ciudades],Tabla2[Provincias],"no se encuentra")</f>
        <v>Sevilla</v>
      </c>
      <c r="L2349" t="str">
        <f>_xlfn.XLOOKUP(datos_ventas[[#This Row],[Provincia]],Tabla2[Provincias],Tabla2[Comunidades],"no se encuentra")</f>
        <v>Andalucía</v>
      </c>
      <c r="M2349" t="s">
        <v>13</v>
      </c>
      <c r="N2349">
        <v>4</v>
      </c>
    </row>
    <row r="2350" spans="1:14" x14ac:dyDescent="0.25">
      <c r="A2350">
        <v>3349</v>
      </c>
      <c r="B2350" s="1">
        <v>45814</v>
      </c>
      <c r="C2350" s="4">
        <f>MONTH(datos_ventas[[#This Row],[Fecha]])</f>
        <v>6</v>
      </c>
      <c r="D2350" s="4">
        <f>WEEKNUM(datos_ventas[[#This Row],[Fecha]],2)</f>
        <v>23</v>
      </c>
      <c r="E2350" t="s">
        <v>17</v>
      </c>
      <c r="F2350" t="s">
        <v>18</v>
      </c>
      <c r="G2350">
        <v>5</v>
      </c>
      <c r="H2350">
        <v>112595</v>
      </c>
      <c r="I2350">
        <v>4396</v>
      </c>
      <c r="J2350" t="s">
        <v>32</v>
      </c>
      <c r="K2350" t="str">
        <f>_xlfn.XLOOKUP(datos_ventas[[#This Row],[Ciudad]],Tabla2[Ciudades],Tabla2[Provincias],"no se encuentra")</f>
        <v>Barcelona</v>
      </c>
      <c r="L2350" t="str">
        <f>_xlfn.XLOOKUP(datos_ventas[[#This Row],[Provincia]],Tabla2[Provincias],Tabla2[Comunidades],"no se encuentra")</f>
        <v>Cataluña</v>
      </c>
      <c r="M2350" t="s">
        <v>13</v>
      </c>
      <c r="N2350">
        <v>3</v>
      </c>
    </row>
    <row r="2351" spans="1:14" x14ac:dyDescent="0.25">
      <c r="A2351">
        <v>3350</v>
      </c>
      <c r="B2351" s="1">
        <v>45759</v>
      </c>
      <c r="C2351" s="4">
        <f>MONTH(datos_ventas[[#This Row],[Fecha]])</f>
        <v>4</v>
      </c>
      <c r="D2351" s="4">
        <f>WEEKNUM(datos_ventas[[#This Row],[Fecha]],2)</f>
        <v>15</v>
      </c>
      <c r="E2351" t="s">
        <v>23</v>
      </c>
      <c r="F2351" t="s">
        <v>18</v>
      </c>
      <c r="G2351">
        <v>3</v>
      </c>
      <c r="H2351">
        <v>88696</v>
      </c>
      <c r="I2351">
        <v>2042</v>
      </c>
      <c r="J2351" t="s">
        <v>31</v>
      </c>
      <c r="K2351" t="str">
        <f>_xlfn.XLOOKUP(datos_ventas[[#This Row],[Ciudad]],Tabla2[Ciudades],Tabla2[Provincias],"no se encuentra")</f>
        <v>Vizcaya</v>
      </c>
      <c r="L2351" t="str">
        <f>_xlfn.XLOOKUP(datos_ventas[[#This Row],[Provincia]],Tabla2[Provincias],Tabla2[Comunidades],"no se encuentra")</f>
        <v>País Vasco</v>
      </c>
      <c r="M2351" t="s">
        <v>28</v>
      </c>
      <c r="N2351">
        <v>5</v>
      </c>
    </row>
    <row r="2352" spans="1:14" x14ac:dyDescent="0.25">
      <c r="A2352">
        <v>3351</v>
      </c>
      <c r="B2352" s="1">
        <v>46022</v>
      </c>
      <c r="C2352" s="4">
        <f>MONTH(datos_ventas[[#This Row],[Fecha]])</f>
        <v>12</v>
      </c>
      <c r="D2352" s="4">
        <f>WEEKNUM(datos_ventas[[#This Row],[Fecha]],2)</f>
        <v>53</v>
      </c>
      <c r="E2352" t="s">
        <v>29</v>
      </c>
      <c r="F2352" t="s">
        <v>30</v>
      </c>
      <c r="G2352">
        <v>3</v>
      </c>
      <c r="H2352">
        <v>4412</v>
      </c>
      <c r="I2352">
        <v>3935</v>
      </c>
      <c r="J2352" t="s">
        <v>31</v>
      </c>
      <c r="K2352" t="str">
        <f>_xlfn.XLOOKUP(datos_ventas[[#This Row],[Ciudad]],Tabla2[Ciudades],Tabla2[Provincias],"no se encuentra")</f>
        <v>Vizcaya</v>
      </c>
      <c r="L2352" t="str">
        <f>_xlfn.XLOOKUP(datos_ventas[[#This Row],[Provincia]],Tabla2[Provincias],Tabla2[Comunidades],"no se encuentra")</f>
        <v>País Vasco</v>
      </c>
      <c r="M2352" t="s">
        <v>19</v>
      </c>
      <c r="N2352">
        <v>1</v>
      </c>
    </row>
    <row r="2353" spans="1:14" x14ac:dyDescent="0.25">
      <c r="A2353">
        <v>3352</v>
      </c>
      <c r="B2353" s="1">
        <v>45996</v>
      </c>
      <c r="C2353" s="4">
        <f>MONTH(datos_ventas[[#This Row],[Fecha]])</f>
        <v>12</v>
      </c>
      <c r="D2353" s="4">
        <f>WEEKNUM(datos_ventas[[#This Row],[Fecha]],2)</f>
        <v>49</v>
      </c>
      <c r="E2353" t="s">
        <v>29</v>
      </c>
      <c r="F2353" t="s">
        <v>30</v>
      </c>
      <c r="G2353">
        <v>4</v>
      </c>
      <c r="H2353">
        <v>12269</v>
      </c>
      <c r="I2353">
        <v>2404</v>
      </c>
      <c r="J2353" t="s">
        <v>31</v>
      </c>
      <c r="K2353" t="str">
        <f>_xlfn.XLOOKUP(datos_ventas[[#This Row],[Ciudad]],Tabla2[Ciudades],Tabla2[Provincias],"no se encuentra")</f>
        <v>Vizcaya</v>
      </c>
      <c r="L2353" t="str">
        <f>_xlfn.XLOOKUP(datos_ventas[[#This Row],[Provincia]],Tabla2[Provincias],Tabla2[Comunidades],"no se encuentra")</f>
        <v>País Vasco</v>
      </c>
      <c r="M2353" t="s">
        <v>15</v>
      </c>
      <c r="N2353">
        <v>4</v>
      </c>
    </row>
    <row r="2354" spans="1:14" x14ac:dyDescent="0.25">
      <c r="A2354">
        <v>3353</v>
      </c>
      <c r="B2354" s="1">
        <v>45755</v>
      </c>
      <c r="C2354" s="4">
        <f>MONTH(datos_ventas[[#This Row],[Fecha]])</f>
        <v>4</v>
      </c>
      <c r="D2354" s="4">
        <f>WEEKNUM(datos_ventas[[#This Row],[Fecha]],2)</f>
        <v>15</v>
      </c>
      <c r="E2354" t="s">
        <v>10</v>
      </c>
      <c r="F2354" t="s">
        <v>11</v>
      </c>
      <c r="G2354">
        <v>4</v>
      </c>
      <c r="H2354">
        <v>29235</v>
      </c>
      <c r="I2354">
        <v>4125</v>
      </c>
      <c r="J2354" t="s">
        <v>31</v>
      </c>
      <c r="K2354" t="str">
        <f>_xlfn.XLOOKUP(datos_ventas[[#This Row],[Ciudad]],Tabla2[Ciudades],Tabla2[Provincias],"no se encuentra")</f>
        <v>Vizcaya</v>
      </c>
      <c r="L2354" t="str">
        <f>_xlfn.XLOOKUP(datos_ventas[[#This Row],[Provincia]],Tabla2[Provincias],Tabla2[Comunidades],"no se encuentra")</f>
        <v>País Vasco</v>
      </c>
      <c r="M2354" t="s">
        <v>15</v>
      </c>
      <c r="N2354">
        <v>3</v>
      </c>
    </row>
    <row r="2355" spans="1:14" x14ac:dyDescent="0.25">
      <c r="A2355">
        <v>3354</v>
      </c>
      <c r="B2355" s="1">
        <v>45983</v>
      </c>
      <c r="C2355" s="4">
        <f>MONTH(datos_ventas[[#This Row],[Fecha]])</f>
        <v>11</v>
      </c>
      <c r="D2355" s="4">
        <f>WEEKNUM(datos_ventas[[#This Row],[Fecha]],2)</f>
        <v>47</v>
      </c>
      <c r="E2355" t="s">
        <v>23</v>
      </c>
      <c r="F2355" t="s">
        <v>18</v>
      </c>
      <c r="G2355">
        <v>5</v>
      </c>
      <c r="H2355">
        <v>86315</v>
      </c>
      <c r="I2355">
        <v>2452</v>
      </c>
      <c r="J2355" t="s">
        <v>12</v>
      </c>
      <c r="K2355" t="str">
        <f>_xlfn.XLOOKUP(datos_ventas[[#This Row],[Ciudad]],Tabla2[Ciudades],Tabla2[Provincias],"no se encuentra")</f>
        <v>Málaga</v>
      </c>
      <c r="L2355" t="str">
        <f>_xlfn.XLOOKUP(datos_ventas[[#This Row],[Provincia]],Tabla2[Provincias],Tabla2[Comunidades],"no se encuentra")</f>
        <v>Andalucía</v>
      </c>
      <c r="M2355" t="s">
        <v>28</v>
      </c>
      <c r="N2355">
        <v>2</v>
      </c>
    </row>
    <row r="2356" spans="1:14" x14ac:dyDescent="0.25">
      <c r="A2356">
        <v>3355</v>
      </c>
      <c r="B2356" s="1">
        <v>45669</v>
      </c>
      <c r="C2356" s="4">
        <f>MONTH(datos_ventas[[#This Row],[Fecha]])</f>
        <v>1</v>
      </c>
      <c r="D2356" s="4">
        <f>WEEKNUM(datos_ventas[[#This Row],[Fecha]],2)</f>
        <v>2</v>
      </c>
      <c r="E2356" t="s">
        <v>29</v>
      </c>
      <c r="F2356" t="s">
        <v>30</v>
      </c>
      <c r="G2356">
        <v>1</v>
      </c>
      <c r="H2356">
        <v>114723</v>
      </c>
      <c r="I2356">
        <v>2043</v>
      </c>
      <c r="J2356" t="s">
        <v>31</v>
      </c>
      <c r="K2356" t="str">
        <f>_xlfn.XLOOKUP(datos_ventas[[#This Row],[Ciudad]],Tabla2[Ciudades],Tabla2[Provincias],"no se encuentra")</f>
        <v>Vizcaya</v>
      </c>
      <c r="L2356" t="str">
        <f>_xlfn.XLOOKUP(datos_ventas[[#This Row],[Provincia]],Tabla2[Provincias],Tabla2[Comunidades],"no se encuentra")</f>
        <v>País Vasco</v>
      </c>
      <c r="M2356" t="s">
        <v>19</v>
      </c>
      <c r="N2356">
        <v>4</v>
      </c>
    </row>
    <row r="2357" spans="1:14" x14ac:dyDescent="0.25">
      <c r="A2357">
        <v>3356</v>
      </c>
      <c r="B2357" s="1">
        <v>46005</v>
      </c>
      <c r="C2357" s="4">
        <f>MONTH(datos_ventas[[#This Row],[Fecha]])</f>
        <v>12</v>
      </c>
      <c r="D2357" s="4">
        <f>WEEKNUM(datos_ventas[[#This Row],[Fecha]],2)</f>
        <v>50</v>
      </c>
      <c r="E2357" t="s">
        <v>24</v>
      </c>
      <c r="F2357" t="s">
        <v>25</v>
      </c>
      <c r="G2357">
        <v>1</v>
      </c>
      <c r="H2357">
        <v>4373</v>
      </c>
      <c r="I2357">
        <v>2645</v>
      </c>
      <c r="J2357" t="s">
        <v>12</v>
      </c>
      <c r="K2357" t="str">
        <f>_xlfn.XLOOKUP(datos_ventas[[#This Row],[Ciudad]],Tabla2[Ciudades],Tabla2[Provincias],"no se encuentra")</f>
        <v>Málaga</v>
      </c>
      <c r="L2357" t="str">
        <f>_xlfn.XLOOKUP(datos_ventas[[#This Row],[Provincia]],Tabla2[Provincias],Tabla2[Comunidades],"no se encuentra")</f>
        <v>Andalucía</v>
      </c>
      <c r="M2357" t="s">
        <v>13</v>
      </c>
      <c r="N2357">
        <v>5</v>
      </c>
    </row>
    <row r="2358" spans="1:14" x14ac:dyDescent="0.25">
      <c r="A2358">
        <v>3357</v>
      </c>
      <c r="B2358" s="1">
        <v>45876</v>
      </c>
      <c r="C2358" s="4">
        <f>MONTH(datos_ventas[[#This Row],[Fecha]])</f>
        <v>8</v>
      </c>
      <c r="D2358" s="4">
        <f>WEEKNUM(datos_ventas[[#This Row],[Fecha]],2)</f>
        <v>32</v>
      </c>
      <c r="E2358" t="s">
        <v>17</v>
      </c>
      <c r="F2358" t="s">
        <v>18</v>
      </c>
      <c r="G2358">
        <v>5</v>
      </c>
      <c r="H2358">
        <v>65627</v>
      </c>
      <c r="I2358">
        <v>3521</v>
      </c>
      <c r="J2358" t="s">
        <v>14</v>
      </c>
      <c r="K2358" t="str">
        <f>_xlfn.XLOOKUP(datos_ventas[[#This Row],[Ciudad]],Tabla2[Ciudades],Tabla2[Provincias],"no se encuentra")</f>
        <v>Madrid</v>
      </c>
      <c r="L2358" t="str">
        <f>_xlfn.XLOOKUP(datos_ventas[[#This Row],[Provincia]],Tabla2[Provincias],Tabla2[Comunidades],"no se encuentra")</f>
        <v>Comunidad de Madrid</v>
      </c>
      <c r="M2358" t="s">
        <v>19</v>
      </c>
      <c r="N2358">
        <v>3</v>
      </c>
    </row>
    <row r="2359" spans="1:14" x14ac:dyDescent="0.25">
      <c r="A2359">
        <v>3358</v>
      </c>
      <c r="B2359" s="1">
        <v>45764</v>
      </c>
      <c r="C2359" s="4">
        <f>MONTH(datos_ventas[[#This Row],[Fecha]])</f>
        <v>4</v>
      </c>
      <c r="D2359" s="4">
        <f>WEEKNUM(datos_ventas[[#This Row],[Fecha]],2)</f>
        <v>16</v>
      </c>
      <c r="E2359" t="s">
        <v>24</v>
      </c>
      <c r="F2359" t="s">
        <v>25</v>
      </c>
      <c r="G2359">
        <v>2</v>
      </c>
      <c r="H2359">
        <v>79674</v>
      </c>
      <c r="I2359">
        <v>4265</v>
      </c>
      <c r="J2359" t="s">
        <v>31</v>
      </c>
      <c r="K2359" t="str">
        <f>_xlfn.XLOOKUP(datos_ventas[[#This Row],[Ciudad]],Tabla2[Ciudades],Tabla2[Provincias],"no se encuentra")</f>
        <v>Vizcaya</v>
      </c>
      <c r="L2359" t="str">
        <f>_xlfn.XLOOKUP(datos_ventas[[#This Row],[Provincia]],Tabla2[Provincias],Tabla2[Comunidades],"no se encuentra")</f>
        <v>País Vasco</v>
      </c>
      <c r="M2359" t="s">
        <v>15</v>
      </c>
      <c r="N2359">
        <v>1</v>
      </c>
    </row>
    <row r="2360" spans="1:14" x14ac:dyDescent="0.25">
      <c r="A2360">
        <v>3359</v>
      </c>
      <c r="B2360" s="1">
        <v>45719</v>
      </c>
      <c r="C2360" s="4">
        <f>MONTH(datos_ventas[[#This Row],[Fecha]])</f>
        <v>3</v>
      </c>
      <c r="D2360" s="4">
        <f>WEEKNUM(datos_ventas[[#This Row],[Fecha]],2)</f>
        <v>10</v>
      </c>
      <c r="E2360" t="s">
        <v>24</v>
      </c>
      <c r="F2360" t="s">
        <v>25</v>
      </c>
      <c r="G2360">
        <v>2</v>
      </c>
      <c r="H2360">
        <v>5410</v>
      </c>
      <c r="I2360">
        <v>652</v>
      </c>
      <c r="J2360" t="s">
        <v>31</v>
      </c>
      <c r="K2360" t="str">
        <f>_xlfn.XLOOKUP(datos_ventas[[#This Row],[Ciudad]],Tabla2[Ciudades],Tabla2[Provincias],"no se encuentra")</f>
        <v>Vizcaya</v>
      </c>
      <c r="L2360" t="str">
        <f>_xlfn.XLOOKUP(datos_ventas[[#This Row],[Provincia]],Tabla2[Provincias],Tabla2[Comunidades],"no se encuentra")</f>
        <v>País Vasco</v>
      </c>
      <c r="M2360" t="s">
        <v>28</v>
      </c>
      <c r="N2360">
        <v>1</v>
      </c>
    </row>
    <row r="2361" spans="1:14" x14ac:dyDescent="0.25">
      <c r="A2361">
        <v>3360</v>
      </c>
      <c r="B2361" s="1">
        <v>45738</v>
      </c>
      <c r="C2361" s="4">
        <f>MONTH(datos_ventas[[#This Row],[Fecha]])</f>
        <v>3</v>
      </c>
      <c r="D2361" s="4">
        <f>WEEKNUM(datos_ventas[[#This Row],[Fecha]],2)</f>
        <v>12</v>
      </c>
      <c r="E2361" t="s">
        <v>24</v>
      </c>
      <c r="F2361" t="s">
        <v>25</v>
      </c>
      <c r="G2361">
        <v>3</v>
      </c>
      <c r="H2361">
        <v>6002</v>
      </c>
      <c r="I2361">
        <v>1827</v>
      </c>
      <c r="J2361" t="s">
        <v>31</v>
      </c>
      <c r="K2361" t="str">
        <f>_xlfn.XLOOKUP(datos_ventas[[#This Row],[Ciudad]],Tabla2[Ciudades],Tabla2[Provincias],"no se encuentra")</f>
        <v>Vizcaya</v>
      </c>
      <c r="L2361" t="str">
        <f>_xlfn.XLOOKUP(datos_ventas[[#This Row],[Provincia]],Tabla2[Provincias],Tabla2[Comunidades],"no se encuentra")</f>
        <v>País Vasco</v>
      </c>
      <c r="M2361" t="s">
        <v>28</v>
      </c>
      <c r="N2361">
        <v>1</v>
      </c>
    </row>
    <row r="2362" spans="1:14" x14ac:dyDescent="0.25">
      <c r="A2362">
        <v>3361</v>
      </c>
      <c r="B2362" s="1">
        <v>45991</v>
      </c>
      <c r="C2362" s="4">
        <f>MONTH(datos_ventas[[#This Row],[Fecha]])</f>
        <v>11</v>
      </c>
      <c r="D2362" s="4">
        <f>WEEKNUM(datos_ventas[[#This Row],[Fecha]],2)</f>
        <v>48</v>
      </c>
      <c r="E2362" t="s">
        <v>26</v>
      </c>
      <c r="F2362" t="s">
        <v>18</v>
      </c>
      <c r="G2362">
        <v>2</v>
      </c>
      <c r="H2362">
        <v>50555</v>
      </c>
      <c r="I2362">
        <v>323</v>
      </c>
      <c r="J2362" t="s">
        <v>22</v>
      </c>
      <c r="K2362" t="str">
        <f>_xlfn.XLOOKUP(datos_ventas[[#This Row],[Ciudad]],Tabla2[Ciudades],Tabla2[Provincias],"no se encuentra")</f>
        <v>Valencia</v>
      </c>
      <c r="L2362" t="str">
        <f>_xlfn.XLOOKUP(datos_ventas[[#This Row],[Provincia]],Tabla2[Provincias],Tabla2[Comunidades],"no se encuentra")</f>
        <v>Comunidad Valenciana</v>
      </c>
      <c r="M2362" t="s">
        <v>19</v>
      </c>
      <c r="N2362">
        <v>1</v>
      </c>
    </row>
    <row r="2363" spans="1:14" x14ac:dyDescent="0.25">
      <c r="A2363">
        <v>3362</v>
      </c>
      <c r="B2363" s="1">
        <v>45822</v>
      </c>
      <c r="C2363" s="4">
        <f>MONTH(datos_ventas[[#This Row],[Fecha]])</f>
        <v>6</v>
      </c>
      <c r="D2363" s="4">
        <f>WEEKNUM(datos_ventas[[#This Row],[Fecha]],2)</f>
        <v>24</v>
      </c>
      <c r="E2363" t="s">
        <v>20</v>
      </c>
      <c r="F2363" t="s">
        <v>21</v>
      </c>
      <c r="G2363">
        <v>5</v>
      </c>
      <c r="H2363">
        <v>11484</v>
      </c>
      <c r="I2363">
        <v>2421</v>
      </c>
      <c r="J2363" t="s">
        <v>22</v>
      </c>
      <c r="K2363" t="str">
        <f>_xlfn.XLOOKUP(datos_ventas[[#This Row],[Ciudad]],Tabla2[Ciudades],Tabla2[Provincias],"no se encuentra")</f>
        <v>Valencia</v>
      </c>
      <c r="L2363" t="str">
        <f>_xlfn.XLOOKUP(datos_ventas[[#This Row],[Provincia]],Tabla2[Provincias],Tabla2[Comunidades],"no se encuentra")</f>
        <v>Comunidad Valenciana</v>
      </c>
      <c r="M2363" t="s">
        <v>28</v>
      </c>
      <c r="N2363">
        <v>2</v>
      </c>
    </row>
    <row r="2364" spans="1:14" x14ac:dyDescent="0.25">
      <c r="A2364">
        <v>3363</v>
      </c>
      <c r="B2364" s="1">
        <v>46003</v>
      </c>
      <c r="C2364" s="4">
        <f>MONTH(datos_ventas[[#This Row],[Fecha]])</f>
        <v>12</v>
      </c>
      <c r="D2364" s="4">
        <f>WEEKNUM(datos_ventas[[#This Row],[Fecha]],2)</f>
        <v>50</v>
      </c>
      <c r="E2364" t="s">
        <v>26</v>
      </c>
      <c r="F2364" t="s">
        <v>18</v>
      </c>
      <c r="G2364">
        <v>5</v>
      </c>
      <c r="H2364">
        <v>58661</v>
      </c>
      <c r="I2364">
        <v>3642</v>
      </c>
      <c r="J2364" t="s">
        <v>32</v>
      </c>
      <c r="K2364" t="str">
        <f>_xlfn.XLOOKUP(datos_ventas[[#This Row],[Ciudad]],Tabla2[Ciudades],Tabla2[Provincias],"no se encuentra")</f>
        <v>Barcelona</v>
      </c>
      <c r="L2364" t="str">
        <f>_xlfn.XLOOKUP(datos_ventas[[#This Row],[Provincia]],Tabla2[Provincias],Tabla2[Comunidades],"no se encuentra")</f>
        <v>Cataluña</v>
      </c>
      <c r="M2364" t="s">
        <v>15</v>
      </c>
      <c r="N2364">
        <v>1</v>
      </c>
    </row>
    <row r="2365" spans="1:14" x14ac:dyDescent="0.25">
      <c r="A2365">
        <v>3364</v>
      </c>
      <c r="B2365" s="1">
        <v>45734</v>
      </c>
      <c r="C2365" s="4">
        <f>MONTH(datos_ventas[[#This Row],[Fecha]])</f>
        <v>3</v>
      </c>
      <c r="D2365" s="4">
        <f>WEEKNUM(datos_ventas[[#This Row],[Fecha]],2)</f>
        <v>12</v>
      </c>
      <c r="E2365" t="s">
        <v>10</v>
      </c>
      <c r="F2365" t="s">
        <v>11</v>
      </c>
      <c r="G2365">
        <v>2</v>
      </c>
      <c r="H2365">
        <v>114917</v>
      </c>
      <c r="I2365">
        <v>2304</v>
      </c>
      <c r="J2365" t="s">
        <v>27</v>
      </c>
      <c r="K2365" t="str">
        <f>_xlfn.XLOOKUP(datos_ventas[[#This Row],[Ciudad]],Tabla2[Ciudades],Tabla2[Provincias],"no se encuentra")</f>
        <v>Sevilla</v>
      </c>
      <c r="L2365" t="str">
        <f>_xlfn.XLOOKUP(datos_ventas[[#This Row],[Provincia]],Tabla2[Provincias],Tabla2[Comunidades],"no se encuentra")</f>
        <v>Andalucía</v>
      </c>
      <c r="M2365" t="s">
        <v>15</v>
      </c>
      <c r="N2365">
        <v>5</v>
      </c>
    </row>
    <row r="2366" spans="1:14" x14ac:dyDescent="0.25">
      <c r="A2366">
        <v>3365</v>
      </c>
      <c r="B2366" s="1">
        <v>45924</v>
      </c>
      <c r="C2366" s="4">
        <f>MONTH(datos_ventas[[#This Row],[Fecha]])</f>
        <v>9</v>
      </c>
      <c r="D2366" s="4">
        <f>WEEKNUM(datos_ventas[[#This Row],[Fecha]],2)</f>
        <v>39</v>
      </c>
      <c r="E2366" t="s">
        <v>16</v>
      </c>
      <c r="F2366" t="s">
        <v>11</v>
      </c>
      <c r="G2366">
        <v>4</v>
      </c>
      <c r="H2366">
        <v>93798</v>
      </c>
      <c r="I2366">
        <v>4462</v>
      </c>
      <c r="J2366" t="s">
        <v>31</v>
      </c>
      <c r="K2366" t="str">
        <f>_xlfn.XLOOKUP(datos_ventas[[#This Row],[Ciudad]],Tabla2[Ciudades],Tabla2[Provincias],"no se encuentra")</f>
        <v>Vizcaya</v>
      </c>
      <c r="L2366" t="str">
        <f>_xlfn.XLOOKUP(datos_ventas[[#This Row],[Provincia]],Tabla2[Provincias],Tabla2[Comunidades],"no se encuentra")</f>
        <v>País Vasco</v>
      </c>
      <c r="M2366" t="s">
        <v>15</v>
      </c>
      <c r="N2366">
        <v>2</v>
      </c>
    </row>
    <row r="2367" spans="1:14" x14ac:dyDescent="0.25">
      <c r="A2367">
        <v>3366</v>
      </c>
      <c r="B2367" s="1">
        <v>45778</v>
      </c>
      <c r="C2367" s="4">
        <f>MONTH(datos_ventas[[#This Row],[Fecha]])</f>
        <v>5</v>
      </c>
      <c r="D2367" s="4">
        <f>WEEKNUM(datos_ventas[[#This Row],[Fecha]],2)</f>
        <v>18</v>
      </c>
      <c r="E2367" t="s">
        <v>10</v>
      </c>
      <c r="F2367" t="s">
        <v>11</v>
      </c>
      <c r="G2367">
        <v>2</v>
      </c>
      <c r="H2367">
        <v>97788</v>
      </c>
      <c r="I2367">
        <v>2885</v>
      </c>
      <c r="J2367" t="s">
        <v>27</v>
      </c>
      <c r="K2367" t="str">
        <f>_xlfn.XLOOKUP(datos_ventas[[#This Row],[Ciudad]],Tabla2[Ciudades],Tabla2[Provincias],"no se encuentra")</f>
        <v>Sevilla</v>
      </c>
      <c r="L2367" t="str">
        <f>_xlfn.XLOOKUP(datos_ventas[[#This Row],[Provincia]],Tabla2[Provincias],Tabla2[Comunidades],"no se encuentra")</f>
        <v>Andalucía</v>
      </c>
      <c r="M2367" t="s">
        <v>15</v>
      </c>
      <c r="N2367">
        <v>3</v>
      </c>
    </row>
    <row r="2368" spans="1:14" x14ac:dyDescent="0.25">
      <c r="A2368">
        <v>3367</v>
      </c>
      <c r="B2368" s="1">
        <v>45859</v>
      </c>
      <c r="C2368" s="4">
        <f>MONTH(datos_ventas[[#This Row],[Fecha]])</f>
        <v>7</v>
      </c>
      <c r="D2368" s="4">
        <f>WEEKNUM(datos_ventas[[#This Row],[Fecha]],2)</f>
        <v>30</v>
      </c>
      <c r="E2368" t="s">
        <v>10</v>
      </c>
      <c r="F2368" t="s">
        <v>11</v>
      </c>
      <c r="G2368">
        <v>5</v>
      </c>
      <c r="H2368">
        <v>2477</v>
      </c>
      <c r="I2368">
        <v>3524</v>
      </c>
      <c r="J2368" t="s">
        <v>32</v>
      </c>
      <c r="K2368" t="str">
        <f>_xlfn.XLOOKUP(datos_ventas[[#This Row],[Ciudad]],Tabla2[Ciudades],Tabla2[Provincias],"no se encuentra")</f>
        <v>Barcelona</v>
      </c>
      <c r="L2368" t="str">
        <f>_xlfn.XLOOKUP(datos_ventas[[#This Row],[Provincia]],Tabla2[Provincias],Tabla2[Comunidades],"no se encuentra")</f>
        <v>Cataluña</v>
      </c>
      <c r="M2368" t="s">
        <v>19</v>
      </c>
      <c r="N2368">
        <v>3</v>
      </c>
    </row>
    <row r="2369" spans="1:14" x14ac:dyDescent="0.25">
      <c r="A2369">
        <v>3368</v>
      </c>
      <c r="B2369" s="1">
        <v>46003</v>
      </c>
      <c r="C2369" s="4">
        <f>MONTH(datos_ventas[[#This Row],[Fecha]])</f>
        <v>12</v>
      </c>
      <c r="D2369" s="4">
        <f>WEEKNUM(datos_ventas[[#This Row],[Fecha]],2)</f>
        <v>50</v>
      </c>
      <c r="E2369" t="s">
        <v>23</v>
      </c>
      <c r="F2369" t="s">
        <v>18</v>
      </c>
      <c r="G2369">
        <v>4</v>
      </c>
      <c r="H2369">
        <v>43536</v>
      </c>
      <c r="I2369">
        <v>3644</v>
      </c>
      <c r="J2369" t="s">
        <v>14</v>
      </c>
      <c r="K2369" t="str">
        <f>_xlfn.XLOOKUP(datos_ventas[[#This Row],[Ciudad]],Tabla2[Ciudades],Tabla2[Provincias],"no se encuentra")</f>
        <v>Madrid</v>
      </c>
      <c r="L2369" t="str">
        <f>_xlfn.XLOOKUP(datos_ventas[[#This Row],[Provincia]],Tabla2[Provincias],Tabla2[Comunidades],"no se encuentra")</f>
        <v>Comunidad de Madrid</v>
      </c>
      <c r="M2369" t="s">
        <v>13</v>
      </c>
      <c r="N2369">
        <v>1</v>
      </c>
    </row>
    <row r="2370" spans="1:14" x14ac:dyDescent="0.25">
      <c r="A2370">
        <v>3369</v>
      </c>
      <c r="B2370" s="1">
        <v>45799</v>
      </c>
      <c r="C2370" s="4">
        <f>MONTH(datos_ventas[[#This Row],[Fecha]])</f>
        <v>5</v>
      </c>
      <c r="D2370" s="4">
        <f>WEEKNUM(datos_ventas[[#This Row],[Fecha]],2)</f>
        <v>21</v>
      </c>
      <c r="E2370" t="s">
        <v>10</v>
      </c>
      <c r="F2370" t="s">
        <v>11</v>
      </c>
      <c r="G2370">
        <v>2</v>
      </c>
      <c r="H2370">
        <v>63316</v>
      </c>
      <c r="I2370">
        <v>1401</v>
      </c>
      <c r="J2370" t="s">
        <v>31</v>
      </c>
      <c r="K2370" t="str">
        <f>_xlfn.XLOOKUP(datos_ventas[[#This Row],[Ciudad]],Tabla2[Ciudades],Tabla2[Provincias],"no se encuentra")</f>
        <v>Vizcaya</v>
      </c>
      <c r="L2370" t="str">
        <f>_xlfn.XLOOKUP(datos_ventas[[#This Row],[Provincia]],Tabla2[Provincias],Tabla2[Comunidades],"no se encuentra")</f>
        <v>País Vasco</v>
      </c>
      <c r="M2370" t="s">
        <v>13</v>
      </c>
      <c r="N2370">
        <v>5</v>
      </c>
    </row>
    <row r="2371" spans="1:14" x14ac:dyDescent="0.25">
      <c r="A2371">
        <v>3370</v>
      </c>
      <c r="B2371" s="1">
        <v>45705</v>
      </c>
      <c r="C2371" s="4">
        <f>MONTH(datos_ventas[[#This Row],[Fecha]])</f>
        <v>2</v>
      </c>
      <c r="D2371" s="4">
        <f>WEEKNUM(datos_ventas[[#This Row],[Fecha]],2)</f>
        <v>8</v>
      </c>
      <c r="E2371" t="s">
        <v>10</v>
      </c>
      <c r="F2371" t="s">
        <v>11</v>
      </c>
      <c r="G2371">
        <v>4</v>
      </c>
      <c r="H2371">
        <v>46591</v>
      </c>
      <c r="I2371">
        <v>937</v>
      </c>
      <c r="J2371" t="s">
        <v>22</v>
      </c>
      <c r="K2371" t="str">
        <f>_xlfn.XLOOKUP(datos_ventas[[#This Row],[Ciudad]],Tabla2[Ciudades],Tabla2[Provincias],"no se encuentra")</f>
        <v>Valencia</v>
      </c>
      <c r="L2371" t="str">
        <f>_xlfn.XLOOKUP(datos_ventas[[#This Row],[Provincia]],Tabla2[Provincias],Tabla2[Comunidades],"no se encuentra")</f>
        <v>Comunidad Valenciana</v>
      </c>
      <c r="M2371" t="s">
        <v>15</v>
      </c>
      <c r="N2371">
        <v>2</v>
      </c>
    </row>
    <row r="2372" spans="1:14" x14ac:dyDescent="0.25">
      <c r="A2372">
        <v>3371</v>
      </c>
      <c r="B2372" s="1">
        <v>45860</v>
      </c>
      <c r="C2372" s="4">
        <f>MONTH(datos_ventas[[#This Row],[Fecha]])</f>
        <v>7</v>
      </c>
      <c r="D2372" s="4">
        <f>WEEKNUM(datos_ventas[[#This Row],[Fecha]],2)</f>
        <v>30</v>
      </c>
      <c r="E2372" t="s">
        <v>20</v>
      </c>
      <c r="F2372" t="s">
        <v>21</v>
      </c>
      <c r="G2372">
        <v>2</v>
      </c>
      <c r="H2372">
        <v>64912</v>
      </c>
      <c r="I2372">
        <v>1344</v>
      </c>
      <c r="J2372" t="s">
        <v>12</v>
      </c>
      <c r="K2372" t="str">
        <f>_xlfn.XLOOKUP(datos_ventas[[#This Row],[Ciudad]],Tabla2[Ciudades],Tabla2[Provincias],"no se encuentra")</f>
        <v>Málaga</v>
      </c>
      <c r="L2372" t="str">
        <f>_xlfn.XLOOKUP(datos_ventas[[#This Row],[Provincia]],Tabla2[Provincias],Tabla2[Comunidades],"no se encuentra")</f>
        <v>Andalucía</v>
      </c>
      <c r="M2372" t="s">
        <v>13</v>
      </c>
      <c r="N2372">
        <v>5</v>
      </c>
    </row>
    <row r="2373" spans="1:14" x14ac:dyDescent="0.25">
      <c r="A2373">
        <v>3372</v>
      </c>
      <c r="B2373" s="1">
        <v>45841</v>
      </c>
      <c r="C2373" s="4">
        <f>MONTH(datos_ventas[[#This Row],[Fecha]])</f>
        <v>7</v>
      </c>
      <c r="D2373" s="4">
        <f>WEEKNUM(datos_ventas[[#This Row],[Fecha]],2)</f>
        <v>27</v>
      </c>
      <c r="E2373" t="s">
        <v>24</v>
      </c>
      <c r="F2373" t="s">
        <v>25</v>
      </c>
      <c r="G2373">
        <v>1</v>
      </c>
      <c r="H2373">
        <v>17401</v>
      </c>
      <c r="I2373">
        <v>827</v>
      </c>
      <c r="J2373" t="s">
        <v>27</v>
      </c>
      <c r="K2373" t="str">
        <f>_xlfn.XLOOKUP(datos_ventas[[#This Row],[Ciudad]],Tabla2[Ciudades],Tabla2[Provincias],"no se encuentra")</f>
        <v>Sevilla</v>
      </c>
      <c r="L2373" t="str">
        <f>_xlfn.XLOOKUP(datos_ventas[[#This Row],[Provincia]],Tabla2[Provincias],Tabla2[Comunidades],"no se encuentra")</f>
        <v>Andalucía</v>
      </c>
      <c r="M2373" t="s">
        <v>13</v>
      </c>
      <c r="N2373">
        <v>2</v>
      </c>
    </row>
    <row r="2374" spans="1:14" x14ac:dyDescent="0.25">
      <c r="A2374">
        <v>3373</v>
      </c>
      <c r="B2374" s="1">
        <v>45678</v>
      </c>
      <c r="C2374" s="4">
        <f>MONTH(datos_ventas[[#This Row],[Fecha]])</f>
        <v>1</v>
      </c>
      <c r="D2374" s="4">
        <f>WEEKNUM(datos_ventas[[#This Row],[Fecha]],2)</f>
        <v>4</v>
      </c>
      <c r="E2374" t="s">
        <v>26</v>
      </c>
      <c r="F2374" t="s">
        <v>18</v>
      </c>
      <c r="G2374">
        <v>2</v>
      </c>
      <c r="H2374">
        <v>90788</v>
      </c>
      <c r="I2374">
        <v>2966</v>
      </c>
      <c r="J2374" t="s">
        <v>12</v>
      </c>
      <c r="K2374" t="str">
        <f>_xlfn.XLOOKUP(datos_ventas[[#This Row],[Ciudad]],Tabla2[Ciudades],Tabla2[Provincias],"no se encuentra")</f>
        <v>Málaga</v>
      </c>
      <c r="L2374" t="str">
        <f>_xlfn.XLOOKUP(datos_ventas[[#This Row],[Provincia]],Tabla2[Provincias],Tabla2[Comunidades],"no se encuentra")</f>
        <v>Andalucía</v>
      </c>
      <c r="M2374" t="s">
        <v>15</v>
      </c>
      <c r="N2374">
        <v>5</v>
      </c>
    </row>
    <row r="2375" spans="1:14" x14ac:dyDescent="0.25">
      <c r="A2375">
        <v>3374</v>
      </c>
      <c r="B2375" s="1">
        <v>45953</v>
      </c>
      <c r="C2375" s="4">
        <f>MONTH(datos_ventas[[#This Row],[Fecha]])</f>
        <v>10</v>
      </c>
      <c r="D2375" s="4">
        <f>WEEKNUM(datos_ventas[[#This Row],[Fecha]],2)</f>
        <v>43</v>
      </c>
      <c r="E2375" t="s">
        <v>23</v>
      </c>
      <c r="F2375" t="s">
        <v>18</v>
      </c>
      <c r="G2375">
        <v>4</v>
      </c>
      <c r="H2375">
        <v>93696</v>
      </c>
      <c r="I2375">
        <v>677</v>
      </c>
      <c r="J2375" t="s">
        <v>27</v>
      </c>
      <c r="K2375" t="str">
        <f>_xlfn.XLOOKUP(datos_ventas[[#This Row],[Ciudad]],Tabla2[Ciudades],Tabla2[Provincias],"no se encuentra")</f>
        <v>Sevilla</v>
      </c>
      <c r="L2375" t="str">
        <f>_xlfn.XLOOKUP(datos_ventas[[#This Row],[Provincia]],Tabla2[Provincias],Tabla2[Comunidades],"no se encuentra")</f>
        <v>Andalucía</v>
      </c>
      <c r="M2375" t="s">
        <v>19</v>
      </c>
      <c r="N2375">
        <v>2</v>
      </c>
    </row>
    <row r="2376" spans="1:14" x14ac:dyDescent="0.25">
      <c r="A2376">
        <v>3375</v>
      </c>
      <c r="B2376" s="1">
        <v>45806</v>
      </c>
      <c r="C2376" s="4">
        <f>MONTH(datos_ventas[[#This Row],[Fecha]])</f>
        <v>5</v>
      </c>
      <c r="D2376" s="4">
        <f>WEEKNUM(datos_ventas[[#This Row],[Fecha]],2)</f>
        <v>22</v>
      </c>
      <c r="E2376" t="s">
        <v>29</v>
      </c>
      <c r="F2376" t="s">
        <v>30</v>
      </c>
      <c r="G2376">
        <v>4</v>
      </c>
      <c r="H2376">
        <v>19721</v>
      </c>
      <c r="I2376">
        <v>3672</v>
      </c>
      <c r="J2376" t="s">
        <v>27</v>
      </c>
      <c r="K2376" t="str">
        <f>_xlfn.XLOOKUP(datos_ventas[[#This Row],[Ciudad]],Tabla2[Ciudades],Tabla2[Provincias],"no se encuentra")</f>
        <v>Sevilla</v>
      </c>
      <c r="L2376" t="str">
        <f>_xlfn.XLOOKUP(datos_ventas[[#This Row],[Provincia]],Tabla2[Provincias],Tabla2[Comunidades],"no se encuentra")</f>
        <v>Andalucía</v>
      </c>
      <c r="M2376" t="s">
        <v>19</v>
      </c>
      <c r="N2376">
        <v>2</v>
      </c>
    </row>
    <row r="2377" spans="1:14" x14ac:dyDescent="0.25">
      <c r="A2377">
        <v>3376</v>
      </c>
      <c r="B2377" s="1">
        <v>45926</v>
      </c>
      <c r="C2377" s="4">
        <f>MONTH(datos_ventas[[#This Row],[Fecha]])</f>
        <v>9</v>
      </c>
      <c r="D2377" s="4">
        <f>WEEKNUM(datos_ventas[[#This Row],[Fecha]],2)</f>
        <v>39</v>
      </c>
      <c r="E2377" t="s">
        <v>26</v>
      </c>
      <c r="F2377" t="s">
        <v>18</v>
      </c>
      <c r="G2377">
        <v>3</v>
      </c>
      <c r="H2377">
        <v>30349</v>
      </c>
      <c r="I2377">
        <v>1308</v>
      </c>
      <c r="J2377" t="s">
        <v>12</v>
      </c>
      <c r="K2377" t="str">
        <f>_xlfn.XLOOKUP(datos_ventas[[#This Row],[Ciudad]],Tabla2[Ciudades],Tabla2[Provincias],"no se encuentra")</f>
        <v>Málaga</v>
      </c>
      <c r="L2377" t="str">
        <f>_xlfn.XLOOKUP(datos_ventas[[#This Row],[Provincia]],Tabla2[Provincias],Tabla2[Comunidades],"no se encuentra")</f>
        <v>Andalucía</v>
      </c>
      <c r="M2377" t="s">
        <v>19</v>
      </c>
      <c r="N2377">
        <v>2</v>
      </c>
    </row>
    <row r="2378" spans="1:14" x14ac:dyDescent="0.25">
      <c r="A2378">
        <v>3377</v>
      </c>
      <c r="B2378" s="1">
        <v>45967</v>
      </c>
      <c r="C2378" s="4">
        <f>MONTH(datos_ventas[[#This Row],[Fecha]])</f>
        <v>11</v>
      </c>
      <c r="D2378" s="4">
        <f>WEEKNUM(datos_ventas[[#This Row],[Fecha]],2)</f>
        <v>45</v>
      </c>
      <c r="E2378" t="s">
        <v>10</v>
      </c>
      <c r="F2378" t="s">
        <v>11</v>
      </c>
      <c r="G2378">
        <v>3</v>
      </c>
      <c r="H2378">
        <v>67589</v>
      </c>
      <c r="I2378">
        <v>4526</v>
      </c>
      <c r="J2378" t="s">
        <v>32</v>
      </c>
      <c r="K2378" t="str">
        <f>_xlfn.XLOOKUP(datos_ventas[[#This Row],[Ciudad]],Tabla2[Ciudades],Tabla2[Provincias],"no se encuentra")</f>
        <v>Barcelona</v>
      </c>
      <c r="L2378" t="str">
        <f>_xlfn.XLOOKUP(datos_ventas[[#This Row],[Provincia]],Tabla2[Provincias],Tabla2[Comunidades],"no se encuentra")</f>
        <v>Cataluña</v>
      </c>
      <c r="M2378" t="s">
        <v>19</v>
      </c>
      <c r="N2378">
        <v>1</v>
      </c>
    </row>
    <row r="2379" spans="1:14" x14ac:dyDescent="0.25">
      <c r="A2379">
        <v>3378</v>
      </c>
      <c r="B2379" s="1">
        <v>45793</v>
      </c>
      <c r="C2379" s="4">
        <f>MONTH(datos_ventas[[#This Row],[Fecha]])</f>
        <v>5</v>
      </c>
      <c r="D2379" s="4">
        <f>WEEKNUM(datos_ventas[[#This Row],[Fecha]],2)</f>
        <v>20</v>
      </c>
      <c r="E2379" t="s">
        <v>10</v>
      </c>
      <c r="F2379" t="s">
        <v>11</v>
      </c>
      <c r="G2379">
        <v>2</v>
      </c>
      <c r="H2379">
        <v>69843</v>
      </c>
      <c r="I2379">
        <v>1642</v>
      </c>
      <c r="J2379" t="s">
        <v>32</v>
      </c>
      <c r="K2379" t="str">
        <f>_xlfn.XLOOKUP(datos_ventas[[#This Row],[Ciudad]],Tabla2[Ciudades],Tabla2[Provincias],"no se encuentra")</f>
        <v>Barcelona</v>
      </c>
      <c r="L2379" t="str">
        <f>_xlfn.XLOOKUP(datos_ventas[[#This Row],[Provincia]],Tabla2[Provincias],Tabla2[Comunidades],"no se encuentra")</f>
        <v>Cataluña</v>
      </c>
      <c r="M2379" t="s">
        <v>13</v>
      </c>
      <c r="N2379">
        <v>4</v>
      </c>
    </row>
    <row r="2380" spans="1:14" x14ac:dyDescent="0.25">
      <c r="A2380">
        <v>3379</v>
      </c>
      <c r="B2380" s="1">
        <v>45737</v>
      </c>
      <c r="C2380" s="4">
        <f>MONTH(datos_ventas[[#This Row],[Fecha]])</f>
        <v>3</v>
      </c>
      <c r="D2380" s="4">
        <f>WEEKNUM(datos_ventas[[#This Row],[Fecha]],2)</f>
        <v>12</v>
      </c>
      <c r="E2380" t="s">
        <v>16</v>
      </c>
      <c r="F2380" t="s">
        <v>11</v>
      </c>
      <c r="G2380">
        <v>4</v>
      </c>
      <c r="H2380">
        <v>113974</v>
      </c>
      <c r="I2380">
        <v>1607</v>
      </c>
      <c r="J2380" t="s">
        <v>14</v>
      </c>
      <c r="K2380" t="str">
        <f>_xlfn.XLOOKUP(datos_ventas[[#This Row],[Ciudad]],Tabla2[Ciudades],Tabla2[Provincias],"no se encuentra")</f>
        <v>Madrid</v>
      </c>
      <c r="L2380" t="str">
        <f>_xlfn.XLOOKUP(datos_ventas[[#This Row],[Provincia]],Tabla2[Provincias],Tabla2[Comunidades],"no se encuentra")</f>
        <v>Comunidad de Madrid</v>
      </c>
      <c r="M2380" t="s">
        <v>15</v>
      </c>
      <c r="N2380">
        <v>4</v>
      </c>
    </row>
    <row r="2381" spans="1:14" x14ac:dyDescent="0.25">
      <c r="A2381">
        <v>3380</v>
      </c>
      <c r="B2381" s="1">
        <v>45913</v>
      </c>
      <c r="C2381" s="4">
        <f>MONTH(datos_ventas[[#This Row],[Fecha]])</f>
        <v>9</v>
      </c>
      <c r="D2381" s="4">
        <f>WEEKNUM(datos_ventas[[#This Row],[Fecha]],2)</f>
        <v>37</v>
      </c>
      <c r="E2381" t="s">
        <v>29</v>
      </c>
      <c r="F2381" t="s">
        <v>30</v>
      </c>
      <c r="G2381">
        <v>1</v>
      </c>
      <c r="H2381">
        <v>63743</v>
      </c>
      <c r="I2381">
        <v>706</v>
      </c>
      <c r="J2381" t="s">
        <v>22</v>
      </c>
      <c r="K2381" t="str">
        <f>_xlfn.XLOOKUP(datos_ventas[[#This Row],[Ciudad]],Tabla2[Ciudades],Tabla2[Provincias],"no se encuentra")</f>
        <v>Valencia</v>
      </c>
      <c r="L2381" t="str">
        <f>_xlfn.XLOOKUP(datos_ventas[[#This Row],[Provincia]],Tabla2[Provincias],Tabla2[Comunidades],"no se encuentra")</f>
        <v>Comunidad Valenciana</v>
      </c>
      <c r="M2381" t="s">
        <v>19</v>
      </c>
      <c r="N2381">
        <v>1</v>
      </c>
    </row>
    <row r="2382" spans="1:14" x14ac:dyDescent="0.25">
      <c r="A2382">
        <v>3381</v>
      </c>
      <c r="B2382" s="1">
        <v>45853</v>
      </c>
      <c r="C2382" s="4">
        <f>MONTH(datos_ventas[[#This Row],[Fecha]])</f>
        <v>7</v>
      </c>
      <c r="D2382" s="4">
        <f>WEEKNUM(datos_ventas[[#This Row],[Fecha]],2)</f>
        <v>29</v>
      </c>
      <c r="E2382" t="s">
        <v>24</v>
      </c>
      <c r="F2382" t="s">
        <v>25</v>
      </c>
      <c r="G2382">
        <v>1</v>
      </c>
      <c r="H2382">
        <v>4438</v>
      </c>
      <c r="I2382">
        <v>4223</v>
      </c>
      <c r="J2382" t="s">
        <v>14</v>
      </c>
      <c r="K2382" t="str">
        <f>_xlfn.XLOOKUP(datos_ventas[[#This Row],[Ciudad]],Tabla2[Ciudades],Tabla2[Provincias],"no se encuentra")</f>
        <v>Madrid</v>
      </c>
      <c r="L2382" t="str">
        <f>_xlfn.XLOOKUP(datos_ventas[[#This Row],[Provincia]],Tabla2[Provincias],Tabla2[Comunidades],"no se encuentra")</f>
        <v>Comunidad de Madrid</v>
      </c>
      <c r="M2382" t="s">
        <v>19</v>
      </c>
      <c r="N2382">
        <v>1</v>
      </c>
    </row>
    <row r="2383" spans="1:14" x14ac:dyDescent="0.25">
      <c r="A2383">
        <v>3382</v>
      </c>
      <c r="B2383" s="1">
        <v>45960</v>
      </c>
      <c r="C2383" s="4">
        <f>MONTH(datos_ventas[[#This Row],[Fecha]])</f>
        <v>10</v>
      </c>
      <c r="D2383" s="4">
        <f>WEEKNUM(datos_ventas[[#This Row],[Fecha]],2)</f>
        <v>44</v>
      </c>
      <c r="E2383" t="s">
        <v>10</v>
      </c>
      <c r="F2383" t="s">
        <v>11</v>
      </c>
      <c r="G2383">
        <v>5</v>
      </c>
      <c r="H2383">
        <v>69627</v>
      </c>
      <c r="I2383">
        <v>4682</v>
      </c>
      <c r="J2383" t="s">
        <v>14</v>
      </c>
      <c r="K2383" t="str">
        <f>_xlfn.XLOOKUP(datos_ventas[[#This Row],[Ciudad]],Tabla2[Ciudades],Tabla2[Provincias],"no se encuentra")</f>
        <v>Madrid</v>
      </c>
      <c r="L2383" t="str">
        <f>_xlfn.XLOOKUP(datos_ventas[[#This Row],[Provincia]],Tabla2[Provincias],Tabla2[Comunidades],"no se encuentra")</f>
        <v>Comunidad de Madrid</v>
      </c>
      <c r="M2383" t="s">
        <v>19</v>
      </c>
      <c r="N2383">
        <v>4</v>
      </c>
    </row>
    <row r="2384" spans="1:14" x14ac:dyDescent="0.25">
      <c r="A2384">
        <v>3383</v>
      </c>
      <c r="B2384" s="1">
        <v>45886</v>
      </c>
      <c r="C2384" s="4">
        <f>MONTH(datos_ventas[[#This Row],[Fecha]])</f>
        <v>8</v>
      </c>
      <c r="D2384" s="4">
        <f>WEEKNUM(datos_ventas[[#This Row],[Fecha]],2)</f>
        <v>33</v>
      </c>
      <c r="E2384" t="s">
        <v>20</v>
      </c>
      <c r="F2384" t="s">
        <v>21</v>
      </c>
      <c r="G2384">
        <v>2</v>
      </c>
      <c r="H2384">
        <v>63774</v>
      </c>
      <c r="I2384">
        <v>2898</v>
      </c>
      <c r="J2384" t="s">
        <v>27</v>
      </c>
      <c r="K2384" t="str">
        <f>_xlfn.XLOOKUP(datos_ventas[[#This Row],[Ciudad]],Tabla2[Ciudades],Tabla2[Provincias],"no se encuentra")</f>
        <v>Sevilla</v>
      </c>
      <c r="L2384" t="str">
        <f>_xlfn.XLOOKUP(datos_ventas[[#This Row],[Provincia]],Tabla2[Provincias],Tabla2[Comunidades],"no se encuentra")</f>
        <v>Andalucía</v>
      </c>
      <c r="M2384" t="s">
        <v>15</v>
      </c>
      <c r="N2384">
        <v>5</v>
      </c>
    </row>
    <row r="2385" spans="1:14" x14ac:dyDescent="0.25">
      <c r="A2385">
        <v>3384</v>
      </c>
      <c r="B2385" s="1">
        <v>46011</v>
      </c>
      <c r="C2385" s="4">
        <f>MONTH(datos_ventas[[#This Row],[Fecha]])</f>
        <v>12</v>
      </c>
      <c r="D2385" s="4">
        <f>WEEKNUM(datos_ventas[[#This Row],[Fecha]],2)</f>
        <v>51</v>
      </c>
      <c r="E2385" t="s">
        <v>24</v>
      </c>
      <c r="F2385" t="s">
        <v>25</v>
      </c>
      <c r="G2385">
        <v>4</v>
      </c>
      <c r="H2385">
        <v>45583</v>
      </c>
      <c r="I2385">
        <v>3854</v>
      </c>
      <c r="J2385" t="s">
        <v>22</v>
      </c>
      <c r="K2385" t="str">
        <f>_xlfn.XLOOKUP(datos_ventas[[#This Row],[Ciudad]],Tabla2[Ciudades],Tabla2[Provincias],"no se encuentra")</f>
        <v>Valencia</v>
      </c>
      <c r="L2385" t="str">
        <f>_xlfn.XLOOKUP(datos_ventas[[#This Row],[Provincia]],Tabla2[Provincias],Tabla2[Comunidades],"no se encuentra")</f>
        <v>Comunidad Valenciana</v>
      </c>
      <c r="M2385" t="s">
        <v>28</v>
      </c>
      <c r="N2385">
        <v>3</v>
      </c>
    </row>
    <row r="2386" spans="1:14" x14ac:dyDescent="0.25">
      <c r="A2386">
        <v>3385</v>
      </c>
      <c r="B2386" s="1">
        <v>45705</v>
      </c>
      <c r="C2386" s="4">
        <f>MONTH(datos_ventas[[#This Row],[Fecha]])</f>
        <v>2</v>
      </c>
      <c r="D2386" s="4">
        <f>WEEKNUM(datos_ventas[[#This Row],[Fecha]],2)</f>
        <v>8</v>
      </c>
      <c r="E2386" t="s">
        <v>24</v>
      </c>
      <c r="F2386" t="s">
        <v>25</v>
      </c>
      <c r="G2386">
        <v>4</v>
      </c>
      <c r="H2386">
        <v>10997</v>
      </c>
      <c r="I2386">
        <v>310</v>
      </c>
      <c r="J2386" t="s">
        <v>31</v>
      </c>
      <c r="K2386" t="str">
        <f>_xlfn.XLOOKUP(datos_ventas[[#This Row],[Ciudad]],Tabla2[Ciudades],Tabla2[Provincias],"no se encuentra")</f>
        <v>Vizcaya</v>
      </c>
      <c r="L2386" t="str">
        <f>_xlfn.XLOOKUP(datos_ventas[[#This Row],[Provincia]],Tabla2[Provincias],Tabla2[Comunidades],"no se encuentra")</f>
        <v>País Vasco</v>
      </c>
      <c r="M2386" t="s">
        <v>13</v>
      </c>
      <c r="N2386">
        <v>5</v>
      </c>
    </row>
    <row r="2387" spans="1:14" x14ac:dyDescent="0.25">
      <c r="A2387">
        <v>3386</v>
      </c>
      <c r="B2387" s="1">
        <v>45984</v>
      </c>
      <c r="C2387" s="4">
        <f>MONTH(datos_ventas[[#This Row],[Fecha]])</f>
        <v>11</v>
      </c>
      <c r="D2387" s="4">
        <f>WEEKNUM(datos_ventas[[#This Row],[Fecha]],2)</f>
        <v>47</v>
      </c>
      <c r="E2387" t="s">
        <v>29</v>
      </c>
      <c r="F2387" t="s">
        <v>30</v>
      </c>
      <c r="G2387">
        <v>4</v>
      </c>
      <c r="H2387">
        <v>56703</v>
      </c>
      <c r="I2387">
        <v>4999</v>
      </c>
      <c r="J2387" t="s">
        <v>22</v>
      </c>
      <c r="K2387" t="str">
        <f>_xlfn.XLOOKUP(datos_ventas[[#This Row],[Ciudad]],Tabla2[Ciudades],Tabla2[Provincias],"no se encuentra")</f>
        <v>Valencia</v>
      </c>
      <c r="L2387" t="str">
        <f>_xlfn.XLOOKUP(datos_ventas[[#This Row],[Provincia]],Tabla2[Provincias],Tabla2[Comunidades],"no se encuentra")</f>
        <v>Comunidad Valenciana</v>
      </c>
      <c r="M2387" t="s">
        <v>13</v>
      </c>
      <c r="N2387">
        <v>2</v>
      </c>
    </row>
    <row r="2388" spans="1:14" x14ac:dyDescent="0.25">
      <c r="A2388">
        <v>3387</v>
      </c>
      <c r="B2388" s="1">
        <v>45870</v>
      </c>
      <c r="C2388" s="4">
        <f>MONTH(datos_ventas[[#This Row],[Fecha]])</f>
        <v>8</v>
      </c>
      <c r="D2388" s="4">
        <f>WEEKNUM(datos_ventas[[#This Row],[Fecha]],2)</f>
        <v>31</v>
      </c>
      <c r="E2388" t="s">
        <v>23</v>
      </c>
      <c r="F2388" t="s">
        <v>18</v>
      </c>
      <c r="G2388">
        <v>3</v>
      </c>
      <c r="H2388">
        <v>51134</v>
      </c>
      <c r="I2388">
        <v>421</v>
      </c>
      <c r="J2388" t="s">
        <v>12</v>
      </c>
      <c r="K2388" t="str">
        <f>_xlfn.XLOOKUP(datos_ventas[[#This Row],[Ciudad]],Tabla2[Ciudades],Tabla2[Provincias],"no se encuentra")</f>
        <v>Málaga</v>
      </c>
      <c r="L2388" t="str">
        <f>_xlfn.XLOOKUP(datos_ventas[[#This Row],[Provincia]],Tabla2[Provincias],Tabla2[Comunidades],"no se encuentra")</f>
        <v>Andalucía</v>
      </c>
      <c r="M2388" t="s">
        <v>15</v>
      </c>
      <c r="N2388">
        <v>5</v>
      </c>
    </row>
    <row r="2389" spans="1:14" x14ac:dyDescent="0.25">
      <c r="A2389">
        <v>3388</v>
      </c>
      <c r="B2389" s="1">
        <v>45676</v>
      </c>
      <c r="C2389" s="4">
        <f>MONTH(datos_ventas[[#This Row],[Fecha]])</f>
        <v>1</v>
      </c>
      <c r="D2389" s="4">
        <f>WEEKNUM(datos_ventas[[#This Row],[Fecha]],2)</f>
        <v>3</v>
      </c>
      <c r="E2389" t="s">
        <v>20</v>
      </c>
      <c r="F2389" t="s">
        <v>21</v>
      </c>
      <c r="G2389">
        <v>4</v>
      </c>
      <c r="H2389">
        <v>56285</v>
      </c>
      <c r="I2389">
        <v>2723</v>
      </c>
      <c r="J2389" t="s">
        <v>12</v>
      </c>
      <c r="K2389" t="str">
        <f>_xlfn.XLOOKUP(datos_ventas[[#This Row],[Ciudad]],Tabla2[Ciudades],Tabla2[Provincias],"no se encuentra")</f>
        <v>Málaga</v>
      </c>
      <c r="L2389" t="str">
        <f>_xlfn.XLOOKUP(datos_ventas[[#This Row],[Provincia]],Tabla2[Provincias],Tabla2[Comunidades],"no se encuentra")</f>
        <v>Andalucía</v>
      </c>
      <c r="M2389" t="s">
        <v>28</v>
      </c>
      <c r="N2389">
        <v>2</v>
      </c>
    </row>
    <row r="2390" spans="1:14" x14ac:dyDescent="0.25">
      <c r="A2390">
        <v>3389</v>
      </c>
      <c r="B2390" s="1">
        <v>45963</v>
      </c>
      <c r="C2390" s="4">
        <f>MONTH(datos_ventas[[#This Row],[Fecha]])</f>
        <v>11</v>
      </c>
      <c r="D2390" s="4">
        <f>WEEKNUM(datos_ventas[[#This Row],[Fecha]],2)</f>
        <v>44</v>
      </c>
      <c r="E2390" t="s">
        <v>10</v>
      </c>
      <c r="F2390" t="s">
        <v>11</v>
      </c>
      <c r="G2390">
        <v>5</v>
      </c>
      <c r="H2390">
        <v>110503</v>
      </c>
      <c r="I2390">
        <v>3639</v>
      </c>
      <c r="J2390" t="s">
        <v>14</v>
      </c>
      <c r="K2390" t="str">
        <f>_xlfn.XLOOKUP(datos_ventas[[#This Row],[Ciudad]],Tabla2[Ciudades],Tabla2[Provincias],"no se encuentra")</f>
        <v>Madrid</v>
      </c>
      <c r="L2390" t="str">
        <f>_xlfn.XLOOKUP(datos_ventas[[#This Row],[Provincia]],Tabla2[Provincias],Tabla2[Comunidades],"no se encuentra")</f>
        <v>Comunidad de Madrid</v>
      </c>
      <c r="M2390" t="s">
        <v>15</v>
      </c>
      <c r="N2390">
        <v>3</v>
      </c>
    </row>
    <row r="2391" spans="1:14" x14ac:dyDescent="0.25">
      <c r="A2391">
        <v>3390</v>
      </c>
      <c r="B2391" s="1">
        <v>45849</v>
      </c>
      <c r="C2391" s="4">
        <f>MONTH(datos_ventas[[#This Row],[Fecha]])</f>
        <v>7</v>
      </c>
      <c r="D2391" s="4">
        <f>WEEKNUM(datos_ventas[[#This Row],[Fecha]],2)</f>
        <v>28</v>
      </c>
      <c r="E2391" t="s">
        <v>26</v>
      </c>
      <c r="F2391" t="s">
        <v>18</v>
      </c>
      <c r="G2391">
        <v>2</v>
      </c>
      <c r="H2391">
        <v>96822</v>
      </c>
      <c r="I2391">
        <v>862</v>
      </c>
      <c r="J2391" t="s">
        <v>27</v>
      </c>
      <c r="K2391" t="str">
        <f>_xlfn.XLOOKUP(datos_ventas[[#This Row],[Ciudad]],Tabla2[Ciudades],Tabla2[Provincias],"no se encuentra")</f>
        <v>Sevilla</v>
      </c>
      <c r="L2391" t="str">
        <f>_xlfn.XLOOKUP(datos_ventas[[#This Row],[Provincia]],Tabla2[Provincias],Tabla2[Comunidades],"no se encuentra")</f>
        <v>Andalucía</v>
      </c>
      <c r="M2391" t="s">
        <v>28</v>
      </c>
      <c r="N2391">
        <v>3</v>
      </c>
    </row>
    <row r="2392" spans="1:14" x14ac:dyDescent="0.25">
      <c r="A2392">
        <v>3391</v>
      </c>
      <c r="B2392" s="1">
        <v>45773</v>
      </c>
      <c r="C2392" s="4">
        <f>MONTH(datos_ventas[[#This Row],[Fecha]])</f>
        <v>4</v>
      </c>
      <c r="D2392" s="4">
        <f>WEEKNUM(datos_ventas[[#This Row],[Fecha]],2)</f>
        <v>17</v>
      </c>
      <c r="E2392" t="s">
        <v>24</v>
      </c>
      <c r="F2392" t="s">
        <v>25</v>
      </c>
      <c r="G2392">
        <v>4</v>
      </c>
      <c r="H2392">
        <v>105793</v>
      </c>
      <c r="I2392">
        <v>3117</v>
      </c>
      <c r="J2392" t="s">
        <v>14</v>
      </c>
      <c r="K2392" t="str">
        <f>_xlfn.XLOOKUP(datos_ventas[[#This Row],[Ciudad]],Tabla2[Ciudades],Tabla2[Provincias],"no se encuentra")</f>
        <v>Madrid</v>
      </c>
      <c r="L2392" t="str">
        <f>_xlfn.XLOOKUP(datos_ventas[[#This Row],[Provincia]],Tabla2[Provincias],Tabla2[Comunidades],"no se encuentra")</f>
        <v>Comunidad de Madrid</v>
      </c>
      <c r="M2392" t="s">
        <v>15</v>
      </c>
      <c r="N2392">
        <v>3</v>
      </c>
    </row>
    <row r="2393" spans="1:14" x14ac:dyDescent="0.25">
      <c r="A2393">
        <v>3392</v>
      </c>
      <c r="B2393" s="1">
        <v>45921</v>
      </c>
      <c r="C2393" s="4">
        <f>MONTH(datos_ventas[[#This Row],[Fecha]])</f>
        <v>9</v>
      </c>
      <c r="D2393" s="4">
        <f>WEEKNUM(datos_ventas[[#This Row],[Fecha]],2)</f>
        <v>38</v>
      </c>
      <c r="E2393" t="s">
        <v>20</v>
      </c>
      <c r="F2393" t="s">
        <v>21</v>
      </c>
      <c r="G2393">
        <v>1</v>
      </c>
      <c r="H2393">
        <v>84314</v>
      </c>
      <c r="I2393">
        <v>536</v>
      </c>
      <c r="J2393" t="s">
        <v>22</v>
      </c>
      <c r="K2393" t="str">
        <f>_xlfn.XLOOKUP(datos_ventas[[#This Row],[Ciudad]],Tabla2[Ciudades],Tabla2[Provincias],"no se encuentra")</f>
        <v>Valencia</v>
      </c>
      <c r="L2393" t="str">
        <f>_xlfn.XLOOKUP(datos_ventas[[#This Row],[Provincia]],Tabla2[Provincias],Tabla2[Comunidades],"no se encuentra")</f>
        <v>Comunidad Valenciana</v>
      </c>
      <c r="M2393" t="s">
        <v>28</v>
      </c>
      <c r="N2393">
        <v>4</v>
      </c>
    </row>
    <row r="2394" spans="1:14" x14ac:dyDescent="0.25">
      <c r="A2394">
        <v>3393</v>
      </c>
      <c r="B2394" s="1">
        <v>45770</v>
      </c>
      <c r="C2394" s="4">
        <f>MONTH(datos_ventas[[#This Row],[Fecha]])</f>
        <v>4</v>
      </c>
      <c r="D2394" s="4">
        <f>WEEKNUM(datos_ventas[[#This Row],[Fecha]],2)</f>
        <v>17</v>
      </c>
      <c r="E2394" t="s">
        <v>16</v>
      </c>
      <c r="F2394" t="s">
        <v>11</v>
      </c>
      <c r="G2394">
        <v>5</v>
      </c>
      <c r="H2394">
        <v>89564</v>
      </c>
      <c r="I2394">
        <v>2488</v>
      </c>
      <c r="J2394" t="s">
        <v>22</v>
      </c>
      <c r="K2394" t="str">
        <f>_xlfn.XLOOKUP(datos_ventas[[#This Row],[Ciudad]],Tabla2[Ciudades],Tabla2[Provincias],"no se encuentra")</f>
        <v>Valencia</v>
      </c>
      <c r="L2394" t="str">
        <f>_xlfn.XLOOKUP(datos_ventas[[#This Row],[Provincia]],Tabla2[Provincias],Tabla2[Comunidades],"no se encuentra")</f>
        <v>Comunidad Valenciana</v>
      </c>
      <c r="M2394" t="s">
        <v>13</v>
      </c>
      <c r="N2394">
        <v>4</v>
      </c>
    </row>
    <row r="2395" spans="1:14" x14ac:dyDescent="0.25">
      <c r="A2395">
        <v>3394</v>
      </c>
      <c r="B2395" s="1">
        <v>45918</v>
      </c>
      <c r="C2395" s="4">
        <f>MONTH(datos_ventas[[#This Row],[Fecha]])</f>
        <v>9</v>
      </c>
      <c r="D2395" s="4">
        <f>WEEKNUM(datos_ventas[[#This Row],[Fecha]],2)</f>
        <v>38</v>
      </c>
      <c r="E2395" t="s">
        <v>17</v>
      </c>
      <c r="F2395" t="s">
        <v>18</v>
      </c>
      <c r="G2395">
        <v>3</v>
      </c>
      <c r="H2395">
        <v>46831</v>
      </c>
      <c r="I2395">
        <v>329</v>
      </c>
      <c r="J2395" t="s">
        <v>27</v>
      </c>
      <c r="K2395" t="str">
        <f>_xlfn.XLOOKUP(datos_ventas[[#This Row],[Ciudad]],Tabla2[Ciudades],Tabla2[Provincias],"no se encuentra")</f>
        <v>Sevilla</v>
      </c>
      <c r="L2395" t="str">
        <f>_xlfn.XLOOKUP(datos_ventas[[#This Row],[Provincia]],Tabla2[Provincias],Tabla2[Comunidades],"no se encuentra")</f>
        <v>Andalucía</v>
      </c>
      <c r="M2395" t="s">
        <v>19</v>
      </c>
      <c r="N2395">
        <v>5</v>
      </c>
    </row>
    <row r="2396" spans="1:14" x14ac:dyDescent="0.25">
      <c r="A2396">
        <v>3395</v>
      </c>
      <c r="B2396" s="1">
        <v>46003</v>
      </c>
      <c r="C2396" s="4">
        <f>MONTH(datos_ventas[[#This Row],[Fecha]])</f>
        <v>12</v>
      </c>
      <c r="D2396" s="4">
        <f>WEEKNUM(datos_ventas[[#This Row],[Fecha]],2)</f>
        <v>50</v>
      </c>
      <c r="E2396" t="s">
        <v>17</v>
      </c>
      <c r="F2396" t="s">
        <v>18</v>
      </c>
      <c r="G2396">
        <v>2</v>
      </c>
      <c r="H2396">
        <v>49235</v>
      </c>
      <c r="I2396">
        <v>1584</v>
      </c>
      <c r="J2396" t="s">
        <v>12</v>
      </c>
      <c r="K2396" t="str">
        <f>_xlfn.XLOOKUP(datos_ventas[[#This Row],[Ciudad]],Tabla2[Ciudades],Tabla2[Provincias],"no se encuentra")</f>
        <v>Málaga</v>
      </c>
      <c r="L2396" t="str">
        <f>_xlfn.XLOOKUP(datos_ventas[[#This Row],[Provincia]],Tabla2[Provincias],Tabla2[Comunidades],"no se encuentra")</f>
        <v>Andalucía</v>
      </c>
      <c r="M2396" t="s">
        <v>28</v>
      </c>
      <c r="N2396">
        <v>4</v>
      </c>
    </row>
    <row r="2397" spans="1:14" x14ac:dyDescent="0.25">
      <c r="A2397">
        <v>3396</v>
      </c>
      <c r="B2397" s="1">
        <v>45888</v>
      </c>
      <c r="C2397" s="4">
        <f>MONTH(datos_ventas[[#This Row],[Fecha]])</f>
        <v>8</v>
      </c>
      <c r="D2397" s="4">
        <f>WEEKNUM(datos_ventas[[#This Row],[Fecha]],2)</f>
        <v>34</v>
      </c>
      <c r="E2397" t="s">
        <v>10</v>
      </c>
      <c r="F2397" t="s">
        <v>11</v>
      </c>
      <c r="G2397">
        <v>2</v>
      </c>
      <c r="H2397">
        <v>85263</v>
      </c>
      <c r="I2397">
        <v>1662</v>
      </c>
      <c r="J2397" t="s">
        <v>31</v>
      </c>
      <c r="K2397" t="str">
        <f>_xlfn.XLOOKUP(datos_ventas[[#This Row],[Ciudad]],Tabla2[Ciudades],Tabla2[Provincias],"no se encuentra")</f>
        <v>Vizcaya</v>
      </c>
      <c r="L2397" t="str">
        <f>_xlfn.XLOOKUP(datos_ventas[[#This Row],[Provincia]],Tabla2[Provincias],Tabla2[Comunidades],"no se encuentra")</f>
        <v>País Vasco</v>
      </c>
      <c r="M2397" t="s">
        <v>13</v>
      </c>
      <c r="N2397">
        <v>5</v>
      </c>
    </row>
    <row r="2398" spans="1:14" x14ac:dyDescent="0.25">
      <c r="A2398">
        <v>3397</v>
      </c>
      <c r="B2398" s="1">
        <v>45910</v>
      </c>
      <c r="C2398" s="4">
        <f>MONTH(datos_ventas[[#This Row],[Fecha]])</f>
        <v>9</v>
      </c>
      <c r="D2398" s="4">
        <f>WEEKNUM(datos_ventas[[#This Row],[Fecha]],2)</f>
        <v>37</v>
      </c>
      <c r="E2398" t="s">
        <v>29</v>
      </c>
      <c r="F2398" t="s">
        <v>30</v>
      </c>
      <c r="G2398">
        <v>1</v>
      </c>
      <c r="H2398">
        <v>110343</v>
      </c>
      <c r="I2398">
        <v>694</v>
      </c>
      <c r="J2398" t="s">
        <v>14</v>
      </c>
      <c r="K2398" t="str">
        <f>_xlfn.XLOOKUP(datos_ventas[[#This Row],[Ciudad]],Tabla2[Ciudades],Tabla2[Provincias],"no se encuentra")</f>
        <v>Madrid</v>
      </c>
      <c r="L2398" t="str">
        <f>_xlfn.XLOOKUP(datos_ventas[[#This Row],[Provincia]],Tabla2[Provincias],Tabla2[Comunidades],"no se encuentra")</f>
        <v>Comunidad de Madrid</v>
      </c>
      <c r="M2398" t="s">
        <v>28</v>
      </c>
      <c r="N2398">
        <v>1</v>
      </c>
    </row>
    <row r="2399" spans="1:14" x14ac:dyDescent="0.25">
      <c r="A2399">
        <v>3398</v>
      </c>
      <c r="B2399" s="1">
        <v>45979</v>
      </c>
      <c r="C2399" s="4">
        <f>MONTH(datos_ventas[[#This Row],[Fecha]])</f>
        <v>11</v>
      </c>
      <c r="D2399" s="4">
        <f>WEEKNUM(datos_ventas[[#This Row],[Fecha]],2)</f>
        <v>47</v>
      </c>
      <c r="E2399" t="s">
        <v>23</v>
      </c>
      <c r="F2399" t="s">
        <v>18</v>
      </c>
      <c r="G2399">
        <v>2</v>
      </c>
      <c r="H2399">
        <v>94033</v>
      </c>
      <c r="I2399">
        <v>3506</v>
      </c>
      <c r="J2399" t="s">
        <v>32</v>
      </c>
      <c r="K2399" t="str">
        <f>_xlfn.XLOOKUP(datos_ventas[[#This Row],[Ciudad]],Tabla2[Ciudades],Tabla2[Provincias],"no se encuentra")</f>
        <v>Barcelona</v>
      </c>
      <c r="L2399" t="str">
        <f>_xlfn.XLOOKUP(datos_ventas[[#This Row],[Provincia]],Tabla2[Provincias],Tabla2[Comunidades],"no se encuentra")</f>
        <v>Cataluña</v>
      </c>
      <c r="M2399" t="s">
        <v>15</v>
      </c>
      <c r="N2399">
        <v>1</v>
      </c>
    </row>
    <row r="2400" spans="1:14" x14ac:dyDescent="0.25">
      <c r="A2400">
        <v>3399</v>
      </c>
      <c r="B2400" s="1">
        <v>45797</v>
      </c>
      <c r="C2400" s="4">
        <f>MONTH(datos_ventas[[#This Row],[Fecha]])</f>
        <v>5</v>
      </c>
      <c r="D2400" s="4">
        <f>WEEKNUM(datos_ventas[[#This Row],[Fecha]],2)</f>
        <v>21</v>
      </c>
      <c r="E2400" t="s">
        <v>24</v>
      </c>
      <c r="F2400" t="s">
        <v>25</v>
      </c>
      <c r="G2400">
        <v>2</v>
      </c>
      <c r="H2400">
        <v>48519</v>
      </c>
      <c r="I2400">
        <v>1383</v>
      </c>
      <c r="J2400" t="s">
        <v>14</v>
      </c>
      <c r="K2400" t="str">
        <f>_xlfn.XLOOKUP(datos_ventas[[#This Row],[Ciudad]],Tabla2[Ciudades],Tabla2[Provincias],"no se encuentra")</f>
        <v>Madrid</v>
      </c>
      <c r="L2400" t="str">
        <f>_xlfn.XLOOKUP(datos_ventas[[#This Row],[Provincia]],Tabla2[Provincias],Tabla2[Comunidades],"no se encuentra")</f>
        <v>Comunidad de Madrid</v>
      </c>
      <c r="M2400" t="s">
        <v>13</v>
      </c>
      <c r="N2400">
        <v>5</v>
      </c>
    </row>
    <row r="2401" spans="1:14" x14ac:dyDescent="0.25">
      <c r="A2401">
        <v>3400</v>
      </c>
      <c r="B2401" s="1">
        <v>45973</v>
      </c>
      <c r="C2401" s="4">
        <f>MONTH(datos_ventas[[#This Row],[Fecha]])</f>
        <v>11</v>
      </c>
      <c r="D2401" s="4">
        <f>WEEKNUM(datos_ventas[[#This Row],[Fecha]],2)</f>
        <v>46</v>
      </c>
      <c r="E2401" t="s">
        <v>16</v>
      </c>
      <c r="F2401" t="s">
        <v>11</v>
      </c>
      <c r="G2401">
        <v>3</v>
      </c>
      <c r="H2401">
        <v>32974</v>
      </c>
      <c r="I2401">
        <v>2005</v>
      </c>
      <c r="J2401" t="s">
        <v>12</v>
      </c>
      <c r="K2401" t="str">
        <f>_xlfn.XLOOKUP(datos_ventas[[#This Row],[Ciudad]],Tabla2[Ciudades],Tabla2[Provincias],"no se encuentra")</f>
        <v>Málaga</v>
      </c>
      <c r="L2401" t="str">
        <f>_xlfn.XLOOKUP(datos_ventas[[#This Row],[Provincia]],Tabla2[Provincias],Tabla2[Comunidades],"no se encuentra")</f>
        <v>Andalucía</v>
      </c>
      <c r="M2401" t="s">
        <v>28</v>
      </c>
      <c r="N2401">
        <v>2</v>
      </c>
    </row>
    <row r="2402" spans="1:14" x14ac:dyDescent="0.25">
      <c r="A2402">
        <v>3401</v>
      </c>
      <c r="B2402" s="1">
        <v>45759</v>
      </c>
      <c r="C2402" s="4">
        <f>MONTH(datos_ventas[[#This Row],[Fecha]])</f>
        <v>4</v>
      </c>
      <c r="D2402" s="4">
        <f>WEEKNUM(datos_ventas[[#This Row],[Fecha]],2)</f>
        <v>15</v>
      </c>
      <c r="E2402" t="s">
        <v>24</v>
      </c>
      <c r="F2402" t="s">
        <v>25</v>
      </c>
      <c r="G2402">
        <v>1</v>
      </c>
      <c r="H2402">
        <v>64345</v>
      </c>
      <c r="I2402">
        <v>83</v>
      </c>
      <c r="J2402" t="s">
        <v>12</v>
      </c>
      <c r="K2402" t="str">
        <f>_xlfn.XLOOKUP(datos_ventas[[#This Row],[Ciudad]],Tabla2[Ciudades],Tabla2[Provincias],"no se encuentra")</f>
        <v>Málaga</v>
      </c>
      <c r="L2402" t="str">
        <f>_xlfn.XLOOKUP(datos_ventas[[#This Row],[Provincia]],Tabla2[Provincias],Tabla2[Comunidades],"no se encuentra")</f>
        <v>Andalucía</v>
      </c>
      <c r="M2402" t="s">
        <v>15</v>
      </c>
      <c r="N2402">
        <v>2</v>
      </c>
    </row>
    <row r="2403" spans="1:14" x14ac:dyDescent="0.25">
      <c r="A2403">
        <v>3402</v>
      </c>
      <c r="B2403" s="1">
        <v>45725</v>
      </c>
      <c r="C2403" s="4">
        <f>MONTH(datos_ventas[[#This Row],[Fecha]])</f>
        <v>3</v>
      </c>
      <c r="D2403" s="4">
        <f>WEEKNUM(datos_ventas[[#This Row],[Fecha]],2)</f>
        <v>10</v>
      </c>
      <c r="E2403" t="s">
        <v>17</v>
      </c>
      <c r="F2403" t="s">
        <v>18</v>
      </c>
      <c r="G2403">
        <v>4</v>
      </c>
      <c r="H2403">
        <v>13885</v>
      </c>
      <c r="I2403">
        <v>3018</v>
      </c>
      <c r="J2403" t="s">
        <v>12</v>
      </c>
      <c r="K2403" t="str">
        <f>_xlfn.XLOOKUP(datos_ventas[[#This Row],[Ciudad]],Tabla2[Ciudades],Tabla2[Provincias],"no se encuentra")</f>
        <v>Málaga</v>
      </c>
      <c r="L2403" t="str">
        <f>_xlfn.XLOOKUP(datos_ventas[[#This Row],[Provincia]],Tabla2[Provincias],Tabla2[Comunidades],"no se encuentra")</f>
        <v>Andalucía</v>
      </c>
      <c r="M2403" t="s">
        <v>15</v>
      </c>
      <c r="N2403">
        <v>2</v>
      </c>
    </row>
    <row r="2404" spans="1:14" x14ac:dyDescent="0.25">
      <c r="A2404">
        <v>3403</v>
      </c>
      <c r="B2404" s="1">
        <v>45879</v>
      </c>
      <c r="C2404" s="4">
        <f>MONTH(datos_ventas[[#This Row],[Fecha]])</f>
        <v>8</v>
      </c>
      <c r="D2404" s="4">
        <f>WEEKNUM(datos_ventas[[#This Row],[Fecha]],2)</f>
        <v>32</v>
      </c>
      <c r="E2404" t="s">
        <v>23</v>
      </c>
      <c r="F2404" t="s">
        <v>18</v>
      </c>
      <c r="G2404">
        <v>1</v>
      </c>
      <c r="H2404">
        <v>88553</v>
      </c>
      <c r="I2404">
        <v>945</v>
      </c>
      <c r="J2404" t="s">
        <v>32</v>
      </c>
      <c r="K2404" t="str">
        <f>_xlfn.XLOOKUP(datos_ventas[[#This Row],[Ciudad]],Tabla2[Ciudades],Tabla2[Provincias],"no se encuentra")</f>
        <v>Barcelona</v>
      </c>
      <c r="L2404" t="str">
        <f>_xlfn.XLOOKUP(datos_ventas[[#This Row],[Provincia]],Tabla2[Provincias],Tabla2[Comunidades],"no se encuentra")</f>
        <v>Cataluña</v>
      </c>
      <c r="M2404" t="s">
        <v>28</v>
      </c>
      <c r="N2404">
        <v>4</v>
      </c>
    </row>
    <row r="2405" spans="1:14" x14ac:dyDescent="0.25">
      <c r="A2405">
        <v>3404</v>
      </c>
      <c r="B2405" s="1">
        <v>45734</v>
      </c>
      <c r="C2405" s="4">
        <f>MONTH(datos_ventas[[#This Row],[Fecha]])</f>
        <v>3</v>
      </c>
      <c r="D2405" s="4">
        <f>WEEKNUM(datos_ventas[[#This Row],[Fecha]],2)</f>
        <v>12</v>
      </c>
      <c r="E2405" t="s">
        <v>20</v>
      </c>
      <c r="F2405" t="s">
        <v>21</v>
      </c>
      <c r="G2405">
        <v>4</v>
      </c>
      <c r="H2405">
        <v>98438</v>
      </c>
      <c r="I2405">
        <v>1493</v>
      </c>
      <c r="J2405" t="s">
        <v>22</v>
      </c>
      <c r="K2405" t="str">
        <f>_xlfn.XLOOKUP(datos_ventas[[#This Row],[Ciudad]],Tabla2[Ciudades],Tabla2[Provincias],"no se encuentra")</f>
        <v>Valencia</v>
      </c>
      <c r="L2405" t="str">
        <f>_xlfn.XLOOKUP(datos_ventas[[#This Row],[Provincia]],Tabla2[Provincias],Tabla2[Comunidades],"no se encuentra")</f>
        <v>Comunidad Valenciana</v>
      </c>
      <c r="M2405" t="s">
        <v>15</v>
      </c>
      <c r="N2405">
        <v>1</v>
      </c>
    </row>
    <row r="2406" spans="1:14" x14ac:dyDescent="0.25">
      <c r="A2406">
        <v>3405</v>
      </c>
      <c r="B2406" s="1">
        <v>45751</v>
      </c>
      <c r="C2406" s="4">
        <f>MONTH(datos_ventas[[#This Row],[Fecha]])</f>
        <v>4</v>
      </c>
      <c r="D2406" s="4">
        <f>WEEKNUM(datos_ventas[[#This Row],[Fecha]],2)</f>
        <v>14</v>
      </c>
      <c r="E2406" t="s">
        <v>10</v>
      </c>
      <c r="F2406" t="s">
        <v>11</v>
      </c>
      <c r="G2406">
        <v>4</v>
      </c>
      <c r="H2406">
        <v>19525</v>
      </c>
      <c r="I2406">
        <v>4361</v>
      </c>
      <c r="J2406" t="s">
        <v>22</v>
      </c>
      <c r="K2406" t="str">
        <f>_xlfn.XLOOKUP(datos_ventas[[#This Row],[Ciudad]],Tabla2[Ciudades],Tabla2[Provincias],"no se encuentra")</f>
        <v>Valencia</v>
      </c>
      <c r="L2406" t="str">
        <f>_xlfn.XLOOKUP(datos_ventas[[#This Row],[Provincia]],Tabla2[Provincias],Tabla2[Comunidades],"no se encuentra")</f>
        <v>Comunidad Valenciana</v>
      </c>
      <c r="M2406" t="s">
        <v>13</v>
      </c>
      <c r="N2406">
        <v>5</v>
      </c>
    </row>
    <row r="2407" spans="1:14" x14ac:dyDescent="0.25">
      <c r="A2407">
        <v>3406</v>
      </c>
      <c r="B2407" s="1">
        <v>46018</v>
      </c>
      <c r="C2407" s="4">
        <f>MONTH(datos_ventas[[#This Row],[Fecha]])</f>
        <v>12</v>
      </c>
      <c r="D2407" s="4">
        <f>WEEKNUM(datos_ventas[[#This Row],[Fecha]],2)</f>
        <v>52</v>
      </c>
      <c r="E2407" t="s">
        <v>16</v>
      </c>
      <c r="F2407" t="s">
        <v>11</v>
      </c>
      <c r="G2407">
        <v>3</v>
      </c>
      <c r="H2407">
        <v>3438</v>
      </c>
      <c r="I2407">
        <v>2519</v>
      </c>
      <c r="J2407" t="s">
        <v>12</v>
      </c>
      <c r="K2407" t="str">
        <f>_xlfn.XLOOKUP(datos_ventas[[#This Row],[Ciudad]],Tabla2[Ciudades],Tabla2[Provincias],"no se encuentra")</f>
        <v>Málaga</v>
      </c>
      <c r="L2407" t="str">
        <f>_xlfn.XLOOKUP(datos_ventas[[#This Row],[Provincia]],Tabla2[Provincias],Tabla2[Comunidades],"no se encuentra")</f>
        <v>Andalucía</v>
      </c>
      <c r="M2407" t="s">
        <v>15</v>
      </c>
      <c r="N2407">
        <v>4</v>
      </c>
    </row>
    <row r="2408" spans="1:14" x14ac:dyDescent="0.25">
      <c r="A2408">
        <v>3407</v>
      </c>
      <c r="B2408" s="1">
        <v>45883</v>
      </c>
      <c r="C2408" s="4">
        <f>MONTH(datos_ventas[[#This Row],[Fecha]])</f>
        <v>8</v>
      </c>
      <c r="D2408" s="4">
        <f>WEEKNUM(datos_ventas[[#This Row],[Fecha]],2)</f>
        <v>33</v>
      </c>
      <c r="E2408" t="s">
        <v>17</v>
      </c>
      <c r="F2408" t="s">
        <v>18</v>
      </c>
      <c r="G2408">
        <v>5</v>
      </c>
      <c r="H2408">
        <v>9117</v>
      </c>
      <c r="I2408">
        <v>3343</v>
      </c>
      <c r="J2408" t="s">
        <v>27</v>
      </c>
      <c r="K2408" t="str">
        <f>_xlfn.XLOOKUP(datos_ventas[[#This Row],[Ciudad]],Tabla2[Ciudades],Tabla2[Provincias],"no se encuentra")</f>
        <v>Sevilla</v>
      </c>
      <c r="L2408" t="str">
        <f>_xlfn.XLOOKUP(datos_ventas[[#This Row],[Provincia]],Tabla2[Provincias],Tabla2[Comunidades],"no se encuentra")</f>
        <v>Andalucía</v>
      </c>
      <c r="M2408" t="s">
        <v>28</v>
      </c>
      <c r="N2408">
        <v>1</v>
      </c>
    </row>
    <row r="2409" spans="1:14" x14ac:dyDescent="0.25">
      <c r="A2409">
        <v>3408</v>
      </c>
      <c r="B2409" s="1">
        <v>45674</v>
      </c>
      <c r="C2409" s="4">
        <f>MONTH(datos_ventas[[#This Row],[Fecha]])</f>
        <v>1</v>
      </c>
      <c r="D2409" s="4">
        <f>WEEKNUM(datos_ventas[[#This Row],[Fecha]],2)</f>
        <v>3</v>
      </c>
      <c r="E2409" t="s">
        <v>10</v>
      </c>
      <c r="F2409" t="s">
        <v>11</v>
      </c>
      <c r="G2409">
        <v>1</v>
      </c>
      <c r="H2409">
        <v>10528</v>
      </c>
      <c r="I2409">
        <v>719</v>
      </c>
      <c r="J2409" t="s">
        <v>14</v>
      </c>
      <c r="K2409" t="str">
        <f>_xlfn.XLOOKUP(datos_ventas[[#This Row],[Ciudad]],Tabla2[Ciudades],Tabla2[Provincias],"no se encuentra")</f>
        <v>Madrid</v>
      </c>
      <c r="L2409" t="str">
        <f>_xlfn.XLOOKUP(datos_ventas[[#This Row],[Provincia]],Tabla2[Provincias],Tabla2[Comunidades],"no se encuentra")</f>
        <v>Comunidad de Madrid</v>
      </c>
      <c r="M2409" t="s">
        <v>13</v>
      </c>
      <c r="N2409">
        <v>1</v>
      </c>
    </row>
    <row r="2410" spans="1:14" x14ac:dyDescent="0.25">
      <c r="A2410">
        <v>3409</v>
      </c>
      <c r="B2410" s="1">
        <v>45907</v>
      </c>
      <c r="C2410" s="4">
        <f>MONTH(datos_ventas[[#This Row],[Fecha]])</f>
        <v>9</v>
      </c>
      <c r="D2410" s="4">
        <f>WEEKNUM(datos_ventas[[#This Row],[Fecha]],2)</f>
        <v>36</v>
      </c>
      <c r="E2410" t="s">
        <v>29</v>
      </c>
      <c r="F2410" t="s">
        <v>30</v>
      </c>
      <c r="G2410">
        <v>1</v>
      </c>
      <c r="H2410">
        <v>64963</v>
      </c>
      <c r="I2410">
        <v>3074</v>
      </c>
      <c r="J2410" t="s">
        <v>14</v>
      </c>
      <c r="K2410" t="str">
        <f>_xlfn.XLOOKUP(datos_ventas[[#This Row],[Ciudad]],Tabla2[Ciudades],Tabla2[Provincias],"no se encuentra")</f>
        <v>Madrid</v>
      </c>
      <c r="L2410" t="str">
        <f>_xlfn.XLOOKUP(datos_ventas[[#This Row],[Provincia]],Tabla2[Provincias],Tabla2[Comunidades],"no se encuentra")</f>
        <v>Comunidad de Madrid</v>
      </c>
      <c r="M2410" t="s">
        <v>28</v>
      </c>
      <c r="N2410">
        <v>5</v>
      </c>
    </row>
    <row r="2411" spans="1:14" x14ac:dyDescent="0.25">
      <c r="A2411">
        <v>3410</v>
      </c>
      <c r="B2411" s="1">
        <v>45988</v>
      </c>
      <c r="C2411" s="4">
        <f>MONTH(datos_ventas[[#This Row],[Fecha]])</f>
        <v>11</v>
      </c>
      <c r="D2411" s="4">
        <f>WEEKNUM(datos_ventas[[#This Row],[Fecha]],2)</f>
        <v>48</v>
      </c>
      <c r="E2411" t="s">
        <v>29</v>
      </c>
      <c r="F2411" t="s">
        <v>30</v>
      </c>
      <c r="G2411">
        <v>2</v>
      </c>
      <c r="H2411">
        <v>10976</v>
      </c>
      <c r="I2411">
        <v>1566</v>
      </c>
      <c r="J2411" t="s">
        <v>22</v>
      </c>
      <c r="K2411" t="str">
        <f>_xlfn.XLOOKUP(datos_ventas[[#This Row],[Ciudad]],Tabla2[Ciudades],Tabla2[Provincias],"no se encuentra")</f>
        <v>Valencia</v>
      </c>
      <c r="L2411" t="str">
        <f>_xlfn.XLOOKUP(datos_ventas[[#This Row],[Provincia]],Tabla2[Provincias],Tabla2[Comunidades],"no se encuentra")</f>
        <v>Comunidad Valenciana</v>
      </c>
      <c r="M2411" t="s">
        <v>28</v>
      </c>
      <c r="N2411">
        <v>1</v>
      </c>
    </row>
    <row r="2412" spans="1:14" x14ac:dyDescent="0.25">
      <c r="A2412">
        <v>3411</v>
      </c>
      <c r="B2412" s="1">
        <v>45986</v>
      </c>
      <c r="C2412" s="4">
        <f>MONTH(datos_ventas[[#This Row],[Fecha]])</f>
        <v>11</v>
      </c>
      <c r="D2412" s="4">
        <f>WEEKNUM(datos_ventas[[#This Row],[Fecha]],2)</f>
        <v>48</v>
      </c>
      <c r="E2412" t="s">
        <v>24</v>
      </c>
      <c r="F2412" t="s">
        <v>25</v>
      </c>
      <c r="G2412">
        <v>3</v>
      </c>
      <c r="H2412">
        <v>109227</v>
      </c>
      <c r="I2412">
        <v>1982</v>
      </c>
      <c r="J2412" t="s">
        <v>31</v>
      </c>
      <c r="K2412" t="str">
        <f>_xlfn.XLOOKUP(datos_ventas[[#This Row],[Ciudad]],Tabla2[Ciudades],Tabla2[Provincias],"no se encuentra")</f>
        <v>Vizcaya</v>
      </c>
      <c r="L2412" t="str">
        <f>_xlfn.XLOOKUP(datos_ventas[[#This Row],[Provincia]],Tabla2[Provincias],Tabla2[Comunidades],"no se encuentra")</f>
        <v>País Vasco</v>
      </c>
      <c r="M2412" t="s">
        <v>15</v>
      </c>
      <c r="N2412">
        <v>2</v>
      </c>
    </row>
    <row r="2413" spans="1:14" x14ac:dyDescent="0.25">
      <c r="A2413">
        <v>3412</v>
      </c>
      <c r="B2413" s="1">
        <v>45775</v>
      </c>
      <c r="C2413" s="4">
        <f>MONTH(datos_ventas[[#This Row],[Fecha]])</f>
        <v>4</v>
      </c>
      <c r="D2413" s="4">
        <f>WEEKNUM(datos_ventas[[#This Row],[Fecha]],2)</f>
        <v>18</v>
      </c>
      <c r="E2413" t="s">
        <v>24</v>
      </c>
      <c r="F2413" t="s">
        <v>25</v>
      </c>
      <c r="G2413">
        <v>5</v>
      </c>
      <c r="H2413">
        <v>49231</v>
      </c>
      <c r="I2413">
        <v>551</v>
      </c>
      <c r="J2413" t="s">
        <v>12</v>
      </c>
      <c r="K2413" t="str">
        <f>_xlfn.XLOOKUP(datos_ventas[[#This Row],[Ciudad]],Tabla2[Ciudades],Tabla2[Provincias],"no se encuentra")</f>
        <v>Málaga</v>
      </c>
      <c r="L2413" t="str">
        <f>_xlfn.XLOOKUP(datos_ventas[[#This Row],[Provincia]],Tabla2[Provincias],Tabla2[Comunidades],"no se encuentra")</f>
        <v>Andalucía</v>
      </c>
      <c r="M2413" t="s">
        <v>28</v>
      </c>
      <c r="N2413">
        <v>2</v>
      </c>
    </row>
    <row r="2414" spans="1:14" x14ac:dyDescent="0.25">
      <c r="A2414">
        <v>3413</v>
      </c>
      <c r="B2414" s="1">
        <v>45897</v>
      </c>
      <c r="C2414" s="4">
        <f>MONTH(datos_ventas[[#This Row],[Fecha]])</f>
        <v>8</v>
      </c>
      <c r="D2414" s="4">
        <f>WEEKNUM(datos_ventas[[#This Row],[Fecha]],2)</f>
        <v>35</v>
      </c>
      <c r="E2414" t="s">
        <v>16</v>
      </c>
      <c r="F2414" t="s">
        <v>11</v>
      </c>
      <c r="G2414">
        <v>3</v>
      </c>
      <c r="H2414">
        <v>101222</v>
      </c>
      <c r="I2414">
        <v>190</v>
      </c>
      <c r="J2414" t="s">
        <v>22</v>
      </c>
      <c r="K2414" t="str">
        <f>_xlfn.XLOOKUP(datos_ventas[[#This Row],[Ciudad]],Tabla2[Ciudades],Tabla2[Provincias],"no se encuentra")</f>
        <v>Valencia</v>
      </c>
      <c r="L2414" t="str">
        <f>_xlfn.XLOOKUP(datos_ventas[[#This Row],[Provincia]],Tabla2[Provincias],Tabla2[Comunidades],"no se encuentra")</f>
        <v>Comunidad Valenciana</v>
      </c>
      <c r="M2414" t="s">
        <v>13</v>
      </c>
      <c r="N2414">
        <v>3</v>
      </c>
    </row>
    <row r="2415" spans="1:14" x14ac:dyDescent="0.25">
      <c r="A2415">
        <v>3414</v>
      </c>
      <c r="B2415" s="1">
        <v>45907</v>
      </c>
      <c r="C2415" s="4">
        <f>MONTH(datos_ventas[[#This Row],[Fecha]])</f>
        <v>9</v>
      </c>
      <c r="D2415" s="4">
        <f>WEEKNUM(datos_ventas[[#This Row],[Fecha]],2)</f>
        <v>36</v>
      </c>
      <c r="E2415" t="s">
        <v>17</v>
      </c>
      <c r="F2415" t="s">
        <v>18</v>
      </c>
      <c r="G2415">
        <v>3</v>
      </c>
      <c r="H2415">
        <v>32848</v>
      </c>
      <c r="I2415">
        <v>1604</v>
      </c>
      <c r="J2415" t="s">
        <v>32</v>
      </c>
      <c r="K2415" t="str">
        <f>_xlfn.XLOOKUP(datos_ventas[[#This Row],[Ciudad]],Tabla2[Ciudades],Tabla2[Provincias],"no se encuentra")</f>
        <v>Barcelona</v>
      </c>
      <c r="L2415" t="str">
        <f>_xlfn.XLOOKUP(datos_ventas[[#This Row],[Provincia]],Tabla2[Provincias],Tabla2[Comunidades],"no se encuentra")</f>
        <v>Cataluña</v>
      </c>
      <c r="M2415" t="s">
        <v>13</v>
      </c>
      <c r="N2415">
        <v>3</v>
      </c>
    </row>
    <row r="2416" spans="1:14" x14ac:dyDescent="0.25">
      <c r="A2416">
        <v>3415</v>
      </c>
      <c r="B2416" s="1">
        <v>45931</v>
      </c>
      <c r="C2416" s="4">
        <f>MONTH(datos_ventas[[#This Row],[Fecha]])</f>
        <v>10</v>
      </c>
      <c r="D2416" s="4">
        <f>WEEKNUM(datos_ventas[[#This Row],[Fecha]],2)</f>
        <v>40</v>
      </c>
      <c r="E2416" t="s">
        <v>10</v>
      </c>
      <c r="F2416" t="s">
        <v>11</v>
      </c>
      <c r="G2416">
        <v>3</v>
      </c>
      <c r="H2416">
        <v>18619</v>
      </c>
      <c r="I2416">
        <v>3476</v>
      </c>
      <c r="J2416" t="s">
        <v>27</v>
      </c>
      <c r="K2416" t="str">
        <f>_xlfn.XLOOKUP(datos_ventas[[#This Row],[Ciudad]],Tabla2[Ciudades],Tabla2[Provincias],"no se encuentra")</f>
        <v>Sevilla</v>
      </c>
      <c r="L2416" t="str">
        <f>_xlfn.XLOOKUP(datos_ventas[[#This Row],[Provincia]],Tabla2[Provincias],Tabla2[Comunidades],"no se encuentra")</f>
        <v>Andalucía</v>
      </c>
      <c r="M2416" t="s">
        <v>13</v>
      </c>
      <c r="N2416">
        <v>3</v>
      </c>
    </row>
    <row r="2417" spans="1:14" x14ac:dyDescent="0.25">
      <c r="A2417">
        <v>3416</v>
      </c>
      <c r="B2417" s="1">
        <v>45838</v>
      </c>
      <c r="C2417" s="4">
        <f>MONTH(datos_ventas[[#This Row],[Fecha]])</f>
        <v>6</v>
      </c>
      <c r="D2417" s="4">
        <f>WEEKNUM(datos_ventas[[#This Row],[Fecha]],2)</f>
        <v>27</v>
      </c>
      <c r="E2417" t="s">
        <v>16</v>
      </c>
      <c r="F2417" t="s">
        <v>11</v>
      </c>
      <c r="G2417">
        <v>5</v>
      </c>
      <c r="H2417">
        <v>34662</v>
      </c>
      <c r="I2417">
        <v>3795</v>
      </c>
      <c r="J2417" t="s">
        <v>27</v>
      </c>
      <c r="K2417" t="str">
        <f>_xlfn.XLOOKUP(datos_ventas[[#This Row],[Ciudad]],Tabla2[Ciudades],Tabla2[Provincias],"no se encuentra")</f>
        <v>Sevilla</v>
      </c>
      <c r="L2417" t="str">
        <f>_xlfn.XLOOKUP(datos_ventas[[#This Row],[Provincia]],Tabla2[Provincias],Tabla2[Comunidades],"no se encuentra")</f>
        <v>Andalucía</v>
      </c>
      <c r="M2417" t="s">
        <v>15</v>
      </c>
      <c r="N2417">
        <v>5</v>
      </c>
    </row>
    <row r="2418" spans="1:14" x14ac:dyDescent="0.25">
      <c r="A2418">
        <v>3417</v>
      </c>
      <c r="B2418" s="1">
        <v>45694</v>
      </c>
      <c r="C2418" s="4">
        <f>MONTH(datos_ventas[[#This Row],[Fecha]])</f>
        <v>2</v>
      </c>
      <c r="D2418" s="4">
        <f>WEEKNUM(datos_ventas[[#This Row],[Fecha]],2)</f>
        <v>6</v>
      </c>
      <c r="E2418" t="s">
        <v>23</v>
      </c>
      <c r="F2418" t="s">
        <v>18</v>
      </c>
      <c r="G2418">
        <v>3</v>
      </c>
      <c r="H2418">
        <v>50229</v>
      </c>
      <c r="I2418">
        <v>2157</v>
      </c>
      <c r="J2418" t="s">
        <v>14</v>
      </c>
      <c r="K2418" t="str">
        <f>_xlfn.XLOOKUP(datos_ventas[[#This Row],[Ciudad]],Tabla2[Ciudades],Tabla2[Provincias],"no se encuentra")</f>
        <v>Madrid</v>
      </c>
      <c r="L2418" t="str">
        <f>_xlfn.XLOOKUP(datos_ventas[[#This Row],[Provincia]],Tabla2[Provincias],Tabla2[Comunidades],"no se encuentra")</f>
        <v>Comunidad de Madrid</v>
      </c>
      <c r="M2418" t="s">
        <v>15</v>
      </c>
      <c r="N2418">
        <v>4</v>
      </c>
    </row>
    <row r="2419" spans="1:14" x14ac:dyDescent="0.25">
      <c r="A2419">
        <v>3418</v>
      </c>
      <c r="B2419" s="1">
        <v>45768</v>
      </c>
      <c r="C2419" s="4">
        <f>MONTH(datos_ventas[[#This Row],[Fecha]])</f>
        <v>4</v>
      </c>
      <c r="D2419" s="4">
        <f>WEEKNUM(datos_ventas[[#This Row],[Fecha]],2)</f>
        <v>17</v>
      </c>
      <c r="E2419" t="s">
        <v>24</v>
      </c>
      <c r="F2419" t="s">
        <v>25</v>
      </c>
      <c r="G2419">
        <v>3</v>
      </c>
      <c r="H2419">
        <v>34959</v>
      </c>
      <c r="I2419">
        <v>3007</v>
      </c>
      <c r="J2419" t="s">
        <v>27</v>
      </c>
      <c r="K2419" t="str">
        <f>_xlfn.XLOOKUP(datos_ventas[[#This Row],[Ciudad]],Tabla2[Ciudades],Tabla2[Provincias],"no se encuentra")</f>
        <v>Sevilla</v>
      </c>
      <c r="L2419" t="str">
        <f>_xlfn.XLOOKUP(datos_ventas[[#This Row],[Provincia]],Tabla2[Provincias],Tabla2[Comunidades],"no se encuentra")</f>
        <v>Andalucía</v>
      </c>
      <c r="M2419" t="s">
        <v>28</v>
      </c>
      <c r="N2419">
        <v>1</v>
      </c>
    </row>
    <row r="2420" spans="1:14" x14ac:dyDescent="0.25">
      <c r="A2420">
        <v>3419</v>
      </c>
      <c r="B2420" s="1">
        <v>45998</v>
      </c>
      <c r="C2420" s="4">
        <f>MONTH(datos_ventas[[#This Row],[Fecha]])</f>
        <v>12</v>
      </c>
      <c r="D2420" s="4">
        <f>WEEKNUM(datos_ventas[[#This Row],[Fecha]],2)</f>
        <v>49</v>
      </c>
      <c r="E2420" t="s">
        <v>20</v>
      </c>
      <c r="F2420" t="s">
        <v>21</v>
      </c>
      <c r="G2420">
        <v>2</v>
      </c>
      <c r="H2420">
        <v>119494</v>
      </c>
      <c r="I2420">
        <v>2551</v>
      </c>
      <c r="J2420" t="s">
        <v>32</v>
      </c>
      <c r="K2420" t="str">
        <f>_xlfn.XLOOKUP(datos_ventas[[#This Row],[Ciudad]],Tabla2[Ciudades],Tabla2[Provincias],"no se encuentra")</f>
        <v>Barcelona</v>
      </c>
      <c r="L2420" t="str">
        <f>_xlfn.XLOOKUP(datos_ventas[[#This Row],[Provincia]],Tabla2[Provincias],Tabla2[Comunidades],"no se encuentra")</f>
        <v>Cataluña</v>
      </c>
      <c r="M2420" t="s">
        <v>28</v>
      </c>
      <c r="N2420">
        <v>3</v>
      </c>
    </row>
    <row r="2421" spans="1:14" x14ac:dyDescent="0.25">
      <c r="A2421">
        <v>3420</v>
      </c>
      <c r="B2421" s="1">
        <v>45885</v>
      </c>
      <c r="C2421" s="4">
        <f>MONTH(datos_ventas[[#This Row],[Fecha]])</f>
        <v>8</v>
      </c>
      <c r="D2421" s="4">
        <f>WEEKNUM(datos_ventas[[#This Row],[Fecha]],2)</f>
        <v>33</v>
      </c>
      <c r="E2421" t="s">
        <v>16</v>
      </c>
      <c r="F2421" t="s">
        <v>11</v>
      </c>
      <c r="G2421">
        <v>5</v>
      </c>
      <c r="H2421">
        <v>31559</v>
      </c>
      <c r="I2421">
        <v>3708</v>
      </c>
      <c r="J2421" t="s">
        <v>32</v>
      </c>
      <c r="K2421" t="str">
        <f>_xlfn.XLOOKUP(datos_ventas[[#This Row],[Ciudad]],Tabla2[Ciudades],Tabla2[Provincias],"no se encuentra")</f>
        <v>Barcelona</v>
      </c>
      <c r="L2421" t="str">
        <f>_xlfn.XLOOKUP(datos_ventas[[#This Row],[Provincia]],Tabla2[Provincias],Tabla2[Comunidades],"no se encuentra")</f>
        <v>Cataluña</v>
      </c>
      <c r="M2421" t="s">
        <v>13</v>
      </c>
      <c r="N2421">
        <v>3</v>
      </c>
    </row>
    <row r="2422" spans="1:14" x14ac:dyDescent="0.25">
      <c r="A2422">
        <v>3421</v>
      </c>
      <c r="B2422" s="1">
        <v>45858</v>
      </c>
      <c r="C2422" s="4">
        <f>MONTH(datos_ventas[[#This Row],[Fecha]])</f>
        <v>7</v>
      </c>
      <c r="D2422" s="4">
        <f>WEEKNUM(datos_ventas[[#This Row],[Fecha]],2)</f>
        <v>29</v>
      </c>
      <c r="E2422" t="s">
        <v>17</v>
      </c>
      <c r="F2422" t="s">
        <v>18</v>
      </c>
      <c r="G2422">
        <v>1</v>
      </c>
      <c r="H2422">
        <v>13123</v>
      </c>
      <c r="I2422">
        <v>2557</v>
      </c>
      <c r="J2422" t="s">
        <v>27</v>
      </c>
      <c r="K2422" t="str">
        <f>_xlfn.XLOOKUP(datos_ventas[[#This Row],[Ciudad]],Tabla2[Ciudades],Tabla2[Provincias],"no se encuentra")</f>
        <v>Sevilla</v>
      </c>
      <c r="L2422" t="str">
        <f>_xlfn.XLOOKUP(datos_ventas[[#This Row],[Provincia]],Tabla2[Provincias],Tabla2[Comunidades],"no se encuentra")</f>
        <v>Andalucía</v>
      </c>
      <c r="M2422" t="s">
        <v>19</v>
      </c>
      <c r="N2422">
        <v>3</v>
      </c>
    </row>
    <row r="2423" spans="1:14" x14ac:dyDescent="0.25">
      <c r="A2423">
        <v>3422</v>
      </c>
      <c r="B2423" s="1">
        <v>46004</v>
      </c>
      <c r="C2423" s="4">
        <f>MONTH(datos_ventas[[#This Row],[Fecha]])</f>
        <v>12</v>
      </c>
      <c r="D2423" s="4">
        <f>WEEKNUM(datos_ventas[[#This Row],[Fecha]],2)</f>
        <v>50</v>
      </c>
      <c r="E2423" t="s">
        <v>16</v>
      </c>
      <c r="F2423" t="s">
        <v>11</v>
      </c>
      <c r="G2423">
        <v>4</v>
      </c>
      <c r="H2423">
        <v>116424</v>
      </c>
      <c r="I2423">
        <v>3045</v>
      </c>
      <c r="J2423" t="s">
        <v>12</v>
      </c>
      <c r="K2423" t="str">
        <f>_xlfn.XLOOKUP(datos_ventas[[#This Row],[Ciudad]],Tabla2[Ciudades],Tabla2[Provincias],"no se encuentra")</f>
        <v>Málaga</v>
      </c>
      <c r="L2423" t="str">
        <f>_xlfn.XLOOKUP(datos_ventas[[#This Row],[Provincia]],Tabla2[Provincias],Tabla2[Comunidades],"no se encuentra")</f>
        <v>Andalucía</v>
      </c>
      <c r="M2423" t="s">
        <v>13</v>
      </c>
      <c r="N2423">
        <v>1</v>
      </c>
    </row>
    <row r="2424" spans="1:14" x14ac:dyDescent="0.25">
      <c r="A2424">
        <v>3423</v>
      </c>
      <c r="B2424" s="1">
        <v>45709</v>
      </c>
      <c r="C2424" s="4">
        <f>MONTH(datos_ventas[[#This Row],[Fecha]])</f>
        <v>2</v>
      </c>
      <c r="D2424" s="4">
        <f>WEEKNUM(datos_ventas[[#This Row],[Fecha]],2)</f>
        <v>8</v>
      </c>
      <c r="E2424" t="s">
        <v>24</v>
      </c>
      <c r="F2424" t="s">
        <v>25</v>
      </c>
      <c r="G2424">
        <v>1</v>
      </c>
      <c r="H2424">
        <v>117731</v>
      </c>
      <c r="I2424">
        <v>545</v>
      </c>
      <c r="J2424" t="s">
        <v>14</v>
      </c>
      <c r="K2424" t="str">
        <f>_xlfn.XLOOKUP(datos_ventas[[#This Row],[Ciudad]],Tabla2[Ciudades],Tabla2[Provincias],"no se encuentra")</f>
        <v>Madrid</v>
      </c>
      <c r="L2424" t="str">
        <f>_xlfn.XLOOKUP(datos_ventas[[#This Row],[Provincia]],Tabla2[Provincias],Tabla2[Comunidades],"no se encuentra")</f>
        <v>Comunidad de Madrid</v>
      </c>
      <c r="M2424" t="s">
        <v>19</v>
      </c>
      <c r="N2424">
        <v>1</v>
      </c>
    </row>
    <row r="2425" spans="1:14" x14ac:dyDescent="0.25">
      <c r="A2425">
        <v>3424</v>
      </c>
      <c r="B2425" s="1">
        <v>45744</v>
      </c>
      <c r="C2425" s="4">
        <f>MONTH(datos_ventas[[#This Row],[Fecha]])</f>
        <v>3</v>
      </c>
      <c r="D2425" s="4">
        <f>WEEKNUM(datos_ventas[[#This Row],[Fecha]],2)</f>
        <v>13</v>
      </c>
      <c r="E2425" t="s">
        <v>26</v>
      </c>
      <c r="F2425" t="s">
        <v>18</v>
      </c>
      <c r="G2425">
        <v>4</v>
      </c>
      <c r="H2425">
        <v>14381</v>
      </c>
      <c r="I2425">
        <v>1646</v>
      </c>
      <c r="J2425" t="s">
        <v>31</v>
      </c>
      <c r="K2425" t="str">
        <f>_xlfn.XLOOKUP(datos_ventas[[#This Row],[Ciudad]],Tabla2[Ciudades],Tabla2[Provincias],"no se encuentra")</f>
        <v>Vizcaya</v>
      </c>
      <c r="L2425" t="str">
        <f>_xlfn.XLOOKUP(datos_ventas[[#This Row],[Provincia]],Tabla2[Provincias],Tabla2[Comunidades],"no se encuentra")</f>
        <v>País Vasco</v>
      </c>
      <c r="M2425" t="s">
        <v>28</v>
      </c>
      <c r="N2425">
        <v>4</v>
      </c>
    </row>
    <row r="2426" spans="1:14" x14ac:dyDescent="0.25">
      <c r="A2426">
        <v>3425</v>
      </c>
      <c r="B2426" s="1">
        <v>45699</v>
      </c>
      <c r="C2426" s="4">
        <f>MONTH(datos_ventas[[#This Row],[Fecha]])</f>
        <v>2</v>
      </c>
      <c r="D2426" s="4">
        <f>WEEKNUM(datos_ventas[[#This Row],[Fecha]],2)</f>
        <v>7</v>
      </c>
      <c r="E2426" t="s">
        <v>20</v>
      </c>
      <c r="F2426" t="s">
        <v>21</v>
      </c>
      <c r="G2426">
        <v>4</v>
      </c>
      <c r="H2426">
        <v>95178</v>
      </c>
      <c r="I2426">
        <v>2943</v>
      </c>
      <c r="J2426" t="s">
        <v>31</v>
      </c>
      <c r="K2426" t="str">
        <f>_xlfn.XLOOKUP(datos_ventas[[#This Row],[Ciudad]],Tabla2[Ciudades],Tabla2[Provincias],"no se encuentra")</f>
        <v>Vizcaya</v>
      </c>
      <c r="L2426" t="str">
        <f>_xlfn.XLOOKUP(datos_ventas[[#This Row],[Provincia]],Tabla2[Provincias],Tabla2[Comunidades],"no se encuentra")</f>
        <v>País Vasco</v>
      </c>
      <c r="M2426" t="s">
        <v>28</v>
      </c>
      <c r="N2426">
        <v>5</v>
      </c>
    </row>
    <row r="2427" spans="1:14" x14ac:dyDescent="0.25">
      <c r="A2427">
        <v>3426</v>
      </c>
      <c r="B2427" s="1">
        <v>45714</v>
      </c>
      <c r="C2427" s="4">
        <f>MONTH(datos_ventas[[#This Row],[Fecha]])</f>
        <v>2</v>
      </c>
      <c r="D2427" s="4">
        <f>WEEKNUM(datos_ventas[[#This Row],[Fecha]],2)</f>
        <v>9</v>
      </c>
      <c r="E2427" t="s">
        <v>20</v>
      </c>
      <c r="F2427" t="s">
        <v>21</v>
      </c>
      <c r="G2427">
        <v>3</v>
      </c>
      <c r="H2427">
        <v>110676</v>
      </c>
      <c r="I2427">
        <v>1322</v>
      </c>
      <c r="J2427" t="s">
        <v>27</v>
      </c>
      <c r="K2427" t="str">
        <f>_xlfn.XLOOKUP(datos_ventas[[#This Row],[Ciudad]],Tabla2[Ciudades],Tabla2[Provincias],"no se encuentra")</f>
        <v>Sevilla</v>
      </c>
      <c r="L2427" t="str">
        <f>_xlfn.XLOOKUP(datos_ventas[[#This Row],[Provincia]],Tabla2[Provincias],Tabla2[Comunidades],"no se encuentra")</f>
        <v>Andalucía</v>
      </c>
      <c r="M2427" t="s">
        <v>28</v>
      </c>
      <c r="N2427">
        <v>2</v>
      </c>
    </row>
    <row r="2428" spans="1:14" x14ac:dyDescent="0.25">
      <c r="A2428">
        <v>3427</v>
      </c>
      <c r="B2428" s="1">
        <v>45871</v>
      </c>
      <c r="C2428" s="4">
        <f>MONTH(datos_ventas[[#This Row],[Fecha]])</f>
        <v>8</v>
      </c>
      <c r="D2428" s="4">
        <f>WEEKNUM(datos_ventas[[#This Row],[Fecha]],2)</f>
        <v>31</v>
      </c>
      <c r="E2428" t="s">
        <v>20</v>
      </c>
      <c r="F2428" t="s">
        <v>21</v>
      </c>
      <c r="G2428">
        <v>4</v>
      </c>
      <c r="H2428">
        <v>36642</v>
      </c>
      <c r="I2428">
        <v>3513</v>
      </c>
      <c r="J2428" t="s">
        <v>32</v>
      </c>
      <c r="K2428" t="str">
        <f>_xlfn.XLOOKUP(datos_ventas[[#This Row],[Ciudad]],Tabla2[Ciudades],Tabla2[Provincias],"no se encuentra")</f>
        <v>Barcelona</v>
      </c>
      <c r="L2428" t="str">
        <f>_xlfn.XLOOKUP(datos_ventas[[#This Row],[Provincia]],Tabla2[Provincias],Tabla2[Comunidades],"no se encuentra")</f>
        <v>Cataluña</v>
      </c>
      <c r="M2428" t="s">
        <v>13</v>
      </c>
      <c r="N2428">
        <v>5</v>
      </c>
    </row>
    <row r="2429" spans="1:14" x14ac:dyDescent="0.25">
      <c r="A2429">
        <v>3428</v>
      </c>
      <c r="B2429" s="1">
        <v>45757</v>
      </c>
      <c r="C2429" s="4">
        <f>MONTH(datos_ventas[[#This Row],[Fecha]])</f>
        <v>4</v>
      </c>
      <c r="D2429" s="4">
        <f>WEEKNUM(datos_ventas[[#This Row],[Fecha]],2)</f>
        <v>15</v>
      </c>
      <c r="E2429" t="s">
        <v>20</v>
      </c>
      <c r="F2429" t="s">
        <v>21</v>
      </c>
      <c r="G2429">
        <v>1</v>
      </c>
      <c r="H2429">
        <v>41785</v>
      </c>
      <c r="I2429">
        <v>1355</v>
      </c>
      <c r="J2429" t="s">
        <v>32</v>
      </c>
      <c r="K2429" t="str">
        <f>_xlfn.XLOOKUP(datos_ventas[[#This Row],[Ciudad]],Tabla2[Ciudades],Tabla2[Provincias],"no se encuentra")</f>
        <v>Barcelona</v>
      </c>
      <c r="L2429" t="str">
        <f>_xlfn.XLOOKUP(datos_ventas[[#This Row],[Provincia]],Tabla2[Provincias],Tabla2[Comunidades],"no se encuentra")</f>
        <v>Cataluña</v>
      </c>
      <c r="M2429" t="s">
        <v>15</v>
      </c>
      <c r="N2429">
        <v>5</v>
      </c>
    </row>
    <row r="2430" spans="1:14" x14ac:dyDescent="0.25">
      <c r="A2430">
        <v>3429</v>
      </c>
      <c r="B2430" s="1">
        <v>45829</v>
      </c>
      <c r="C2430" s="4">
        <f>MONTH(datos_ventas[[#This Row],[Fecha]])</f>
        <v>6</v>
      </c>
      <c r="D2430" s="4">
        <f>WEEKNUM(datos_ventas[[#This Row],[Fecha]],2)</f>
        <v>25</v>
      </c>
      <c r="E2430" t="s">
        <v>23</v>
      </c>
      <c r="F2430" t="s">
        <v>18</v>
      </c>
      <c r="G2430">
        <v>4</v>
      </c>
      <c r="H2430">
        <v>95946</v>
      </c>
      <c r="I2430">
        <v>3842</v>
      </c>
      <c r="J2430" t="s">
        <v>14</v>
      </c>
      <c r="K2430" t="str">
        <f>_xlfn.XLOOKUP(datos_ventas[[#This Row],[Ciudad]],Tabla2[Ciudades],Tabla2[Provincias],"no se encuentra")</f>
        <v>Madrid</v>
      </c>
      <c r="L2430" t="str">
        <f>_xlfn.XLOOKUP(datos_ventas[[#This Row],[Provincia]],Tabla2[Provincias],Tabla2[Comunidades],"no se encuentra")</f>
        <v>Comunidad de Madrid</v>
      </c>
      <c r="M2430" t="s">
        <v>19</v>
      </c>
      <c r="N2430">
        <v>1</v>
      </c>
    </row>
    <row r="2431" spans="1:14" x14ac:dyDescent="0.25">
      <c r="A2431">
        <v>3430</v>
      </c>
      <c r="B2431" s="1">
        <v>45978</v>
      </c>
      <c r="C2431" s="4">
        <f>MONTH(datos_ventas[[#This Row],[Fecha]])</f>
        <v>11</v>
      </c>
      <c r="D2431" s="4">
        <f>WEEKNUM(datos_ventas[[#This Row],[Fecha]],2)</f>
        <v>47</v>
      </c>
      <c r="E2431" t="s">
        <v>17</v>
      </c>
      <c r="F2431" t="s">
        <v>18</v>
      </c>
      <c r="G2431">
        <v>3</v>
      </c>
      <c r="H2431">
        <v>51633</v>
      </c>
      <c r="I2431">
        <v>1017</v>
      </c>
      <c r="J2431" t="s">
        <v>12</v>
      </c>
      <c r="K2431" t="str">
        <f>_xlfn.XLOOKUP(datos_ventas[[#This Row],[Ciudad]],Tabla2[Ciudades],Tabla2[Provincias],"no se encuentra")</f>
        <v>Málaga</v>
      </c>
      <c r="L2431" t="str">
        <f>_xlfn.XLOOKUP(datos_ventas[[#This Row],[Provincia]],Tabla2[Provincias],Tabla2[Comunidades],"no se encuentra")</f>
        <v>Andalucía</v>
      </c>
      <c r="M2431" t="s">
        <v>19</v>
      </c>
      <c r="N2431">
        <v>5</v>
      </c>
    </row>
    <row r="2432" spans="1:14" x14ac:dyDescent="0.25">
      <c r="A2432">
        <v>3431</v>
      </c>
      <c r="B2432" s="1">
        <v>45890</v>
      </c>
      <c r="C2432" s="4">
        <f>MONTH(datos_ventas[[#This Row],[Fecha]])</f>
        <v>8</v>
      </c>
      <c r="D2432" s="4">
        <f>WEEKNUM(datos_ventas[[#This Row],[Fecha]],2)</f>
        <v>34</v>
      </c>
      <c r="E2432" t="s">
        <v>23</v>
      </c>
      <c r="F2432" t="s">
        <v>18</v>
      </c>
      <c r="G2432">
        <v>2</v>
      </c>
      <c r="H2432">
        <v>52313</v>
      </c>
      <c r="I2432">
        <v>3147</v>
      </c>
      <c r="J2432" t="s">
        <v>14</v>
      </c>
      <c r="K2432" t="str">
        <f>_xlfn.XLOOKUP(datos_ventas[[#This Row],[Ciudad]],Tabla2[Ciudades],Tabla2[Provincias],"no se encuentra")</f>
        <v>Madrid</v>
      </c>
      <c r="L2432" t="str">
        <f>_xlfn.XLOOKUP(datos_ventas[[#This Row],[Provincia]],Tabla2[Provincias],Tabla2[Comunidades],"no se encuentra")</f>
        <v>Comunidad de Madrid</v>
      </c>
      <c r="M2432" t="s">
        <v>19</v>
      </c>
      <c r="N2432">
        <v>5</v>
      </c>
    </row>
    <row r="2433" spans="1:14" x14ac:dyDescent="0.25">
      <c r="A2433">
        <v>3432</v>
      </c>
      <c r="B2433" s="1">
        <v>45730</v>
      </c>
      <c r="C2433" s="4">
        <f>MONTH(datos_ventas[[#This Row],[Fecha]])</f>
        <v>3</v>
      </c>
      <c r="D2433" s="4">
        <f>WEEKNUM(datos_ventas[[#This Row],[Fecha]],2)</f>
        <v>11</v>
      </c>
      <c r="E2433" t="s">
        <v>20</v>
      </c>
      <c r="F2433" t="s">
        <v>21</v>
      </c>
      <c r="G2433">
        <v>4</v>
      </c>
      <c r="H2433">
        <v>78219</v>
      </c>
      <c r="I2433">
        <v>1839</v>
      </c>
      <c r="J2433" t="s">
        <v>27</v>
      </c>
      <c r="K2433" t="str">
        <f>_xlfn.XLOOKUP(datos_ventas[[#This Row],[Ciudad]],Tabla2[Ciudades],Tabla2[Provincias],"no se encuentra")</f>
        <v>Sevilla</v>
      </c>
      <c r="L2433" t="str">
        <f>_xlfn.XLOOKUP(datos_ventas[[#This Row],[Provincia]],Tabla2[Provincias],Tabla2[Comunidades],"no se encuentra")</f>
        <v>Andalucía</v>
      </c>
      <c r="M2433" t="s">
        <v>19</v>
      </c>
      <c r="N2433">
        <v>1</v>
      </c>
    </row>
    <row r="2434" spans="1:14" x14ac:dyDescent="0.25">
      <c r="A2434">
        <v>3433</v>
      </c>
      <c r="B2434" s="1">
        <v>45951</v>
      </c>
      <c r="C2434" s="4">
        <f>MONTH(datos_ventas[[#This Row],[Fecha]])</f>
        <v>10</v>
      </c>
      <c r="D2434" s="4">
        <f>WEEKNUM(datos_ventas[[#This Row],[Fecha]],2)</f>
        <v>43</v>
      </c>
      <c r="E2434" t="s">
        <v>17</v>
      </c>
      <c r="F2434" t="s">
        <v>18</v>
      </c>
      <c r="G2434">
        <v>3</v>
      </c>
      <c r="H2434">
        <v>60389</v>
      </c>
      <c r="I2434">
        <v>2562</v>
      </c>
      <c r="J2434" t="s">
        <v>22</v>
      </c>
      <c r="K2434" t="str">
        <f>_xlfn.XLOOKUP(datos_ventas[[#This Row],[Ciudad]],Tabla2[Ciudades],Tabla2[Provincias],"no se encuentra")</f>
        <v>Valencia</v>
      </c>
      <c r="L2434" t="str">
        <f>_xlfn.XLOOKUP(datos_ventas[[#This Row],[Provincia]],Tabla2[Provincias],Tabla2[Comunidades],"no se encuentra")</f>
        <v>Comunidad Valenciana</v>
      </c>
      <c r="M2434" t="s">
        <v>15</v>
      </c>
      <c r="N2434">
        <v>5</v>
      </c>
    </row>
    <row r="2435" spans="1:14" x14ac:dyDescent="0.25">
      <c r="A2435">
        <v>3434</v>
      </c>
      <c r="B2435" s="1">
        <v>45856</v>
      </c>
      <c r="C2435" s="4">
        <f>MONTH(datos_ventas[[#This Row],[Fecha]])</f>
        <v>7</v>
      </c>
      <c r="D2435" s="4">
        <f>WEEKNUM(datos_ventas[[#This Row],[Fecha]],2)</f>
        <v>29</v>
      </c>
      <c r="E2435" t="s">
        <v>20</v>
      </c>
      <c r="F2435" t="s">
        <v>21</v>
      </c>
      <c r="G2435">
        <v>4</v>
      </c>
      <c r="H2435">
        <v>32086</v>
      </c>
      <c r="I2435">
        <v>1922</v>
      </c>
      <c r="J2435" t="s">
        <v>22</v>
      </c>
      <c r="K2435" t="str">
        <f>_xlfn.XLOOKUP(datos_ventas[[#This Row],[Ciudad]],Tabla2[Ciudades],Tabla2[Provincias],"no se encuentra")</f>
        <v>Valencia</v>
      </c>
      <c r="L2435" t="str">
        <f>_xlfn.XLOOKUP(datos_ventas[[#This Row],[Provincia]],Tabla2[Provincias],Tabla2[Comunidades],"no se encuentra")</f>
        <v>Comunidad Valenciana</v>
      </c>
      <c r="M2435" t="s">
        <v>28</v>
      </c>
      <c r="N2435">
        <v>4</v>
      </c>
    </row>
    <row r="2436" spans="1:14" x14ac:dyDescent="0.25">
      <c r="A2436">
        <v>3435</v>
      </c>
      <c r="B2436" s="1">
        <v>45910</v>
      </c>
      <c r="C2436" s="4">
        <f>MONTH(datos_ventas[[#This Row],[Fecha]])</f>
        <v>9</v>
      </c>
      <c r="D2436" s="4">
        <f>WEEKNUM(datos_ventas[[#This Row],[Fecha]],2)</f>
        <v>37</v>
      </c>
      <c r="E2436" t="s">
        <v>16</v>
      </c>
      <c r="F2436" t="s">
        <v>11</v>
      </c>
      <c r="G2436">
        <v>2</v>
      </c>
      <c r="H2436">
        <v>92432</v>
      </c>
      <c r="I2436">
        <v>4441</v>
      </c>
      <c r="J2436" t="s">
        <v>14</v>
      </c>
      <c r="K2436" t="str">
        <f>_xlfn.XLOOKUP(datos_ventas[[#This Row],[Ciudad]],Tabla2[Ciudades],Tabla2[Provincias],"no se encuentra")</f>
        <v>Madrid</v>
      </c>
      <c r="L2436" t="str">
        <f>_xlfn.XLOOKUP(datos_ventas[[#This Row],[Provincia]],Tabla2[Provincias],Tabla2[Comunidades],"no se encuentra")</f>
        <v>Comunidad de Madrid</v>
      </c>
      <c r="M2436" t="s">
        <v>15</v>
      </c>
      <c r="N2436">
        <v>4</v>
      </c>
    </row>
    <row r="2437" spans="1:14" x14ac:dyDescent="0.25">
      <c r="A2437">
        <v>3436</v>
      </c>
      <c r="B2437" s="1">
        <v>46005</v>
      </c>
      <c r="C2437" s="4">
        <f>MONTH(datos_ventas[[#This Row],[Fecha]])</f>
        <v>12</v>
      </c>
      <c r="D2437" s="4">
        <f>WEEKNUM(datos_ventas[[#This Row],[Fecha]],2)</f>
        <v>50</v>
      </c>
      <c r="E2437" t="s">
        <v>20</v>
      </c>
      <c r="F2437" t="s">
        <v>21</v>
      </c>
      <c r="G2437">
        <v>5</v>
      </c>
      <c r="H2437">
        <v>56716</v>
      </c>
      <c r="I2437">
        <v>4127</v>
      </c>
      <c r="J2437" t="s">
        <v>22</v>
      </c>
      <c r="K2437" t="str">
        <f>_xlfn.XLOOKUP(datos_ventas[[#This Row],[Ciudad]],Tabla2[Ciudades],Tabla2[Provincias],"no se encuentra")</f>
        <v>Valencia</v>
      </c>
      <c r="L2437" t="str">
        <f>_xlfn.XLOOKUP(datos_ventas[[#This Row],[Provincia]],Tabla2[Provincias],Tabla2[Comunidades],"no se encuentra")</f>
        <v>Comunidad Valenciana</v>
      </c>
      <c r="M2437" t="s">
        <v>19</v>
      </c>
      <c r="N2437">
        <v>2</v>
      </c>
    </row>
    <row r="2438" spans="1:14" x14ac:dyDescent="0.25">
      <c r="A2438">
        <v>3437</v>
      </c>
      <c r="B2438" s="1">
        <v>45755</v>
      </c>
      <c r="C2438" s="4">
        <f>MONTH(datos_ventas[[#This Row],[Fecha]])</f>
        <v>4</v>
      </c>
      <c r="D2438" s="4">
        <f>WEEKNUM(datos_ventas[[#This Row],[Fecha]],2)</f>
        <v>15</v>
      </c>
      <c r="E2438" t="s">
        <v>29</v>
      </c>
      <c r="F2438" t="s">
        <v>30</v>
      </c>
      <c r="G2438">
        <v>5</v>
      </c>
      <c r="H2438">
        <v>85426</v>
      </c>
      <c r="I2438">
        <v>2538</v>
      </c>
      <c r="J2438" t="s">
        <v>12</v>
      </c>
      <c r="K2438" t="str">
        <f>_xlfn.XLOOKUP(datos_ventas[[#This Row],[Ciudad]],Tabla2[Ciudades],Tabla2[Provincias],"no se encuentra")</f>
        <v>Málaga</v>
      </c>
      <c r="L2438" t="str">
        <f>_xlfn.XLOOKUP(datos_ventas[[#This Row],[Provincia]],Tabla2[Provincias],Tabla2[Comunidades],"no se encuentra")</f>
        <v>Andalucía</v>
      </c>
      <c r="M2438" t="s">
        <v>19</v>
      </c>
      <c r="N2438">
        <v>4</v>
      </c>
    </row>
    <row r="2439" spans="1:14" x14ac:dyDescent="0.25">
      <c r="A2439">
        <v>3438</v>
      </c>
      <c r="B2439" s="1">
        <v>45900</v>
      </c>
      <c r="C2439" s="4">
        <f>MONTH(datos_ventas[[#This Row],[Fecha]])</f>
        <v>8</v>
      </c>
      <c r="D2439" s="4">
        <f>WEEKNUM(datos_ventas[[#This Row],[Fecha]],2)</f>
        <v>35</v>
      </c>
      <c r="E2439" t="s">
        <v>24</v>
      </c>
      <c r="F2439" t="s">
        <v>25</v>
      </c>
      <c r="G2439">
        <v>4</v>
      </c>
      <c r="H2439">
        <v>76672</v>
      </c>
      <c r="I2439">
        <v>1078</v>
      </c>
      <c r="J2439" t="s">
        <v>14</v>
      </c>
      <c r="K2439" t="str">
        <f>_xlfn.XLOOKUP(datos_ventas[[#This Row],[Ciudad]],Tabla2[Ciudades],Tabla2[Provincias],"no se encuentra")</f>
        <v>Madrid</v>
      </c>
      <c r="L2439" t="str">
        <f>_xlfn.XLOOKUP(datos_ventas[[#This Row],[Provincia]],Tabla2[Provincias],Tabla2[Comunidades],"no se encuentra")</f>
        <v>Comunidad de Madrid</v>
      </c>
      <c r="M2439" t="s">
        <v>19</v>
      </c>
      <c r="N2439">
        <v>5</v>
      </c>
    </row>
    <row r="2440" spans="1:14" x14ac:dyDescent="0.25">
      <c r="A2440">
        <v>3439</v>
      </c>
      <c r="B2440" s="1">
        <v>45795</v>
      </c>
      <c r="C2440" s="4">
        <f>MONTH(datos_ventas[[#This Row],[Fecha]])</f>
        <v>5</v>
      </c>
      <c r="D2440" s="4">
        <f>WEEKNUM(datos_ventas[[#This Row],[Fecha]],2)</f>
        <v>20</v>
      </c>
      <c r="E2440" t="s">
        <v>16</v>
      </c>
      <c r="F2440" t="s">
        <v>11</v>
      </c>
      <c r="G2440">
        <v>3</v>
      </c>
      <c r="H2440">
        <v>85996</v>
      </c>
      <c r="I2440">
        <v>1785</v>
      </c>
      <c r="J2440" t="s">
        <v>12</v>
      </c>
      <c r="K2440" t="str">
        <f>_xlfn.XLOOKUP(datos_ventas[[#This Row],[Ciudad]],Tabla2[Ciudades],Tabla2[Provincias],"no se encuentra")</f>
        <v>Málaga</v>
      </c>
      <c r="L2440" t="str">
        <f>_xlfn.XLOOKUP(datos_ventas[[#This Row],[Provincia]],Tabla2[Provincias],Tabla2[Comunidades],"no se encuentra")</f>
        <v>Andalucía</v>
      </c>
      <c r="M2440" t="s">
        <v>13</v>
      </c>
      <c r="N2440">
        <v>2</v>
      </c>
    </row>
    <row r="2441" spans="1:14" x14ac:dyDescent="0.25">
      <c r="A2441">
        <v>3440</v>
      </c>
      <c r="B2441" s="1">
        <v>45875</v>
      </c>
      <c r="C2441" s="4">
        <f>MONTH(datos_ventas[[#This Row],[Fecha]])</f>
        <v>8</v>
      </c>
      <c r="D2441" s="4">
        <f>WEEKNUM(datos_ventas[[#This Row],[Fecha]],2)</f>
        <v>32</v>
      </c>
      <c r="E2441" t="s">
        <v>16</v>
      </c>
      <c r="F2441" t="s">
        <v>11</v>
      </c>
      <c r="G2441">
        <v>1</v>
      </c>
      <c r="H2441">
        <v>63039</v>
      </c>
      <c r="I2441">
        <v>2626</v>
      </c>
      <c r="J2441" t="s">
        <v>12</v>
      </c>
      <c r="K2441" t="str">
        <f>_xlfn.XLOOKUP(datos_ventas[[#This Row],[Ciudad]],Tabla2[Ciudades],Tabla2[Provincias],"no se encuentra")</f>
        <v>Málaga</v>
      </c>
      <c r="L2441" t="str">
        <f>_xlfn.XLOOKUP(datos_ventas[[#This Row],[Provincia]],Tabla2[Provincias],Tabla2[Comunidades],"no se encuentra")</f>
        <v>Andalucía</v>
      </c>
      <c r="M2441" t="s">
        <v>15</v>
      </c>
      <c r="N2441">
        <v>1</v>
      </c>
    </row>
    <row r="2442" spans="1:14" x14ac:dyDescent="0.25">
      <c r="A2442">
        <v>3441</v>
      </c>
      <c r="B2442" s="1">
        <v>45818</v>
      </c>
      <c r="C2442" s="4">
        <f>MONTH(datos_ventas[[#This Row],[Fecha]])</f>
        <v>6</v>
      </c>
      <c r="D2442" s="4">
        <f>WEEKNUM(datos_ventas[[#This Row],[Fecha]],2)</f>
        <v>24</v>
      </c>
      <c r="E2442" t="s">
        <v>23</v>
      </c>
      <c r="F2442" t="s">
        <v>18</v>
      </c>
      <c r="G2442">
        <v>1</v>
      </c>
      <c r="H2442">
        <v>106982</v>
      </c>
      <c r="I2442">
        <v>3401</v>
      </c>
      <c r="J2442" t="s">
        <v>32</v>
      </c>
      <c r="K2442" t="str">
        <f>_xlfn.XLOOKUP(datos_ventas[[#This Row],[Ciudad]],Tabla2[Ciudades],Tabla2[Provincias],"no se encuentra")</f>
        <v>Barcelona</v>
      </c>
      <c r="L2442" t="str">
        <f>_xlfn.XLOOKUP(datos_ventas[[#This Row],[Provincia]],Tabla2[Provincias],Tabla2[Comunidades],"no se encuentra")</f>
        <v>Cataluña</v>
      </c>
      <c r="M2442" t="s">
        <v>13</v>
      </c>
      <c r="N2442">
        <v>2</v>
      </c>
    </row>
    <row r="2443" spans="1:14" x14ac:dyDescent="0.25">
      <c r="A2443">
        <v>3442</v>
      </c>
      <c r="B2443" s="1">
        <v>45991</v>
      </c>
      <c r="C2443" s="4">
        <f>MONTH(datos_ventas[[#This Row],[Fecha]])</f>
        <v>11</v>
      </c>
      <c r="D2443" s="4">
        <f>WEEKNUM(datos_ventas[[#This Row],[Fecha]],2)</f>
        <v>48</v>
      </c>
      <c r="E2443" t="s">
        <v>16</v>
      </c>
      <c r="F2443" t="s">
        <v>11</v>
      </c>
      <c r="G2443">
        <v>5</v>
      </c>
      <c r="H2443">
        <v>100021</v>
      </c>
      <c r="I2443">
        <v>1861</v>
      </c>
      <c r="J2443" t="s">
        <v>14</v>
      </c>
      <c r="K2443" t="str">
        <f>_xlfn.XLOOKUP(datos_ventas[[#This Row],[Ciudad]],Tabla2[Ciudades],Tabla2[Provincias],"no se encuentra")</f>
        <v>Madrid</v>
      </c>
      <c r="L2443" t="str">
        <f>_xlfn.XLOOKUP(datos_ventas[[#This Row],[Provincia]],Tabla2[Provincias],Tabla2[Comunidades],"no se encuentra")</f>
        <v>Comunidad de Madrid</v>
      </c>
      <c r="M2443" t="s">
        <v>19</v>
      </c>
      <c r="N2443">
        <v>1</v>
      </c>
    </row>
    <row r="2444" spans="1:14" x14ac:dyDescent="0.25">
      <c r="A2444">
        <v>3443</v>
      </c>
      <c r="B2444" s="1">
        <v>45941</v>
      </c>
      <c r="C2444" s="4">
        <f>MONTH(datos_ventas[[#This Row],[Fecha]])</f>
        <v>10</v>
      </c>
      <c r="D2444" s="4">
        <f>WEEKNUM(datos_ventas[[#This Row],[Fecha]],2)</f>
        <v>41</v>
      </c>
      <c r="E2444" t="s">
        <v>24</v>
      </c>
      <c r="F2444" t="s">
        <v>25</v>
      </c>
      <c r="G2444">
        <v>1</v>
      </c>
      <c r="H2444">
        <v>95685</v>
      </c>
      <c r="I2444">
        <v>996</v>
      </c>
      <c r="J2444" t="s">
        <v>14</v>
      </c>
      <c r="K2444" t="str">
        <f>_xlfn.XLOOKUP(datos_ventas[[#This Row],[Ciudad]],Tabla2[Ciudades],Tabla2[Provincias],"no se encuentra")</f>
        <v>Madrid</v>
      </c>
      <c r="L2444" t="str">
        <f>_xlfn.XLOOKUP(datos_ventas[[#This Row],[Provincia]],Tabla2[Provincias],Tabla2[Comunidades],"no se encuentra")</f>
        <v>Comunidad de Madrid</v>
      </c>
      <c r="M2444" t="s">
        <v>19</v>
      </c>
      <c r="N2444">
        <v>2</v>
      </c>
    </row>
    <row r="2445" spans="1:14" x14ac:dyDescent="0.25">
      <c r="A2445">
        <v>3444</v>
      </c>
      <c r="B2445" s="1">
        <v>45845</v>
      </c>
      <c r="C2445" s="4">
        <f>MONTH(datos_ventas[[#This Row],[Fecha]])</f>
        <v>7</v>
      </c>
      <c r="D2445" s="4">
        <f>WEEKNUM(datos_ventas[[#This Row],[Fecha]],2)</f>
        <v>28</v>
      </c>
      <c r="E2445" t="s">
        <v>10</v>
      </c>
      <c r="F2445" t="s">
        <v>11</v>
      </c>
      <c r="G2445">
        <v>2</v>
      </c>
      <c r="H2445">
        <v>9697</v>
      </c>
      <c r="I2445">
        <v>2356</v>
      </c>
      <c r="J2445" t="s">
        <v>14</v>
      </c>
      <c r="K2445" t="str">
        <f>_xlfn.XLOOKUP(datos_ventas[[#This Row],[Ciudad]],Tabla2[Ciudades],Tabla2[Provincias],"no se encuentra")</f>
        <v>Madrid</v>
      </c>
      <c r="L2445" t="str">
        <f>_xlfn.XLOOKUP(datos_ventas[[#This Row],[Provincia]],Tabla2[Provincias],Tabla2[Comunidades],"no se encuentra")</f>
        <v>Comunidad de Madrid</v>
      </c>
      <c r="M2445" t="s">
        <v>15</v>
      </c>
      <c r="N2445">
        <v>4</v>
      </c>
    </row>
    <row r="2446" spans="1:14" x14ac:dyDescent="0.25">
      <c r="A2446">
        <v>3445</v>
      </c>
      <c r="B2446" s="1">
        <v>45898</v>
      </c>
      <c r="C2446" s="4">
        <f>MONTH(datos_ventas[[#This Row],[Fecha]])</f>
        <v>8</v>
      </c>
      <c r="D2446" s="4">
        <f>WEEKNUM(datos_ventas[[#This Row],[Fecha]],2)</f>
        <v>35</v>
      </c>
      <c r="E2446" t="s">
        <v>17</v>
      </c>
      <c r="F2446" t="s">
        <v>18</v>
      </c>
      <c r="G2446">
        <v>1</v>
      </c>
      <c r="H2446">
        <v>10912</v>
      </c>
      <c r="I2446">
        <v>2563</v>
      </c>
      <c r="J2446" t="s">
        <v>14</v>
      </c>
      <c r="K2446" t="str">
        <f>_xlfn.XLOOKUP(datos_ventas[[#This Row],[Ciudad]],Tabla2[Ciudades],Tabla2[Provincias],"no se encuentra")</f>
        <v>Madrid</v>
      </c>
      <c r="L2446" t="str">
        <f>_xlfn.XLOOKUP(datos_ventas[[#This Row],[Provincia]],Tabla2[Provincias],Tabla2[Comunidades],"no se encuentra")</f>
        <v>Comunidad de Madrid</v>
      </c>
      <c r="M2446" t="s">
        <v>19</v>
      </c>
      <c r="N2446">
        <v>3</v>
      </c>
    </row>
    <row r="2447" spans="1:14" x14ac:dyDescent="0.25">
      <c r="A2447">
        <v>3446</v>
      </c>
      <c r="B2447" s="1">
        <v>45851</v>
      </c>
      <c r="C2447" s="4">
        <f>MONTH(datos_ventas[[#This Row],[Fecha]])</f>
        <v>7</v>
      </c>
      <c r="D2447" s="4">
        <f>WEEKNUM(datos_ventas[[#This Row],[Fecha]],2)</f>
        <v>28</v>
      </c>
      <c r="E2447" t="s">
        <v>26</v>
      </c>
      <c r="F2447" t="s">
        <v>18</v>
      </c>
      <c r="G2447">
        <v>1</v>
      </c>
      <c r="H2447">
        <v>80874</v>
      </c>
      <c r="I2447">
        <v>4506</v>
      </c>
      <c r="J2447" t="s">
        <v>14</v>
      </c>
      <c r="K2447" t="str">
        <f>_xlfn.XLOOKUP(datos_ventas[[#This Row],[Ciudad]],Tabla2[Ciudades],Tabla2[Provincias],"no se encuentra")</f>
        <v>Madrid</v>
      </c>
      <c r="L2447" t="str">
        <f>_xlfn.XLOOKUP(datos_ventas[[#This Row],[Provincia]],Tabla2[Provincias],Tabla2[Comunidades],"no se encuentra")</f>
        <v>Comunidad de Madrid</v>
      </c>
      <c r="M2447" t="s">
        <v>19</v>
      </c>
      <c r="N2447">
        <v>5</v>
      </c>
    </row>
    <row r="2448" spans="1:14" x14ac:dyDescent="0.25">
      <c r="A2448">
        <v>3447</v>
      </c>
      <c r="B2448" s="1">
        <v>45985</v>
      </c>
      <c r="C2448" s="4">
        <f>MONTH(datos_ventas[[#This Row],[Fecha]])</f>
        <v>11</v>
      </c>
      <c r="D2448" s="4">
        <f>WEEKNUM(datos_ventas[[#This Row],[Fecha]],2)</f>
        <v>48</v>
      </c>
      <c r="E2448" t="s">
        <v>29</v>
      </c>
      <c r="F2448" t="s">
        <v>30</v>
      </c>
      <c r="G2448">
        <v>3</v>
      </c>
      <c r="H2448">
        <v>2165</v>
      </c>
      <c r="I2448">
        <v>300</v>
      </c>
      <c r="J2448" t="s">
        <v>32</v>
      </c>
      <c r="K2448" t="str">
        <f>_xlfn.XLOOKUP(datos_ventas[[#This Row],[Ciudad]],Tabla2[Ciudades],Tabla2[Provincias],"no se encuentra")</f>
        <v>Barcelona</v>
      </c>
      <c r="L2448" t="str">
        <f>_xlfn.XLOOKUP(datos_ventas[[#This Row],[Provincia]],Tabla2[Provincias],Tabla2[Comunidades],"no se encuentra")</f>
        <v>Cataluña</v>
      </c>
      <c r="M2448" t="s">
        <v>15</v>
      </c>
      <c r="N2448">
        <v>1</v>
      </c>
    </row>
    <row r="2449" spans="1:14" x14ac:dyDescent="0.25">
      <c r="A2449">
        <v>3448</v>
      </c>
      <c r="B2449" s="1">
        <v>45884</v>
      </c>
      <c r="C2449" s="4">
        <f>MONTH(datos_ventas[[#This Row],[Fecha]])</f>
        <v>8</v>
      </c>
      <c r="D2449" s="4">
        <f>WEEKNUM(datos_ventas[[#This Row],[Fecha]],2)</f>
        <v>33</v>
      </c>
      <c r="E2449" t="s">
        <v>16</v>
      </c>
      <c r="F2449" t="s">
        <v>11</v>
      </c>
      <c r="G2449">
        <v>1</v>
      </c>
      <c r="H2449">
        <v>82172</v>
      </c>
      <c r="I2449">
        <v>2162</v>
      </c>
      <c r="J2449" t="s">
        <v>27</v>
      </c>
      <c r="K2449" t="str">
        <f>_xlfn.XLOOKUP(datos_ventas[[#This Row],[Ciudad]],Tabla2[Ciudades],Tabla2[Provincias],"no se encuentra")</f>
        <v>Sevilla</v>
      </c>
      <c r="L2449" t="str">
        <f>_xlfn.XLOOKUP(datos_ventas[[#This Row],[Provincia]],Tabla2[Provincias],Tabla2[Comunidades],"no se encuentra")</f>
        <v>Andalucía</v>
      </c>
      <c r="M2449" t="s">
        <v>28</v>
      </c>
      <c r="N2449">
        <v>1</v>
      </c>
    </row>
    <row r="2450" spans="1:14" x14ac:dyDescent="0.25">
      <c r="A2450">
        <v>3449</v>
      </c>
      <c r="B2450" s="1">
        <v>45695</v>
      </c>
      <c r="C2450" s="4">
        <f>MONTH(datos_ventas[[#This Row],[Fecha]])</f>
        <v>2</v>
      </c>
      <c r="D2450" s="4">
        <f>WEEKNUM(datos_ventas[[#This Row],[Fecha]],2)</f>
        <v>6</v>
      </c>
      <c r="E2450" t="s">
        <v>29</v>
      </c>
      <c r="F2450" t="s">
        <v>30</v>
      </c>
      <c r="G2450">
        <v>5</v>
      </c>
      <c r="H2450">
        <v>69794</v>
      </c>
      <c r="I2450">
        <v>553</v>
      </c>
      <c r="J2450" t="s">
        <v>32</v>
      </c>
      <c r="K2450" t="str">
        <f>_xlfn.XLOOKUP(datos_ventas[[#This Row],[Ciudad]],Tabla2[Ciudades],Tabla2[Provincias],"no se encuentra")</f>
        <v>Barcelona</v>
      </c>
      <c r="L2450" t="str">
        <f>_xlfn.XLOOKUP(datos_ventas[[#This Row],[Provincia]],Tabla2[Provincias],Tabla2[Comunidades],"no se encuentra")</f>
        <v>Cataluña</v>
      </c>
      <c r="M2450" t="s">
        <v>28</v>
      </c>
      <c r="N2450">
        <v>4</v>
      </c>
    </row>
    <row r="2451" spans="1:14" x14ac:dyDescent="0.25">
      <c r="A2451">
        <v>3450</v>
      </c>
      <c r="B2451" s="1">
        <v>45976</v>
      </c>
      <c r="C2451" s="4">
        <f>MONTH(datos_ventas[[#This Row],[Fecha]])</f>
        <v>11</v>
      </c>
      <c r="D2451" s="4">
        <f>WEEKNUM(datos_ventas[[#This Row],[Fecha]],2)</f>
        <v>46</v>
      </c>
      <c r="E2451" t="s">
        <v>10</v>
      </c>
      <c r="F2451" t="s">
        <v>11</v>
      </c>
      <c r="G2451">
        <v>4</v>
      </c>
      <c r="H2451">
        <v>64184</v>
      </c>
      <c r="I2451">
        <v>3193</v>
      </c>
      <c r="J2451" t="s">
        <v>22</v>
      </c>
      <c r="K2451" t="str">
        <f>_xlfn.XLOOKUP(datos_ventas[[#This Row],[Ciudad]],Tabla2[Ciudades],Tabla2[Provincias],"no se encuentra")</f>
        <v>Valencia</v>
      </c>
      <c r="L2451" t="str">
        <f>_xlfn.XLOOKUP(datos_ventas[[#This Row],[Provincia]],Tabla2[Provincias],Tabla2[Comunidades],"no se encuentra")</f>
        <v>Comunidad Valenciana</v>
      </c>
      <c r="M2451" t="s">
        <v>13</v>
      </c>
      <c r="N2451">
        <v>1</v>
      </c>
    </row>
    <row r="2452" spans="1:14" x14ac:dyDescent="0.25">
      <c r="A2452">
        <v>3451</v>
      </c>
      <c r="B2452" s="1">
        <v>45872</v>
      </c>
      <c r="C2452" s="4">
        <f>MONTH(datos_ventas[[#This Row],[Fecha]])</f>
        <v>8</v>
      </c>
      <c r="D2452" s="4">
        <f>WEEKNUM(datos_ventas[[#This Row],[Fecha]],2)</f>
        <v>31</v>
      </c>
      <c r="E2452" t="s">
        <v>23</v>
      </c>
      <c r="F2452" t="s">
        <v>18</v>
      </c>
      <c r="G2452">
        <v>4</v>
      </c>
      <c r="H2452">
        <v>67917</v>
      </c>
      <c r="I2452">
        <v>2161</v>
      </c>
      <c r="J2452" t="s">
        <v>31</v>
      </c>
      <c r="K2452" t="str">
        <f>_xlfn.XLOOKUP(datos_ventas[[#This Row],[Ciudad]],Tabla2[Ciudades],Tabla2[Provincias],"no se encuentra")</f>
        <v>Vizcaya</v>
      </c>
      <c r="L2452" t="str">
        <f>_xlfn.XLOOKUP(datos_ventas[[#This Row],[Provincia]],Tabla2[Provincias],Tabla2[Comunidades],"no se encuentra")</f>
        <v>País Vasco</v>
      </c>
      <c r="M2452" t="s">
        <v>19</v>
      </c>
      <c r="N2452">
        <v>5</v>
      </c>
    </row>
    <row r="2453" spans="1:14" x14ac:dyDescent="0.25">
      <c r="A2453">
        <v>3452</v>
      </c>
      <c r="B2453" s="1">
        <v>45749</v>
      </c>
      <c r="C2453" s="4">
        <f>MONTH(datos_ventas[[#This Row],[Fecha]])</f>
        <v>4</v>
      </c>
      <c r="D2453" s="4">
        <f>WEEKNUM(datos_ventas[[#This Row],[Fecha]],2)</f>
        <v>14</v>
      </c>
      <c r="E2453" t="s">
        <v>16</v>
      </c>
      <c r="F2453" t="s">
        <v>11</v>
      </c>
      <c r="G2453">
        <v>1</v>
      </c>
      <c r="H2453">
        <v>78588</v>
      </c>
      <c r="I2453">
        <v>2959</v>
      </c>
      <c r="J2453" t="s">
        <v>22</v>
      </c>
      <c r="K2453" t="str">
        <f>_xlfn.XLOOKUP(datos_ventas[[#This Row],[Ciudad]],Tabla2[Ciudades],Tabla2[Provincias],"no se encuentra")</f>
        <v>Valencia</v>
      </c>
      <c r="L2453" t="str">
        <f>_xlfn.XLOOKUP(datos_ventas[[#This Row],[Provincia]],Tabla2[Provincias],Tabla2[Comunidades],"no se encuentra")</f>
        <v>Comunidad Valenciana</v>
      </c>
      <c r="M2453" t="s">
        <v>19</v>
      </c>
      <c r="N2453">
        <v>2</v>
      </c>
    </row>
    <row r="2454" spans="1:14" x14ac:dyDescent="0.25">
      <c r="A2454">
        <v>3453</v>
      </c>
      <c r="B2454" s="1">
        <v>45950</v>
      </c>
      <c r="C2454" s="4">
        <f>MONTH(datos_ventas[[#This Row],[Fecha]])</f>
        <v>10</v>
      </c>
      <c r="D2454" s="4">
        <f>WEEKNUM(datos_ventas[[#This Row],[Fecha]],2)</f>
        <v>43</v>
      </c>
      <c r="E2454" t="s">
        <v>23</v>
      </c>
      <c r="F2454" t="s">
        <v>18</v>
      </c>
      <c r="G2454">
        <v>1</v>
      </c>
      <c r="H2454">
        <v>64156</v>
      </c>
      <c r="I2454">
        <v>2162</v>
      </c>
      <c r="J2454" t="s">
        <v>31</v>
      </c>
      <c r="K2454" t="str">
        <f>_xlfn.XLOOKUP(datos_ventas[[#This Row],[Ciudad]],Tabla2[Ciudades],Tabla2[Provincias],"no se encuentra")</f>
        <v>Vizcaya</v>
      </c>
      <c r="L2454" t="str">
        <f>_xlfn.XLOOKUP(datos_ventas[[#This Row],[Provincia]],Tabla2[Provincias],Tabla2[Comunidades],"no se encuentra")</f>
        <v>País Vasco</v>
      </c>
      <c r="M2454" t="s">
        <v>13</v>
      </c>
      <c r="N2454">
        <v>5</v>
      </c>
    </row>
    <row r="2455" spans="1:14" x14ac:dyDescent="0.25">
      <c r="A2455">
        <v>3454</v>
      </c>
      <c r="B2455" s="1">
        <v>45755</v>
      </c>
      <c r="C2455" s="4">
        <f>MONTH(datos_ventas[[#This Row],[Fecha]])</f>
        <v>4</v>
      </c>
      <c r="D2455" s="4">
        <f>WEEKNUM(datos_ventas[[#This Row],[Fecha]],2)</f>
        <v>15</v>
      </c>
      <c r="E2455" t="s">
        <v>10</v>
      </c>
      <c r="F2455" t="s">
        <v>11</v>
      </c>
      <c r="G2455">
        <v>1</v>
      </c>
      <c r="H2455">
        <v>110644</v>
      </c>
      <c r="I2455">
        <v>2148</v>
      </c>
      <c r="J2455" t="s">
        <v>22</v>
      </c>
      <c r="K2455" t="str">
        <f>_xlfn.XLOOKUP(datos_ventas[[#This Row],[Ciudad]],Tabla2[Ciudades],Tabla2[Provincias],"no se encuentra")</f>
        <v>Valencia</v>
      </c>
      <c r="L2455" t="str">
        <f>_xlfn.XLOOKUP(datos_ventas[[#This Row],[Provincia]],Tabla2[Provincias],Tabla2[Comunidades],"no se encuentra")</f>
        <v>Comunidad Valenciana</v>
      </c>
      <c r="M2455" t="s">
        <v>28</v>
      </c>
      <c r="N2455">
        <v>3</v>
      </c>
    </row>
    <row r="2456" spans="1:14" x14ac:dyDescent="0.25">
      <c r="A2456">
        <v>3455</v>
      </c>
      <c r="B2456" s="1">
        <v>45942</v>
      </c>
      <c r="C2456" s="4">
        <f>MONTH(datos_ventas[[#This Row],[Fecha]])</f>
        <v>10</v>
      </c>
      <c r="D2456" s="4">
        <f>WEEKNUM(datos_ventas[[#This Row],[Fecha]],2)</f>
        <v>41</v>
      </c>
      <c r="E2456" t="s">
        <v>26</v>
      </c>
      <c r="F2456" t="s">
        <v>18</v>
      </c>
      <c r="G2456">
        <v>5</v>
      </c>
      <c r="H2456">
        <v>102417</v>
      </c>
      <c r="I2456">
        <v>4261</v>
      </c>
      <c r="J2456" t="s">
        <v>27</v>
      </c>
      <c r="K2456" t="str">
        <f>_xlfn.XLOOKUP(datos_ventas[[#This Row],[Ciudad]],Tabla2[Ciudades],Tabla2[Provincias],"no se encuentra")</f>
        <v>Sevilla</v>
      </c>
      <c r="L2456" t="str">
        <f>_xlfn.XLOOKUP(datos_ventas[[#This Row],[Provincia]],Tabla2[Provincias],Tabla2[Comunidades],"no se encuentra")</f>
        <v>Andalucía</v>
      </c>
      <c r="M2456" t="s">
        <v>13</v>
      </c>
      <c r="N2456">
        <v>1</v>
      </c>
    </row>
    <row r="2457" spans="1:14" x14ac:dyDescent="0.25">
      <c r="A2457">
        <v>3456</v>
      </c>
      <c r="B2457" s="1">
        <v>45744</v>
      </c>
      <c r="C2457" s="4">
        <f>MONTH(datos_ventas[[#This Row],[Fecha]])</f>
        <v>3</v>
      </c>
      <c r="D2457" s="4">
        <f>WEEKNUM(datos_ventas[[#This Row],[Fecha]],2)</f>
        <v>13</v>
      </c>
      <c r="E2457" t="s">
        <v>23</v>
      </c>
      <c r="F2457" t="s">
        <v>18</v>
      </c>
      <c r="G2457">
        <v>5</v>
      </c>
      <c r="H2457">
        <v>74189</v>
      </c>
      <c r="I2457">
        <v>4466</v>
      </c>
      <c r="J2457" t="s">
        <v>14</v>
      </c>
      <c r="K2457" t="str">
        <f>_xlfn.XLOOKUP(datos_ventas[[#This Row],[Ciudad]],Tabla2[Ciudades],Tabla2[Provincias],"no se encuentra")</f>
        <v>Madrid</v>
      </c>
      <c r="L2457" t="str">
        <f>_xlfn.XLOOKUP(datos_ventas[[#This Row],[Provincia]],Tabla2[Provincias],Tabla2[Comunidades],"no se encuentra")</f>
        <v>Comunidad de Madrid</v>
      </c>
      <c r="M2457" t="s">
        <v>15</v>
      </c>
      <c r="N2457">
        <v>1</v>
      </c>
    </row>
    <row r="2458" spans="1:14" x14ac:dyDescent="0.25">
      <c r="A2458">
        <v>3457</v>
      </c>
      <c r="B2458" s="1">
        <v>45696</v>
      </c>
      <c r="C2458" s="4">
        <f>MONTH(datos_ventas[[#This Row],[Fecha]])</f>
        <v>2</v>
      </c>
      <c r="D2458" s="4">
        <f>WEEKNUM(datos_ventas[[#This Row],[Fecha]],2)</f>
        <v>6</v>
      </c>
      <c r="E2458" t="s">
        <v>20</v>
      </c>
      <c r="F2458" t="s">
        <v>21</v>
      </c>
      <c r="G2458">
        <v>5</v>
      </c>
      <c r="H2458">
        <v>31689</v>
      </c>
      <c r="I2458">
        <v>1291</v>
      </c>
      <c r="J2458" t="s">
        <v>32</v>
      </c>
      <c r="K2458" t="str">
        <f>_xlfn.XLOOKUP(datos_ventas[[#This Row],[Ciudad]],Tabla2[Ciudades],Tabla2[Provincias],"no se encuentra")</f>
        <v>Barcelona</v>
      </c>
      <c r="L2458" t="str">
        <f>_xlfn.XLOOKUP(datos_ventas[[#This Row],[Provincia]],Tabla2[Provincias],Tabla2[Comunidades],"no se encuentra")</f>
        <v>Cataluña</v>
      </c>
      <c r="M2458" t="s">
        <v>15</v>
      </c>
      <c r="N2458">
        <v>5</v>
      </c>
    </row>
    <row r="2459" spans="1:14" x14ac:dyDescent="0.25">
      <c r="A2459">
        <v>3458</v>
      </c>
      <c r="B2459" s="1">
        <v>45918</v>
      </c>
      <c r="C2459" s="4">
        <f>MONTH(datos_ventas[[#This Row],[Fecha]])</f>
        <v>9</v>
      </c>
      <c r="D2459" s="4">
        <f>WEEKNUM(datos_ventas[[#This Row],[Fecha]],2)</f>
        <v>38</v>
      </c>
      <c r="E2459" t="s">
        <v>20</v>
      </c>
      <c r="F2459" t="s">
        <v>21</v>
      </c>
      <c r="G2459">
        <v>2</v>
      </c>
      <c r="H2459">
        <v>45035</v>
      </c>
      <c r="I2459">
        <v>3043</v>
      </c>
      <c r="J2459" t="s">
        <v>31</v>
      </c>
      <c r="K2459" t="str">
        <f>_xlfn.XLOOKUP(datos_ventas[[#This Row],[Ciudad]],Tabla2[Ciudades],Tabla2[Provincias],"no se encuentra")</f>
        <v>Vizcaya</v>
      </c>
      <c r="L2459" t="str">
        <f>_xlfn.XLOOKUP(datos_ventas[[#This Row],[Provincia]],Tabla2[Provincias],Tabla2[Comunidades],"no se encuentra")</f>
        <v>País Vasco</v>
      </c>
      <c r="M2459" t="s">
        <v>13</v>
      </c>
      <c r="N2459">
        <v>1</v>
      </c>
    </row>
    <row r="2460" spans="1:14" x14ac:dyDescent="0.25">
      <c r="A2460">
        <v>3459</v>
      </c>
      <c r="B2460" s="1">
        <v>45811</v>
      </c>
      <c r="C2460" s="4">
        <f>MONTH(datos_ventas[[#This Row],[Fecha]])</f>
        <v>6</v>
      </c>
      <c r="D2460" s="4">
        <f>WEEKNUM(datos_ventas[[#This Row],[Fecha]],2)</f>
        <v>23</v>
      </c>
      <c r="E2460" t="s">
        <v>10</v>
      </c>
      <c r="F2460" t="s">
        <v>11</v>
      </c>
      <c r="G2460">
        <v>3</v>
      </c>
      <c r="H2460">
        <v>27964</v>
      </c>
      <c r="I2460">
        <v>2576</v>
      </c>
      <c r="J2460" t="s">
        <v>32</v>
      </c>
      <c r="K2460" t="str">
        <f>_xlfn.XLOOKUP(datos_ventas[[#This Row],[Ciudad]],Tabla2[Ciudades],Tabla2[Provincias],"no se encuentra")</f>
        <v>Barcelona</v>
      </c>
      <c r="L2460" t="str">
        <f>_xlfn.XLOOKUP(datos_ventas[[#This Row],[Provincia]],Tabla2[Provincias],Tabla2[Comunidades],"no se encuentra")</f>
        <v>Cataluña</v>
      </c>
      <c r="M2460" t="s">
        <v>28</v>
      </c>
      <c r="N2460">
        <v>3</v>
      </c>
    </row>
    <row r="2461" spans="1:14" x14ac:dyDescent="0.25">
      <c r="A2461">
        <v>3460</v>
      </c>
      <c r="B2461" s="1">
        <v>46015</v>
      </c>
      <c r="C2461" s="4">
        <f>MONTH(datos_ventas[[#This Row],[Fecha]])</f>
        <v>12</v>
      </c>
      <c r="D2461" s="4">
        <f>WEEKNUM(datos_ventas[[#This Row],[Fecha]],2)</f>
        <v>52</v>
      </c>
      <c r="E2461" t="s">
        <v>24</v>
      </c>
      <c r="F2461" t="s">
        <v>25</v>
      </c>
      <c r="G2461">
        <v>1</v>
      </c>
      <c r="H2461">
        <v>5248</v>
      </c>
      <c r="I2461">
        <v>1396</v>
      </c>
      <c r="J2461" t="s">
        <v>27</v>
      </c>
      <c r="K2461" t="str">
        <f>_xlfn.XLOOKUP(datos_ventas[[#This Row],[Ciudad]],Tabla2[Ciudades],Tabla2[Provincias],"no se encuentra")</f>
        <v>Sevilla</v>
      </c>
      <c r="L2461" t="str">
        <f>_xlfn.XLOOKUP(datos_ventas[[#This Row],[Provincia]],Tabla2[Provincias],Tabla2[Comunidades],"no se encuentra")</f>
        <v>Andalucía</v>
      </c>
      <c r="M2461" t="s">
        <v>15</v>
      </c>
      <c r="N2461">
        <v>4</v>
      </c>
    </row>
    <row r="2462" spans="1:14" x14ac:dyDescent="0.25">
      <c r="A2462">
        <v>3461</v>
      </c>
      <c r="B2462" s="1">
        <v>45999</v>
      </c>
      <c r="C2462" s="4">
        <f>MONTH(datos_ventas[[#This Row],[Fecha]])</f>
        <v>12</v>
      </c>
      <c r="D2462" s="4">
        <f>WEEKNUM(datos_ventas[[#This Row],[Fecha]],2)</f>
        <v>50</v>
      </c>
      <c r="E2462" t="s">
        <v>29</v>
      </c>
      <c r="F2462" t="s">
        <v>30</v>
      </c>
      <c r="G2462">
        <v>4</v>
      </c>
      <c r="H2462">
        <v>11217</v>
      </c>
      <c r="I2462">
        <v>1206</v>
      </c>
      <c r="J2462" t="s">
        <v>12</v>
      </c>
      <c r="K2462" t="str">
        <f>_xlfn.XLOOKUP(datos_ventas[[#This Row],[Ciudad]],Tabla2[Ciudades],Tabla2[Provincias],"no se encuentra")</f>
        <v>Málaga</v>
      </c>
      <c r="L2462" t="str">
        <f>_xlfn.XLOOKUP(datos_ventas[[#This Row],[Provincia]],Tabla2[Provincias],Tabla2[Comunidades],"no se encuentra")</f>
        <v>Andalucía</v>
      </c>
      <c r="M2462" t="s">
        <v>13</v>
      </c>
      <c r="N2462">
        <v>1</v>
      </c>
    </row>
    <row r="2463" spans="1:14" x14ac:dyDescent="0.25">
      <c r="A2463">
        <v>3462</v>
      </c>
      <c r="B2463" s="1">
        <v>45938</v>
      </c>
      <c r="C2463" s="4">
        <f>MONTH(datos_ventas[[#This Row],[Fecha]])</f>
        <v>10</v>
      </c>
      <c r="D2463" s="4">
        <f>WEEKNUM(datos_ventas[[#This Row],[Fecha]],2)</f>
        <v>41</v>
      </c>
      <c r="E2463" t="s">
        <v>23</v>
      </c>
      <c r="F2463" t="s">
        <v>18</v>
      </c>
      <c r="G2463">
        <v>3</v>
      </c>
      <c r="H2463">
        <v>78135</v>
      </c>
      <c r="I2463">
        <v>2255</v>
      </c>
      <c r="J2463" t="s">
        <v>14</v>
      </c>
      <c r="K2463" t="str">
        <f>_xlfn.XLOOKUP(datos_ventas[[#This Row],[Ciudad]],Tabla2[Ciudades],Tabla2[Provincias],"no se encuentra")</f>
        <v>Madrid</v>
      </c>
      <c r="L2463" t="str">
        <f>_xlfn.XLOOKUP(datos_ventas[[#This Row],[Provincia]],Tabla2[Provincias],Tabla2[Comunidades],"no se encuentra")</f>
        <v>Comunidad de Madrid</v>
      </c>
      <c r="M2463" t="s">
        <v>15</v>
      </c>
      <c r="N2463">
        <v>1</v>
      </c>
    </row>
    <row r="2464" spans="1:14" x14ac:dyDescent="0.25">
      <c r="A2464">
        <v>3463</v>
      </c>
      <c r="B2464" s="1">
        <v>45740</v>
      </c>
      <c r="C2464" s="4">
        <f>MONTH(datos_ventas[[#This Row],[Fecha]])</f>
        <v>3</v>
      </c>
      <c r="D2464" s="4">
        <f>WEEKNUM(datos_ventas[[#This Row],[Fecha]],2)</f>
        <v>13</v>
      </c>
      <c r="E2464" t="s">
        <v>16</v>
      </c>
      <c r="F2464" t="s">
        <v>11</v>
      </c>
      <c r="G2464">
        <v>2</v>
      </c>
      <c r="H2464">
        <v>94849</v>
      </c>
      <c r="I2464">
        <v>4808</v>
      </c>
      <c r="J2464" t="s">
        <v>31</v>
      </c>
      <c r="K2464" t="str">
        <f>_xlfn.XLOOKUP(datos_ventas[[#This Row],[Ciudad]],Tabla2[Ciudades],Tabla2[Provincias],"no se encuentra")</f>
        <v>Vizcaya</v>
      </c>
      <c r="L2464" t="str">
        <f>_xlfn.XLOOKUP(datos_ventas[[#This Row],[Provincia]],Tabla2[Provincias],Tabla2[Comunidades],"no se encuentra")</f>
        <v>País Vasco</v>
      </c>
      <c r="M2464" t="s">
        <v>13</v>
      </c>
      <c r="N2464">
        <v>5</v>
      </c>
    </row>
    <row r="2465" spans="1:14" x14ac:dyDescent="0.25">
      <c r="A2465">
        <v>3464</v>
      </c>
      <c r="B2465" s="1">
        <v>45737</v>
      </c>
      <c r="C2465" s="4">
        <f>MONTH(datos_ventas[[#This Row],[Fecha]])</f>
        <v>3</v>
      </c>
      <c r="D2465" s="4">
        <f>WEEKNUM(datos_ventas[[#This Row],[Fecha]],2)</f>
        <v>12</v>
      </c>
      <c r="E2465" t="s">
        <v>10</v>
      </c>
      <c r="F2465" t="s">
        <v>11</v>
      </c>
      <c r="G2465">
        <v>5</v>
      </c>
      <c r="H2465">
        <v>1798</v>
      </c>
      <c r="I2465">
        <v>2745</v>
      </c>
      <c r="J2465" t="s">
        <v>22</v>
      </c>
      <c r="K2465" t="str">
        <f>_xlfn.XLOOKUP(datos_ventas[[#This Row],[Ciudad]],Tabla2[Ciudades],Tabla2[Provincias],"no se encuentra")</f>
        <v>Valencia</v>
      </c>
      <c r="L2465" t="str">
        <f>_xlfn.XLOOKUP(datos_ventas[[#This Row],[Provincia]],Tabla2[Provincias],Tabla2[Comunidades],"no se encuentra")</f>
        <v>Comunidad Valenciana</v>
      </c>
      <c r="M2465" t="s">
        <v>15</v>
      </c>
      <c r="N2465">
        <v>4</v>
      </c>
    </row>
    <row r="2466" spans="1:14" x14ac:dyDescent="0.25">
      <c r="A2466">
        <v>3465</v>
      </c>
      <c r="B2466" s="1">
        <v>45887</v>
      </c>
      <c r="C2466" s="4">
        <f>MONTH(datos_ventas[[#This Row],[Fecha]])</f>
        <v>8</v>
      </c>
      <c r="D2466" s="4">
        <f>WEEKNUM(datos_ventas[[#This Row],[Fecha]],2)</f>
        <v>34</v>
      </c>
      <c r="E2466" t="s">
        <v>29</v>
      </c>
      <c r="F2466" t="s">
        <v>30</v>
      </c>
      <c r="G2466">
        <v>3</v>
      </c>
      <c r="H2466">
        <v>66812</v>
      </c>
      <c r="I2466">
        <v>3989</v>
      </c>
      <c r="J2466" t="s">
        <v>31</v>
      </c>
      <c r="K2466" t="str">
        <f>_xlfn.XLOOKUP(datos_ventas[[#This Row],[Ciudad]],Tabla2[Ciudades],Tabla2[Provincias],"no se encuentra")</f>
        <v>Vizcaya</v>
      </c>
      <c r="L2466" t="str">
        <f>_xlfn.XLOOKUP(datos_ventas[[#This Row],[Provincia]],Tabla2[Provincias],Tabla2[Comunidades],"no se encuentra")</f>
        <v>País Vasco</v>
      </c>
      <c r="M2466" t="s">
        <v>19</v>
      </c>
      <c r="N2466">
        <v>5</v>
      </c>
    </row>
    <row r="2467" spans="1:14" x14ac:dyDescent="0.25">
      <c r="A2467">
        <v>3466</v>
      </c>
      <c r="B2467" s="1">
        <v>45959</v>
      </c>
      <c r="C2467" s="4">
        <f>MONTH(datos_ventas[[#This Row],[Fecha]])</f>
        <v>10</v>
      </c>
      <c r="D2467" s="4">
        <f>WEEKNUM(datos_ventas[[#This Row],[Fecha]],2)</f>
        <v>44</v>
      </c>
      <c r="E2467" t="s">
        <v>16</v>
      </c>
      <c r="F2467" t="s">
        <v>11</v>
      </c>
      <c r="G2467">
        <v>4</v>
      </c>
      <c r="H2467">
        <v>109609</v>
      </c>
      <c r="I2467">
        <v>2225</v>
      </c>
      <c r="J2467" t="s">
        <v>12</v>
      </c>
      <c r="K2467" t="str">
        <f>_xlfn.XLOOKUP(datos_ventas[[#This Row],[Ciudad]],Tabla2[Ciudades],Tabla2[Provincias],"no se encuentra")</f>
        <v>Málaga</v>
      </c>
      <c r="L2467" t="str">
        <f>_xlfn.XLOOKUP(datos_ventas[[#This Row],[Provincia]],Tabla2[Provincias],Tabla2[Comunidades],"no se encuentra")</f>
        <v>Andalucía</v>
      </c>
      <c r="M2467" t="s">
        <v>28</v>
      </c>
      <c r="N2467">
        <v>3</v>
      </c>
    </row>
    <row r="2468" spans="1:14" x14ac:dyDescent="0.25">
      <c r="A2468">
        <v>3467</v>
      </c>
      <c r="B2468" s="1">
        <v>45900</v>
      </c>
      <c r="C2468" s="4">
        <f>MONTH(datos_ventas[[#This Row],[Fecha]])</f>
        <v>8</v>
      </c>
      <c r="D2468" s="4">
        <f>WEEKNUM(datos_ventas[[#This Row],[Fecha]],2)</f>
        <v>35</v>
      </c>
      <c r="E2468" t="s">
        <v>26</v>
      </c>
      <c r="F2468" t="s">
        <v>18</v>
      </c>
      <c r="G2468">
        <v>2</v>
      </c>
      <c r="H2468">
        <v>6958</v>
      </c>
      <c r="I2468">
        <v>4891</v>
      </c>
      <c r="J2468" t="s">
        <v>12</v>
      </c>
      <c r="K2468" t="str">
        <f>_xlfn.XLOOKUP(datos_ventas[[#This Row],[Ciudad]],Tabla2[Ciudades],Tabla2[Provincias],"no se encuentra")</f>
        <v>Málaga</v>
      </c>
      <c r="L2468" t="str">
        <f>_xlfn.XLOOKUP(datos_ventas[[#This Row],[Provincia]],Tabla2[Provincias],Tabla2[Comunidades],"no se encuentra")</f>
        <v>Andalucía</v>
      </c>
      <c r="M2468" t="s">
        <v>15</v>
      </c>
      <c r="N2468">
        <v>5</v>
      </c>
    </row>
    <row r="2469" spans="1:14" x14ac:dyDescent="0.25">
      <c r="A2469">
        <v>3468</v>
      </c>
      <c r="B2469" s="1">
        <v>45785</v>
      </c>
      <c r="C2469" s="4">
        <f>MONTH(datos_ventas[[#This Row],[Fecha]])</f>
        <v>5</v>
      </c>
      <c r="D2469" s="4">
        <f>WEEKNUM(datos_ventas[[#This Row],[Fecha]],2)</f>
        <v>19</v>
      </c>
      <c r="E2469" t="s">
        <v>20</v>
      </c>
      <c r="F2469" t="s">
        <v>21</v>
      </c>
      <c r="G2469">
        <v>1</v>
      </c>
      <c r="H2469">
        <v>35787</v>
      </c>
      <c r="I2469">
        <v>4365</v>
      </c>
      <c r="J2469" t="s">
        <v>12</v>
      </c>
      <c r="K2469" t="str">
        <f>_xlfn.XLOOKUP(datos_ventas[[#This Row],[Ciudad]],Tabla2[Ciudades],Tabla2[Provincias],"no se encuentra")</f>
        <v>Málaga</v>
      </c>
      <c r="L2469" t="str">
        <f>_xlfn.XLOOKUP(datos_ventas[[#This Row],[Provincia]],Tabla2[Provincias],Tabla2[Comunidades],"no se encuentra")</f>
        <v>Andalucía</v>
      </c>
      <c r="M2469" t="s">
        <v>28</v>
      </c>
      <c r="N2469">
        <v>5</v>
      </c>
    </row>
    <row r="2470" spans="1:14" x14ac:dyDescent="0.25">
      <c r="A2470">
        <v>3469</v>
      </c>
      <c r="B2470" s="1">
        <v>46022</v>
      </c>
      <c r="C2470" s="4">
        <f>MONTH(datos_ventas[[#This Row],[Fecha]])</f>
        <v>12</v>
      </c>
      <c r="D2470" s="4">
        <f>WEEKNUM(datos_ventas[[#This Row],[Fecha]],2)</f>
        <v>53</v>
      </c>
      <c r="E2470" t="s">
        <v>24</v>
      </c>
      <c r="F2470" t="s">
        <v>25</v>
      </c>
      <c r="G2470">
        <v>1</v>
      </c>
      <c r="H2470">
        <v>73979</v>
      </c>
      <c r="I2470">
        <v>3875</v>
      </c>
      <c r="J2470" t="s">
        <v>27</v>
      </c>
      <c r="K2470" t="str">
        <f>_xlfn.XLOOKUP(datos_ventas[[#This Row],[Ciudad]],Tabla2[Ciudades],Tabla2[Provincias],"no se encuentra")</f>
        <v>Sevilla</v>
      </c>
      <c r="L2470" t="str">
        <f>_xlfn.XLOOKUP(datos_ventas[[#This Row],[Provincia]],Tabla2[Provincias],Tabla2[Comunidades],"no se encuentra")</f>
        <v>Andalucía</v>
      </c>
      <c r="M2470" t="s">
        <v>28</v>
      </c>
      <c r="N2470">
        <v>2</v>
      </c>
    </row>
    <row r="2471" spans="1:14" x14ac:dyDescent="0.25">
      <c r="A2471">
        <v>3470</v>
      </c>
      <c r="B2471" s="1">
        <v>45894</v>
      </c>
      <c r="C2471" s="4">
        <f>MONTH(datos_ventas[[#This Row],[Fecha]])</f>
        <v>8</v>
      </c>
      <c r="D2471" s="4">
        <f>WEEKNUM(datos_ventas[[#This Row],[Fecha]],2)</f>
        <v>35</v>
      </c>
      <c r="E2471" t="s">
        <v>23</v>
      </c>
      <c r="F2471" t="s">
        <v>18</v>
      </c>
      <c r="G2471">
        <v>3</v>
      </c>
      <c r="H2471">
        <v>55232</v>
      </c>
      <c r="I2471">
        <v>3273</v>
      </c>
      <c r="J2471" t="s">
        <v>22</v>
      </c>
      <c r="K2471" t="str">
        <f>_xlfn.XLOOKUP(datos_ventas[[#This Row],[Ciudad]],Tabla2[Ciudades],Tabla2[Provincias],"no se encuentra")</f>
        <v>Valencia</v>
      </c>
      <c r="L2471" t="str">
        <f>_xlfn.XLOOKUP(datos_ventas[[#This Row],[Provincia]],Tabla2[Provincias],Tabla2[Comunidades],"no se encuentra")</f>
        <v>Comunidad Valenciana</v>
      </c>
      <c r="M2471" t="s">
        <v>15</v>
      </c>
      <c r="N2471">
        <v>1</v>
      </c>
    </row>
    <row r="2472" spans="1:14" x14ac:dyDescent="0.25">
      <c r="A2472">
        <v>3471</v>
      </c>
      <c r="B2472" s="1">
        <v>45805</v>
      </c>
      <c r="C2472" s="4">
        <f>MONTH(datos_ventas[[#This Row],[Fecha]])</f>
        <v>5</v>
      </c>
      <c r="D2472" s="4">
        <f>WEEKNUM(datos_ventas[[#This Row],[Fecha]],2)</f>
        <v>22</v>
      </c>
      <c r="E2472" t="s">
        <v>10</v>
      </c>
      <c r="F2472" t="s">
        <v>11</v>
      </c>
      <c r="G2472">
        <v>4</v>
      </c>
      <c r="H2472">
        <v>78959</v>
      </c>
      <c r="I2472">
        <v>814</v>
      </c>
      <c r="J2472" t="s">
        <v>22</v>
      </c>
      <c r="K2472" t="str">
        <f>_xlfn.XLOOKUP(datos_ventas[[#This Row],[Ciudad]],Tabla2[Ciudades],Tabla2[Provincias],"no se encuentra")</f>
        <v>Valencia</v>
      </c>
      <c r="L2472" t="str">
        <f>_xlfn.XLOOKUP(datos_ventas[[#This Row],[Provincia]],Tabla2[Provincias],Tabla2[Comunidades],"no se encuentra")</f>
        <v>Comunidad Valenciana</v>
      </c>
      <c r="M2472" t="s">
        <v>15</v>
      </c>
      <c r="N2472">
        <v>3</v>
      </c>
    </row>
    <row r="2473" spans="1:14" x14ac:dyDescent="0.25">
      <c r="A2473">
        <v>3472</v>
      </c>
      <c r="B2473" s="1">
        <v>45920</v>
      </c>
      <c r="C2473" s="4">
        <f>MONTH(datos_ventas[[#This Row],[Fecha]])</f>
        <v>9</v>
      </c>
      <c r="D2473" s="4">
        <f>WEEKNUM(datos_ventas[[#This Row],[Fecha]],2)</f>
        <v>38</v>
      </c>
      <c r="E2473" t="s">
        <v>10</v>
      </c>
      <c r="F2473" t="s">
        <v>11</v>
      </c>
      <c r="G2473">
        <v>3</v>
      </c>
      <c r="H2473">
        <v>52619</v>
      </c>
      <c r="I2473">
        <v>2792</v>
      </c>
      <c r="J2473" t="s">
        <v>27</v>
      </c>
      <c r="K2473" t="str">
        <f>_xlfn.XLOOKUP(datos_ventas[[#This Row],[Ciudad]],Tabla2[Ciudades],Tabla2[Provincias],"no se encuentra")</f>
        <v>Sevilla</v>
      </c>
      <c r="L2473" t="str">
        <f>_xlfn.XLOOKUP(datos_ventas[[#This Row],[Provincia]],Tabla2[Provincias],Tabla2[Comunidades],"no se encuentra")</f>
        <v>Andalucía</v>
      </c>
      <c r="M2473" t="s">
        <v>15</v>
      </c>
      <c r="N2473">
        <v>3</v>
      </c>
    </row>
    <row r="2474" spans="1:14" x14ac:dyDescent="0.25">
      <c r="A2474">
        <v>3473</v>
      </c>
      <c r="B2474" s="1">
        <v>45875</v>
      </c>
      <c r="C2474" s="4">
        <f>MONTH(datos_ventas[[#This Row],[Fecha]])</f>
        <v>8</v>
      </c>
      <c r="D2474" s="4">
        <f>WEEKNUM(datos_ventas[[#This Row],[Fecha]],2)</f>
        <v>32</v>
      </c>
      <c r="E2474" t="s">
        <v>26</v>
      </c>
      <c r="F2474" t="s">
        <v>18</v>
      </c>
      <c r="G2474">
        <v>5</v>
      </c>
      <c r="H2474">
        <v>72133</v>
      </c>
      <c r="I2474">
        <v>1571</v>
      </c>
      <c r="J2474" t="s">
        <v>22</v>
      </c>
      <c r="K2474" t="str">
        <f>_xlfn.XLOOKUP(datos_ventas[[#This Row],[Ciudad]],Tabla2[Ciudades],Tabla2[Provincias],"no se encuentra")</f>
        <v>Valencia</v>
      </c>
      <c r="L2474" t="str">
        <f>_xlfn.XLOOKUP(datos_ventas[[#This Row],[Provincia]],Tabla2[Provincias],Tabla2[Comunidades],"no se encuentra")</f>
        <v>Comunidad Valenciana</v>
      </c>
      <c r="M2474" t="s">
        <v>28</v>
      </c>
      <c r="N2474">
        <v>3</v>
      </c>
    </row>
    <row r="2475" spans="1:14" x14ac:dyDescent="0.25">
      <c r="A2475">
        <v>3474</v>
      </c>
      <c r="B2475" s="1">
        <v>46004</v>
      </c>
      <c r="C2475" s="4">
        <f>MONTH(datos_ventas[[#This Row],[Fecha]])</f>
        <v>12</v>
      </c>
      <c r="D2475" s="4">
        <f>WEEKNUM(datos_ventas[[#This Row],[Fecha]],2)</f>
        <v>50</v>
      </c>
      <c r="E2475" t="s">
        <v>16</v>
      </c>
      <c r="F2475" t="s">
        <v>11</v>
      </c>
      <c r="G2475">
        <v>2</v>
      </c>
      <c r="H2475">
        <v>60306</v>
      </c>
      <c r="I2475">
        <v>4846</v>
      </c>
      <c r="J2475" t="s">
        <v>27</v>
      </c>
      <c r="K2475" t="str">
        <f>_xlfn.XLOOKUP(datos_ventas[[#This Row],[Ciudad]],Tabla2[Ciudades],Tabla2[Provincias],"no se encuentra")</f>
        <v>Sevilla</v>
      </c>
      <c r="L2475" t="str">
        <f>_xlfn.XLOOKUP(datos_ventas[[#This Row],[Provincia]],Tabla2[Provincias],Tabla2[Comunidades],"no se encuentra")</f>
        <v>Andalucía</v>
      </c>
      <c r="M2475" t="s">
        <v>28</v>
      </c>
      <c r="N2475">
        <v>4</v>
      </c>
    </row>
    <row r="2476" spans="1:14" x14ac:dyDescent="0.25">
      <c r="A2476">
        <v>3475</v>
      </c>
      <c r="B2476" s="1">
        <v>46018</v>
      </c>
      <c r="C2476" s="4">
        <f>MONTH(datos_ventas[[#This Row],[Fecha]])</f>
        <v>12</v>
      </c>
      <c r="D2476" s="4">
        <f>WEEKNUM(datos_ventas[[#This Row],[Fecha]],2)</f>
        <v>52</v>
      </c>
      <c r="E2476" t="s">
        <v>20</v>
      </c>
      <c r="F2476" t="s">
        <v>21</v>
      </c>
      <c r="G2476">
        <v>3</v>
      </c>
      <c r="H2476">
        <v>14477</v>
      </c>
      <c r="I2476">
        <v>1021</v>
      </c>
      <c r="J2476" t="s">
        <v>22</v>
      </c>
      <c r="K2476" t="str">
        <f>_xlfn.XLOOKUP(datos_ventas[[#This Row],[Ciudad]],Tabla2[Ciudades],Tabla2[Provincias],"no se encuentra")</f>
        <v>Valencia</v>
      </c>
      <c r="L2476" t="str">
        <f>_xlfn.XLOOKUP(datos_ventas[[#This Row],[Provincia]],Tabla2[Provincias],Tabla2[Comunidades],"no se encuentra")</f>
        <v>Comunidad Valenciana</v>
      </c>
      <c r="M2476" t="s">
        <v>15</v>
      </c>
      <c r="N2476">
        <v>2</v>
      </c>
    </row>
    <row r="2477" spans="1:14" x14ac:dyDescent="0.25">
      <c r="A2477">
        <v>3476</v>
      </c>
      <c r="B2477" s="1">
        <v>45801</v>
      </c>
      <c r="C2477" s="4">
        <f>MONTH(datos_ventas[[#This Row],[Fecha]])</f>
        <v>5</v>
      </c>
      <c r="D2477" s="4">
        <f>WEEKNUM(datos_ventas[[#This Row],[Fecha]],2)</f>
        <v>21</v>
      </c>
      <c r="E2477" t="s">
        <v>17</v>
      </c>
      <c r="F2477" t="s">
        <v>18</v>
      </c>
      <c r="G2477">
        <v>3</v>
      </c>
      <c r="H2477">
        <v>10608</v>
      </c>
      <c r="I2477">
        <v>1021</v>
      </c>
      <c r="J2477" t="s">
        <v>14</v>
      </c>
      <c r="K2477" t="str">
        <f>_xlfn.XLOOKUP(datos_ventas[[#This Row],[Ciudad]],Tabla2[Ciudades],Tabla2[Provincias],"no se encuentra")</f>
        <v>Madrid</v>
      </c>
      <c r="L2477" t="str">
        <f>_xlfn.XLOOKUP(datos_ventas[[#This Row],[Provincia]],Tabla2[Provincias],Tabla2[Comunidades],"no se encuentra")</f>
        <v>Comunidad de Madrid</v>
      </c>
      <c r="M2477" t="s">
        <v>13</v>
      </c>
      <c r="N2477">
        <v>2</v>
      </c>
    </row>
    <row r="2478" spans="1:14" x14ac:dyDescent="0.25">
      <c r="A2478">
        <v>3477</v>
      </c>
      <c r="B2478" s="1">
        <v>45997</v>
      </c>
      <c r="C2478" s="4">
        <f>MONTH(datos_ventas[[#This Row],[Fecha]])</f>
        <v>12</v>
      </c>
      <c r="D2478" s="4">
        <f>WEEKNUM(datos_ventas[[#This Row],[Fecha]],2)</f>
        <v>49</v>
      </c>
      <c r="E2478" t="s">
        <v>29</v>
      </c>
      <c r="F2478" t="s">
        <v>30</v>
      </c>
      <c r="G2478">
        <v>1</v>
      </c>
      <c r="H2478">
        <v>92092</v>
      </c>
      <c r="I2478">
        <v>1522</v>
      </c>
      <c r="J2478" t="s">
        <v>14</v>
      </c>
      <c r="K2478" t="str">
        <f>_xlfn.XLOOKUP(datos_ventas[[#This Row],[Ciudad]],Tabla2[Ciudades],Tabla2[Provincias],"no se encuentra")</f>
        <v>Madrid</v>
      </c>
      <c r="L2478" t="str">
        <f>_xlfn.XLOOKUP(datos_ventas[[#This Row],[Provincia]],Tabla2[Provincias],Tabla2[Comunidades],"no se encuentra")</f>
        <v>Comunidad de Madrid</v>
      </c>
      <c r="M2478" t="s">
        <v>13</v>
      </c>
      <c r="N2478">
        <v>2</v>
      </c>
    </row>
    <row r="2479" spans="1:14" x14ac:dyDescent="0.25">
      <c r="A2479">
        <v>3478</v>
      </c>
      <c r="B2479" s="1">
        <v>45987</v>
      </c>
      <c r="C2479" s="4">
        <f>MONTH(datos_ventas[[#This Row],[Fecha]])</f>
        <v>11</v>
      </c>
      <c r="D2479" s="4">
        <f>WEEKNUM(datos_ventas[[#This Row],[Fecha]],2)</f>
        <v>48</v>
      </c>
      <c r="E2479" t="s">
        <v>26</v>
      </c>
      <c r="F2479" t="s">
        <v>18</v>
      </c>
      <c r="G2479">
        <v>1</v>
      </c>
      <c r="H2479">
        <v>63497</v>
      </c>
      <c r="I2479">
        <v>3697</v>
      </c>
      <c r="J2479" t="s">
        <v>12</v>
      </c>
      <c r="K2479" t="str">
        <f>_xlfn.XLOOKUP(datos_ventas[[#This Row],[Ciudad]],Tabla2[Ciudades],Tabla2[Provincias],"no se encuentra")</f>
        <v>Málaga</v>
      </c>
      <c r="L2479" t="str">
        <f>_xlfn.XLOOKUP(datos_ventas[[#This Row],[Provincia]],Tabla2[Provincias],Tabla2[Comunidades],"no se encuentra")</f>
        <v>Andalucía</v>
      </c>
      <c r="M2479" t="s">
        <v>15</v>
      </c>
      <c r="N2479">
        <v>3</v>
      </c>
    </row>
    <row r="2480" spans="1:14" x14ac:dyDescent="0.25">
      <c r="A2480">
        <v>3479</v>
      </c>
      <c r="B2480" s="1">
        <v>45981</v>
      </c>
      <c r="C2480" s="4">
        <f>MONTH(datos_ventas[[#This Row],[Fecha]])</f>
        <v>11</v>
      </c>
      <c r="D2480" s="4">
        <f>WEEKNUM(datos_ventas[[#This Row],[Fecha]],2)</f>
        <v>47</v>
      </c>
      <c r="E2480" t="s">
        <v>16</v>
      </c>
      <c r="F2480" t="s">
        <v>11</v>
      </c>
      <c r="G2480">
        <v>2</v>
      </c>
      <c r="H2480">
        <v>56732</v>
      </c>
      <c r="I2480">
        <v>4677</v>
      </c>
      <c r="J2480" t="s">
        <v>22</v>
      </c>
      <c r="K2480" t="str">
        <f>_xlfn.XLOOKUP(datos_ventas[[#This Row],[Ciudad]],Tabla2[Ciudades],Tabla2[Provincias],"no se encuentra")</f>
        <v>Valencia</v>
      </c>
      <c r="L2480" t="str">
        <f>_xlfn.XLOOKUP(datos_ventas[[#This Row],[Provincia]],Tabla2[Provincias],Tabla2[Comunidades],"no se encuentra")</f>
        <v>Comunidad Valenciana</v>
      </c>
      <c r="M2480" t="s">
        <v>13</v>
      </c>
      <c r="N2480">
        <v>2</v>
      </c>
    </row>
    <row r="2481" spans="1:14" x14ac:dyDescent="0.25">
      <c r="A2481">
        <v>3480</v>
      </c>
      <c r="B2481" s="1">
        <v>45982</v>
      </c>
      <c r="C2481" s="4">
        <f>MONTH(datos_ventas[[#This Row],[Fecha]])</f>
        <v>11</v>
      </c>
      <c r="D2481" s="4">
        <f>WEEKNUM(datos_ventas[[#This Row],[Fecha]],2)</f>
        <v>47</v>
      </c>
      <c r="E2481" t="s">
        <v>17</v>
      </c>
      <c r="F2481" t="s">
        <v>18</v>
      </c>
      <c r="G2481">
        <v>4</v>
      </c>
      <c r="H2481">
        <v>119129</v>
      </c>
      <c r="I2481">
        <v>2445</v>
      </c>
      <c r="J2481" t="s">
        <v>27</v>
      </c>
      <c r="K2481" t="str">
        <f>_xlfn.XLOOKUP(datos_ventas[[#This Row],[Ciudad]],Tabla2[Ciudades],Tabla2[Provincias],"no se encuentra")</f>
        <v>Sevilla</v>
      </c>
      <c r="L2481" t="str">
        <f>_xlfn.XLOOKUP(datos_ventas[[#This Row],[Provincia]],Tabla2[Provincias],Tabla2[Comunidades],"no se encuentra")</f>
        <v>Andalucía</v>
      </c>
      <c r="M2481" t="s">
        <v>15</v>
      </c>
      <c r="N2481">
        <v>4</v>
      </c>
    </row>
    <row r="2482" spans="1:14" x14ac:dyDescent="0.25">
      <c r="A2482">
        <v>3481</v>
      </c>
      <c r="B2482" s="1">
        <v>45906</v>
      </c>
      <c r="C2482" s="4">
        <f>MONTH(datos_ventas[[#This Row],[Fecha]])</f>
        <v>9</v>
      </c>
      <c r="D2482" s="4">
        <f>WEEKNUM(datos_ventas[[#This Row],[Fecha]],2)</f>
        <v>36</v>
      </c>
      <c r="E2482" t="s">
        <v>26</v>
      </c>
      <c r="F2482" t="s">
        <v>18</v>
      </c>
      <c r="G2482">
        <v>3</v>
      </c>
      <c r="H2482">
        <v>3606</v>
      </c>
      <c r="I2482">
        <v>2704</v>
      </c>
      <c r="J2482" t="s">
        <v>12</v>
      </c>
      <c r="K2482" t="str">
        <f>_xlfn.XLOOKUP(datos_ventas[[#This Row],[Ciudad]],Tabla2[Ciudades],Tabla2[Provincias],"no se encuentra")</f>
        <v>Málaga</v>
      </c>
      <c r="L2482" t="str">
        <f>_xlfn.XLOOKUP(datos_ventas[[#This Row],[Provincia]],Tabla2[Provincias],Tabla2[Comunidades],"no se encuentra")</f>
        <v>Andalucía</v>
      </c>
      <c r="M2482" t="s">
        <v>15</v>
      </c>
      <c r="N2482">
        <v>3</v>
      </c>
    </row>
    <row r="2483" spans="1:14" x14ac:dyDescent="0.25">
      <c r="A2483">
        <v>3482</v>
      </c>
      <c r="B2483" s="1">
        <v>45964</v>
      </c>
      <c r="C2483" s="4">
        <f>MONTH(datos_ventas[[#This Row],[Fecha]])</f>
        <v>11</v>
      </c>
      <c r="D2483" s="4">
        <f>WEEKNUM(datos_ventas[[#This Row],[Fecha]],2)</f>
        <v>45</v>
      </c>
      <c r="E2483" t="s">
        <v>20</v>
      </c>
      <c r="F2483" t="s">
        <v>21</v>
      </c>
      <c r="G2483">
        <v>1</v>
      </c>
      <c r="H2483">
        <v>28467</v>
      </c>
      <c r="I2483">
        <v>842</v>
      </c>
      <c r="J2483" t="s">
        <v>14</v>
      </c>
      <c r="K2483" t="str">
        <f>_xlfn.XLOOKUP(datos_ventas[[#This Row],[Ciudad]],Tabla2[Ciudades],Tabla2[Provincias],"no se encuentra")</f>
        <v>Madrid</v>
      </c>
      <c r="L2483" t="str">
        <f>_xlfn.XLOOKUP(datos_ventas[[#This Row],[Provincia]],Tabla2[Provincias],Tabla2[Comunidades],"no se encuentra")</f>
        <v>Comunidad de Madrid</v>
      </c>
      <c r="M2483" t="s">
        <v>15</v>
      </c>
      <c r="N2483">
        <v>4</v>
      </c>
    </row>
    <row r="2484" spans="1:14" x14ac:dyDescent="0.25">
      <c r="A2484">
        <v>3483</v>
      </c>
      <c r="B2484" s="1">
        <v>45873</v>
      </c>
      <c r="C2484" s="4">
        <f>MONTH(datos_ventas[[#This Row],[Fecha]])</f>
        <v>8</v>
      </c>
      <c r="D2484" s="4">
        <f>WEEKNUM(datos_ventas[[#This Row],[Fecha]],2)</f>
        <v>32</v>
      </c>
      <c r="E2484" t="s">
        <v>29</v>
      </c>
      <c r="F2484" t="s">
        <v>30</v>
      </c>
      <c r="G2484">
        <v>3</v>
      </c>
      <c r="H2484">
        <v>89389</v>
      </c>
      <c r="I2484">
        <v>443</v>
      </c>
      <c r="J2484" t="s">
        <v>12</v>
      </c>
      <c r="K2484" t="str">
        <f>_xlfn.XLOOKUP(datos_ventas[[#This Row],[Ciudad]],Tabla2[Ciudades],Tabla2[Provincias],"no se encuentra")</f>
        <v>Málaga</v>
      </c>
      <c r="L2484" t="str">
        <f>_xlfn.XLOOKUP(datos_ventas[[#This Row],[Provincia]],Tabla2[Provincias],Tabla2[Comunidades],"no se encuentra")</f>
        <v>Andalucía</v>
      </c>
      <c r="M2484" t="s">
        <v>28</v>
      </c>
      <c r="N2484">
        <v>2</v>
      </c>
    </row>
    <row r="2485" spans="1:14" x14ac:dyDescent="0.25">
      <c r="A2485">
        <v>3484</v>
      </c>
      <c r="B2485" s="1">
        <v>45774</v>
      </c>
      <c r="C2485" s="4">
        <f>MONTH(datos_ventas[[#This Row],[Fecha]])</f>
        <v>4</v>
      </c>
      <c r="D2485" s="4">
        <f>WEEKNUM(datos_ventas[[#This Row],[Fecha]],2)</f>
        <v>17</v>
      </c>
      <c r="E2485" t="s">
        <v>24</v>
      </c>
      <c r="F2485" t="s">
        <v>25</v>
      </c>
      <c r="G2485">
        <v>3</v>
      </c>
      <c r="H2485">
        <v>79837</v>
      </c>
      <c r="I2485">
        <v>3016</v>
      </c>
      <c r="J2485" t="s">
        <v>31</v>
      </c>
      <c r="K2485" t="str">
        <f>_xlfn.XLOOKUP(datos_ventas[[#This Row],[Ciudad]],Tabla2[Ciudades],Tabla2[Provincias],"no se encuentra")</f>
        <v>Vizcaya</v>
      </c>
      <c r="L2485" t="str">
        <f>_xlfn.XLOOKUP(datos_ventas[[#This Row],[Provincia]],Tabla2[Provincias],Tabla2[Comunidades],"no se encuentra")</f>
        <v>País Vasco</v>
      </c>
      <c r="M2485" t="s">
        <v>28</v>
      </c>
      <c r="N2485">
        <v>2</v>
      </c>
    </row>
    <row r="2486" spans="1:14" x14ac:dyDescent="0.25">
      <c r="A2486">
        <v>3485</v>
      </c>
      <c r="B2486" s="1">
        <v>45937</v>
      </c>
      <c r="C2486" s="4">
        <f>MONTH(datos_ventas[[#This Row],[Fecha]])</f>
        <v>10</v>
      </c>
      <c r="D2486" s="4">
        <f>WEEKNUM(datos_ventas[[#This Row],[Fecha]],2)</f>
        <v>41</v>
      </c>
      <c r="E2486" t="s">
        <v>20</v>
      </c>
      <c r="F2486" t="s">
        <v>21</v>
      </c>
      <c r="G2486">
        <v>3</v>
      </c>
      <c r="H2486">
        <v>24655</v>
      </c>
      <c r="I2486">
        <v>421</v>
      </c>
      <c r="J2486" t="s">
        <v>27</v>
      </c>
      <c r="K2486" t="str">
        <f>_xlfn.XLOOKUP(datos_ventas[[#This Row],[Ciudad]],Tabla2[Ciudades],Tabla2[Provincias],"no se encuentra")</f>
        <v>Sevilla</v>
      </c>
      <c r="L2486" t="str">
        <f>_xlfn.XLOOKUP(datos_ventas[[#This Row],[Provincia]],Tabla2[Provincias],Tabla2[Comunidades],"no se encuentra")</f>
        <v>Andalucía</v>
      </c>
      <c r="M2486" t="s">
        <v>13</v>
      </c>
      <c r="N2486">
        <v>1</v>
      </c>
    </row>
    <row r="2487" spans="1:14" x14ac:dyDescent="0.25">
      <c r="A2487">
        <v>3486</v>
      </c>
      <c r="B2487" s="1">
        <v>45697</v>
      </c>
      <c r="C2487" s="4">
        <f>MONTH(datos_ventas[[#This Row],[Fecha]])</f>
        <v>2</v>
      </c>
      <c r="D2487" s="4">
        <f>WEEKNUM(datos_ventas[[#This Row],[Fecha]],2)</f>
        <v>6</v>
      </c>
      <c r="E2487" t="s">
        <v>20</v>
      </c>
      <c r="F2487" t="s">
        <v>21</v>
      </c>
      <c r="G2487">
        <v>4</v>
      </c>
      <c r="H2487">
        <v>79468</v>
      </c>
      <c r="I2487">
        <v>4161</v>
      </c>
      <c r="J2487" t="s">
        <v>14</v>
      </c>
      <c r="K2487" t="str">
        <f>_xlfn.XLOOKUP(datos_ventas[[#This Row],[Ciudad]],Tabla2[Ciudades],Tabla2[Provincias],"no se encuentra")</f>
        <v>Madrid</v>
      </c>
      <c r="L2487" t="str">
        <f>_xlfn.XLOOKUP(datos_ventas[[#This Row],[Provincia]],Tabla2[Provincias],Tabla2[Comunidades],"no se encuentra")</f>
        <v>Comunidad de Madrid</v>
      </c>
      <c r="M2487" t="s">
        <v>19</v>
      </c>
      <c r="N2487">
        <v>2</v>
      </c>
    </row>
    <row r="2488" spans="1:14" x14ac:dyDescent="0.25">
      <c r="A2488">
        <v>3487</v>
      </c>
      <c r="B2488" s="1">
        <v>45977</v>
      </c>
      <c r="C2488" s="4">
        <f>MONTH(datos_ventas[[#This Row],[Fecha]])</f>
        <v>11</v>
      </c>
      <c r="D2488" s="4">
        <f>WEEKNUM(datos_ventas[[#This Row],[Fecha]],2)</f>
        <v>46</v>
      </c>
      <c r="E2488" t="s">
        <v>16</v>
      </c>
      <c r="F2488" t="s">
        <v>11</v>
      </c>
      <c r="G2488">
        <v>3</v>
      </c>
      <c r="H2488">
        <v>113683</v>
      </c>
      <c r="I2488">
        <v>712</v>
      </c>
      <c r="J2488" t="s">
        <v>27</v>
      </c>
      <c r="K2488" t="str">
        <f>_xlfn.XLOOKUP(datos_ventas[[#This Row],[Ciudad]],Tabla2[Ciudades],Tabla2[Provincias],"no se encuentra")</f>
        <v>Sevilla</v>
      </c>
      <c r="L2488" t="str">
        <f>_xlfn.XLOOKUP(datos_ventas[[#This Row],[Provincia]],Tabla2[Provincias],Tabla2[Comunidades],"no se encuentra")</f>
        <v>Andalucía</v>
      </c>
      <c r="M2488" t="s">
        <v>28</v>
      </c>
      <c r="N2488">
        <v>2</v>
      </c>
    </row>
    <row r="2489" spans="1:14" x14ac:dyDescent="0.25">
      <c r="A2489">
        <v>3488</v>
      </c>
      <c r="B2489" s="1">
        <v>46005</v>
      </c>
      <c r="C2489" s="4">
        <f>MONTH(datos_ventas[[#This Row],[Fecha]])</f>
        <v>12</v>
      </c>
      <c r="D2489" s="4">
        <f>WEEKNUM(datos_ventas[[#This Row],[Fecha]],2)</f>
        <v>50</v>
      </c>
      <c r="E2489" t="s">
        <v>29</v>
      </c>
      <c r="F2489" t="s">
        <v>30</v>
      </c>
      <c r="G2489">
        <v>2</v>
      </c>
      <c r="H2489">
        <v>117591</v>
      </c>
      <c r="I2489">
        <v>3132</v>
      </c>
      <c r="J2489" t="s">
        <v>12</v>
      </c>
      <c r="K2489" t="str">
        <f>_xlfn.XLOOKUP(datos_ventas[[#This Row],[Ciudad]],Tabla2[Ciudades],Tabla2[Provincias],"no se encuentra")</f>
        <v>Málaga</v>
      </c>
      <c r="L2489" t="str">
        <f>_xlfn.XLOOKUP(datos_ventas[[#This Row],[Provincia]],Tabla2[Provincias],Tabla2[Comunidades],"no se encuentra")</f>
        <v>Andalucía</v>
      </c>
      <c r="M2489" t="s">
        <v>15</v>
      </c>
      <c r="N2489">
        <v>1</v>
      </c>
    </row>
    <row r="2490" spans="1:14" x14ac:dyDescent="0.25">
      <c r="A2490">
        <v>3489</v>
      </c>
      <c r="B2490" s="1">
        <v>45971</v>
      </c>
      <c r="C2490" s="4">
        <f>MONTH(datos_ventas[[#This Row],[Fecha]])</f>
        <v>11</v>
      </c>
      <c r="D2490" s="4">
        <f>WEEKNUM(datos_ventas[[#This Row],[Fecha]],2)</f>
        <v>46</v>
      </c>
      <c r="E2490" t="s">
        <v>17</v>
      </c>
      <c r="F2490" t="s">
        <v>18</v>
      </c>
      <c r="G2490">
        <v>2</v>
      </c>
      <c r="H2490">
        <v>66797</v>
      </c>
      <c r="I2490">
        <v>3089</v>
      </c>
      <c r="J2490" t="s">
        <v>14</v>
      </c>
      <c r="K2490" t="str">
        <f>_xlfn.XLOOKUP(datos_ventas[[#This Row],[Ciudad]],Tabla2[Ciudades],Tabla2[Provincias],"no se encuentra")</f>
        <v>Madrid</v>
      </c>
      <c r="L2490" t="str">
        <f>_xlfn.XLOOKUP(datos_ventas[[#This Row],[Provincia]],Tabla2[Provincias],Tabla2[Comunidades],"no se encuentra")</f>
        <v>Comunidad de Madrid</v>
      </c>
      <c r="M2490" t="s">
        <v>19</v>
      </c>
      <c r="N2490">
        <v>1</v>
      </c>
    </row>
    <row r="2491" spans="1:14" x14ac:dyDescent="0.25">
      <c r="A2491">
        <v>3490</v>
      </c>
      <c r="B2491" s="1">
        <v>45933</v>
      </c>
      <c r="C2491" s="4">
        <f>MONTH(datos_ventas[[#This Row],[Fecha]])</f>
        <v>10</v>
      </c>
      <c r="D2491" s="4">
        <f>WEEKNUM(datos_ventas[[#This Row],[Fecha]],2)</f>
        <v>40</v>
      </c>
      <c r="E2491" t="s">
        <v>23</v>
      </c>
      <c r="F2491" t="s">
        <v>18</v>
      </c>
      <c r="G2491">
        <v>2</v>
      </c>
      <c r="H2491">
        <v>77873</v>
      </c>
      <c r="I2491">
        <v>1666</v>
      </c>
      <c r="J2491" t="s">
        <v>32</v>
      </c>
      <c r="K2491" t="str">
        <f>_xlfn.XLOOKUP(datos_ventas[[#This Row],[Ciudad]],Tabla2[Ciudades],Tabla2[Provincias],"no se encuentra")</f>
        <v>Barcelona</v>
      </c>
      <c r="L2491" t="str">
        <f>_xlfn.XLOOKUP(datos_ventas[[#This Row],[Provincia]],Tabla2[Provincias],Tabla2[Comunidades],"no se encuentra")</f>
        <v>Cataluña</v>
      </c>
      <c r="M2491" t="s">
        <v>15</v>
      </c>
      <c r="N2491">
        <v>4</v>
      </c>
    </row>
    <row r="2492" spans="1:14" x14ac:dyDescent="0.25">
      <c r="A2492">
        <v>3491</v>
      </c>
      <c r="B2492" s="1">
        <v>45879</v>
      </c>
      <c r="C2492" s="4">
        <f>MONTH(datos_ventas[[#This Row],[Fecha]])</f>
        <v>8</v>
      </c>
      <c r="D2492" s="4">
        <f>WEEKNUM(datos_ventas[[#This Row],[Fecha]],2)</f>
        <v>32</v>
      </c>
      <c r="E2492" t="s">
        <v>20</v>
      </c>
      <c r="F2492" t="s">
        <v>21</v>
      </c>
      <c r="G2492">
        <v>1</v>
      </c>
      <c r="H2492">
        <v>107188</v>
      </c>
      <c r="I2492">
        <v>2388</v>
      </c>
      <c r="J2492" t="s">
        <v>12</v>
      </c>
      <c r="K2492" t="str">
        <f>_xlfn.XLOOKUP(datos_ventas[[#This Row],[Ciudad]],Tabla2[Ciudades],Tabla2[Provincias],"no se encuentra")</f>
        <v>Málaga</v>
      </c>
      <c r="L2492" t="str">
        <f>_xlfn.XLOOKUP(datos_ventas[[#This Row],[Provincia]],Tabla2[Provincias],Tabla2[Comunidades],"no se encuentra")</f>
        <v>Andalucía</v>
      </c>
      <c r="M2492" t="s">
        <v>28</v>
      </c>
      <c r="N2492">
        <v>3</v>
      </c>
    </row>
    <row r="2493" spans="1:14" x14ac:dyDescent="0.25">
      <c r="A2493">
        <v>3492</v>
      </c>
      <c r="B2493" s="1">
        <v>45914</v>
      </c>
      <c r="C2493" s="4">
        <f>MONTH(datos_ventas[[#This Row],[Fecha]])</f>
        <v>9</v>
      </c>
      <c r="D2493" s="4">
        <f>WEEKNUM(datos_ventas[[#This Row],[Fecha]],2)</f>
        <v>37</v>
      </c>
      <c r="E2493" t="s">
        <v>23</v>
      </c>
      <c r="F2493" t="s">
        <v>18</v>
      </c>
      <c r="G2493">
        <v>5</v>
      </c>
      <c r="H2493">
        <v>5401</v>
      </c>
      <c r="I2493">
        <v>1384</v>
      </c>
      <c r="J2493" t="s">
        <v>27</v>
      </c>
      <c r="K2493" t="str">
        <f>_xlfn.XLOOKUP(datos_ventas[[#This Row],[Ciudad]],Tabla2[Ciudades],Tabla2[Provincias],"no se encuentra")</f>
        <v>Sevilla</v>
      </c>
      <c r="L2493" t="str">
        <f>_xlfn.XLOOKUP(datos_ventas[[#This Row],[Provincia]],Tabla2[Provincias],Tabla2[Comunidades],"no se encuentra")</f>
        <v>Andalucía</v>
      </c>
      <c r="M2493" t="s">
        <v>19</v>
      </c>
      <c r="N2493">
        <v>3</v>
      </c>
    </row>
    <row r="2494" spans="1:14" x14ac:dyDescent="0.25">
      <c r="A2494">
        <v>3493</v>
      </c>
      <c r="B2494" s="1">
        <v>45753</v>
      </c>
      <c r="C2494" s="4">
        <f>MONTH(datos_ventas[[#This Row],[Fecha]])</f>
        <v>4</v>
      </c>
      <c r="D2494" s="4">
        <f>WEEKNUM(datos_ventas[[#This Row],[Fecha]],2)</f>
        <v>14</v>
      </c>
      <c r="E2494" t="s">
        <v>24</v>
      </c>
      <c r="F2494" t="s">
        <v>25</v>
      </c>
      <c r="G2494">
        <v>4</v>
      </c>
      <c r="H2494">
        <v>36546</v>
      </c>
      <c r="I2494">
        <v>1187</v>
      </c>
      <c r="J2494" t="s">
        <v>27</v>
      </c>
      <c r="K2494" t="str">
        <f>_xlfn.XLOOKUP(datos_ventas[[#This Row],[Ciudad]],Tabla2[Ciudades],Tabla2[Provincias],"no se encuentra")</f>
        <v>Sevilla</v>
      </c>
      <c r="L2494" t="str">
        <f>_xlfn.XLOOKUP(datos_ventas[[#This Row],[Provincia]],Tabla2[Provincias],Tabla2[Comunidades],"no se encuentra")</f>
        <v>Andalucía</v>
      </c>
      <c r="M2494" t="s">
        <v>15</v>
      </c>
      <c r="N2494">
        <v>1</v>
      </c>
    </row>
    <row r="2495" spans="1:14" x14ac:dyDescent="0.25">
      <c r="A2495">
        <v>3494</v>
      </c>
      <c r="B2495" s="1">
        <v>46020</v>
      </c>
      <c r="C2495" s="4">
        <f>MONTH(datos_ventas[[#This Row],[Fecha]])</f>
        <v>12</v>
      </c>
      <c r="D2495" s="4">
        <f>WEEKNUM(datos_ventas[[#This Row],[Fecha]],2)</f>
        <v>53</v>
      </c>
      <c r="E2495" t="s">
        <v>29</v>
      </c>
      <c r="F2495" t="s">
        <v>30</v>
      </c>
      <c r="G2495">
        <v>1</v>
      </c>
      <c r="H2495">
        <v>5813</v>
      </c>
      <c r="I2495">
        <v>797</v>
      </c>
      <c r="J2495" t="s">
        <v>14</v>
      </c>
      <c r="K2495" t="str">
        <f>_xlfn.XLOOKUP(datos_ventas[[#This Row],[Ciudad]],Tabla2[Ciudades],Tabla2[Provincias],"no se encuentra")</f>
        <v>Madrid</v>
      </c>
      <c r="L2495" t="str">
        <f>_xlfn.XLOOKUP(datos_ventas[[#This Row],[Provincia]],Tabla2[Provincias],Tabla2[Comunidades],"no se encuentra")</f>
        <v>Comunidad de Madrid</v>
      </c>
      <c r="M2495" t="s">
        <v>13</v>
      </c>
      <c r="N2495">
        <v>5</v>
      </c>
    </row>
    <row r="2496" spans="1:14" x14ac:dyDescent="0.25">
      <c r="A2496">
        <v>3495</v>
      </c>
      <c r="B2496" s="1">
        <v>45707</v>
      </c>
      <c r="C2496" s="4">
        <f>MONTH(datos_ventas[[#This Row],[Fecha]])</f>
        <v>2</v>
      </c>
      <c r="D2496" s="4">
        <f>WEEKNUM(datos_ventas[[#This Row],[Fecha]],2)</f>
        <v>8</v>
      </c>
      <c r="E2496" t="s">
        <v>16</v>
      </c>
      <c r="F2496" t="s">
        <v>11</v>
      </c>
      <c r="G2496">
        <v>2</v>
      </c>
      <c r="H2496">
        <v>34324</v>
      </c>
      <c r="I2496">
        <v>2213</v>
      </c>
      <c r="J2496" t="s">
        <v>27</v>
      </c>
      <c r="K2496" t="str">
        <f>_xlfn.XLOOKUP(datos_ventas[[#This Row],[Ciudad]],Tabla2[Ciudades],Tabla2[Provincias],"no se encuentra")</f>
        <v>Sevilla</v>
      </c>
      <c r="L2496" t="str">
        <f>_xlfn.XLOOKUP(datos_ventas[[#This Row],[Provincia]],Tabla2[Provincias],Tabla2[Comunidades],"no se encuentra")</f>
        <v>Andalucía</v>
      </c>
      <c r="M2496" t="s">
        <v>28</v>
      </c>
      <c r="N2496">
        <v>4</v>
      </c>
    </row>
    <row r="2497" spans="1:14" x14ac:dyDescent="0.25">
      <c r="A2497">
        <v>3496</v>
      </c>
      <c r="B2497" s="1">
        <v>45824</v>
      </c>
      <c r="C2497" s="4">
        <f>MONTH(datos_ventas[[#This Row],[Fecha]])</f>
        <v>6</v>
      </c>
      <c r="D2497" s="4">
        <f>WEEKNUM(datos_ventas[[#This Row],[Fecha]],2)</f>
        <v>25</v>
      </c>
      <c r="E2497" t="s">
        <v>10</v>
      </c>
      <c r="F2497" t="s">
        <v>11</v>
      </c>
      <c r="G2497">
        <v>2</v>
      </c>
      <c r="H2497">
        <v>47061</v>
      </c>
      <c r="I2497">
        <v>1335</v>
      </c>
      <c r="J2497" t="s">
        <v>31</v>
      </c>
      <c r="K2497" t="str">
        <f>_xlfn.XLOOKUP(datos_ventas[[#This Row],[Ciudad]],Tabla2[Ciudades],Tabla2[Provincias],"no se encuentra")</f>
        <v>Vizcaya</v>
      </c>
      <c r="L2497" t="str">
        <f>_xlfn.XLOOKUP(datos_ventas[[#This Row],[Provincia]],Tabla2[Provincias],Tabla2[Comunidades],"no se encuentra")</f>
        <v>País Vasco</v>
      </c>
      <c r="M2497" t="s">
        <v>15</v>
      </c>
      <c r="N2497">
        <v>1</v>
      </c>
    </row>
    <row r="2498" spans="1:14" x14ac:dyDescent="0.25">
      <c r="A2498">
        <v>3497</v>
      </c>
      <c r="B2498" s="1">
        <v>45790</v>
      </c>
      <c r="C2498" s="4">
        <f>MONTH(datos_ventas[[#This Row],[Fecha]])</f>
        <v>5</v>
      </c>
      <c r="D2498" s="4">
        <f>WEEKNUM(datos_ventas[[#This Row],[Fecha]],2)</f>
        <v>20</v>
      </c>
      <c r="E2498" t="s">
        <v>24</v>
      </c>
      <c r="F2498" t="s">
        <v>25</v>
      </c>
      <c r="G2498">
        <v>2</v>
      </c>
      <c r="H2498">
        <v>291</v>
      </c>
      <c r="I2498">
        <v>1512</v>
      </c>
      <c r="J2498" t="s">
        <v>27</v>
      </c>
      <c r="K2498" t="str">
        <f>_xlfn.XLOOKUP(datos_ventas[[#This Row],[Ciudad]],Tabla2[Ciudades],Tabla2[Provincias],"no se encuentra")</f>
        <v>Sevilla</v>
      </c>
      <c r="L2498" t="str">
        <f>_xlfn.XLOOKUP(datos_ventas[[#This Row],[Provincia]],Tabla2[Provincias],Tabla2[Comunidades],"no se encuentra")</f>
        <v>Andalucía</v>
      </c>
      <c r="M2498" t="s">
        <v>28</v>
      </c>
      <c r="N2498">
        <v>1</v>
      </c>
    </row>
    <row r="2499" spans="1:14" x14ac:dyDescent="0.25">
      <c r="A2499">
        <v>3498</v>
      </c>
      <c r="B2499" s="1">
        <v>45809</v>
      </c>
      <c r="C2499" s="4">
        <f>MONTH(datos_ventas[[#This Row],[Fecha]])</f>
        <v>6</v>
      </c>
      <c r="D2499" s="4">
        <f>WEEKNUM(datos_ventas[[#This Row],[Fecha]],2)</f>
        <v>22</v>
      </c>
      <c r="E2499" t="s">
        <v>10</v>
      </c>
      <c r="F2499" t="s">
        <v>11</v>
      </c>
      <c r="G2499">
        <v>5</v>
      </c>
      <c r="H2499">
        <v>59794</v>
      </c>
      <c r="I2499">
        <v>4162</v>
      </c>
      <c r="J2499" t="s">
        <v>14</v>
      </c>
      <c r="K2499" t="str">
        <f>_xlfn.XLOOKUP(datos_ventas[[#This Row],[Ciudad]],Tabla2[Ciudades],Tabla2[Provincias],"no se encuentra")</f>
        <v>Madrid</v>
      </c>
      <c r="L2499" t="str">
        <f>_xlfn.XLOOKUP(datos_ventas[[#This Row],[Provincia]],Tabla2[Provincias],Tabla2[Comunidades],"no se encuentra")</f>
        <v>Comunidad de Madrid</v>
      </c>
      <c r="M2499" t="s">
        <v>19</v>
      </c>
      <c r="N2499">
        <v>5</v>
      </c>
    </row>
    <row r="2500" spans="1:14" x14ac:dyDescent="0.25">
      <c r="A2500">
        <v>3499</v>
      </c>
      <c r="B2500" s="1">
        <v>45972</v>
      </c>
      <c r="C2500" s="4">
        <f>MONTH(datos_ventas[[#This Row],[Fecha]])</f>
        <v>11</v>
      </c>
      <c r="D2500" s="4">
        <f>WEEKNUM(datos_ventas[[#This Row],[Fecha]],2)</f>
        <v>46</v>
      </c>
      <c r="E2500" t="s">
        <v>17</v>
      </c>
      <c r="F2500" t="s">
        <v>18</v>
      </c>
      <c r="G2500">
        <v>5</v>
      </c>
      <c r="H2500">
        <v>3821</v>
      </c>
      <c r="I2500">
        <v>1746</v>
      </c>
      <c r="J2500" t="s">
        <v>32</v>
      </c>
      <c r="K2500" t="str">
        <f>_xlfn.XLOOKUP(datos_ventas[[#This Row],[Ciudad]],Tabla2[Ciudades],Tabla2[Provincias],"no se encuentra")</f>
        <v>Barcelona</v>
      </c>
      <c r="L2500" t="str">
        <f>_xlfn.XLOOKUP(datos_ventas[[#This Row],[Provincia]],Tabla2[Provincias],Tabla2[Comunidades],"no se encuentra")</f>
        <v>Cataluña</v>
      </c>
      <c r="M2500" t="s">
        <v>15</v>
      </c>
      <c r="N2500">
        <v>2</v>
      </c>
    </row>
    <row r="2501" spans="1:14" x14ac:dyDescent="0.25">
      <c r="A2501">
        <v>3500</v>
      </c>
      <c r="B2501" s="1">
        <v>45667</v>
      </c>
      <c r="C2501" s="4">
        <f>MONTH(datos_ventas[[#This Row],[Fecha]])</f>
        <v>1</v>
      </c>
      <c r="D2501" s="4">
        <f>WEEKNUM(datos_ventas[[#This Row],[Fecha]],2)</f>
        <v>2</v>
      </c>
      <c r="E2501" t="s">
        <v>20</v>
      </c>
      <c r="F2501" t="s">
        <v>21</v>
      </c>
      <c r="G2501">
        <v>3</v>
      </c>
      <c r="H2501">
        <v>94726</v>
      </c>
      <c r="I2501">
        <v>3767</v>
      </c>
      <c r="J2501" t="s">
        <v>12</v>
      </c>
      <c r="K2501" t="str">
        <f>_xlfn.XLOOKUP(datos_ventas[[#This Row],[Ciudad]],Tabla2[Ciudades],Tabla2[Provincias],"no se encuentra")</f>
        <v>Málaga</v>
      </c>
      <c r="L2501" t="str">
        <f>_xlfn.XLOOKUP(datos_ventas[[#This Row],[Provincia]],Tabla2[Provincias],Tabla2[Comunidades],"no se encuentra")</f>
        <v>Andalucía</v>
      </c>
      <c r="M2501" t="s">
        <v>13</v>
      </c>
      <c r="N2501">
        <v>1</v>
      </c>
    </row>
    <row r="2502" spans="1:14" x14ac:dyDescent="0.25">
      <c r="A2502">
        <v>3501</v>
      </c>
      <c r="B2502" s="1">
        <v>45836</v>
      </c>
      <c r="C2502" s="4">
        <f>MONTH(datos_ventas[[#This Row],[Fecha]])</f>
        <v>6</v>
      </c>
      <c r="D2502" s="4">
        <f>WEEKNUM(datos_ventas[[#This Row],[Fecha]],2)</f>
        <v>26</v>
      </c>
      <c r="E2502" t="s">
        <v>20</v>
      </c>
      <c r="F2502" t="s">
        <v>21</v>
      </c>
      <c r="G2502">
        <v>3</v>
      </c>
      <c r="H2502">
        <v>24852</v>
      </c>
      <c r="I2502">
        <v>3211</v>
      </c>
      <c r="J2502" t="s">
        <v>14</v>
      </c>
      <c r="K2502" t="str">
        <f>_xlfn.XLOOKUP(datos_ventas[[#This Row],[Ciudad]],Tabla2[Ciudades],Tabla2[Provincias],"no se encuentra")</f>
        <v>Madrid</v>
      </c>
      <c r="L2502" t="str">
        <f>_xlfn.XLOOKUP(datos_ventas[[#This Row],[Provincia]],Tabla2[Provincias],Tabla2[Comunidades],"no se encuentra")</f>
        <v>Comunidad de Madrid</v>
      </c>
      <c r="M2502" t="s">
        <v>13</v>
      </c>
      <c r="N2502">
        <v>1</v>
      </c>
    </row>
    <row r="2503" spans="1:14" x14ac:dyDescent="0.25">
      <c r="A2503">
        <v>3502</v>
      </c>
      <c r="B2503" s="1">
        <v>45719</v>
      </c>
      <c r="C2503" s="4">
        <f>MONTH(datos_ventas[[#This Row],[Fecha]])</f>
        <v>3</v>
      </c>
      <c r="D2503" s="4">
        <f>WEEKNUM(datos_ventas[[#This Row],[Fecha]],2)</f>
        <v>10</v>
      </c>
      <c r="E2503" t="s">
        <v>17</v>
      </c>
      <c r="F2503" t="s">
        <v>18</v>
      </c>
      <c r="G2503">
        <v>1</v>
      </c>
      <c r="H2503">
        <v>106112</v>
      </c>
      <c r="I2503">
        <v>2426</v>
      </c>
      <c r="J2503" t="s">
        <v>31</v>
      </c>
      <c r="K2503" t="str">
        <f>_xlfn.XLOOKUP(datos_ventas[[#This Row],[Ciudad]],Tabla2[Ciudades],Tabla2[Provincias],"no se encuentra")</f>
        <v>Vizcaya</v>
      </c>
      <c r="L2503" t="str">
        <f>_xlfn.XLOOKUP(datos_ventas[[#This Row],[Provincia]],Tabla2[Provincias],Tabla2[Comunidades],"no se encuentra")</f>
        <v>País Vasco</v>
      </c>
      <c r="M2503" t="s">
        <v>15</v>
      </c>
      <c r="N2503">
        <v>5</v>
      </c>
    </row>
    <row r="2504" spans="1:14" x14ac:dyDescent="0.25">
      <c r="A2504">
        <v>3503</v>
      </c>
      <c r="B2504" s="1">
        <v>45688</v>
      </c>
      <c r="C2504" s="4">
        <f>MONTH(datos_ventas[[#This Row],[Fecha]])</f>
        <v>1</v>
      </c>
      <c r="D2504" s="4">
        <f>WEEKNUM(datos_ventas[[#This Row],[Fecha]],2)</f>
        <v>5</v>
      </c>
      <c r="E2504" t="s">
        <v>17</v>
      </c>
      <c r="F2504" t="s">
        <v>18</v>
      </c>
      <c r="G2504">
        <v>3</v>
      </c>
      <c r="H2504">
        <v>112848</v>
      </c>
      <c r="I2504">
        <v>4883</v>
      </c>
      <c r="J2504" t="s">
        <v>31</v>
      </c>
      <c r="K2504" t="str">
        <f>_xlfn.XLOOKUP(datos_ventas[[#This Row],[Ciudad]],Tabla2[Ciudades],Tabla2[Provincias],"no se encuentra")</f>
        <v>Vizcaya</v>
      </c>
      <c r="L2504" t="str">
        <f>_xlfn.XLOOKUP(datos_ventas[[#This Row],[Provincia]],Tabla2[Provincias],Tabla2[Comunidades],"no se encuentra")</f>
        <v>País Vasco</v>
      </c>
      <c r="M2504" t="s">
        <v>15</v>
      </c>
      <c r="N2504">
        <v>2</v>
      </c>
    </row>
    <row r="2505" spans="1:14" x14ac:dyDescent="0.25">
      <c r="A2505">
        <v>3504</v>
      </c>
      <c r="B2505" s="1">
        <v>45741</v>
      </c>
      <c r="C2505" s="4">
        <f>MONTH(datos_ventas[[#This Row],[Fecha]])</f>
        <v>3</v>
      </c>
      <c r="D2505" s="4">
        <f>WEEKNUM(datos_ventas[[#This Row],[Fecha]],2)</f>
        <v>13</v>
      </c>
      <c r="E2505" t="s">
        <v>29</v>
      </c>
      <c r="F2505" t="s">
        <v>30</v>
      </c>
      <c r="G2505">
        <v>4</v>
      </c>
      <c r="H2505">
        <v>10086</v>
      </c>
      <c r="I2505">
        <v>3566</v>
      </c>
      <c r="J2505" t="s">
        <v>12</v>
      </c>
      <c r="K2505" t="str">
        <f>_xlfn.XLOOKUP(datos_ventas[[#This Row],[Ciudad]],Tabla2[Ciudades],Tabla2[Provincias],"no se encuentra")</f>
        <v>Málaga</v>
      </c>
      <c r="L2505" t="str">
        <f>_xlfn.XLOOKUP(datos_ventas[[#This Row],[Provincia]],Tabla2[Provincias],Tabla2[Comunidades],"no se encuentra")</f>
        <v>Andalucía</v>
      </c>
      <c r="M2505" t="s">
        <v>19</v>
      </c>
      <c r="N2505">
        <v>3</v>
      </c>
    </row>
    <row r="2506" spans="1:14" x14ac:dyDescent="0.25">
      <c r="A2506">
        <v>3505</v>
      </c>
      <c r="B2506" s="1">
        <v>45807</v>
      </c>
      <c r="C2506" s="4">
        <f>MONTH(datos_ventas[[#This Row],[Fecha]])</f>
        <v>5</v>
      </c>
      <c r="D2506" s="4">
        <f>WEEKNUM(datos_ventas[[#This Row],[Fecha]],2)</f>
        <v>22</v>
      </c>
      <c r="E2506" t="s">
        <v>10</v>
      </c>
      <c r="F2506" t="s">
        <v>11</v>
      </c>
      <c r="G2506">
        <v>4</v>
      </c>
      <c r="H2506">
        <v>37755</v>
      </c>
      <c r="I2506">
        <v>212</v>
      </c>
      <c r="J2506" t="s">
        <v>22</v>
      </c>
      <c r="K2506" t="str">
        <f>_xlfn.XLOOKUP(datos_ventas[[#This Row],[Ciudad]],Tabla2[Ciudades],Tabla2[Provincias],"no se encuentra")</f>
        <v>Valencia</v>
      </c>
      <c r="L2506" t="str">
        <f>_xlfn.XLOOKUP(datos_ventas[[#This Row],[Provincia]],Tabla2[Provincias],Tabla2[Comunidades],"no se encuentra")</f>
        <v>Comunidad Valenciana</v>
      </c>
      <c r="M2506" t="s">
        <v>15</v>
      </c>
      <c r="N2506">
        <v>3</v>
      </c>
    </row>
    <row r="2507" spans="1:14" x14ac:dyDescent="0.25">
      <c r="A2507">
        <v>3506</v>
      </c>
      <c r="B2507" s="1">
        <v>45678</v>
      </c>
      <c r="C2507" s="4">
        <f>MONTH(datos_ventas[[#This Row],[Fecha]])</f>
        <v>1</v>
      </c>
      <c r="D2507" s="4">
        <f>WEEKNUM(datos_ventas[[#This Row],[Fecha]],2)</f>
        <v>4</v>
      </c>
      <c r="E2507" t="s">
        <v>23</v>
      </c>
      <c r="F2507" t="s">
        <v>18</v>
      </c>
      <c r="G2507">
        <v>3</v>
      </c>
      <c r="H2507">
        <v>96221</v>
      </c>
      <c r="I2507">
        <v>1183</v>
      </c>
      <c r="J2507" t="s">
        <v>12</v>
      </c>
      <c r="K2507" t="str">
        <f>_xlfn.XLOOKUP(datos_ventas[[#This Row],[Ciudad]],Tabla2[Ciudades],Tabla2[Provincias],"no se encuentra")</f>
        <v>Málaga</v>
      </c>
      <c r="L2507" t="str">
        <f>_xlfn.XLOOKUP(datos_ventas[[#This Row],[Provincia]],Tabla2[Provincias],Tabla2[Comunidades],"no se encuentra")</f>
        <v>Andalucía</v>
      </c>
      <c r="M2507" t="s">
        <v>13</v>
      </c>
      <c r="N2507">
        <v>1</v>
      </c>
    </row>
    <row r="2508" spans="1:14" x14ac:dyDescent="0.25">
      <c r="A2508">
        <v>3507</v>
      </c>
      <c r="B2508" s="1">
        <v>45994</v>
      </c>
      <c r="C2508" s="4">
        <f>MONTH(datos_ventas[[#This Row],[Fecha]])</f>
        <v>12</v>
      </c>
      <c r="D2508" s="4">
        <f>WEEKNUM(datos_ventas[[#This Row],[Fecha]],2)</f>
        <v>49</v>
      </c>
      <c r="E2508" t="s">
        <v>10</v>
      </c>
      <c r="F2508" t="s">
        <v>11</v>
      </c>
      <c r="G2508">
        <v>2</v>
      </c>
      <c r="H2508">
        <v>12574</v>
      </c>
      <c r="I2508">
        <v>4607</v>
      </c>
      <c r="J2508" t="s">
        <v>32</v>
      </c>
      <c r="K2508" t="str">
        <f>_xlfn.XLOOKUP(datos_ventas[[#This Row],[Ciudad]],Tabla2[Ciudades],Tabla2[Provincias],"no se encuentra")</f>
        <v>Barcelona</v>
      </c>
      <c r="L2508" t="str">
        <f>_xlfn.XLOOKUP(datos_ventas[[#This Row],[Provincia]],Tabla2[Provincias],Tabla2[Comunidades],"no se encuentra")</f>
        <v>Cataluña</v>
      </c>
      <c r="M2508" t="s">
        <v>15</v>
      </c>
      <c r="N2508">
        <v>5</v>
      </c>
    </row>
    <row r="2509" spans="1:14" x14ac:dyDescent="0.25">
      <c r="A2509">
        <v>3508</v>
      </c>
      <c r="B2509" s="1">
        <v>45943</v>
      </c>
      <c r="C2509" s="4">
        <f>MONTH(datos_ventas[[#This Row],[Fecha]])</f>
        <v>10</v>
      </c>
      <c r="D2509" s="4">
        <f>WEEKNUM(datos_ventas[[#This Row],[Fecha]],2)</f>
        <v>42</v>
      </c>
      <c r="E2509" t="s">
        <v>17</v>
      </c>
      <c r="F2509" t="s">
        <v>18</v>
      </c>
      <c r="G2509">
        <v>3</v>
      </c>
      <c r="H2509">
        <v>24895</v>
      </c>
      <c r="I2509">
        <v>651</v>
      </c>
      <c r="J2509" t="s">
        <v>14</v>
      </c>
      <c r="K2509" t="str">
        <f>_xlfn.XLOOKUP(datos_ventas[[#This Row],[Ciudad]],Tabla2[Ciudades],Tabla2[Provincias],"no se encuentra")</f>
        <v>Madrid</v>
      </c>
      <c r="L2509" t="str">
        <f>_xlfn.XLOOKUP(datos_ventas[[#This Row],[Provincia]],Tabla2[Provincias],Tabla2[Comunidades],"no se encuentra")</f>
        <v>Comunidad de Madrid</v>
      </c>
      <c r="M2509" t="s">
        <v>13</v>
      </c>
      <c r="N2509">
        <v>4</v>
      </c>
    </row>
    <row r="2510" spans="1:14" x14ac:dyDescent="0.25">
      <c r="A2510">
        <v>3509</v>
      </c>
      <c r="B2510" s="1">
        <v>45762</v>
      </c>
      <c r="C2510" s="4">
        <f>MONTH(datos_ventas[[#This Row],[Fecha]])</f>
        <v>4</v>
      </c>
      <c r="D2510" s="4">
        <f>WEEKNUM(datos_ventas[[#This Row],[Fecha]],2)</f>
        <v>16</v>
      </c>
      <c r="E2510" t="s">
        <v>26</v>
      </c>
      <c r="F2510" t="s">
        <v>18</v>
      </c>
      <c r="G2510">
        <v>2</v>
      </c>
      <c r="H2510">
        <v>27627</v>
      </c>
      <c r="I2510">
        <v>2911</v>
      </c>
      <c r="J2510" t="s">
        <v>27</v>
      </c>
      <c r="K2510" t="str">
        <f>_xlfn.XLOOKUP(datos_ventas[[#This Row],[Ciudad]],Tabla2[Ciudades],Tabla2[Provincias],"no se encuentra")</f>
        <v>Sevilla</v>
      </c>
      <c r="L2510" t="str">
        <f>_xlfn.XLOOKUP(datos_ventas[[#This Row],[Provincia]],Tabla2[Provincias],Tabla2[Comunidades],"no se encuentra")</f>
        <v>Andalucía</v>
      </c>
      <c r="M2510" t="s">
        <v>28</v>
      </c>
      <c r="N2510">
        <v>2</v>
      </c>
    </row>
    <row r="2511" spans="1:14" x14ac:dyDescent="0.25">
      <c r="A2511">
        <v>3510</v>
      </c>
      <c r="B2511" s="1">
        <v>45752</v>
      </c>
      <c r="C2511" s="4">
        <f>MONTH(datos_ventas[[#This Row],[Fecha]])</f>
        <v>4</v>
      </c>
      <c r="D2511" s="4">
        <f>WEEKNUM(datos_ventas[[#This Row],[Fecha]],2)</f>
        <v>14</v>
      </c>
      <c r="E2511" t="s">
        <v>10</v>
      </c>
      <c r="F2511" t="s">
        <v>11</v>
      </c>
      <c r="G2511">
        <v>3</v>
      </c>
      <c r="H2511">
        <v>3415</v>
      </c>
      <c r="I2511">
        <v>4505</v>
      </c>
      <c r="J2511" t="s">
        <v>27</v>
      </c>
      <c r="K2511" t="str">
        <f>_xlfn.XLOOKUP(datos_ventas[[#This Row],[Ciudad]],Tabla2[Ciudades],Tabla2[Provincias],"no se encuentra")</f>
        <v>Sevilla</v>
      </c>
      <c r="L2511" t="str">
        <f>_xlfn.XLOOKUP(datos_ventas[[#This Row],[Provincia]],Tabla2[Provincias],Tabla2[Comunidades],"no se encuentra")</f>
        <v>Andalucía</v>
      </c>
      <c r="M2511" t="s">
        <v>15</v>
      </c>
      <c r="N2511">
        <v>3</v>
      </c>
    </row>
    <row r="2512" spans="1:14" x14ac:dyDescent="0.25">
      <c r="A2512">
        <v>3511</v>
      </c>
      <c r="B2512" s="1">
        <v>45682</v>
      </c>
      <c r="C2512" s="4">
        <f>MONTH(datos_ventas[[#This Row],[Fecha]])</f>
        <v>1</v>
      </c>
      <c r="D2512" s="4">
        <f>WEEKNUM(datos_ventas[[#This Row],[Fecha]],2)</f>
        <v>4</v>
      </c>
      <c r="E2512" t="s">
        <v>23</v>
      </c>
      <c r="F2512" t="s">
        <v>18</v>
      </c>
      <c r="G2512">
        <v>3</v>
      </c>
      <c r="H2512">
        <v>39644</v>
      </c>
      <c r="I2512">
        <v>885</v>
      </c>
      <c r="J2512" t="s">
        <v>22</v>
      </c>
      <c r="K2512" t="str">
        <f>_xlfn.XLOOKUP(datos_ventas[[#This Row],[Ciudad]],Tabla2[Ciudades],Tabla2[Provincias],"no se encuentra")</f>
        <v>Valencia</v>
      </c>
      <c r="L2512" t="str">
        <f>_xlfn.XLOOKUP(datos_ventas[[#This Row],[Provincia]],Tabla2[Provincias],Tabla2[Comunidades],"no se encuentra")</f>
        <v>Comunidad Valenciana</v>
      </c>
      <c r="M2512" t="s">
        <v>28</v>
      </c>
      <c r="N2512">
        <v>1</v>
      </c>
    </row>
    <row r="2513" spans="1:14" x14ac:dyDescent="0.25">
      <c r="A2513">
        <v>3512</v>
      </c>
      <c r="B2513" s="1">
        <v>45965</v>
      </c>
      <c r="C2513" s="4">
        <f>MONTH(datos_ventas[[#This Row],[Fecha]])</f>
        <v>11</v>
      </c>
      <c r="D2513" s="4">
        <f>WEEKNUM(datos_ventas[[#This Row],[Fecha]],2)</f>
        <v>45</v>
      </c>
      <c r="E2513" t="s">
        <v>10</v>
      </c>
      <c r="F2513" t="s">
        <v>11</v>
      </c>
      <c r="G2513">
        <v>5</v>
      </c>
      <c r="H2513">
        <v>29565</v>
      </c>
      <c r="I2513">
        <v>3676</v>
      </c>
      <c r="J2513" t="s">
        <v>27</v>
      </c>
      <c r="K2513" t="str">
        <f>_xlfn.XLOOKUP(datos_ventas[[#This Row],[Ciudad]],Tabla2[Ciudades],Tabla2[Provincias],"no se encuentra")</f>
        <v>Sevilla</v>
      </c>
      <c r="L2513" t="str">
        <f>_xlfn.XLOOKUP(datos_ventas[[#This Row],[Provincia]],Tabla2[Provincias],Tabla2[Comunidades],"no se encuentra")</f>
        <v>Andalucía</v>
      </c>
      <c r="M2513" t="s">
        <v>28</v>
      </c>
      <c r="N2513">
        <v>1</v>
      </c>
    </row>
    <row r="2514" spans="1:14" x14ac:dyDescent="0.25">
      <c r="A2514">
        <v>3513</v>
      </c>
      <c r="B2514" s="1">
        <v>46010</v>
      </c>
      <c r="C2514" s="4">
        <f>MONTH(datos_ventas[[#This Row],[Fecha]])</f>
        <v>12</v>
      </c>
      <c r="D2514" s="4">
        <f>WEEKNUM(datos_ventas[[#This Row],[Fecha]],2)</f>
        <v>51</v>
      </c>
      <c r="E2514" t="s">
        <v>26</v>
      </c>
      <c r="F2514" t="s">
        <v>18</v>
      </c>
      <c r="G2514">
        <v>1</v>
      </c>
      <c r="H2514">
        <v>116694</v>
      </c>
      <c r="I2514">
        <v>3559</v>
      </c>
      <c r="J2514" t="s">
        <v>14</v>
      </c>
      <c r="K2514" t="str">
        <f>_xlfn.XLOOKUP(datos_ventas[[#This Row],[Ciudad]],Tabla2[Ciudades],Tabla2[Provincias],"no se encuentra")</f>
        <v>Madrid</v>
      </c>
      <c r="L2514" t="str">
        <f>_xlfn.XLOOKUP(datos_ventas[[#This Row],[Provincia]],Tabla2[Provincias],Tabla2[Comunidades],"no se encuentra")</f>
        <v>Comunidad de Madrid</v>
      </c>
      <c r="M2514" t="s">
        <v>28</v>
      </c>
      <c r="N2514">
        <v>5</v>
      </c>
    </row>
    <row r="2515" spans="1:14" x14ac:dyDescent="0.25">
      <c r="A2515">
        <v>3514</v>
      </c>
      <c r="B2515" s="1">
        <v>45976</v>
      </c>
      <c r="C2515" s="4">
        <f>MONTH(datos_ventas[[#This Row],[Fecha]])</f>
        <v>11</v>
      </c>
      <c r="D2515" s="4">
        <f>WEEKNUM(datos_ventas[[#This Row],[Fecha]],2)</f>
        <v>46</v>
      </c>
      <c r="E2515" t="s">
        <v>29</v>
      </c>
      <c r="F2515" t="s">
        <v>30</v>
      </c>
      <c r="G2515">
        <v>1</v>
      </c>
      <c r="H2515">
        <v>56289</v>
      </c>
      <c r="I2515">
        <v>1762</v>
      </c>
      <c r="J2515" t="s">
        <v>22</v>
      </c>
      <c r="K2515" t="str">
        <f>_xlfn.XLOOKUP(datos_ventas[[#This Row],[Ciudad]],Tabla2[Ciudades],Tabla2[Provincias],"no se encuentra")</f>
        <v>Valencia</v>
      </c>
      <c r="L2515" t="str">
        <f>_xlfn.XLOOKUP(datos_ventas[[#This Row],[Provincia]],Tabla2[Provincias],Tabla2[Comunidades],"no se encuentra")</f>
        <v>Comunidad Valenciana</v>
      </c>
      <c r="M2515" t="s">
        <v>19</v>
      </c>
      <c r="N2515">
        <v>2</v>
      </c>
    </row>
    <row r="2516" spans="1:14" x14ac:dyDescent="0.25">
      <c r="A2516">
        <v>3515</v>
      </c>
      <c r="B2516" s="1">
        <v>45988</v>
      </c>
      <c r="C2516" s="4">
        <f>MONTH(datos_ventas[[#This Row],[Fecha]])</f>
        <v>11</v>
      </c>
      <c r="D2516" s="4">
        <f>WEEKNUM(datos_ventas[[#This Row],[Fecha]],2)</f>
        <v>48</v>
      </c>
      <c r="E2516" t="s">
        <v>10</v>
      </c>
      <c r="F2516" t="s">
        <v>11</v>
      </c>
      <c r="G2516">
        <v>2</v>
      </c>
      <c r="H2516">
        <v>108246</v>
      </c>
      <c r="I2516">
        <v>1722</v>
      </c>
      <c r="J2516" t="s">
        <v>14</v>
      </c>
      <c r="K2516" t="str">
        <f>_xlfn.XLOOKUP(datos_ventas[[#This Row],[Ciudad]],Tabla2[Ciudades],Tabla2[Provincias],"no se encuentra")</f>
        <v>Madrid</v>
      </c>
      <c r="L2516" t="str">
        <f>_xlfn.XLOOKUP(datos_ventas[[#This Row],[Provincia]],Tabla2[Provincias],Tabla2[Comunidades],"no se encuentra")</f>
        <v>Comunidad de Madrid</v>
      </c>
      <c r="M2516" t="s">
        <v>13</v>
      </c>
      <c r="N2516">
        <v>4</v>
      </c>
    </row>
    <row r="2517" spans="1:14" x14ac:dyDescent="0.25">
      <c r="A2517">
        <v>3516</v>
      </c>
      <c r="B2517" s="1">
        <v>45737</v>
      </c>
      <c r="C2517" s="4">
        <f>MONTH(datos_ventas[[#This Row],[Fecha]])</f>
        <v>3</v>
      </c>
      <c r="D2517" s="4">
        <f>WEEKNUM(datos_ventas[[#This Row],[Fecha]],2)</f>
        <v>12</v>
      </c>
      <c r="E2517" t="s">
        <v>29</v>
      </c>
      <c r="F2517" t="s">
        <v>30</v>
      </c>
      <c r="G2517">
        <v>1</v>
      </c>
      <c r="H2517">
        <v>14069</v>
      </c>
      <c r="I2517">
        <v>1428</v>
      </c>
      <c r="J2517" t="s">
        <v>22</v>
      </c>
      <c r="K2517" t="str">
        <f>_xlfn.XLOOKUP(datos_ventas[[#This Row],[Ciudad]],Tabla2[Ciudades],Tabla2[Provincias],"no se encuentra")</f>
        <v>Valencia</v>
      </c>
      <c r="L2517" t="str">
        <f>_xlfn.XLOOKUP(datos_ventas[[#This Row],[Provincia]],Tabla2[Provincias],Tabla2[Comunidades],"no se encuentra")</f>
        <v>Comunidad Valenciana</v>
      </c>
      <c r="M2517" t="s">
        <v>19</v>
      </c>
      <c r="N2517">
        <v>1</v>
      </c>
    </row>
    <row r="2518" spans="1:14" x14ac:dyDescent="0.25">
      <c r="A2518">
        <v>3517</v>
      </c>
      <c r="B2518" s="1">
        <v>45856</v>
      </c>
      <c r="C2518" s="4">
        <f>MONTH(datos_ventas[[#This Row],[Fecha]])</f>
        <v>7</v>
      </c>
      <c r="D2518" s="4">
        <f>WEEKNUM(datos_ventas[[#This Row],[Fecha]],2)</f>
        <v>29</v>
      </c>
      <c r="E2518" t="s">
        <v>16</v>
      </c>
      <c r="F2518" t="s">
        <v>11</v>
      </c>
      <c r="G2518">
        <v>5</v>
      </c>
      <c r="H2518">
        <v>12895</v>
      </c>
      <c r="I2518">
        <v>416</v>
      </c>
      <c r="J2518" t="s">
        <v>27</v>
      </c>
      <c r="K2518" t="str">
        <f>_xlfn.XLOOKUP(datos_ventas[[#This Row],[Ciudad]],Tabla2[Ciudades],Tabla2[Provincias],"no se encuentra")</f>
        <v>Sevilla</v>
      </c>
      <c r="L2518" t="str">
        <f>_xlfn.XLOOKUP(datos_ventas[[#This Row],[Provincia]],Tabla2[Provincias],Tabla2[Comunidades],"no se encuentra")</f>
        <v>Andalucía</v>
      </c>
      <c r="M2518" t="s">
        <v>15</v>
      </c>
      <c r="N2518">
        <v>2</v>
      </c>
    </row>
    <row r="2519" spans="1:14" x14ac:dyDescent="0.25">
      <c r="A2519">
        <v>3518</v>
      </c>
      <c r="B2519" s="1">
        <v>45838</v>
      </c>
      <c r="C2519" s="4">
        <f>MONTH(datos_ventas[[#This Row],[Fecha]])</f>
        <v>6</v>
      </c>
      <c r="D2519" s="4">
        <f>WEEKNUM(datos_ventas[[#This Row],[Fecha]],2)</f>
        <v>27</v>
      </c>
      <c r="E2519" t="s">
        <v>26</v>
      </c>
      <c r="F2519" t="s">
        <v>18</v>
      </c>
      <c r="G2519">
        <v>5</v>
      </c>
      <c r="H2519">
        <v>9146</v>
      </c>
      <c r="I2519">
        <v>781</v>
      </c>
      <c r="J2519" t="s">
        <v>22</v>
      </c>
      <c r="K2519" t="str">
        <f>_xlfn.XLOOKUP(datos_ventas[[#This Row],[Ciudad]],Tabla2[Ciudades],Tabla2[Provincias],"no se encuentra")</f>
        <v>Valencia</v>
      </c>
      <c r="L2519" t="str">
        <f>_xlfn.XLOOKUP(datos_ventas[[#This Row],[Provincia]],Tabla2[Provincias],Tabla2[Comunidades],"no se encuentra")</f>
        <v>Comunidad Valenciana</v>
      </c>
      <c r="M2519" t="s">
        <v>28</v>
      </c>
      <c r="N2519">
        <v>4</v>
      </c>
    </row>
    <row r="2520" spans="1:14" x14ac:dyDescent="0.25">
      <c r="A2520">
        <v>3519</v>
      </c>
      <c r="B2520" s="1">
        <v>45882</v>
      </c>
      <c r="C2520" s="4">
        <f>MONTH(datos_ventas[[#This Row],[Fecha]])</f>
        <v>8</v>
      </c>
      <c r="D2520" s="4">
        <f>WEEKNUM(datos_ventas[[#This Row],[Fecha]],2)</f>
        <v>33</v>
      </c>
      <c r="E2520" t="s">
        <v>29</v>
      </c>
      <c r="F2520" t="s">
        <v>30</v>
      </c>
      <c r="G2520">
        <v>2</v>
      </c>
      <c r="H2520">
        <v>13256</v>
      </c>
      <c r="I2520">
        <v>4164</v>
      </c>
      <c r="J2520" t="s">
        <v>14</v>
      </c>
      <c r="K2520" t="str">
        <f>_xlfn.XLOOKUP(datos_ventas[[#This Row],[Ciudad]],Tabla2[Ciudades],Tabla2[Provincias],"no se encuentra")</f>
        <v>Madrid</v>
      </c>
      <c r="L2520" t="str">
        <f>_xlfn.XLOOKUP(datos_ventas[[#This Row],[Provincia]],Tabla2[Provincias],Tabla2[Comunidades],"no se encuentra")</f>
        <v>Comunidad de Madrid</v>
      </c>
      <c r="M2520" t="s">
        <v>15</v>
      </c>
      <c r="N2520">
        <v>1</v>
      </c>
    </row>
    <row r="2521" spans="1:14" x14ac:dyDescent="0.25">
      <c r="A2521">
        <v>3520</v>
      </c>
      <c r="B2521" s="1">
        <v>45730</v>
      </c>
      <c r="C2521" s="4">
        <f>MONTH(datos_ventas[[#This Row],[Fecha]])</f>
        <v>3</v>
      </c>
      <c r="D2521" s="4">
        <f>WEEKNUM(datos_ventas[[#This Row],[Fecha]],2)</f>
        <v>11</v>
      </c>
      <c r="E2521" t="s">
        <v>16</v>
      </c>
      <c r="F2521" t="s">
        <v>11</v>
      </c>
      <c r="G2521">
        <v>2</v>
      </c>
      <c r="H2521">
        <v>26632</v>
      </c>
      <c r="I2521">
        <v>4909</v>
      </c>
      <c r="J2521" t="s">
        <v>27</v>
      </c>
      <c r="K2521" t="str">
        <f>_xlfn.XLOOKUP(datos_ventas[[#This Row],[Ciudad]],Tabla2[Ciudades],Tabla2[Provincias],"no se encuentra")</f>
        <v>Sevilla</v>
      </c>
      <c r="L2521" t="str">
        <f>_xlfn.XLOOKUP(datos_ventas[[#This Row],[Provincia]],Tabla2[Provincias],Tabla2[Comunidades],"no se encuentra")</f>
        <v>Andalucía</v>
      </c>
      <c r="M2521" t="s">
        <v>13</v>
      </c>
      <c r="N2521">
        <v>3</v>
      </c>
    </row>
    <row r="2522" spans="1:14" x14ac:dyDescent="0.25">
      <c r="A2522">
        <v>3521</v>
      </c>
      <c r="B2522" s="1">
        <v>45723</v>
      </c>
      <c r="C2522" s="4">
        <f>MONTH(datos_ventas[[#This Row],[Fecha]])</f>
        <v>3</v>
      </c>
      <c r="D2522" s="4">
        <f>WEEKNUM(datos_ventas[[#This Row],[Fecha]],2)</f>
        <v>10</v>
      </c>
      <c r="E2522" t="s">
        <v>17</v>
      </c>
      <c r="F2522" t="s">
        <v>18</v>
      </c>
      <c r="G2522">
        <v>2</v>
      </c>
      <c r="H2522">
        <v>116984</v>
      </c>
      <c r="I2522">
        <v>1704</v>
      </c>
      <c r="J2522" t="s">
        <v>27</v>
      </c>
      <c r="K2522" t="str">
        <f>_xlfn.XLOOKUP(datos_ventas[[#This Row],[Ciudad]],Tabla2[Ciudades],Tabla2[Provincias],"no se encuentra")</f>
        <v>Sevilla</v>
      </c>
      <c r="L2522" t="str">
        <f>_xlfn.XLOOKUP(datos_ventas[[#This Row],[Provincia]],Tabla2[Provincias],Tabla2[Comunidades],"no se encuentra")</f>
        <v>Andalucía</v>
      </c>
      <c r="M2522" t="s">
        <v>13</v>
      </c>
      <c r="N2522">
        <v>5</v>
      </c>
    </row>
    <row r="2523" spans="1:14" x14ac:dyDescent="0.25">
      <c r="A2523">
        <v>3522</v>
      </c>
      <c r="B2523" s="1">
        <v>45812</v>
      </c>
      <c r="C2523" s="4">
        <f>MONTH(datos_ventas[[#This Row],[Fecha]])</f>
        <v>6</v>
      </c>
      <c r="D2523" s="4">
        <f>WEEKNUM(datos_ventas[[#This Row],[Fecha]],2)</f>
        <v>23</v>
      </c>
      <c r="E2523" t="s">
        <v>24</v>
      </c>
      <c r="F2523" t="s">
        <v>25</v>
      </c>
      <c r="G2523">
        <v>3</v>
      </c>
      <c r="H2523">
        <v>11840</v>
      </c>
      <c r="I2523">
        <v>2734</v>
      </c>
      <c r="J2523" t="s">
        <v>32</v>
      </c>
      <c r="K2523" t="str">
        <f>_xlfn.XLOOKUP(datos_ventas[[#This Row],[Ciudad]],Tabla2[Ciudades],Tabla2[Provincias],"no se encuentra")</f>
        <v>Barcelona</v>
      </c>
      <c r="L2523" t="str">
        <f>_xlfn.XLOOKUP(datos_ventas[[#This Row],[Provincia]],Tabla2[Provincias],Tabla2[Comunidades],"no se encuentra")</f>
        <v>Cataluña</v>
      </c>
      <c r="M2523" t="s">
        <v>28</v>
      </c>
      <c r="N2523">
        <v>4</v>
      </c>
    </row>
    <row r="2524" spans="1:14" x14ac:dyDescent="0.25">
      <c r="A2524">
        <v>3523</v>
      </c>
      <c r="B2524" s="1">
        <v>45691</v>
      </c>
      <c r="C2524" s="4">
        <f>MONTH(datos_ventas[[#This Row],[Fecha]])</f>
        <v>2</v>
      </c>
      <c r="D2524" s="4">
        <f>WEEKNUM(datos_ventas[[#This Row],[Fecha]],2)</f>
        <v>6</v>
      </c>
      <c r="E2524" t="s">
        <v>10</v>
      </c>
      <c r="F2524" t="s">
        <v>11</v>
      </c>
      <c r="G2524">
        <v>5</v>
      </c>
      <c r="H2524">
        <v>60495</v>
      </c>
      <c r="I2524">
        <v>1454</v>
      </c>
      <c r="J2524" t="s">
        <v>27</v>
      </c>
      <c r="K2524" t="str">
        <f>_xlfn.XLOOKUP(datos_ventas[[#This Row],[Ciudad]],Tabla2[Ciudades],Tabla2[Provincias],"no se encuentra")</f>
        <v>Sevilla</v>
      </c>
      <c r="L2524" t="str">
        <f>_xlfn.XLOOKUP(datos_ventas[[#This Row],[Provincia]],Tabla2[Provincias],Tabla2[Comunidades],"no se encuentra")</f>
        <v>Andalucía</v>
      </c>
      <c r="M2524" t="s">
        <v>15</v>
      </c>
      <c r="N2524">
        <v>5</v>
      </c>
    </row>
    <row r="2525" spans="1:14" x14ac:dyDescent="0.25">
      <c r="A2525">
        <v>3524</v>
      </c>
      <c r="B2525" s="1">
        <v>45808</v>
      </c>
      <c r="C2525" s="4">
        <f>MONTH(datos_ventas[[#This Row],[Fecha]])</f>
        <v>5</v>
      </c>
      <c r="D2525" s="4">
        <f>WEEKNUM(datos_ventas[[#This Row],[Fecha]],2)</f>
        <v>22</v>
      </c>
      <c r="E2525" t="s">
        <v>20</v>
      </c>
      <c r="F2525" t="s">
        <v>21</v>
      </c>
      <c r="G2525">
        <v>2</v>
      </c>
      <c r="H2525">
        <v>27052</v>
      </c>
      <c r="I2525">
        <v>967</v>
      </c>
      <c r="J2525" t="s">
        <v>12</v>
      </c>
      <c r="K2525" t="str">
        <f>_xlfn.XLOOKUP(datos_ventas[[#This Row],[Ciudad]],Tabla2[Ciudades],Tabla2[Provincias],"no se encuentra")</f>
        <v>Málaga</v>
      </c>
      <c r="L2525" t="str">
        <f>_xlfn.XLOOKUP(datos_ventas[[#This Row],[Provincia]],Tabla2[Provincias],Tabla2[Comunidades],"no se encuentra")</f>
        <v>Andalucía</v>
      </c>
      <c r="M2525" t="s">
        <v>13</v>
      </c>
      <c r="N2525">
        <v>2</v>
      </c>
    </row>
    <row r="2526" spans="1:14" x14ac:dyDescent="0.25">
      <c r="A2526">
        <v>3525</v>
      </c>
      <c r="B2526" s="1">
        <v>45983</v>
      </c>
      <c r="C2526" s="4">
        <f>MONTH(datos_ventas[[#This Row],[Fecha]])</f>
        <v>11</v>
      </c>
      <c r="D2526" s="4">
        <f>WEEKNUM(datos_ventas[[#This Row],[Fecha]],2)</f>
        <v>47</v>
      </c>
      <c r="E2526" t="s">
        <v>29</v>
      </c>
      <c r="F2526" t="s">
        <v>30</v>
      </c>
      <c r="G2526">
        <v>5</v>
      </c>
      <c r="H2526">
        <v>80514</v>
      </c>
      <c r="I2526">
        <v>1223</v>
      </c>
      <c r="J2526" t="s">
        <v>27</v>
      </c>
      <c r="K2526" t="str">
        <f>_xlfn.XLOOKUP(datos_ventas[[#This Row],[Ciudad]],Tabla2[Ciudades],Tabla2[Provincias],"no se encuentra")</f>
        <v>Sevilla</v>
      </c>
      <c r="L2526" t="str">
        <f>_xlfn.XLOOKUP(datos_ventas[[#This Row],[Provincia]],Tabla2[Provincias],Tabla2[Comunidades],"no se encuentra")</f>
        <v>Andalucía</v>
      </c>
      <c r="M2526" t="s">
        <v>15</v>
      </c>
      <c r="N2526">
        <v>4</v>
      </c>
    </row>
    <row r="2527" spans="1:14" x14ac:dyDescent="0.25">
      <c r="A2527">
        <v>3526</v>
      </c>
      <c r="B2527" s="1">
        <v>45669</v>
      </c>
      <c r="C2527" s="4">
        <f>MONTH(datos_ventas[[#This Row],[Fecha]])</f>
        <v>1</v>
      </c>
      <c r="D2527" s="4">
        <f>WEEKNUM(datos_ventas[[#This Row],[Fecha]],2)</f>
        <v>2</v>
      </c>
      <c r="E2527" t="s">
        <v>17</v>
      </c>
      <c r="F2527" t="s">
        <v>18</v>
      </c>
      <c r="G2527">
        <v>1</v>
      </c>
      <c r="H2527">
        <v>65207</v>
      </c>
      <c r="I2527">
        <v>876</v>
      </c>
      <c r="J2527" t="s">
        <v>14</v>
      </c>
      <c r="K2527" t="str">
        <f>_xlfn.XLOOKUP(datos_ventas[[#This Row],[Ciudad]],Tabla2[Ciudades],Tabla2[Provincias],"no se encuentra")</f>
        <v>Madrid</v>
      </c>
      <c r="L2527" t="str">
        <f>_xlfn.XLOOKUP(datos_ventas[[#This Row],[Provincia]],Tabla2[Provincias],Tabla2[Comunidades],"no se encuentra")</f>
        <v>Comunidad de Madrid</v>
      </c>
      <c r="M2527" t="s">
        <v>13</v>
      </c>
      <c r="N2527">
        <v>1</v>
      </c>
    </row>
    <row r="2528" spans="1:14" x14ac:dyDescent="0.25">
      <c r="A2528">
        <v>3527</v>
      </c>
      <c r="B2528" s="1">
        <v>45690</v>
      </c>
      <c r="C2528" s="4">
        <f>MONTH(datos_ventas[[#This Row],[Fecha]])</f>
        <v>2</v>
      </c>
      <c r="D2528" s="4">
        <f>WEEKNUM(datos_ventas[[#This Row],[Fecha]],2)</f>
        <v>5</v>
      </c>
      <c r="E2528" t="s">
        <v>16</v>
      </c>
      <c r="F2528" t="s">
        <v>11</v>
      </c>
      <c r="G2528">
        <v>1</v>
      </c>
      <c r="H2528">
        <v>107544</v>
      </c>
      <c r="I2528">
        <v>1733</v>
      </c>
      <c r="J2528" t="s">
        <v>14</v>
      </c>
      <c r="K2528" t="str">
        <f>_xlfn.XLOOKUP(datos_ventas[[#This Row],[Ciudad]],Tabla2[Ciudades],Tabla2[Provincias],"no se encuentra")</f>
        <v>Madrid</v>
      </c>
      <c r="L2528" t="str">
        <f>_xlfn.XLOOKUP(datos_ventas[[#This Row],[Provincia]],Tabla2[Provincias],Tabla2[Comunidades],"no se encuentra")</f>
        <v>Comunidad de Madrid</v>
      </c>
      <c r="M2528" t="s">
        <v>13</v>
      </c>
      <c r="N2528">
        <v>5</v>
      </c>
    </row>
    <row r="2529" spans="1:14" x14ac:dyDescent="0.25">
      <c r="A2529">
        <v>3528</v>
      </c>
      <c r="B2529" s="1">
        <v>45870</v>
      </c>
      <c r="C2529" s="4">
        <f>MONTH(datos_ventas[[#This Row],[Fecha]])</f>
        <v>8</v>
      </c>
      <c r="D2529" s="4">
        <f>WEEKNUM(datos_ventas[[#This Row],[Fecha]],2)</f>
        <v>31</v>
      </c>
      <c r="E2529" t="s">
        <v>16</v>
      </c>
      <c r="F2529" t="s">
        <v>11</v>
      </c>
      <c r="G2529">
        <v>3</v>
      </c>
      <c r="H2529">
        <v>22415</v>
      </c>
      <c r="I2529">
        <v>4476</v>
      </c>
      <c r="J2529" t="s">
        <v>32</v>
      </c>
      <c r="K2529" t="str">
        <f>_xlfn.XLOOKUP(datos_ventas[[#This Row],[Ciudad]],Tabla2[Ciudades],Tabla2[Provincias],"no se encuentra")</f>
        <v>Barcelona</v>
      </c>
      <c r="L2529" t="str">
        <f>_xlfn.XLOOKUP(datos_ventas[[#This Row],[Provincia]],Tabla2[Provincias],Tabla2[Comunidades],"no se encuentra")</f>
        <v>Cataluña</v>
      </c>
      <c r="M2529" t="s">
        <v>13</v>
      </c>
      <c r="N2529">
        <v>5</v>
      </c>
    </row>
    <row r="2530" spans="1:14" x14ac:dyDescent="0.25">
      <c r="A2530">
        <v>3529</v>
      </c>
      <c r="B2530" s="1">
        <v>46021</v>
      </c>
      <c r="C2530" s="4">
        <f>MONTH(datos_ventas[[#This Row],[Fecha]])</f>
        <v>12</v>
      </c>
      <c r="D2530" s="4">
        <f>WEEKNUM(datos_ventas[[#This Row],[Fecha]],2)</f>
        <v>53</v>
      </c>
      <c r="E2530" t="s">
        <v>16</v>
      </c>
      <c r="F2530" t="s">
        <v>11</v>
      </c>
      <c r="G2530">
        <v>2</v>
      </c>
      <c r="H2530">
        <v>78353</v>
      </c>
      <c r="I2530">
        <v>4034</v>
      </c>
      <c r="J2530" t="s">
        <v>27</v>
      </c>
      <c r="K2530" t="str">
        <f>_xlfn.XLOOKUP(datos_ventas[[#This Row],[Ciudad]],Tabla2[Ciudades],Tabla2[Provincias],"no se encuentra")</f>
        <v>Sevilla</v>
      </c>
      <c r="L2530" t="str">
        <f>_xlfn.XLOOKUP(datos_ventas[[#This Row],[Provincia]],Tabla2[Provincias],Tabla2[Comunidades],"no se encuentra")</f>
        <v>Andalucía</v>
      </c>
      <c r="M2530" t="s">
        <v>15</v>
      </c>
      <c r="N2530">
        <v>5</v>
      </c>
    </row>
    <row r="2531" spans="1:14" x14ac:dyDescent="0.25">
      <c r="A2531">
        <v>3530</v>
      </c>
      <c r="B2531" s="1">
        <v>45736</v>
      </c>
      <c r="C2531" s="4">
        <f>MONTH(datos_ventas[[#This Row],[Fecha]])</f>
        <v>3</v>
      </c>
      <c r="D2531" s="4">
        <f>WEEKNUM(datos_ventas[[#This Row],[Fecha]],2)</f>
        <v>12</v>
      </c>
      <c r="E2531" t="s">
        <v>26</v>
      </c>
      <c r="F2531" t="s">
        <v>18</v>
      </c>
      <c r="G2531">
        <v>3</v>
      </c>
      <c r="H2531">
        <v>68846</v>
      </c>
      <c r="I2531">
        <v>3401</v>
      </c>
      <c r="J2531" t="s">
        <v>12</v>
      </c>
      <c r="K2531" t="str">
        <f>_xlfn.XLOOKUP(datos_ventas[[#This Row],[Ciudad]],Tabla2[Ciudades],Tabla2[Provincias],"no se encuentra")</f>
        <v>Málaga</v>
      </c>
      <c r="L2531" t="str">
        <f>_xlfn.XLOOKUP(datos_ventas[[#This Row],[Provincia]],Tabla2[Provincias],Tabla2[Comunidades],"no se encuentra")</f>
        <v>Andalucía</v>
      </c>
      <c r="M2531" t="s">
        <v>28</v>
      </c>
      <c r="N2531">
        <v>1</v>
      </c>
    </row>
    <row r="2532" spans="1:14" x14ac:dyDescent="0.25">
      <c r="A2532">
        <v>3531</v>
      </c>
      <c r="B2532" s="1">
        <v>45875</v>
      </c>
      <c r="C2532" s="4">
        <f>MONTH(datos_ventas[[#This Row],[Fecha]])</f>
        <v>8</v>
      </c>
      <c r="D2532" s="4">
        <f>WEEKNUM(datos_ventas[[#This Row],[Fecha]],2)</f>
        <v>32</v>
      </c>
      <c r="E2532" t="s">
        <v>29</v>
      </c>
      <c r="F2532" t="s">
        <v>30</v>
      </c>
      <c r="G2532">
        <v>4</v>
      </c>
      <c r="H2532">
        <v>19597</v>
      </c>
      <c r="I2532">
        <v>4637</v>
      </c>
      <c r="J2532" t="s">
        <v>27</v>
      </c>
      <c r="K2532" t="str">
        <f>_xlfn.XLOOKUP(datos_ventas[[#This Row],[Ciudad]],Tabla2[Ciudades],Tabla2[Provincias],"no se encuentra")</f>
        <v>Sevilla</v>
      </c>
      <c r="L2532" t="str">
        <f>_xlfn.XLOOKUP(datos_ventas[[#This Row],[Provincia]],Tabla2[Provincias],Tabla2[Comunidades],"no se encuentra")</f>
        <v>Andalucía</v>
      </c>
      <c r="M2532" t="s">
        <v>19</v>
      </c>
      <c r="N2532">
        <v>5</v>
      </c>
    </row>
    <row r="2533" spans="1:14" x14ac:dyDescent="0.25">
      <c r="A2533">
        <v>3532</v>
      </c>
      <c r="B2533" s="1">
        <v>45752</v>
      </c>
      <c r="C2533" s="4">
        <f>MONTH(datos_ventas[[#This Row],[Fecha]])</f>
        <v>4</v>
      </c>
      <c r="D2533" s="4">
        <f>WEEKNUM(datos_ventas[[#This Row],[Fecha]],2)</f>
        <v>14</v>
      </c>
      <c r="E2533" t="s">
        <v>26</v>
      </c>
      <c r="F2533" t="s">
        <v>18</v>
      </c>
      <c r="G2533">
        <v>2</v>
      </c>
      <c r="H2533">
        <v>6804</v>
      </c>
      <c r="I2533">
        <v>3846</v>
      </c>
      <c r="J2533" t="s">
        <v>22</v>
      </c>
      <c r="K2533" t="str">
        <f>_xlfn.XLOOKUP(datos_ventas[[#This Row],[Ciudad]],Tabla2[Ciudades],Tabla2[Provincias],"no se encuentra")</f>
        <v>Valencia</v>
      </c>
      <c r="L2533" t="str">
        <f>_xlfn.XLOOKUP(datos_ventas[[#This Row],[Provincia]],Tabla2[Provincias],Tabla2[Comunidades],"no se encuentra")</f>
        <v>Comunidad Valenciana</v>
      </c>
      <c r="M2533" t="s">
        <v>19</v>
      </c>
      <c r="N2533">
        <v>3</v>
      </c>
    </row>
    <row r="2534" spans="1:14" x14ac:dyDescent="0.25">
      <c r="A2534">
        <v>3533</v>
      </c>
      <c r="B2534" s="1">
        <v>45734</v>
      </c>
      <c r="C2534" s="4">
        <f>MONTH(datos_ventas[[#This Row],[Fecha]])</f>
        <v>3</v>
      </c>
      <c r="D2534" s="4">
        <f>WEEKNUM(datos_ventas[[#This Row],[Fecha]],2)</f>
        <v>12</v>
      </c>
      <c r="E2534" t="s">
        <v>10</v>
      </c>
      <c r="F2534" t="s">
        <v>11</v>
      </c>
      <c r="G2534">
        <v>2</v>
      </c>
      <c r="H2534">
        <v>78756</v>
      </c>
      <c r="I2534">
        <v>479</v>
      </c>
      <c r="J2534" t="s">
        <v>32</v>
      </c>
      <c r="K2534" t="str">
        <f>_xlfn.XLOOKUP(datos_ventas[[#This Row],[Ciudad]],Tabla2[Ciudades],Tabla2[Provincias],"no se encuentra")</f>
        <v>Barcelona</v>
      </c>
      <c r="L2534" t="str">
        <f>_xlfn.XLOOKUP(datos_ventas[[#This Row],[Provincia]],Tabla2[Provincias],Tabla2[Comunidades],"no se encuentra")</f>
        <v>Cataluña</v>
      </c>
      <c r="M2534" t="s">
        <v>28</v>
      </c>
      <c r="N2534">
        <v>1</v>
      </c>
    </row>
    <row r="2535" spans="1:14" x14ac:dyDescent="0.25">
      <c r="A2535">
        <v>3534</v>
      </c>
      <c r="B2535" s="1">
        <v>45997</v>
      </c>
      <c r="C2535" s="4">
        <f>MONTH(datos_ventas[[#This Row],[Fecha]])</f>
        <v>12</v>
      </c>
      <c r="D2535" s="4">
        <f>WEEKNUM(datos_ventas[[#This Row],[Fecha]],2)</f>
        <v>49</v>
      </c>
      <c r="E2535" t="s">
        <v>29</v>
      </c>
      <c r="F2535" t="s">
        <v>30</v>
      </c>
      <c r="G2535">
        <v>1</v>
      </c>
      <c r="H2535">
        <v>98252</v>
      </c>
      <c r="I2535">
        <v>2304</v>
      </c>
      <c r="J2535" t="s">
        <v>22</v>
      </c>
      <c r="K2535" t="str">
        <f>_xlfn.XLOOKUP(datos_ventas[[#This Row],[Ciudad]],Tabla2[Ciudades],Tabla2[Provincias],"no se encuentra")</f>
        <v>Valencia</v>
      </c>
      <c r="L2535" t="str">
        <f>_xlfn.XLOOKUP(datos_ventas[[#This Row],[Provincia]],Tabla2[Provincias],Tabla2[Comunidades],"no se encuentra")</f>
        <v>Comunidad Valenciana</v>
      </c>
      <c r="M2535" t="s">
        <v>19</v>
      </c>
      <c r="N2535">
        <v>3</v>
      </c>
    </row>
    <row r="2536" spans="1:14" x14ac:dyDescent="0.25">
      <c r="A2536">
        <v>3535</v>
      </c>
      <c r="B2536" s="1">
        <v>45850</v>
      </c>
      <c r="C2536" s="4">
        <f>MONTH(datos_ventas[[#This Row],[Fecha]])</f>
        <v>7</v>
      </c>
      <c r="D2536" s="4">
        <f>WEEKNUM(datos_ventas[[#This Row],[Fecha]],2)</f>
        <v>28</v>
      </c>
      <c r="E2536" t="s">
        <v>24</v>
      </c>
      <c r="F2536" t="s">
        <v>25</v>
      </c>
      <c r="G2536">
        <v>3</v>
      </c>
      <c r="H2536">
        <v>112956</v>
      </c>
      <c r="I2536">
        <v>144</v>
      </c>
      <c r="J2536" t="s">
        <v>27</v>
      </c>
      <c r="K2536" t="str">
        <f>_xlfn.XLOOKUP(datos_ventas[[#This Row],[Ciudad]],Tabla2[Ciudades],Tabla2[Provincias],"no se encuentra")</f>
        <v>Sevilla</v>
      </c>
      <c r="L2536" t="str">
        <f>_xlfn.XLOOKUP(datos_ventas[[#This Row],[Provincia]],Tabla2[Provincias],Tabla2[Comunidades],"no se encuentra")</f>
        <v>Andalucía</v>
      </c>
      <c r="M2536" t="s">
        <v>13</v>
      </c>
      <c r="N2536">
        <v>2</v>
      </c>
    </row>
    <row r="2537" spans="1:14" x14ac:dyDescent="0.25">
      <c r="A2537">
        <v>3536</v>
      </c>
      <c r="B2537" s="1">
        <v>45697</v>
      </c>
      <c r="C2537" s="4">
        <f>MONTH(datos_ventas[[#This Row],[Fecha]])</f>
        <v>2</v>
      </c>
      <c r="D2537" s="4">
        <f>WEEKNUM(datos_ventas[[#This Row],[Fecha]],2)</f>
        <v>6</v>
      </c>
      <c r="E2537" t="s">
        <v>23</v>
      </c>
      <c r="F2537" t="s">
        <v>18</v>
      </c>
      <c r="G2537">
        <v>4</v>
      </c>
      <c r="H2537">
        <v>119519</v>
      </c>
      <c r="I2537">
        <v>2614</v>
      </c>
      <c r="J2537" t="s">
        <v>12</v>
      </c>
      <c r="K2537" t="str">
        <f>_xlfn.XLOOKUP(datos_ventas[[#This Row],[Ciudad]],Tabla2[Ciudades],Tabla2[Provincias],"no se encuentra")</f>
        <v>Málaga</v>
      </c>
      <c r="L2537" t="str">
        <f>_xlfn.XLOOKUP(datos_ventas[[#This Row],[Provincia]],Tabla2[Provincias],Tabla2[Comunidades],"no se encuentra")</f>
        <v>Andalucía</v>
      </c>
      <c r="M2537" t="s">
        <v>15</v>
      </c>
      <c r="N2537">
        <v>4</v>
      </c>
    </row>
    <row r="2538" spans="1:14" x14ac:dyDescent="0.25">
      <c r="A2538">
        <v>3537</v>
      </c>
      <c r="B2538" s="1">
        <v>46001</v>
      </c>
      <c r="C2538" s="4">
        <f>MONTH(datos_ventas[[#This Row],[Fecha]])</f>
        <v>12</v>
      </c>
      <c r="D2538" s="4">
        <f>WEEKNUM(datos_ventas[[#This Row],[Fecha]],2)</f>
        <v>50</v>
      </c>
      <c r="E2538" t="s">
        <v>24</v>
      </c>
      <c r="F2538" t="s">
        <v>25</v>
      </c>
      <c r="G2538">
        <v>5</v>
      </c>
      <c r="H2538">
        <v>94783</v>
      </c>
      <c r="I2538">
        <v>1357</v>
      </c>
      <c r="J2538" t="s">
        <v>22</v>
      </c>
      <c r="K2538" t="str">
        <f>_xlfn.XLOOKUP(datos_ventas[[#This Row],[Ciudad]],Tabla2[Ciudades],Tabla2[Provincias],"no se encuentra")</f>
        <v>Valencia</v>
      </c>
      <c r="L2538" t="str">
        <f>_xlfn.XLOOKUP(datos_ventas[[#This Row],[Provincia]],Tabla2[Provincias],Tabla2[Comunidades],"no se encuentra")</f>
        <v>Comunidad Valenciana</v>
      </c>
      <c r="M2538" t="s">
        <v>19</v>
      </c>
      <c r="N2538">
        <v>2</v>
      </c>
    </row>
    <row r="2539" spans="1:14" x14ac:dyDescent="0.25">
      <c r="A2539">
        <v>3538</v>
      </c>
      <c r="B2539" s="1">
        <v>45958</v>
      </c>
      <c r="C2539" s="4">
        <f>MONTH(datos_ventas[[#This Row],[Fecha]])</f>
        <v>10</v>
      </c>
      <c r="D2539" s="4">
        <f>WEEKNUM(datos_ventas[[#This Row],[Fecha]],2)</f>
        <v>44</v>
      </c>
      <c r="E2539" t="s">
        <v>20</v>
      </c>
      <c r="F2539" t="s">
        <v>21</v>
      </c>
      <c r="G2539">
        <v>1</v>
      </c>
      <c r="H2539">
        <v>45614</v>
      </c>
      <c r="I2539">
        <v>3438</v>
      </c>
      <c r="J2539" t="s">
        <v>31</v>
      </c>
      <c r="K2539" t="str">
        <f>_xlfn.XLOOKUP(datos_ventas[[#This Row],[Ciudad]],Tabla2[Ciudades],Tabla2[Provincias],"no se encuentra")</f>
        <v>Vizcaya</v>
      </c>
      <c r="L2539" t="str">
        <f>_xlfn.XLOOKUP(datos_ventas[[#This Row],[Provincia]],Tabla2[Provincias],Tabla2[Comunidades],"no se encuentra")</f>
        <v>País Vasco</v>
      </c>
      <c r="M2539" t="s">
        <v>13</v>
      </c>
      <c r="N2539">
        <v>5</v>
      </c>
    </row>
    <row r="2540" spans="1:14" x14ac:dyDescent="0.25">
      <c r="A2540">
        <v>3539</v>
      </c>
      <c r="B2540" s="1">
        <v>45823</v>
      </c>
      <c r="C2540" s="4">
        <f>MONTH(datos_ventas[[#This Row],[Fecha]])</f>
        <v>6</v>
      </c>
      <c r="D2540" s="4">
        <f>WEEKNUM(datos_ventas[[#This Row],[Fecha]],2)</f>
        <v>24</v>
      </c>
      <c r="E2540" t="s">
        <v>24</v>
      </c>
      <c r="F2540" t="s">
        <v>25</v>
      </c>
      <c r="G2540">
        <v>2</v>
      </c>
      <c r="H2540">
        <v>105001</v>
      </c>
      <c r="I2540">
        <v>3812</v>
      </c>
      <c r="J2540" t="s">
        <v>27</v>
      </c>
      <c r="K2540" t="str">
        <f>_xlfn.XLOOKUP(datos_ventas[[#This Row],[Ciudad]],Tabla2[Ciudades],Tabla2[Provincias],"no se encuentra")</f>
        <v>Sevilla</v>
      </c>
      <c r="L2540" t="str">
        <f>_xlfn.XLOOKUP(datos_ventas[[#This Row],[Provincia]],Tabla2[Provincias],Tabla2[Comunidades],"no se encuentra")</f>
        <v>Andalucía</v>
      </c>
      <c r="M2540" t="s">
        <v>13</v>
      </c>
      <c r="N2540">
        <v>5</v>
      </c>
    </row>
    <row r="2541" spans="1:14" x14ac:dyDescent="0.25">
      <c r="A2541">
        <v>3540</v>
      </c>
      <c r="B2541" s="1">
        <v>45737</v>
      </c>
      <c r="C2541" s="4">
        <f>MONTH(datos_ventas[[#This Row],[Fecha]])</f>
        <v>3</v>
      </c>
      <c r="D2541" s="4">
        <f>WEEKNUM(datos_ventas[[#This Row],[Fecha]],2)</f>
        <v>12</v>
      </c>
      <c r="E2541" t="s">
        <v>26</v>
      </c>
      <c r="F2541" t="s">
        <v>18</v>
      </c>
      <c r="G2541">
        <v>1</v>
      </c>
      <c r="H2541">
        <v>71529</v>
      </c>
      <c r="I2541">
        <v>2825</v>
      </c>
      <c r="J2541" t="s">
        <v>27</v>
      </c>
      <c r="K2541" t="str">
        <f>_xlfn.XLOOKUP(datos_ventas[[#This Row],[Ciudad]],Tabla2[Ciudades],Tabla2[Provincias],"no se encuentra")</f>
        <v>Sevilla</v>
      </c>
      <c r="L2541" t="str">
        <f>_xlfn.XLOOKUP(datos_ventas[[#This Row],[Provincia]],Tabla2[Provincias],Tabla2[Comunidades],"no se encuentra")</f>
        <v>Andalucía</v>
      </c>
      <c r="M2541" t="s">
        <v>19</v>
      </c>
      <c r="N2541">
        <v>1</v>
      </c>
    </row>
    <row r="2542" spans="1:14" x14ac:dyDescent="0.25">
      <c r="A2542">
        <v>3541</v>
      </c>
      <c r="B2542" s="1">
        <v>45926</v>
      </c>
      <c r="C2542" s="4">
        <f>MONTH(datos_ventas[[#This Row],[Fecha]])</f>
        <v>9</v>
      </c>
      <c r="D2542" s="4">
        <f>WEEKNUM(datos_ventas[[#This Row],[Fecha]],2)</f>
        <v>39</v>
      </c>
      <c r="E2542" t="s">
        <v>10</v>
      </c>
      <c r="F2542" t="s">
        <v>11</v>
      </c>
      <c r="G2542">
        <v>5</v>
      </c>
      <c r="H2542">
        <v>111245</v>
      </c>
      <c r="I2542">
        <v>1379</v>
      </c>
      <c r="J2542" t="s">
        <v>27</v>
      </c>
      <c r="K2542" t="str">
        <f>_xlfn.XLOOKUP(datos_ventas[[#This Row],[Ciudad]],Tabla2[Ciudades],Tabla2[Provincias],"no se encuentra")</f>
        <v>Sevilla</v>
      </c>
      <c r="L2542" t="str">
        <f>_xlfn.XLOOKUP(datos_ventas[[#This Row],[Provincia]],Tabla2[Provincias],Tabla2[Comunidades],"no se encuentra")</f>
        <v>Andalucía</v>
      </c>
      <c r="M2542" t="s">
        <v>13</v>
      </c>
      <c r="N2542">
        <v>1</v>
      </c>
    </row>
    <row r="2543" spans="1:14" x14ac:dyDescent="0.25">
      <c r="A2543">
        <v>3542</v>
      </c>
      <c r="B2543" s="1">
        <v>45858</v>
      </c>
      <c r="C2543" s="4">
        <f>MONTH(datos_ventas[[#This Row],[Fecha]])</f>
        <v>7</v>
      </c>
      <c r="D2543" s="4">
        <f>WEEKNUM(datos_ventas[[#This Row],[Fecha]],2)</f>
        <v>29</v>
      </c>
      <c r="E2543" t="s">
        <v>17</v>
      </c>
      <c r="F2543" t="s">
        <v>18</v>
      </c>
      <c r="G2543">
        <v>2</v>
      </c>
      <c r="H2543">
        <v>90808</v>
      </c>
      <c r="I2543">
        <v>657</v>
      </c>
      <c r="J2543" t="s">
        <v>22</v>
      </c>
      <c r="K2543" t="str">
        <f>_xlfn.XLOOKUP(datos_ventas[[#This Row],[Ciudad]],Tabla2[Ciudades],Tabla2[Provincias],"no se encuentra")</f>
        <v>Valencia</v>
      </c>
      <c r="L2543" t="str">
        <f>_xlfn.XLOOKUP(datos_ventas[[#This Row],[Provincia]],Tabla2[Provincias],Tabla2[Comunidades],"no se encuentra")</f>
        <v>Comunidad Valenciana</v>
      </c>
      <c r="M2543" t="s">
        <v>28</v>
      </c>
      <c r="N2543">
        <v>4</v>
      </c>
    </row>
    <row r="2544" spans="1:14" x14ac:dyDescent="0.25">
      <c r="A2544">
        <v>3543</v>
      </c>
      <c r="B2544" s="1">
        <v>45968</v>
      </c>
      <c r="C2544" s="4">
        <f>MONTH(datos_ventas[[#This Row],[Fecha]])</f>
        <v>11</v>
      </c>
      <c r="D2544" s="4">
        <f>WEEKNUM(datos_ventas[[#This Row],[Fecha]],2)</f>
        <v>45</v>
      </c>
      <c r="E2544" t="s">
        <v>29</v>
      </c>
      <c r="F2544" t="s">
        <v>30</v>
      </c>
      <c r="G2544">
        <v>5</v>
      </c>
      <c r="H2544">
        <v>11599</v>
      </c>
      <c r="I2544">
        <v>1345</v>
      </c>
      <c r="J2544" t="s">
        <v>32</v>
      </c>
      <c r="K2544" t="str">
        <f>_xlfn.XLOOKUP(datos_ventas[[#This Row],[Ciudad]],Tabla2[Ciudades],Tabla2[Provincias],"no se encuentra")</f>
        <v>Barcelona</v>
      </c>
      <c r="L2544" t="str">
        <f>_xlfn.XLOOKUP(datos_ventas[[#This Row],[Provincia]],Tabla2[Provincias],Tabla2[Comunidades],"no se encuentra")</f>
        <v>Cataluña</v>
      </c>
      <c r="M2544" t="s">
        <v>19</v>
      </c>
      <c r="N2544">
        <v>3</v>
      </c>
    </row>
    <row r="2545" spans="1:14" x14ac:dyDescent="0.25">
      <c r="A2545">
        <v>3544</v>
      </c>
      <c r="B2545" s="1">
        <v>45722</v>
      </c>
      <c r="C2545" s="4">
        <f>MONTH(datos_ventas[[#This Row],[Fecha]])</f>
        <v>3</v>
      </c>
      <c r="D2545" s="4">
        <f>WEEKNUM(datos_ventas[[#This Row],[Fecha]],2)</f>
        <v>10</v>
      </c>
      <c r="E2545" t="s">
        <v>16</v>
      </c>
      <c r="F2545" t="s">
        <v>11</v>
      </c>
      <c r="G2545">
        <v>4</v>
      </c>
      <c r="H2545">
        <v>70402</v>
      </c>
      <c r="I2545">
        <v>4021</v>
      </c>
      <c r="J2545" t="s">
        <v>32</v>
      </c>
      <c r="K2545" t="str">
        <f>_xlfn.XLOOKUP(datos_ventas[[#This Row],[Ciudad]],Tabla2[Ciudades],Tabla2[Provincias],"no se encuentra")</f>
        <v>Barcelona</v>
      </c>
      <c r="L2545" t="str">
        <f>_xlfn.XLOOKUP(datos_ventas[[#This Row],[Provincia]],Tabla2[Provincias],Tabla2[Comunidades],"no se encuentra")</f>
        <v>Cataluña</v>
      </c>
      <c r="M2545" t="s">
        <v>28</v>
      </c>
      <c r="N2545">
        <v>3</v>
      </c>
    </row>
    <row r="2546" spans="1:14" x14ac:dyDescent="0.25">
      <c r="A2546">
        <v>3545</v>
      </c>
      <c r="B2546" s="1">
        <v>46003</v>
      </c>
      <c r="C2546" s="4">
        <f>MONTH(datos_ventas[[#This Row],[Fecha]])</f>
        <v>12</v>
      </c>
      <c r="D2546" s="4">
        <f>WEEKNUM(datos_ventas[[#This Row],[Fecha]],2)</f>
        <v>50</v>
      </c>
      <c r="E2546" t="s">
        <v>17</v>
      </c>
      <c r="F2546" t="s">
        <v>18</v>
      </c>
      <c r="G2546">
        <v>3</v>
      </c>
      <c r="H2546">
        <v>40573</v>
      </c>
      <c r="I2546">
        <v>1099</v>
      </c>
      <c r="J2546" t="s">
        <v>12</v>
      </c>
      <c r="K2546" t="str">
        <f>_xlfn.XLOOKUP(datos_ventas[[#This Row],[Ciudad]],Tabla2[Ciudades],Tabla2[Provincias],"no se encuentra")</f>
        <v>Málaga</v>
      </c>
      <c r="L2546" t="str">
        <f>_xlfn.XLOOKUP(datos_ventas[[#This Row],[Provincia]],Tabla2[Provincias],Tabla2[Comunidades],"no se encuentra")</f>
        <v>Andalucía</v>
      </c>
      <c r="M2546" t="s">
        <v>15</v>
      </c>
      <c r="N2546">
        <v>4</v>
      </c>
    </row>
    <row r="2547" spans="1:14" x14ac:dyDescent="0.25">
      <c r="A2547">
        <v>3546</v>
      </c>
      <c r="B2547" s="1">
        <v>45711</v>
      </c>
      <c r="C2547" s="4">
        <f>MONTH(datos_ventas[[#This Row],[Fecha]])</f>
        <v>2</v>
      </c>
      <c r="D2547" s="4">
        <f>WEEKNUM(datos_ventas[[#This Row],[Fecha]],2)</f>
        <v>8</v>
      </c>
      <c r="E2547" t="s">
        <v>26</v>
      </c>
      <c r="F2547" t="s">
        <v>18</v>
      </c>
      <c r="G2547">
        <v>2</v>
      </c>
      <c r="H2547">
        <v>26877</v>
      </c>
      <c r="I2547">
        <v>407</v>
      </c>
      <c r="J2547" t="s">
        <v>22</v>
      </c>
      <c r="K2547" t="str">
        <f>_xlfn.XLOOKUP(datos_ventas[[#This Row],[Ciudad]],Tabla2[Ciudades],Tabla2[Provincias],"no se encuentra")</f>
        <v>Valencia</v>
      </c>
      <c r="L2547" t="str">
        <f>_xlfn.XLOOKUP(datos_ventas[[#This Row],[Provincia]],Tabla2[Provincias],Tabla2[Comunidades],"no se encuentra")</f>
        <v>Comunidad Valenciana</v>
      </c>
      <c r="M2547" t="s">
        <v>19</v>
      </c>
      <c r="N2547">
        <v>1</v>
      </c>
    </row>
    <row r="2548" spans="1:14" x14ac:dyDescent="0.25">
      <c r="A2548">
        <v>3547</v>
      </c>
      <c r="B2548" s="1">
        <v>45884</v>
      </c>
      <c r="C2548" s="4">
        <f>MONTH(datos_ventas[[#This Row],[Fecha]])</f>
        <v>8</v>
      </c>
      <c r="D2548" s="4">
        <f>WEEKNUM(datos_ventas[[#This Row],[Fecha]],2)</f>
        <v>33</v>
      </c>
      <c r="E2548" t="s">
        <v>24</v>
      </c>
      <c r="F2548" t="s">
        <v>25</v>
      </c>
      <c r="G2548">
        <v>4</v>
      </c>
      <c r="H2548">
        <v>52465</v>
      </c>
      <c r="I2548">
        <v>4608</v>
      </c>
      <c r="J2548" t="s">
        <v>14</v>
      </c>
      <c r="K2548" t="str">
        <f>_xlfn.XLOOKUP(datos_ventas[[#This Row],[Ciudad]],Tabla2[Ciudades],Tabla2[Provincias],"no se encuentra")</f>
        <v>Madrid</v>
      </c>
      <c r="L2548" t="str">
        <f>_xlfn.XLOOKUP(datos_ventas[[#This Row],[Provincia]],Tabla2[Provincias],Tabla2[Comunidades],"no se encuentra")</f>
        <v>Comunidad de Madrid</v>
      </c>
      <c r="M2548" t="s">
        <v>15</v>
      </c>
      <c r="N2548">
        <v>1</v>
      </c>
    </row>
    <row r="2549" spans="1:14" x14ac:dyDescent="0.25">
      <c r="A2549">
        <v>3548</v>
      </c>
      <c r="B2549" s="1">
        <v>45771</v>
      </c>
      <c r="C2549" s="4">
        <f>MONTH(datos_ventas[[#This Row],[Fecha]])</f>
        <v>4</v>
      </c>
      <c r="D2549" s="4">
        <f>WEEKNUM(datos_ventas[[#This Row],[Fecha]],2)</f>
        <v>17</v>
      </c>
      <c r="E2549" t="s">
        <v>29</v>
      </c>
      <c r="F2549" t="s">
        <v>30</v>
      </c>
      <c r="G2549">
        <v>2</v>
      </c>
      <c r="H2549">
        <v>52205</v>
      </c>
      <c r="I2549">
        <v>241</v>
      </c>
      <c r="J2549" t="s">
        <v>22</v>
      </c>
      <c r="K2549" t="str">
        <f>_xlfn.XLOOKUP(datos_ventas[[#This Row],[Ciudad]],Tabla2[Ciudades],Tabla2[Provincias],"no se encuentra")</f>
        <v>Valencia</v>
      </c>
      <c r="L2549" t="str">
        <f>_xlfn.XLOOKUP(datos_ventas[[#This Row],[Provincia]],Tabla2[Provincias],Tabla2[Comunidades],"no se encuentra")</f>
        <v>Comunidad Valenciana</v>
      </c>
      <c r="M2549" t="s">
        <v>13</v>
      </c>
      <c r="N2549">
        <v>5</v>
      </c>
    </row>
    <row r="2550" spans="1:14" x14ac:dyDescent="0.25">
      <c r="A2550">
        <v>3549</v>
      </c>
      <c r="B2550" s="1">
        <v>45882</v>
      </c>
      <c r="C2550" s="4">
        <f>MONTH(datos_ventas[[#This Row],[Fecha]])</f>
        <v>8</v>
      </c>
      <c r="D2550" s="4">
        <f>WEEKNUM(datos_ventas[[#This Row],[Fecha]],2)</f>
        <v>33</v>
      </c>
      <c r="E2550" t="s">
        <v>10</v>
      </c>
      <c r="F2550" t="s">
        <v>11</v>
      </c>
      <c r="G2550">
        <v>2</v>
      </c>
      <c r="H2550">
        <v>102463</v>
      </c>
      <c r="I2550">
        <v>2865</v>
      </c>
      <c r="J2550" t="s">
        <v>31</v>
      </c>
      <c r="K2550" t="str">
        <f>_xlfn.XLOOKUP(datos_ventas[[#This Row],[Ciudad]],Tabla2[Ciudades],Tabla2[Provincias],"no se encuentra")</f>
        <v>Vizcaya</v>
      </c>
      <c r="L2550" t="str">
        <f>_xlfn.XLOOKUP(datos_ventas[[#This Row],[Provincia]],Tabla2[Provincias],Tabla2[Comunidades],"no se encuentra")</f>
        <v>País Vasco</v>
      </c>
      <c r="M2550" t="s">
        <v>15</v>
      </c>
      <c r="N2550">
        <v>4</v>
      </c>
    </row>
    <row r="2551" spans="1:14" x14ac:dyDescent="0.25">
      <c r="A2551">
        <v>3550</v>
      </c>
      <c r="B2551" s="1">
        <v>45991</v>
      </c>
      <c r="C2551" s="4">
        <f>MONTH(datos_ventas[[#This Row],[Fecha]])</f>
        <v>11</v>
      </c>
      <c r="D2551" s="4">
        <f>WEEKNUM(datos_ventas[[#This Row],[Fecha]],2)</f>
        <v>48</v>
      </c>
      <c r="E2551" t="s">
        <v>23</v>
      </c>
      <c r="F2551" t="s">
        <v>18</v>
      </c>
      <c r="G2551">
        <v>2</v>
      </c>
      <c r="H2551">
        <v>6149</v>
      </c>
      <c r="I2551">
        <v>2219</v>
      </c>
      <c r="J2551" t="s">
        <v>22</v>
      </c>
      <c r="K2551" t="str">
        <f>_xlfn.XLOOKUP(datos_ventas[[#This Row],[Ciudad]],Tabla2[Ciudades],Tabla2[Provincias],"no se encuentra")</f>
        <v>Valencia</v>
      </c>
      <c r="L2551" t="str">
        <f>_xlfn.XLOOKUP(datos_ventas[[#This Row],[Provincia]],Tabla2[Provincias],Tabla2[Comunidades],"no se encuentra")</f>
        <v>Comunidad Valenciana</v>
      </c>
      <c r="M2551" t="s">
        <v>19</v>
      </c>
      <c r="N2551">
        <v>1</v>
      </c>
    </row>
    <row r="2552" spans="1:14" x14ac:dyDescent="0.25">
      <c r="A2552">
        <v>3551</v>
      </c>
      <c r="B2552" s="1">
        <v>45728</v>
      </c>
      <c r="C2552" s="4">
        <f>MONTH(datos_ventas[[#This Row],[Fecha]])</f>
        <v>3</v>
      </c>
      <c r="D2552" s="4">
        <f>WEEKNUM(datos_ventas[[#This Row],[Fecha]],2)</f>
        <v>11</v>
      </c>
      <c r="E2552" t="s">
        <v>26</v>
      </c>
      <c r="F2552" t="s">
        <v>18</v>
      </c>
      <c r="G2552">
        <v>5</v>
      </c>
      <c r="H2552">
        <v>43653</v>
      </c>
      <c r="I2552">
        <v>2817</v>
      </c>
      <c r="J2552" t="s">
        <v>32</v>
      </c>
      <c r="K2552" t="str">
        <f>_xlfn.XLOOKUP(datos_ventas[[#This Row],[Ciudad]],Tabla2[Ciudades],Tabla2[Provincias],"no se encuentra")</f>
        <v>Barcelona</v>
      </c>
      <c r="L2552" t="str">
        <f>_xlfn.XLOOKUP(datos_ventas[[#This Row],[Provincia]],Tabla2[Provincias],Tabla2[Comunidades],"no se encuentra")</f>
        <v>Cataluña</v>
      </c>
      <c r="M2552" t="s">
        <v>19</v>
      </c>
      <c r="N2552">
        <v>1</v>
      </c>
    </row>
    <row r="2553" spans="1:14" x14ac:dyDescent="0.25">
      <c r="A2553">
        <v>3552</v>
      </c>
      <c r="B2553" s="1">
        <v>45816</v>
      </c>
      <c r="C2553" s="4">
        <f>MONTH(datos_ventas[[#This Row],[Fecha]])</f>
        <v>6</v>
      </c>
      <c r="D2553" s="4">
        <f>WEEKNUM(datos_ventas[[#This Row],[Fecha]],2)</f>
        <v>23</v>
      </c>
      <c r="E2553" t="s">
        <v>20</v>
      </c>
      <c r="F2553" t="s">
        <v>21</v>
      </c>
      <c r="G2553">
        <v>5</v>
      </c>
      <c r="H2553">
        <v>10623</v>
      </c>
      <c r="I2553">
        <v>389</v>
      </c>
      <c r="J2553" t="s">
        <v>27</v>
      </c>
      <c r="K2553" t="str">
        <f>_xlfn.XLOOKUP(datos_ventas[[#This Row],[Ciudad]],Tabla2[Ciudades],Tabla2[Provincias],"no se encuentra")</f>
        <v>Sevilla</v>
      </c>
      <c r="L2553" t="str">
        <f>_xlfn.XLOOKUP(datos_ventas[[#This Row],[Provincia]],Tabla2[Provincias],Tabla2[Comunidades],"no se encuentra")</f>
        <v>Andalucía</v>
      </c>
      <c r="M2553" t="s">
        <v>28</v>
      </c>
      <c r="N2553">
        <v>1</v>
      </c>
    </row>
    <row r="2554" spans="1:14" x14ac:dyDescent="0.25">
      <c r="A2554">
        <v>3553</v>
      </c>
      <c r="B2554" s="1">
        <v>45882</v>
      </c>
      <c r="C2554" s="4">
        <f>MONTH(datos_ventas[[#This Row],[Fecha]])</f>
        <v>8</v>
      </c>
      <c r="D2554" s="4">
        <f>WEEKNUM(datos_ventas[[#This Row],[Fecha]],2)</f>
        <v>33</v>
      </c>
      <c r="E2554" t="s">
        <v>16</v>
      </c>
      <c r="F2554" t="s">
        <v>11</v>
      </c>
      <c r="G2554">
        <v>4</v>
      </c>
      <c r="H2554">
        <v>70898</v>
      </c>
      <c r="I2554">
        <v>3205</v>
      </c>
      <c r="J2554" t="s">
        <v>31</v>
      </c>
      <c r="K2554" t="str">
        <f>_xlfn.XLOOKUP(datos_ventas[[#This Row],[Ciudad]],Tabla2[Ciudades],Tabla2[Provincias],"no se encuentra")</f>
        <v>Vizcaya</v>
      </c>
      <c r="L2554" t="str">
        <f>_xlfn.XLOOKUP(datos_ventas[[#This Row],[Provincia]],Tabla2[Provincias],Tabla2[Comunidades],"no se encuentra")</f>
        <v>País Vasco</v>
      </c>
      <c r="M2554" t="s">
        <v>15</v>
      </c>
      <c r="N2554">
        <v>3</v>
      </c>
    </row>
    <row r="2555" spans="1:14" x14ac:dyDescent="0.25">
      <c r="A2555">
        <v>3554</v>
      </c>
      <c r="B2555" s="1">
        <v>45939</v>
      </c>
      <c r="C2555" s="4">
        <f>MONTH(datos_ventas[[#This Row],[Fecha]])</f>
        <v>10</v>
      </c>
      <c r="D2555" s="4">
        <f>WEEKNUM(datos_ventas[[#This Row],[Fecha]],2)</f>
        <v>41</v>
      </c>
      <c r="E2555" t="s">
        <v>24</v>
      </c>
      <c r="F2555" t="s">
        <v>25</v>
      </c>
      <c r="G2555">
        <v>2</v>
      </c>
      <c r="H2555">
        <v>19224</v>
      </c>
      <c r="I2555">
        <v>978</v>
      </c>
      <c r="J2555" t="s">
        <v>22</v>
      </c>
      <c r="K2555" t="str">
        <f>_xlfn.XLOOKUP(datos_ventas[[#This Row],[Ciudad]],Tabla2[Ciudades],Tabla2[Provincias],"no se encuentra")</f>
        <v>Valencia</v>
      </c>
      <c r="L2555" t="str">
        <f>_xlfn.XLOOKUP(datos_ventas[[#This Row],[Provincia]],Tabla2[Provincias],Tabla2[Comunidades],"no se encuentra")</f>
        <v>Comunidad Valenciana</v>
      </c>
      <c r="M2555" t="s">
        <v>15</v>
      </c>
      <c r="N2555">
        <v>5</v>
      </c>
    </row>
    <row r="2556" spans="1:14" x14ac:dyDescent="0.25">
      <c r="A2556">
        <v>3555</v>
      </c>
      <c r="B2556" s="1">
        <v>45957</v>
      </c>
      <c r="C2556" s="4">
        <f>MONTH(datos_ventas[[#This Row],[Fecha]])</f>
        <v>10</v>
      </c>
      <c r="D2556" s="4">
        <f>WEEKNUM(datos_ventas[[#This Row],[Fecha]],2)</f>
        <v>44</v>
      </c>
      <c r="E2556" t="s">
        <v>17</v>
      </c>
      <c r="F2556" t="s">
        <v>18</v>
      </c>
      <c r="G2556">
        <v>3</v>
      </c>
      <c r="H2556">
        <v>61821</v>
      </c>
      <c r="I2556">
        <v>4896</v>
      </c>
      <c r="J2556" t="s">
        <v>31</v>
      </c>
      <c r="K2556" t="str">
        <f>_xlfn.XLOOKUP(datos_ventas[[#This Row],[Ciudad]],Tabla2[Ciudades],Tabla2[Provincias],"no se encuentra")</f>
        <v>Vizcaya</v>
      </c>
      <c r="L2556" t="str">
        <f>_xlfn.XLOOKUP(datos_ventas[[#This Row],[Provincia]],Tabla2[Provincias],Tabla2[Comunidades],"no se encuentra")</f>
        <v>País Vasco</v>
      </c>
      <c r="M2556" t="s">
        <v>28</v>
      </c>
      <c r="N2556">
        <v>1</v>
      </c>
    </row>
    <row r="2557" spans="1:14" x14ac:dyDescent="0.25">
      <c r="A2557">
        <v>3556</v>
      </c>
      <c r="B2557" s="1">
        <v>46004</v>
      </c>
      <c r="C2557" s="4">
        <f>MONTH(datos_ventas[[#This Row],[Fecha]])</f>
        <v>12</v>
      </c>
      <c r="D2557" s="4">
        <f>WEEKNUM(datos_ventas[[#This Row],[Fecha]],2)</f>
        <v>50</v>
      </c>
      <c r="E2557" t="s">
        <v>16</v>
      </c>
      <c r="F2557" t="s">
        <v>11</v>
      </c>
      <c r="G2557">
        <v>2</v>
      </c>
      <c r="H2557">
        <v>98794</v>
      </c>
      <c r="I2557">
        <v>2903</v>
      </c>
      <c r="J2557" t="s">
        <v>12</v>
      </c>
      <c r="K2557" t="str">
        <f>_xlfn.XLOOKUP(datos_ventas[[#This Row],[Ciudad]],Tabla2[Ciudades],Tabla2[Provincias],"no se encuentra")</f>
        <v>Málaga</v>
      </c>
      <c r="L2557" t="str">
        <f>_xlfn.XLOOKUP(datos_ventas[[#This Row],[Provincia]],Tabla2[Provincias],Tabla2[Comunidades],"no se encuentra")</f>
        <v>Andalucía</v>
      </c>
      <c r="M2557" t="s">
        <v>13</v>
      </c>
      <c r="N2557">
        <v>3</v>
      </c>
    </row>
    <row r="2558" spans="1:14" x14ac:dyDescent="0.25">
      <c r="A2558">
        <v>3557</v>
      </c>
      <c r="B2558" s="1">
        <v>45707</v>
      </c>
      <c r="C2558" s="4">
        <f>MONTH(datos_ventas[[#This Row],[Fecha]])</f>
        <v>2</v>
      </c>
      <c r="D2558" s="4">
        <f>WEEKNUM(datos_ventas[[#This Row],[Fecha]],2)</f>
        <v>8</v>
      </c>
      <c r="E2558" t="s">
        <v>17</v>
      </c>
      <c r="F2558" t="s">
        <v>18</v>
      </c>
      <c r="G2558">
        <v>4</v>
      </c>
      <c r="H2558">
        <v>118374</v>
      </c>
      <c r="I2558">
        <v>288</v>
      </c>
      <c r="J2558" t="s">
        <v>12</v>
      </c>
      <c r="K2558" t="str">
        <f>_xlfn.XLOOKUP(datos_ventas[[#This Row],[Ciudad]],Tabla2[Ciudades],Tabla2[Provincias],"no se encuentra")</f>
        <v>Málaga</v>
      </c>
      <c r="L2558" t="str">
        <f>_xlfn.XLOOKUP(datos_ventas[[#This Row],[Provincia]],Tabla2[Provincias],Tabla2[Comunidades],"no se encuentra")</f>
        <v>Andalucía</v>
      </c>
      <c r="M2558" t="s">
        <v>19</v>
      </c>
      <c r="N2558">
        <v>4</v>
      </c>
    </row>
    <row r="2559" spans="1:14" x14ac:dyDescent="0.25">
      <c r="A2559">
        <v>3558</v>
      </c>
      <c r="B2559" s="1">
        <v>45664</v>
      </c>
      <c r="C2559" s="4">
        <f>MONTH(datos_ventas[[#This Row],[Fecha]])</f>
        <v>1</v>
      </c>
      <c r="D2559" s="4">
        <f>WEEKNUM(datos_ventas[[#This Row],[Fecha]],2)</f>
        <v>2</v>
      </c>
      <c r="E2559" t="s">
        <v>20</v>
      </c>
      <c r="F2559" t="s">
        <v>21</v>
      </c>
      <c r="G2559">
        <v>3</v>
      </c>
      <c r="H2559">
        <v>40222</v>
      </c>
      <c r="I2559">
        <v>3425</v>
      </c>
      <c r="J2559" t="s">
        <v>14</v>
      </c>
      <c r="K2559" t="str">
        <f>_xlfn.XLOOKUP(datos_ventas[[#This Row],[Ciudad]],Tabla2[Ciudades],Tabla2[Provincias],"no se encuentra")</f>
        <v>Madrid</v>
      </c>
      <c r="L2559" t="str">
        <f>_xlfn.XLOOKUP(datos_ventas[[#This Row],[Provincia]],Tabla2[Provincias],Tabla2[Comunidades],"no se encuentra")</f>
        <v>Comunidad de Madrid</v>
      </c>
      <c r="M2559" t="s">
        <v>15</v>
      </c>
      <c r="N2559">
        <v>3</v>
      </c>
    </row>
    <row r="2560" spans="1:14" x14ac:dyDescent="0.25">
      <c r="A2560">
        <v>3559</v>
      </c>
      <c r="B2560" s="1">
        <v>45796</v>
      </c>
      <c r="C2560" s="4">
        <f>MONTH(datos_ventas[[#This Row],[Fecha]])</f>
        <v>5</v>
      </c>
      <c r="D2560" s="4">
        <f>WEEKNUM(datos_ventas[[#This Row],[Fecha]],2)</f>
        <v>21</v>
      </c>
      <c r="E2560" t="s">
        <v>10</v>
      </c>
      <c r="F2560" t="s">
        <v>11</v>
      </c>
      <c r="G2560">
        <v>1</v>
      </c>
      <c r="H2560">
        <v>23871</v>
      </c>
      <c r="I2560">
        <v>1823</v>
      </c>
      <c r="J2560" t="s">
        <v>31</v>
      </c>
      <c r="K2560" t="str">
        <f>_xlfn.XLOOKUP(datos_ventas[[#This Row],[Ciudad]],Tabla2[Ciudades],Tabla2[Provincias],"no se encuentra")</f>
        <v>Vizcaya</v>
      </c>
      <c r="L2560" t="str">
        <f>_xlfn.XLOOKUP(datos_ventas[[#This Row],[Provincia]],Tabla2[Provincias],Tabla2[Comunidades],"no se encuentra")</f>
        <v>País Vasco</v>
      </c>
      <c r="M2560" t="s">
        <v>15</v>
      </c>
      <c r="N2560">
        <v>2</v>
      </c>
    </row>
    <row r="2561" spans="1:14" x14ac:dyDescent="0.25">
      <c r="A2561">
        <v>3560</v>
      </c>
      <c r="B2561" s="1">
        <v>45659</v>
      </c>
      <c r="C2561" s="4">
        <f>MONTH(datos_ventas[[#This Row],[Fecha]])</f>
        <v>1</v>
      </c>
      <c r="D2561" s="4">
        <f>WEEKNUM(datos_ventas[[#This Row],[Fecha]],2)</f>
        <v>1</v>
      </c>
      <c r="E2561" t="s">
        <v>16</v>
      </c>
      <c r="F2561" t="s">
        <v>11</v>
      </c>
      <c r="G2561">
        <v>4</v>
      </c>
      <c r="H2561">
        <v>9888</v>
      </c>
      <c r="I2561">
        <v>3202</v>
      </c>
      <c r="J2561" t="s">
        <v>32</v>
      </c>
      <c r="K2561" t="str">
        <f>_xlfn.XLOOKUP(datos_ventas[[#This Row],[Ciudad]],Tabla2[Ciudades],Tabla2[Provincias],"no se encuentra")</f>
        <v>Barcelona</v>
      </c>
      <c r="L2561" t="str">
        <f>_xlfn.XLOOKUP(datos_ventas[[#This Row],[Provincia]],Tabla2[Provincias],Tabla2[Comunidades],"no se encuentra")</f>
        <v>Cataluña</v>
      </c>
      <c r="M2561" t="s">
        <v>19</v>
      </c>
      <c r="N2561">
        <v>4</v>
      </c>
    </row>
    <row r="2562" spans="1:14" x14ac:dyDescent="0.25">
      <c r="A2562">
        <v>3561</v>
      </c>
      <c r="B2562" s="1">
        <v>45949</v>
      </c>
      <c r="C2562" s="4">
        <f>MONTH(datos_ventas[[#This Row],[Fecha]])</f>
        <v>10</v>
      </c>
      <c r="D2562" s="4">
        <f>WEEKNUM(datos_ventas[[#This Row],[Fecha]],2)</f>
        <v>42</v>
      </c>
      <c r="E2562" t="s">
        <v>26</v>
      </c>
      <c r="F2562" t="s">
        <v>18</v>
      </c>
      <c r="G2562">
        <v>3</v>
      </c>
      <c r="H2562">
        <v>87406</v>
      </c>
      <c r="I2562">
        <v>4518</v>
      </c>
      <c r="J2562" t="s">
        <v>22</v>
      </c>
      <c r="K2562" t="str">
        <f>_xlfn.XLOOKUP(datos_ventas[[#This Row],[Ciudad]],Tabla2[Ciudades],Tabla2[Provincias],"no se encuentra")</f>
        <v>Valencia</v>
      </c>
      <c r="L2562" t="str">
        <f>_xlfn.XLOOKUP(datos_ventas[[#This Row],[Provincia]],Tabla2[Provincias],Tabla2[Comunidades],"no se encuentra")</f>
        <v>Comunidad Valenciana</v>
      </c>
      <c r="M2562" t="s">
        <v>15</v>
      </c>
      <c r="N2562">
        <v>1</v>
      </c>
    </row>
    <row r="2563" spans="1:14" x14ac:dyDescent="0.25">
      <c r="A2563">
        <v>3562</v>
      </c>
      <c r="B2563" s="1">
        <v>45691</v>
      </c>
      <c r="C2563" s="4">
        <f>MONTH(datos_ventas[[#This Row],[Fecha]])</f>
        <v>2</v>
      </c>
      <c r="D2563" s="4">
        <f>WEEKNUM(datos_ventas[[#This Row],[Fecha]],2)</f>
        <v>6</v>
      </c>
      <c r="E2563" t="s">
        <v>26</v>
      </c>
      <c r="F2563" t="s">
        <v>18</v>
      </c>
      <c r="G2563">
        <v>2</v>
      </c>
      <c r="H2563">
        <v>8656</v>
      </c>
      <c r="I2563">
        <v>226</v>
      </c>
      <c r="J2563" t="s">
        <v>12</v>
      </c>
      <c r="K2563" t="str">
        <f>_xlfn.XLOOKUP(datos_ventas[[#This Row],[Ciudad]],Tabla2[Ciudades],Tabla2[Provincias],"no se encuentra")</f>
        <v>Málaga</v>
      </c>
      <c r="L2563" t="str">
        <f>_xlfn.XLOOKUP(datos_ventas[[#This Row],[Provincia]],Tabla2[Provincias],Tabla2[Comunidades],"no se encuentra")</f>
        <v>Andalucía</v>
      </c>
      <c r="M2563" t="s">
        <v>13</v>
      </c>
      <c r="N2563">
        <v>2</v>
      </c>
    </row>
    <row r="2564" spans="1:14" x14ac:dyDescent="0.25">
      <c r="A2564">
        <v>3563</v>
      </c>
      <c r="B2564" s="1">
        <v>45911</v>
      </c>
      <c r="C2564" s="4">
        <f>MONTH(datos_ventas[[#This Row],[Fecha]])</f>
        <v>9</v>
      </c>
      <c r="D2564" s="4">
        <f>WEEKNUM(datos_ventas[[#This Row],[Fecha]],2)</f>
        <v>37</v>
      </c>
      <c r="E2564" t="s">
        <v>26</v>
      </c>
      <c r="F2564" t="s">
        <v>18</v>
      </c>
      <c r="G2564">
        <v>3</v>
      </c>
      <c r="H2564">
        <v>56731</v>
      </c>
      <c r="I2564">
        <v>2705</v>
      </c>
      <c r="J2564" t="s">
        <v>22</v>
      </c>
      <c r="K2564" t="str">
        <f>_xlfn.XLOOKUP(datos_ventas[[#This Row],[Ciudad]],Tabla2[Ciudades],Tabla2[Provincias],"no se encuentra")</f>
        <v>Valencia</v>
      </c>
      <c r="L2564" t="str">
        <f>_xlfn.XLOOKUP(datos_ventas[[#This Row],[Provincia]],Tabla2[Provincias],Tabla2[Comunidades],"no se encuentra")</f>
        <v>Comunidad Valenciana</v>
      </c>
      <c r="M2564" t="s">
        <v>28</v>
      </c>
      <c r="N2564">
        <v>3</v>
      </c>
    </row>
    <row r="2565" spans="1:14" x14ac:dyDescent="0.25">
      <c r="A2565">
        <v>3564</v>
      </c>
      <c r="B2565" s="1">
        <v>45948</v>
      </c>
      <c r="C2565" s="4">
        <f>MONTH(datos_ventas[[#This Row],[Fecha]])</f>
        <v>10</v>
      </c>
      <c r="D2565" s="4">
        <f>WEEKNUM(datos_ventas[[#This Row],[Fecha]],2)</f>
        <v>42</v>
      </c>
      <c r="E2565" t="s">
        <v>26</v>
      </c>
      <c r="F2565" t="s">
        <v>18</v>
      </c>
      <c r="G2565">
        <v>3</v>
      </c>
      <c r="H2565">
        <v>99447</v>
      </c>
      <c r="I2565">
        <v>706</v>
      </c>
      <c r="J2565" t="s">
        <v>32</v>
      </c>
      <c r="K2565" t="str">
        <f>_xlfn.XLOOKUP(datos_ventas[[#This Row],[Ciudad]],Tabla2[Ciudades],Tabla2[Provincias],"no se encuentra")</f>
        <v>Barcelona</v>
      </c>
      <c r="L2565" t="str">
        <f>_xlfn.XLOOKUP(datos_ventas[[#This Row],[Provincia]],Tabla2[Provincias],Tabla2[Comunidades],"no se encuentra")</f>
        <v>Cataluña</v>
      </c>
      <c r="M2565" t="s">
        <v>13</v>
      </c>
      <c r="N2565">
        <v>2</v>
      </c>
    </row>
    <row r="2566" spans="1:14" x14ac:dyDescent="0.25">
      <c r="A2566">
        <v>3565</v>
      </c>
      <c r="B2566" s="1">
        <v>45802</v>
      </c>
      <c r="C2566" s="4">
        <f>MONTH(datos_ventas[[#This Row],[Fecha]])</f>
        <v>5</v>
      </c>
      <c r="D2566" s="4">
        <f>WEEKNUM(datos_ventas[[#This Row],[Fecha]],2)</f>
        <v>21</v>
      </c>
      <c r="E2566" t="s">
        <v>23</v>
      </c>
      <c r="F2566" t="s">
        <v>18</v>
      </c>
      <c r="G2566">
        <v>2</v>
      </c>
      <c r="H2566">
        <v>106883</v>
      </c>
      <c r="I2566">
        <v>4484</v>
      </c>
      <c r="J2566" t="s">
        <v>32</v>
      </c>
      <c r="K2566" t="str">
        <f>_xlfn.XLOOKUP(datos_ventas[[#This Row],[Ciudad]],Tabla2[Ciudades],Tabla2[Provincias],"no se encuentra")</f>
        <v>Barcelona</v>
      </c>
      <c r="L2566" t="str">
        <f>_xlfn.XLOOKUP(datos_ventas[[#This Row],[Provincia]],Tabla2[Provincias],Tabla2[Comunidades],"no se encuentra")</f>
        <v>Cataluña</v>
      </c>
      <c r="M2566" t="s">
        <v>28</v>
      </c>
      <c r="N2566">
        <v>2</v>
      </c>
    </row>
    <row r="2567" spans="1:14" x14ac:dyDescent="0.25">
      <c r="A2567">
        <v>3566</v>
      </c>
      <c r="B2567" s="1">
        <v>45996</v>
      </c>
      <c r="C2567" s="4">
        <f>MONTH(datos_ventas[[#This Row],[Fecha]])</f>
        <v>12</v>
      </c>
      <c r="D2567" s="4">
        <f>WEEKNUM(datos_ventas[[#This Row],[Fecha]],2)</f>
        <v>49</v>
      </c>
      <c r="E2567" t="s">
        <v>24</v>
      </c>
      <c r="F2567" t="s">
        <v>25</v>
      </c>
      <c r="G2567">
        <v>4</v>
      </c>
      <c r="H2567">
        <v>87241</v>
      </c>
      <c r="I2567">
        <v>3021</v>
      </c>
      <c r="J2567" t="s">
        <v>22</v>
      </c>
      <c r="K2567" t="str">
        <f>_xlfn.XLOOKUP(datos_ventas[[#This Row],[Ciudad]],Tabla2[Ciudades],Tabla2[Provincias],"no se encuentra")</f>
        <v>Valencia</v>
      </c>
      <c r="L2567" t="str">
        <f>_xlfn.XLOOKUP(datos_ventas[[#This Row],[Provincia]],Tabla2[Provincias],Tabla2[Comunidades],"no se encuentra")</f>
        <v>Comunidad Valenciana</v>
      </c>
      <c r="M2567" t="s">
        <v>28</v>
      </c>
      <c r="N2567">
        <v>2</v>
      </c>
    </row>
    <row r="2568" spans="1:14" x14ac:dyDescent="0.25">
      <c r="A2568">
        <v>3567</v>
      </c>
      <c r="B2568" s="1">
        <v>45764</v>
      </c>
      <c r="C2568" s="4">
        <f>MONTH(datos_ventas[[#This Row],[Fecha]])</f>
        <v>4</v>
      </c>
      <c r="D2568" s="4">
        <f>WEEKNUM(datos_ventas[[#This Row],[Fecha]],2)</f>
        <v>16</v>
      </c>
      <c r="E2568" t="s">
        <v>29</v>
      </c>
      <c r="F2568" t="s">
        <v>30</v>
      </c>
      <c r="G2568">
        <v>5</v>
      </c>
      <c r="H2568">
        <v>107056</v>
      </c>
      <c r="I2568">
        <v>1386</v>
      </c>
      <c r="J2568" t="s">
        <v>12</v>
      </c>
      <c r="K2568" t="str">
        <f>_xlfn.XLOOKUP(datos_ventas[[#This Row],[Ciudad]],Tabla2[Ciudades],Tabla2[Provincias],"no se encuentra")</f>
        <v>Málaga</v>
      </c>
      <c r="L2568" t="str">
        <f>_xlfn.XLOOKUP(datos_ventas[[#This Row],[Provincia]],Tabla2[Provincias],Tabla2[Comunidades],"no se encuentra")</f>
        <v>Andalucía</v>
      </c>
      <c r="M2568" t="s">
        <v>15</v>
      </c>
      <c r="N2568">
        <v>3</v>
      </c>
    </row>
    <row r="2569" spans="1:14" x14ac:dyDescent="0.25">
      <c r="A2569">
        <v>3568</v>
      </c>
      <c r="B2569" s="1">
        <v>45891</v>
      </c>
      <c r="C2569" s="4">
        <f>MONTH(datos_ventas[[#This Row],[Fecha]])</f>
        <v>8</v>
      </c>
      <c r="D2569" s="4">
        <f>WEEKNUM(datos_ventas[[#This Row],[Fecha]],2)</f>
        <v>34</v>
      </c>
      <c r="E2569" t="s">
        <v>16</v>
      </c>
      <c r="F2569" t="s">
        <v>11</v>
      </c>
      <c r="G2569">
        <v>3</v>
      </c>
      <c r="H2569">
        <v>78017</v>
      </c>
      <c r="I2569">
        <v>4587</v>
      </c>
      <c r="J2569" t="s">
        <v>12</v>
      </c>
      <c r="K2569" t="str">
        <f>_xlfn.XLOOKUP(datos_ventas[[#This Row],[Ciudad]],Tabla2[Ciudades],Tabla2[Provincias],"no se encuentra")</f>
        <v>Málaga</v>
      </c>
      <c r="L2569" t="str">
        <f>_xlfn.XLOOKUP(datos_ventas[[#This Row],[Provincia]],Tabla2[Provincias],Tabla2[Comunidades],"no se encuentra")</f>
        <v>Andalucía</v>
      </c>
      <c r="M2569" t="s">
        <v>28</v>
      </c>
      <c r="N2569">
        <v>3</v>
      </c>
    </row>
    <row r="2570" spans="1:14" x14ac:dyDescent="0.25">
      <c r="A2570">
        <v>3569</v>
      </c>
      <c r="B2570" s="1">
        <v>45844</v>
      </c>
      <c r="C2570" s="4">
        <f>MONTH(datos_ventas[[#This Row],[Fecha]])</f>
        <v>7</v>
      </c>
      <c r="D2570" s="4">
        <f>WEEKNUM(datos_ventas[[#This Row],[Fecha]],2)</f>
        <v>27</v>
      </c>
      <c r="E2570" t="s">
        <v>23</v>
      </c>
      <c r="F2570" t="s">
        <v>18</v>
      </c>
      <c r="G2570">
        <v>3</v>
      </c>
      <c r="H2570">
        <v>94668</v>
      </c>
      <c r="I2570">
        <v>4755</v>
      </c>
      <c r="J2570" t="s">
        <v>12</v>
      </c>
      <c r="K2570" t="str">
        <f>_xlfn.XLOOKUP(datos_ventas[[#This Row],[Ciudad]],Tabla2[Ciudades],Tabla2[Provincias],"no se encuentra")</f>
        <v>Málaga</v>
      </c>
      <c r="L2570" t="str">
        <f>_xlfn.XLOOKUP(datos_ventas[[#This Row],[Provincia]],Tabla2[Provincias],Tabla2[Comunidades],"no se encuentra")</f>
        <v>Andalucía</v>
      </c>
      <c r="M2570" t="s">
        <v>13</v>
      </c>
      <c r="N2570">
        <v>1</v>
      </c>
    </row>
    <row r="2571" spans="1:14" x14ac:dyDescent="0.25">
      <c r="A2571">
        <v>3570</v>
      </c>
      <c r="B2571" s="1">
        <v>45671</v>
      </c>
      <c r="C2571" s="4">
        <f>MONTH(datos_ventas[[#This Row],[Fecha]])</f>
        <v>1</v>
      </c>
      <c r="D2571" s="4">
        <f>WEEKNUM(datos_ventas[[#This Row],[Fecha]],2)</f>
        <v>3</v>
      </c>
      <c r="E2571" t="s">
        <v>26</v>
      </c>
      <c r="F2571" t="s">
        <v>18</v>
      </c>
      <c r="G2571">
        <v>5</v>
      </c>
      <c r="H2571">
        <v>3351</v>
      </c>
      <c r="I2571">
        <v>1287</v>
      </c>
      <c r="J2571" t="s">
        <v>32</v>
      </c>
      <c r="K2571" t="str">
        <f>_xlfn.XLOOKUP(datos_ventas[[#This Row],[Ciudad]],Tabla2[Ciudades],Tabla2[Provincias],"no se encuentra")</f>
        <v>Barcelona</v>
      </c>
      <c r="L2571" t="str">
        <f>_xlfn.XLOOKUP(datos_ventas[[#This Row],[Provincia]],Tabla2[Provincias],Tabla2[Comunidades],"no se encuentra")</f>
        <v>Cataluña</v>
      </c>
      <c r="M2571" t="s">
        <v>13</v>
      </c>
      <c r="N2571">
        <v>1</v>
      </c>
    </row>
    <row r="2572" spans="1:14" x14ac:dyDescent="0.25">
      <c r="A2572">
        <v>3571</v>
      </c>
      <c r="B2572" s="1">
        <v>45892</v>
      </c>
      <c r="C2572" s="4">
        <f>MONTH(datos_ventas[[#This Row],[Fecha]])</f>
        <v>8</v>
      </c>
      <c r="D2572" s="4">
        <f>WEEKNUM(datos_ventas[[#This Row],[Fecha]],2)</f>
        <v>34</v>
      </c>
      <c r="E2572" t="s">
        <v>26</v>
      </c>
      <c r="F2572" t="s">
        <v>18</v>
      </c>
      <c r="G2572">
        <v>3</v>
      </c>
      <c r="H2572">
        <v>8623</v>
      </c>
      <c r="I2572">
        <v>807</v>
      </c>
      <c r="J2572" t="s">
        <v>12</v>
      </c>
      <c r="K2572" t="str">
        <f>_xlfn.XLOOKUP(datos_ventas[[#This Row],[Ciudad]],Tabla2[Ciudades],Tabla2[Provincias],"no se encuentra")</f>
        <v>Málaga</v>
      </c>
      <c r="L2572" t="str">
        <f>_xlfn.XLOOKUP(datos_ventas[[#This Row],[Provincia]],Tabla2[Provincias],Tabla2[Comunidades],"no se encuentra")</f>
        <v>Andalucía</v>
      </c>
      <c r="M2572" t="s">
        <v>13</v>
      </c>
      <c r="N2572">
        <v>5</v>
      </c>
    </row>
    <row r="2573" spans="1:14" x14ac:dyDescent="0.25">
      <c r="A2573">
        <v>3572</v>
      </c>
      <c r="B2573" s="1">
        <v>45738</v>
      </c>
      <c r="C2573" s="4">
        <f>MONTH(datos_ventas[[#This Row],[Fecha]])</f>
        <v>3</v>
      </c>
      <c r="D2573" s="4">
        <f>WEEKNUM(datos_ventas[[#This Row],[Fecha]],2)</f>
        <v>12</v>
      </c>
      <c r="E2573" t="s">
        <v>24</v>
      </c>
      <c r="F2573" t="s">
        <v>25</v>
      </c>
      <c r="G2573">
        <v>2</v>
      </c>
      <c r="H2573">
        <v>110259</v>
      </c>
      <c r="I2573">
        <v>1708</v>
      </c>
      <c r="J2573" t="s">
        <v>14</v>
      </c>
      <c r="K2573" t="str">
        <f>_xlfn.XLOOKUP(datos_ventas[[#This Row],[Ciudad]],Tabla2[Ciudades],Tabla2[Provincias],"no se encuentra")</f>
        <v>Madrid</v>
      </c>
      <c r="L2573" t="str">
        <f>_xlfn.XLOOKUP(datos_ventas[[#This Row],[Provincia]],Tabla2[Provincias],Tabla2[Comunidades],"no se encuentra")</f>
        <v>Comunidad de Madrid</v>
      </c>
      <c r="M2573" t="s">
        <v>28</v>
      </c>
      <c r="N2573">
        <v>2</v>
      </c>
    </row>
    <row r="2574" spans="1:14" x14ac:dyDescent="0.25">
      <c r="A2574">
        <v>3573</v>
      </c>
      <c r="B2574" s="1">
        <v>45771</v>
      </c>
      <c r="C2574" s="4">
        <f>MONTH(datos_ventas[[#This Row],[Fecha]])</f>
        <v>4</v>
      </c>
      <c r="D2574" s="4">
        <f>WEEKNUM(datos_ventas[[#This Row],[Fecha]],2)</f>
        <v>17</v>
      </c>
      <c r="E2574" t="s">
        <v>17</v>
      </c>
      <c r="F2574" t="s">
        <v>18</v>
      </c>
      <c r="G2574">
        <v>5</v>
      </c>
      <c r="H2574">
        <v>5436</v>
      </c>
      <c r="I2574">
        <v>2043</v>
      </c>
      <c r="J2574" t="s">
        <v>14</v>
      </c>
      <c r="K2574" t="str">
        <f>_xlfn.XLOOKUP(datos_ventas[[#This Row],[Ciudad]],Tabla2[Ciudades],Tabla2[Provincias],"no se encuentra")</f>
        <v>Madrid</v>
      </c>
      <c r="L2574" t="str">
        <f>_xlfn.XLOOKUP(datos_ventas[[#This Row],[Provincia]],Tabla2[Provincias],Tabla2[Comunidades],"no se encuentra")</f>
        <v>Comunidad de Madrid</v>
      </c>
      <c r="M2574" t="s">
        <v>28</v>
      </c>
      <c r="N2574">
        <v>2</v>
      </c>
    </row>
    <row r="2575" spans="1:14" x14ac:dyDescent="0.25">
      <c r="A2575">
        <v>3574</v>
      </c>
      <c r="B2575" s="1">
        <v>45967</v>
      </c>
      <c r="C2575" s="4">
        <f>MONTH(datos_ventas[[#This Row],[Fecha]])</f>
        <v>11</v>
      </c>
      <c r="D2575" s="4">
        <f>WEEKNUM(datos_ventas[[#This Row],[Fecha]],2)</f>
        <v>45</v>
      </c>
      <c r="E2575" t="s">
        <v>16</v>
      </c>
      <c r="F2575" t="s">
        <v>11</v>
      </c>
      <c r="G2575">
        <v>2</v>
      </c>
      <c r="H2575">
        <v>65144</v>
      </c>
      <c r="I2575">
        <v>1392</v>
      </c>
      <c r="J2575" t="s">
        <v>14</v>
      </c>
      <c r="K2575" t="str">
        <f>_xlfn.XLOOKUP(datos_ventas[[#This Row],[Ciudad]],Tabla2[Ciudades],Tabla2[Provincias],"no se encuentra")</f>
        <v>Madrid</v>
      </c>
      <c r="L2575" t="str">
        <f>_xlfn.XLOOKUP(datos_ventas[[#This Row],[Provincia]],Tabla2[Provincias],Tabla2[Comunidades],"no se encuentra")</f>
        <v>Comunidad de Madrid</v>
      </c>
      <c r="M2575" t="s">
        <v>28</v>
      </c>
      <c r="N2575">
        <v>4</v>
      </c>
    </row>
    <row r="2576" spans="1:14" x14ac:dyDescent="0.25">
      <c r="A2576">
        <v>3575</v>
      </c>
      <c r="B2576" s="1">
        <v>46004</v>
      </c>
      <c r="C2576" s="4">
        <f>MONTH(datos_ventas[[#This Row],[Fecha]])</f>
        <v>12</v>
      </c>
      <c r="D2576" s="4">
        <f>WEEKNUM(datos_ventas[[#This Row],[Fecha]],2)</f>
        <v>50</v>
      </c>
      <c r="E2576" t="s">
        <v>29</v>
      </c>
      <c r="F2576" t="s">
        <v>30</v>
      </c>
      <c r="G2576">
        <v>5</v>
      </c>
      <c r="H2576">
        <v>104129</v>
      </c>
      <c r="I2576">
        <v>2646</v>
      </c>
      <c r="J2576" t="s">
        <v>32</v>
      </c>
      <c r="K2576" t="str">
        <f>_xlfn.XLOOKUP(datos_ventas[[#This Row],[Ciudad]],Tabla2[Ciudades],Tabla2[Provincias],"no se encuentra")</f>
        <v>Barcelona</v>
      </c>
      <c r="L2576" t="str">
        <f>_xlfn.XLOOKUP(datos_ventas[[#This Row],[Provincia]],Tabla2[Provincias],Tabla2[Comunidades],"no se encuentra")</f>
        <v>Cataluña</v>
      </c>
      <c r="M2576" t="s">
        <v>15</v>
      </c>
      <c r="N2576">
        <v>2</v>
      </c>
    </row>
    <row r="2577" spans="1:14" x14ac:dyDescent="0.25">
      <c r="A2577">
        <v>3576</v>
      </c>
      <c r="B2577" s="1">
        <v>45685</v>
      </c>
      <c r="C2577" s="4">
        <f>MONTH(datos_ventas[[#This Row],[Fecha]])</f>
        <v>1</v>
      </c>
      <c r="D2577" s="4">
        <f>WEEKNUM(datos_ventas[[#This Row],[Fecha]],2)</f>
        <v>5</v>
      </c>
      <c r="E2577" t="s">
        <v>16</v>
      </c>
      <c r="F2577" t="s">
        <v>11</v>
      </c>
      <c r="G2577">
        <v>3</v>
      </c>
      <c r="H2577">
        <v>106346</v>
      </c>
      <c r="I2577">
        <v>4613</v>
      </c>
      <c r="J2577" t="s">
        <v>14</v>
      </c>
      <c r="K2577" t="str">
        <f>_xlfn.XLOOKUP(datos_ventas[[#This Row],[Ciudad]],Tabla2[Ciudades],Tabla2[Provincias],"no se encuentra")</f>
        <v>Madrid</v>
      </c>
      <c r="L2577" t="str">
        <f>_xlfn.XLOOKUP(datos_ventas[[#This Row],[Provincia]],Tabla2[Provincias],Tabla2[Comunidades],"no se encuentra")</f>
        <v>Comunidad de Madrid</v>
      </c>
      <c r="M2577" t="s">
        <v>15</v>
      </c>
      <c r="N2577">
        <v>3</v>
      </c>
    </row>
    <row r="2578" spans="1:14" x14ac:dyDescent="0.25">
      <c r="A2578">
        <v>3577</v>
      </c>
      <c r="B2578" s="1">
        <v>45855</v>
      </c>
      <c r="C2578" s="4">
        <f>MONTH(datos_ventas[[#This Row],[Fecha]])</f>
        <v>7</v>
      </c>
      <c r="D2578" s="4">
        <f>WEEKNUM(datos_ventas[[#This Row],[Fecha]],2)</f>
        <v>29</v>
      </c>
      <c r="E2578" t="s">
        <v>26</v>
      </c>
      <c r="F2578" t="s">
        <v>18</v>
      </c>
      <c r="G2578">
        <v>5</v>
      </c>
      <c r="H2578">
        <v>50925</v>
      </c>
      <c r="I2578">
        <v>74</v>
      </c>
      <c r="J2578" t="s">
        <v>27</v>
      </c>
      <c r="K2578" t="str">
        <f>_xlfn.XLOOKUP(datos_ventas[[#This Row],[Ciudad]],Tabla2[Ciudades],Tabla2[Provincias],"no se encuentra")</f>
        <v>Sevilla</v>
      </c>
      <c r="L2578" t="str">
        <f>_xlfn.XLOOKUP(datos_ventas[[#This Row],[Provincia]],Tabla2[Provincias],Tabla2[Comunidades],"no se encuentra")</f>
        <v>Andalucía</v>
      </c>
      <c r="M2578" t="s">
        <v>19</v>
      </c>
      <c r="N2578">
        <v>2</v>
      </c>
    </row>
    <row r="2579" spans="1:14" x14ac:dyDescent="0.25">
      <c r="A2579">
        <v>3578</v>
      </c>
      <c r="B2579" s="1">
        <v>45698</v>
      </c>
      <c r="C2579" s="4">
        <f>MONTH(datos_ventas[[#This Row],[Fecha]])</f>
        <v>2</v>
      </c>
      <c r="D2579" s="4">
        <f>WEEKNUM(datos_ventas[[#This Row],[Fecha]],2)</f>
        <v>7</v>
      </c>
      <c r="E2579" t="s">
        <v>20</v>
      </c>
      <c r="F2579" t="s">
        <v>21</v>
      </c>
      <c r="G2579">
        <v>2</v>
      </c>
      <c r="H2579">
        <v>52451</v>
      </c>
      <c r="I2579">
        <v>3697</v>
      </c>
      <c r="J2579" t="s">
        <v>14</v>
      </c>
      <c r="K2579" t="str">
        <f>_xlfn.XLOOKUP(datos_ventas[[#This Row],[Ciudad]],Tabla2[Ciudades],Tabla2[Provincias],"no se encuentra")</f>
        <v>Madrid</v>
      </c>
      <c r="L2579" t="str">
        <f>_xlfn.XLOOKUP(datos_ventas[[#This Row],[Provincia]],Tabla2[Provincias],Tabla2[Comunidades],"no se encuentra")</f>
        <v>Comunidad de Madrid</v>
      </c>
      <c r="M2579" t="s">
        <v>19</v>
      </c>
      <c r="N2579">
        <v>3</v>
      </c>
    </row>
    <row r="2580" spans="1:14" x14ac:dyDescent="0.25">
      <c r="A2580">
        <v>3579</v>
      </c>
      <c r="B2580" s="1">
        <v>45817</v>
      </c>
      <c r="C2580" s="4">
        <f>MONTH(datos_ventas[[#This Row],[Fecha]])</f>
        <v>6</v>
      </c>
      <c r="D2580" s="4">
        <f>WEEKNUM(datos_ventas[[#This Row],[Fecha]],2)</f>
        <v>24</v>
      </c>
      <c r="E2580" t="s">
        <v>17</v>
      </c>
      <c r="F2580" t="s">
        <v>18</v>
      </c>
      <c r="G2580">
        <v>5</v>
      </c>
      <c r="H2580">
        <v>1758</v>
      </c>
      <c r="I2580">
        <v>1782</v>
      </c>
      <c r="J2580" t="s">
        <v>32</v>
      </c>
      <c r="K2580" t="str">
        <f>_xlfn.XLOOKUP(datos_ventas[[#This Row],[Ciudad]],Tabla2[Ciudades],Tabla2[Provincias],"no se encuentra")</f>
        <v>Barcelona</v>
      </c>
      <c r="L2580" t="str">
        <f>_xlfn.XLOOKUP(datos_ventas[[#This Row],[Provincia]],Tabla2[Provincias],Tabla2[Comunidades],"no se encuentra")</f>
        <v>Cataluña</v>
      </c>
      <c r="M2580" t="s">
        <v>28</v>
      </c>
      <c r="N2580">
        <v>5</v>
      </c>
    </row>
    <row r="2581" spans="1:14" x14ac:dyDescent="0.25">
      <c r="A2581">
        <v>3580</v>
      </c>
      <c r="B2581" s="1">
        <v>45926</v>
      </c>
      <c r="C2581" s="4">
        <f>MONTH(datos_ventas[[#This Row],[Fecha]])</f>
        <v>9</v>
      </c>
      <c r="D2581" s="4">
        <f>WEEKNUM(datos_ventas[[#This Row],[Fecha]],2)</f>
        <v>39</v>
      </c>
      <c r="E2581" t="s">
        <v>26</v>
      </c>
      <c r="F2581" t="s">
        <v>18</v>
      </c>
      <c r="G2581">
        <v>3</v>
      </c>
      <c r="H2581">
        <v>55576</v>
      </c>
      <c r="I2581">
        <v>3604</v>
      </c>
      <c r="J2581" t="s">
        <v>14</v>
      </c>
      <c r="K2581" t="str">
        <f>_xlfn.XLOOKUP(datos_ventas[[#This Row],[Ciudad]],Tabla2[Ciudades],Tabla2[Provincias],"no se encuentra")</f>
        <v>Madrid</v>
      </c>
      <c r="L2581" t="str">
        <f>_xlfn.XLOOKUP(datos_ventas[[#This Row],[Provincia]],Tabla2[Provincias],Tabla2[Comunidades],"no se encuentra")</f>
        <v>Comunidad de Madrid</v>
      </c>
      <c r="M2581" t="s">
        <v>19</v>
      </c>
      <c r="N2581">
        <v>3</v>
      </c>
    </row>
    <row r="2582" spans="1:14" x14ac:dyDescent="0.25">
      <c r="A2582">
        <v>3581</v>
      </c>
      <c r="B2582" s="1">
        <v>45880</v>
      </c>
      <c r="C2582" s="4">
        <f>MONTH(datos_ventas[[#This Row],[Fecha]])</f>
        <v>8</v>
      </c>
      <c r="D2582" s="4">
        <f>WEEKNUM(datos_ventas[[#This Row],[Fecha]],2)</f>
        <v>33</v>
      </c>
      <c r="E2582" t="s">
        <v>20</v>
      </c>
      <c r="F2582" t="s">
        <v>21</v>
      </c>
      <c r="G2582">
        <v>5</v>
      </c>
      <c r="H2582">
        <v>60836</v>
      </c>
      <c r="I2582">
        <v>3034</v>
      </c>
      <c r="J2582" t="s">
        <v>31</v>
      </c>
      <c r="K2582" t="str">
        <f>_xlfn.XLOOKUP(datos_ventas[[#This Row],[Ciudad]],Tabla2[Ciudades],Tabla2[Provincias],"no se encuentra")</f>
        <v>Vizcaya</v>
      </c>
      <c r="L2582" t="str">
        <f>_xlfn.XLOOKUP(datos_ventas[[#This Row],[Provincia]],Tabla2[Provincias],Tabla2[Comunidades],"no se encuentra")</f>
        <v>País Vasco</v>
      </c>
      <c r="M2582" t="s">
        <v>13</v>
      </c>
      <c r="N2582">
        <v>1</v>
      </c>
    </row>
    <row r="2583" spans="1:14" x14ac:dyDescent="0.25">
      <c r="A2583">
        <v>3582</v>
      </c>
      <c r="B2583" s="1">
        <v>45745</v>
      </c>
      <c r="C2583" s="4">
        <f>MONTH(datos_ventas[[#This Row],[Fecha]])</f>
        <v>3</v>
      </c>
      <c r="D2583" s="4">
        <f>WEEKNUM(datos_ventas[[#This Row],[Fecha]],2)</f>
        <v>13</v>
      </c>
      <c r="E2583" t="s">
        <v>23</v>
      </c>
      <c r="F2583" t="s">
        <v>18</v>
      </c>
      <c r="G2583">
        <v>2</v>
      </c>
      <c r="H2583">
        <v>75311</v>
      </c>
      <c r="I2583">
        <v>3012</v>
      </c>
      <c r="J2583" t="s">
        <v>27</v>
      </c>
      <c r="K2583" t="str">
        <f>_xlfn.XLOOKUP(datos_ventas[[#This Row],[Ciudad]],Tabla2[Ciudades],Tabla2[Provincias],"no se encuentra")</f>
        <v>Sevilla</v>
      </c>
      <c r="L2583" t="str">
        <f>_xlfn.XLOOKUP(datos_ventas[[#This Row],[Provincia]],Tabla2[Provincias],Tabla2[Comunidades],"no se encuentra")</f>
        <v>Andalucía</v>
      </c>
      <c r="M2583" t="s">
        <v>28</v>
      </c>
      <c r="N2583">
        <v>5</v>
      </c>
    </row>
    <row r="2584" spans="1:14" x14ac:dyDescent="0.25">
      <c r="A2584">
        <v>3583</v>
      </c>
      <c r="B2584" s="1">
        <v>45867</v>
      </c>
      <c r="C2584" s="4">
        <f>MONTH(datos_ventas[[#This Row],[Fecha]])</f>
        <v>7</v>
      </c>
      <c r="D2584" s="4">
        <f>WEEKNUM(datos_ventas[[#This Row],[Fecha]],2)</f>
        <v>31</v>
      </c>
      <c r="E2584" t="s">
        <v>10</v>
      </c>
      <c r="F2584" t="s">
        <v>11</v>
      </c>
      <c r="G2584">
        <v>1</v>
      </c>
      <c r="H2584">
        <v>44898</v>
      </c>
      <c r="I2584">
        <v>1782</v>
      </c>
      <c r="J2584" t="s">
        <v>12</v>
      </c>
      <c r="K2584" t="str">
        <f>_xlfn.XLOOKUP(datos_ventas[[#This Row],[Ciudad]],Tabla2[Ciudades],Tabla2[Provincias],"no se encuentra")</f>
        <v>Málaga</v>
      </c>
      <c r="L2584" t="str">
        <f>_xlfn.XLOOKUP(datos_ventas[[#This Row],[Provincia]],Tabla2[Provincias],Tabla2[Comunidades],"no se encuentra")</f>
        <v>Andalucía</v>
      </c>
      <c r="M2584" t="s">
        <v>15</v>
      </c>
      <c r="N2584">
        <v>1</v>
      </c>
    </row>
    <row r="2585" spans="1:14" x14ac:dyDescent="0.25">
      <c r="A2585">
        <v>3584</v>
      </c>
      <c r="B2585" s="1">
        <v>45869</v>
      </c>
      <c r="C2585" s="4">
        <f>MONTH(datos_ventas[[#This Row],[Fecha]])</f>
        <v>7</v>
      </c>
      <c r="D2585" s="4">
        <f>WEEKNUM(datos_ventas[[#This Row],[Fecha]],2)</f>
        <v>31</v>
      </c>
      <c r="E2585" t="s">
        <v>20</v>
      </c>
      <c r="F2585" t="s">
        <v>21</v>
      </c>
      <c r="G2585">
        <v>2</v>
      </c>
      <c r="H2585">
        <v>25771</v>
      </c>
      <c r="I2585">
        <v>3753</v>
      </c>
      <c r="J2585" t="s">
        <v>14</v>
      </c>
      <c r="K2585" t="str">
        <f>_xlfn.XLOOKUP(datos_ventas[[#This Row],[Ciudad]],Tabla2[Ciudades],Tabla2[Provincias],"no se encuentra")</f>
        <v>Madrid</v>
      </c>
      <c r="L2585" t="str">
        <f>_xlfn.XLOOKUP(datos_ventas[[#This Row],[Provincia]],Tabla2[Provincias],Tabla2[Comunidades],"no se encuentra")</f>
        <v>Comunidad de Madrid</v>
      </c>
      <c r="M2585" t="s">
        <v>15</v>
      </c>
      <c r="N2585">
        <v>2</v>
      </c>
    </row>
    <row r="2586" spans="1:14" x14ac:dyDescent="0.25">
      <c r="A2586">
        <v>3585</v>
      </c>
      <c r="B2586" s="1">
        <v>45804</v>
      </c>
      <c r="C2586" s="4">
        <f>MONTH(datos_ventas[[#This Row],[Fecha]])</f>
        <v>5</v>
      </c>
      <c r="D2586" s="4">
        <f>WEEKNUM(datos_ventas[[#This Row],[Fecha]],2)</f>
        <v>22</v>
      </c>
      <c r="E2586" t="s">
        <v>23</v>
      </c>
      <c r="F2586" t="s">
        <v>18</v>
      </c>
      <c r="G2586">
        <v>5</v>
      </c>
      <c r="H2586">
        <v>94133</v>
      </c>
      <c r="I2586">
        <v>1069</v>
      </c>
      <c r="J2586" t="s">
        <v>14</v>
      </c>
      <c r="K2586" t="str">
        <f>_xlfn.XLOOKUP(datos_ventas[[#This Row],[Ciudad]],Tabla2[Ciudades],Tabla2[Provincias],"no se encuentra")</f>
        <v>Madrid</v>
      </c>
      <c r="L2586" t="str">
        <f>_xlfn.XLOOKUP(datos_ventas[[#This Row],[Provincia]],Tabla2[Provincias],Tabla2[Comunidades],"no se encuentra")</f>
        <v>Comunidad de Madrid</v>
      </c>
      <c r="M2586" t="s">
        <v>19</v>
      </c>
      <c r="N2586">
        <v>1</v>
      </c>
    </row>
    <row r="2587" spans="1:14" x14ac:dyDescent="0.25">
      <c r="A2587">
        <v>3586</v>
      </c>
      <c r="B2587" s="1">
        <v>45974</v>
      </c>
      <c r="C2587" s="4">
        <f>MONTH(datos_ventas[[#This Row],[Fecha]])</f>
        <v>11</v>
      </c>
      <c r="D2587" s="4">
        <f>WEEKNUM(datos_ventas[[#This Row],[Fecha]],2)</f>
        <v>46</v>
      </c>
      <c r="E2587" t="s">
        <v>17</v>
      </c>
      <c r="F2587" t="s">
        <v>18</v>
      </c>
      <c r="G2587">
        <v>3</v>
      </c>
      <c r="H2587">
        <v>106301</v>
      </c>
      <c r="I2587">
        <v>1139</v>
      </c>
      <c r="J2587" t="s">
        <v>14</v>
      </c>
      <c r="K2587" t="str">
        <f>_xlfn.XLOOKUP(datos_ventas[[#This Row],[Ciudad]],Tabla2[Ciudades],Tabla2[Provincias],"no se encuentra")</f>
        <v>Madrid</v>
      </c>
      <c r="L2587" t="str">
        <f>_xlfn.XLOOKUP(datos_ventas[[#This Row],[Provincia]],Tabla2[Provincias],Tabla2[Comunidades],"no se encuentra")</f>
        <v>Comunidad de Madrid</v>
      </c>
      <c r="M2587" t="s">
        <v>19</v>
      </c>
      <c r="N2587">
        <v>3</v>
      </c>
    </row>
    <row r="2588" spans="1:14" x14ac:dyDescent="0.25">
      <c r="A2588">
        <v>3587</v>
      </c>
      <c r="B2588" s="1">
        <v>45894</v>
      </c>
      <c r="C2588" s="4">
        <f>MONTH(datos_ventas[[#This Row],[Fecha]])</f>
        <v>8</v>
      </c>
      <c r="D2588" s="4">
        <f>WEEKNUM(datos_ventas[[#This Row],[Fecha]],2)</f>
        <v>35</v>
      </c>
      <c r="E2588" t="s">
        <v>17</v>
      </c>
      <c r="F2588" t="s">
        <v>18</v>
      </c>
      <c r="G2588">
        <v>5</v>
      </c>
      <c r="H2588">
        <v>94564</v>
      </c>
      <c r="I2588">
        <v>4777</v>
      </c>
      <c r="J2588" t="s">
        <v>22</v>
      </c>
      <c r="K2588" t="str">
        <f>_xlfn.XLOOKUP(datos_ventas[[#This Row],[Ciudad]],Tabla2[Ciudades],Tabla2[Provincias],"no se encuentra")</f>
        <v>Valencia</v>
      </c>
      <c r="L2588" t="str">
        <f>_xlfn.XLOOKUP(datos_ventas[[#This Row],[Provincia]],Tabla2[Provincias],Tabla2[Comunidades],"no se encuentra")</f>
        <v>Comunidad Valenciana</v>
      </c>
      <c r="M2588" t="s">
        <v>28</v>
      </c>
      <c r="N2588">
        <v>3</v>
      </c>
    </row>
    <row r="2589" spans="1:14" x14ac:dyDescent="0.25">
      <c r="A2589">
        <v>3588</v>
      </c>
      <c r="B2589" s="1">
        <v>45836</v>
      </c>
      <c r="C2589" s="4">
        <f>MONTH(datos_ventas[[#This Row],[Fecha]])</f>
        <v>6</v>
      </c>
      <c r="D2589" s="4">
        <f>WEEKNUM(datos_ventas[[#This Row],[Fecha]],2)</f>
        <v>26</v>
      </c>
      <c r="E2589" t="s">
        <v>20</v>
      </c>
      <c r="F2589" t="s">
        <v>21</v>
      </c>
      <c r="G2589">
        <v>2</v>
      </c>
      <c r="H2589">
        <v>41781</v>
      </c>
      <c r="I2589">
        <v>3541</v>
      </c>
      <c r="J2589" t="s">
        <v>22</v>
      </c>
      <c r="K2589" t="str">
        <f>_xlfn.XLOOKUP(datos_ventas[[#This Row],[Ciudad]],Tabla2[Ciudades],Tabla2[Provincias],"no se encuentra")</f>
        <v>Valencia</v>
      </c>
      <c r="L2589" t="str">
        <f>_xlfn.XLOOKUP(datos_ventas[[#This Row],[Provincia]],Tabla2[Provincias],Tabla2[Comunidades],"no se encuentra")</f>
        <v>Comunidad Valenciana</v>
      </c>
      <c r="M2589" t="s">
        <v>19</v>
      </c>
      <c r="N2589">
        <v>3</v>
      </c>
    </row>
    <row r="2590" spans="1:14" x14ac:dyDescent="0.25">
      <c r="A2590">
        <v>3589</v>
      </c>
      <c r="B2590" s="1">
        <v>45809</v>
      </c>
      <c r="C2590" s="4">
        <f>MONTH(datos_ventas[[#This Row],[Fecha]])</f>
        <v>6</v>
      </c>
      <c r="D2590" s="4">
        <f>WEEKNUM(datos_ventas[[#This Row],[Fecha]],2)</f>
        <v>22</v>
      </c>
      <c r="E2590" t="s">
        <v>10</v>
      </c>
      <c r="F2590" t="s">
        <v>11</v>
      </c>
      <c r="G2590">
        <v>2</v>
      </c>
      <c r="H2590">
        <v>55576</v>
      </c>
      <c r="I2590">
        <v>391</v>
      </c>
      <c r="J2590" t="s">
        <v>12</v>
      </c>
      <c r="K2590" t="str">
        <f>_xlfn.XLOOKUP(datos_ventas[[#This Row],[Ciudad]],Tabla2[Ciudades],Tabla2[Provincias],"no se encuentra")</f>
        <v>Málaga</v>
      </c>
      <c r="L2590" t="str">
        <f>_xlfn.XLOOKUP(datos_ventas[[#This Row],[Provincia]],Tabla2[Provincias],Tabla2[Comunidades],"no se encuentra")</f>
        <v>Andalucía</v>
      </c>
      <c r="M2590" t="s">
        <v>28</v>
      </c>
      <c r="N2590">
        <v>5</v>
      </c>
    </row>
    <row r="2591" spans="1:14" x14ac:dyDescent="0.25">
      <c r="A2591">
        <v>3590</v>
      </c>
      <c r="B2591" s="1">
        <v>45999</v>
      </c>
      <c r="C2591" s="4">
        <f>MONTH(datos_ventas[[#This Row],[Fecha]])</f>
        <v>12</v>
      </c>
      <c r="D2591" s="4">
        <f>WEEKNUM(datos_ventas[[#This Row],[Fecha]],2)</f>
        <v>50</v>
      </c>
      <c r="E2591" t="s">
        <v>26</v>
      </c>
      <c r="F2591" t="s">
        <v>18</v>
      </c>
      <c r="G2591">
        <v>3</v>
      </c>
      <c r="H2591">
        <v>44115</v>
      </c>
      <c r="I2591">
        <v>4735</v>
      </c>
      <c r="J2591" t="s">
        <v>31</v>
      </c>
      <c r="K2591" t="str">
        <f>_xlfn.XLOOKUP(datos_ventas[[#This Row],[Ciudad]],Tabla2[Ciudades],Tabla2[Provincias],"no se encuentra")</f>
        <v>Vizcaya</v>
      </c>
      <c r="L2591" t="str">
        <f>_xlfn.XLOOKUP(datos_ventas[[#This Row],[Provincia]],Tabla2[Provincias],Tabla2[Comunidades],"no se encuentra")</f>
        <v>País Vasco</v>
      </c>
      <c r="M2591" t="s">
        <v>15</v>
      </c>
      <c r="N2591">
        <v>3</v>
      </c>
    </row>
    <row r="2592" spans="1:14" x14ac:dyDescent="0.25">
      <c r="A2592">
        <v>3591</v>
      </c>
      <c r="B2592" s="1">
        <v>45821</v>
      </c>
      <c r="C2592" s="4">
        <f>MONTH(datos_ventas[[#This Row],[Fecha]])</f>
        <v>6</v>
      </c>
      <c r="D2592" s="4">
        <f>WEEKNUM(datos_ventas[[#This Row],[Fecha]],2)</f>
        <v>24</v>
      </c>
      <c r="E2592" t="s">
        <v>23</v>
      </c>
      <c r="F2592" t="s">
        <v>18</v>
      </c>
      <c r="G2592">
        <v>3</v>
      </c>
      <c r="H2592">
        <v>6144</v>
      </c>
      <c r="I2592">
        <v>2451</v>
      </c>
      <c r="J2592" t="s">
        <v>31</v>
      </c>
      <c r="K2592" t="str">
        <f>_xlfn.XLOOKUP(datos_ventas[[#This Row],[Ciudad]],Tabla2[Ciudades],Tabla2[Provincias],"no se encuentra")</f>
        <v>Vizcaya</v>
      </c>
      <c r="L2592" t="str">
        <f>_xlfn.XLOOKUP(datos_ventas[[#This Row],[Provincia]],Tabla2[Provincias],Tabla2[Comunidades],"no se encuentra")</f>
        <v>País Vasco</v>
      </c>
      <c r="M2592" t="s">
        <v>28</v>
      </c>
      <c r="N2592">
        <v>3</v>
      </c>
    </row>
    <row r="2593" spans="1:14" x14ac:dyDescent="0.25">
      <c r="A2593">
        <v>3592</v>
      </c>
      <c r="B2593" s="1">
        <v>45865</v>
      </c>
      <c r="C2593" s="4">
        <f>MONTH(datos_ventas[[#This Row],[Fecha]])</f>
        <v>7</v>
      </c>
      <c r="D2593" s="4">
        <f>WEEKNUM(datos_ventas[[#This Row],[Fecha]],2)</f>
        <v>30</v>
      </c>
      <c r="E2593" t="s">
        <v>10</v>
      </c>
      <c r="F2593" t="s">
        <v>11</v>
      </c>
      <c r="G2593">
        <v>2</v>
      </c>
      <c r="H2593">
        <v>111623</v>
      </c>
      <c r="I2593">
        <v>4983</v>
      </c>
      <c r="J2593" t="s">
        <v>14</v>
      </c>
      <c r="K2593" t="str">
        <f>_xlfn.XLOOKUP(datos_ventas[[#This Row],[Ciudad]],Tabla2[Ciudades],Tabla2[Provincias],"no se encuentra")</f>
        <v>Madrid</v>
      </c>
      <c r="L2593" t="str">
        <f>_xlfn.XLOOKUP(datos_ventas[[#This Row],[Provincia]],Tabla2[Provincias],Tabla2[Comunidades],"no se encuentra")</f>
        <v>Comunidad de Madrid</v>
      </c>
      <c r="M2593" t="s">
        <v>28</v>
      </c>
      <c r="N2593">
        <v>1</v>
      </c>
    </row>
    <row r="2594" spans="1:14" x14ac:dyDescent="0.25">
      <c r="A2594">
        <v>3593</v>
      </c>
      <c r="B2594" s="1">
        <v>45865</v>
      </c>
      <c r="C2594" s="4">
        <f>MONTH(datos_ventas[[#This Row],[Fecha]])</f>
        <v>7</v>
      </c>
      <c r="D2594" s="4">
        <f>WEEKNUM(datos_ventas[[#This Row],[Fecha]],2)</f>
        <v>30</v>
      </c>
      <c r="E2594" t="s">
        <v>17</v>
      </c>
      <c r="F2594" t="s">
        <v>18</v>
      </c>
      <c r="G2594">
        <v>4</v>
      </c>
      <c r="H2594">
        <v>40336</v>
      </c>
      <c r="I2594">
        <v>1472</v>
      </c>
      <c r="J2594" t="s">
        <v>27</v>
      </c>
      <c r="K2594" t="str">
        <f>_xlfn.XLOOKUP(datos_ventas[[#This Row],[Ciudad]],Tabla2[Ciudades],Tabla2[Provincias],"no se encuentra")</f>
        <v>Sevilla</v>
      </c>
      <c r="L2594" t="str">
        <f>_xlfn.XLOOKUP(datos_ventas[[#This Row],[Provincia]],Tabla2[Provincias],Tabla2[Comunidades],"no se encuentra")</f>
        <v>Andalucía</v>
      </c>
      <c r="M2594" t="s">
        <v>13</v>
      </c>
      <c r="N2594">
        <v>5</v>
      </c>
    </row>
    <row r="2595" spans="1:14" x14ac:dyDescent="0.25">
      <c r="A2595">
        <v>3594</v>
      </c>
      <c r="B2595" s="1">
        <v>45703</v>
      </c>
      <c r="C2595" s="4">
        <f>MONTH(datos_ventas[[#This Row],[Fecha]])</f>
        <v>2</v>
      </c>
      <c r="D2595" s="4">
        <f>WEEKNUM(datos_ventas[[#This Row],[Fecha]],2)</f>
        <v>7</v>
      </c>
      <c r="E2595" t="s">
        <v>10</v>
      </c>
      <c r="F2595" t="s">
        <v>11</v>
      </c>
      <c r="G2595">
        <v>2</v>
      </c>
      <c r="H2595">
        <v>79649</v>
      </c>
      <c r="I2595">
        <v>1071</v>
      </c>
      <c r="J2595" t="s">
        <v>14</v>
      </c>
      <c r="K2595" t="str">
        <f>_xlfn.XLOOKUP(datos_ventas[[#This Row],[Ciudad]],Tabla2[Ciudades],Tabla2[Provincias],"no se encuentra")</f>
        <v>Madrid</v>
      </c>
      <c r="L2595" t="str">
        <f>_xlfn.XLOOKUP(datos_ventas[[#This Row],[Provincia]],Tabla2[Provincias],Tabla2[Comunidades],"no se encuentra")</f>
        <v>Comunidad de Madrid</v>
      </c>
      <c r="M2595" t="s">
        <v>19</v>
      </c>
      <c r="N2595">
        <v>4</v>
      </c>
    </row>
    <row r="2596" spans="1:14" x14ac:dyDescent="0.25">
      <c r="A2596">
        <v>3595</v>
      </c>
      <c r="B2596" s="1">
        <v>45799</v>
      </c>
      <c r="C2596" s="4">
        <f>MONTH(datos_ventas[[#This Row],[Fecha]])</f>
        <v>5</v>
      </c>
      <c r="D2596" s="4">
        <f>WEEKNUM(datos_ventas[[#This Row],[Fecha]],2)</f>
        <v>21</v>
      </c>
      <c r="E2596" t="s">
        <v>17</v>
      </c>
      <c r="F2596" t="s">
        <v>18</v>
      </c>
      <c r="G2596">
        <v>3</v>
      </c>
      <c r="H2596">
        <v>50745</v>
      </c>
      <c r="I2596">
        <v>3098</v>
      </c>
      <c r="J2596" t="s">
        <v>27</v>
      </c>
      <c r="K2596" t="str">
        <f>_xlfn.XLOOKUP(datos_ventas[[#This Row],[Ciudad]],Tabla2[Ciudades],Tabla2[Provincias],"no se encuentra")</f>
        <v>Sevilla</v>
      </c>
      <c r="L2596" t="str">
        <f>_xlfn.XLOOKUP(datos_ventas[[#This Row],[Provincia]],Tabla2[Provincias],Tabla2[Comunidades],"no se encuentra")</f>
        <v>Andalucía</v>
      </c>
      <c r="M2596" t="s">
        <v>19</v>
      </c>
      <c r="N2596">
        <v>3</v>
      </c>
    </row>
    <row r="2597" spans="1:14" x14ac:dyDescent="0.25">
      <c r="A2597">
        <v>3596</v>
      </c>
      <c r="B2597" s="1">
        <v>45859</v>
      </c>
      <c r="C2597" s="4">
        <f>MONTH(datos_ventas[[#This Row],[Fecha]])</f>
        <v>7</v>
      </c>
      <c r="D2597" s="4">
        <f>WEEKNUM(datos_ventas[[#This Row],[Fecha]],2)</f>
        <v>30</v>
      </c>
      <c r="E2597" t="s">
        <v>16</v>
      </c>
      <c r="F2597" t="s">
        <v>11</v>
      </c>
      <c r="G2597">
        <v>2</v>
      </c>
      <c r="H2597">
        <v>23966</v>
      </c>
      <c r="I2597">
        <v>2931</v>
      </c>
      <c r="J2597" t="s">
        <v>22</v>
      </c>
      <c r="K2597" t="str">
        <f>_xlfn.XLOOKUP(datos_ventas[[#This Row],[Ciudad]],Tabla2[Ciudades],Tabla2[Provincias],"no se encuentra")</f>
        <v>Valencia</v>
      </c>
      <c r="L2597" t="str">
        <f>_xlfn.XLOOKUP(datos_ventas[[#This Row],[Provincia]],Tabla2[Provincias],Tabla2[Comunidades],"no se encuentra")</f>
        <v>Comunidad Valenciana</v>
      </c>
      <c r="M2597" t="s">
        <v>28</v>
      </c>
      <c r="N2597">
        <v>2</v>
      </c>
    </row>
    <row r="2598" spans="1:14" x14ac:dyDescent="0.25">
      <c r="A2598">
        <v>3597</v>
      </c>
      <c r="B2598" s="1">
        <v>45869</v>
      </c>
      <c r="C2598" s="4">
        <f>MONTH(datos_ventas[[#This Row],[Fecha]])</f>
        <v>7</v>
      </c>
      <c r="D2598" s="4">
        <f>WEEKNUM(datos_ventas[[#This Row],[Fecha]],2)</f>
        <v>31</v>
      </c>
      <c r="E2598" t="s">
        <v>29</v>
      </c>
      <c r="F2598" t="s">
        <v>30</v>
      </c>
      <c r="G2598">
        <v>2</v>
      </c>
      <c r="H2598">
        <v>58651</v>
      </c>
      <c r="I2598">
        <v>4083</v>
      </c>
      <c r="J2598" t="s">
        <v>27</v>
      </c>
      <c r="K2598" t="str">
        <f>_xlfn.XLOOKUP(datos_ventas[[#This Row],[Ciudad]],Tabla2[Ciudades],Tabla2[Provincias],"no se encuentra")</f>
        <v>Sevilla</v>
      </c>
      <c r="L2598" t="str">
        <f>_xlfn.XLOOKUP(datos_ventas[[#This Row],[Provincia]],Tabla2[Provincias],Tabla2[Comunidades],"no se encuentra")</f>
        <v>Andalucía</v>
      </c>
      <c r="M2598" t="s">
        <v>15</v>
      </c>
      <c r="N2598">
        <v>5</v>
      </c>
    </row>
    <row r="2599" spans="1:14" x14ac:dyDescent="0.25">
      <c r="A2599">
        <v>3598</v>
      </c>
      <c r="B2599" s="1">
        <v>45761</v>
      </c>
      <c r="C2599" s="4">
        <f>MONTH(datos_ventas[[#This Row],[Fecha]])</f>
        <v>4</v>
      </c>
      <c r="D2599" s="4">
        <f>WEEKNUM(datos_ventas[[#This Row],[Fecha]],2)</f>
        <v>16</v>
      </c>
      <c r="E2599" t="s">
        <v>10</v>
      </c>
      <c r="F2599" t="s">
        <v>11</v>
      </c>
      <c r="G2599">
        <v>2</v>
      </c>
      <c r="H2599">
        <v>2495</v>
      </c>
      <c r="I2599">
        <v>1295</v>
      </c>
      <c r="J2599" t="s">
        <v>32</v>
      </c>
      <c r="K2599" t="str">
        <f>_xlfn.XLOOKUP(datos_ventas[[#This Row],[Ciudad]],Tabla2[Ciudades],Tabla2[Provincias],"no se encuentra")</f>
        <v>Barcelona</v>
      </c>
      <c r="L2599" t="str">
        <f>_xlfn.XLOOKUP(datos_ventas[[#This Row],[Provincia]],Tabla2[Provincias],Tabla2[Comunidades],"no se encuentra")</f>
        <v>Cataluña</v>
      </c>
      <c r="M2599" t="s">
        <v>13</v>
      </c>
      <c r="N2599">
        <v>5</v>
      </c>
    </row>
    <row r="2600" spans="1:14" x14ac:dyDescent="0.25">
      <c r="A2600">
        <v>3599</v>
      </c>
      <c r="B2600" s="1">
        <v>45723</v>
      </c>
      <c r="C2600" s="4">
        <f>MONTH(datos_ventas[[#This Row],[Fecha]])</f>
        <v>3</v>
      </c>
      <c r="D2600" s="4">
        <f>WEEKNUM(datos_ventas[[#This Row],[Fecha]],2)</f>
        <v>10</v>
      </c>
      <c r="E2600" t="s">
        <v>17</v>
      </c>
      <c r="F2600" t="s">
        <v>18</v>
      </c>
      <c r="G2600">
        <v>1</v>
      </c>
      <c r="H2600">
        <v>45533</v>
      </c>
      <c r="I2600">
        <v>63</v>
      </c>
      <c r="J2600" t="s">
        <v>31</v>
      </c>
      <c r="K2600" t="str">
        <f>_xlfn.XLOOKUP(datos_ventas[[#This Row],[Ciudad]],Tabla2[Ciudades],Tabla2[Provincias],"no se encuentra")</f>
        <v>Vizcaya</v>
      </c>
      <c r="L2600" t="str">
        <f>_xlfn.XLOOKUP(datos_ventas[[#This Row],[Provincia]],Tabla2[Provincias],Tabla2[Comunidades],"no se encuentra")</f>
        <v>País Vasco</v>
      </c>
      <c r="M2600" t="s">
        <v>28</v>
      </c>
      <c r="N2600">
        <v>4</v>
      </c>
    </row>
    <row r="2601" spans="1:14" x14ac:dyDescent="0.25">
      <c r="A2601">
        <v>3600</v>
      </c>
      <c r="B2601" s="1">
        <v>45885</v>
      </c>
      <c r="C2601" s="4">
        <f>MONTH(datos_ventas[[#This Row],[Fecha]])</f>
        <v>8</v>
      </c>
      <c r="D2601" s="4">
        <f>WEEKNUM(datos_ventas[[#This Row],[Fecha]],2)</f>
        <v>33</v>
      </c>
      <c r="E2601" t="s">
        <v>23</v>
      </c>
      <c r="F2601" t="s">
        <v>18</v>
      </c>
      <c r="G2601">
        <v>2</v>
      </c>
      <c r="H2601">
        <v>5601</v>
      </c>
      <c r="I2601">
        <v>1272</v>
      </c>
      <c r="J2601" t="s">
        <v>32</v>
      </c>
      <c r="K2601" t="str">
        <f>_xlfn.XLOOKUP(datos_ventas[[#This Row],[Ciudad]],Tabla2[Ciudades],Tabla2[Provincias],"no se encuentra")</f>
        <v>Barcelona</v>
      </c>
      <c r="L2601" t="str">
        <f>_xlfn.XLOOKUP(datos_ventas[[#This Row],[Provincia]],Tabla2[Provincias],Tabla2[Comunidades],"no se encuentra")</f>
        <v>Cataluña</v>
      </c>
      <c r="M2601" t="s">
        <v>19</v>
      </c>
      <c r="N2601">
        <v>2</v>
      </c>
    </row>
    <row r="2602" spans="1:14" x14ac:dyDescent="0.25">
      <c r="A2602">
        <v>3601</v>
      </c>
      <c r="B2602" s="1">
        <v>45853</v>
      </c>
      <c r="C2602" s="4">
        <f>MONTH(datos_ventas[[#This Row],[Fecha]])</f>
        <v>7</v>
      </c>
      <c r="D2602" s="4">
        <f>WEEKNUM(datos_ventas[[#This Row],[Fecha]],2)</f>
        <v>29</v>
      </c>
      <c r="E2602" t="s">
        <v>29</v>
      </c>
      <c r="F2602" t="s">
        <v>30</v>
      </c>
      <c r="G2602">
        <v>1</v>
      </c>
      <c r="H2602">
        <v>91232</v>
      </c>
      <c r="I2602">
        <v>3234</v>
      </c>
      <c r="J2602" t="s">
        <v>12</v>
      </c>
      <c r="K2602" t="str">
        <f>_xlfn.XLOOKUP(datos_ventas[[#This Row],[Ciudad]],Tabla2[Ciudades],Tabla2[Provincias],"no se encuentra")</f>
        <v>Málaga</v>
      </c>
      <c r="L2602" t="str">
        <f>_xlfn.XLOOKUP(datos_ventas[[#This Row],[Provincia]],Tabla2[Provincias],Tabla2[Comunidades],"no se encuentra")</f>
        <v>Andalucía</v>
      </c>
      <c r="M2602" t="s">
        <v>13</v>
      </c>
      <c r="N2602">
        <v>5</v>
      </c>
    </row>
    <row r="2603" spans="1:14" x14ac:dyDescent="0.25">
      <c r="A2603">
        <v>3602</v>
      </c>
      <c r="B2603" s="1">
        <v>45841</v>
      </c>
      <c r="C2603" s="4">
        <f>MONTH(datos_ventas[[#This Row],[Fecha]])</f>
        <v>7</v>
      </c>
      <c r="D2603" s="4">
        <f>WEEKNUM(datos_ventas[[#This Row],[Fecha]],2)</f>
        <v>27</v>
      </c>
      <c r="E2603" t="s">
        <v>17</v>
      </c>
      <c r="F2603" t="s">
        <v>18</v>
      </c>
      <c r="G2603">
        <v>3</v>
      </c>
      <c r="H2603">
        <v>765</v>
      </c>
      <c r="I2603">
        <v>3005</v>
      </c>
      <c r="J2603" t="s">
        <v>27</v>
      </c>
      <c r="K2603" t="str">
        <f>_xlfn.XLOOKUP(datos_ventas[[#This Row],[Ciudad]],Tabla2[Ciudades],Tabla2[Provincias],"no se encuentra")</f>
        <v>Sevilla</v>
      </c>
      <c r="L2603" t="str">
        <f>_xlfn.XLOOKUP(datos_ventas[[#This Row],[Provincia]],Tabla2[Provincias],Tabla2[Comunidades],"no se encuentra")</f>
        <v>Andalucía</v>
      </c>
      <c r="M2603" t="s">
        <v>15</v>
      </c>
      <c r="N2603">
        <v>3</v>
      </c>
    </row>
    <row r="2604" spans="1:14" x14ac:dyDescent="0.25">
      <c r="A2604">
        <v>3603</v>
      </c>
      <c r="B2604" s="1">
        <v>45845</v>
      </c>
      <c r="C2604" s="4">
        <f>MONTH(datos_ventas[[#This Row],[Fecha]])</f>
        <v>7</v>
      </c>
      <c r="D2604" s="4">
        <f>WEEKNUM(datos_ventas[[#This Row],[Fecha]],2)</f>
        <v>28</v>
      </c>
      <c r="E2604" t="s">
        <v>29</v>
      </c>
      <c r="F2604" t="s">
        <v>30</v>
      </c>
      <c r="G2604">
        <v>4</v>
      </c>
      <c r="H2604">
        <v>1323</v>
      </c>
      <c r="I2604">
        <v>844</v>
      </c>
      <c r="J2604" t="s">
        <v>32</v>
      </c>
      <c r="K2604" t="str">
        <f>_xlfn.XLOOKUP(datos_ventas[[#This Row],[Ciudad]],Tabla2[Ciudades],Tabla2[Provincias],"no se encuentra")</f>
        <v>Barcelona</v>
      </c>
      <c r="L2604" t="str">
        <f>_xlfn.XLOOKUP(datos_ventas[[#This Row],[Provincia]],Tabla2[Provincias],Tabla2[Comunidades],"no se encuentra")</f>
        <v>Cataluña</v>
      </c>
      <c r="M2604" t="s">
        <v>13</v>
      </c>
      <c r="N2604">
        <v>3</v>
      </c>
    </row>
    <row r="2605" spans="1:14" x14ac:dyDescent="0.25">
      <c r="A2605">
        <v>3604</v>
      </c>
      <c r="B2605" s="1">
        <v>45760</v>
      </c>
      <c r="C2605" s="4">
        <f>MONTH(datos_ventas[[#This Row],[Fecha]])</f>
        <v>4</v>
      </c>
      <c r="D2605" s="4">
        <f>WEEKNUM(datos_ventas[[#This Row],[Fecha]],2)</f>
        <v>15</v>
      </c>
      <c r="E2605" t="s">
        <v>26</v>
      </c>
      <c r="F2605" t="s">
        <v>18</v>
      </c>
      <c r="G2605">
        <v>3</v>
      </c>
      <c r="H2605">
        <v>57039</v>
      </c>
      <c r="I2605">
        <v>2806</v>
      </c>
      <c r="J2605" t="s">
        <v>27</v>
      </c>
      <c r="K2605" t="str">
        <f>_xlfn.XLOOKUP(datos_ventas[[#This Row],[Ciudad]],Tabla2[Ciudades],Tabla2[Provincias],"no se encuentra")</f>
        <v>Sevilla</v>
      </c>
      <c r="L2605" t="str">
        <f>_xlfn.XLOOKUP(datos_ventas[[#This Row],[Provincia]],Tabla2[Provincias],Tabla2[Comunidades],"no se encuentra")</f>
        <v>Andalucía</v>
      </c>
      <c r="M2605" t="s">
        <v>13</v>
      </c>
      <c r="N2605">
        <v>1</v>
      </c>
    </row>
    <row r="2606" spans="1:14" x14ac:dyDescent="0.25">
      <c r="A2606">
        <v>3605</v>
      </c>
      <c r="B2606" s="1">
        <v>45846</v>
      </c>
      <c r="C2606" s="4">
        <f>MONTH(datos_ventas[[#This Row],[Fecha]])</f>
        <v>7</v>
      </c>
      <c r="D2606" s="4">
        <f>WEEKNUM(datos_ventas[[#This Row],[Fecha]],2)</f>
        <v>28</v>
      </c>
      <c r="E2606" t="s">
        <v>23</v>
      </c>
      <c r="F2606" t="s">
        <v>18</v>
      </c>
      <c r="G2606">
        <v>3</v>
      </c>
      <c r="H2606">
        <v>110961</v>
      </c>
      <c r="I2606">
        <v>3733</v>
      </c>
      <c r="J2606" t="s">
        <v>32</v>
      </c>
      <c r="K2606" t="str">
        <f>_xlfn.XLOOKUP(datos_ventas[[#This Row],[Ciudad]],Tabla2[Ciudades],Tabla2[Provincias],"no se encuentra")</f>
        <v>Barcelona</v>
      </c>
      <c r="L2606" t="str">
        <f>_xlfn.XLOOKUP(datos_ventas[[#This Row],[Provincia]],Tabla2[Provincias],Tabla2[Comunidades],"no se encuentra")</f>
        <v>Cataluña</v>
      </c>
      <c r="M2606" t="s">
        <v>19</v>
      </c>
      <c r="N2606">
        <v>4</v>
      </c>
    </row>
    <row r="2607" spans="1:14" x14ac:dyDescent="0.25">
      <c r="A2607">
        <v>3606</v>
      </c>
      <c r="B2607" s="1">
        <v>45852</v>
      </c>
      <c r="C2607" s="4">
        <f>MONTH(datos_ventas[[#This Row],[Fecha]])</f>
        <v>7</v>
      </c>
      <c r="D2607" s="4">
        <f>WEEKNUM(datos_ventas[[#This Row],[Fecha]],2)</f>
        <v>29</v>
      </c>
      <c r="E2607" t="s">
        <v>16</v>
      </c>
      <c r="F2607" t="s">
        <v>11</v>
      </c>
      <c r="G2607">
        <v>2</v>
      </c>
      <c r="H2607">
        <v>50999</v>
      </c>
      <c r="I2607">
        <v>1949</v>
      </c>
      <c r="J2607" t="s">
        <v>27</v>
      </c>
      <c r="K2607" t="str">
        <f>_xlfn.XLOOKUP(datos_ventas[[#This Row],[Ciudad]],Tabla2[Ciudades],Tabla2[Provincias],"no se encuentra")</f>
        <v>Sevilla</v>
      </c>
      <c r="L2607" t="str">
        <f>_xlfn.XLOOKUP(datos_ventas[[#This Row],[Provincia]],Tabla2[Provincias],Tabla2[Comunidades],"no se encuentra")</f>
        <v>Andalucía</v>
      </c>
      <c r="M2607" t="s">
        <v>13</v>
      </c>
      <c r="N2607">
        <v>5</v>
      </c>
    </row>
    <row r="2608" spans="1:14" x14ac:dyDescent="0.25">
      <c r="A2608">
        <v>3607</v>
      </c>
      <c r="B2608" s="1">
        <v>45877</v>
      </c>
      <c r="C2608" s="4">
        <f>MONTH(datos_ventas[[#This Row],[Fecha]])</f>
        <v>8</v>
      </c>
      <c r="D2608" s="4">
        <f>WEEKNUM(datos_ventas[[#This Row],[Fecha]],2)</f>
        <v>32</v>
      </c>
      <c r="E2608" t="s">
        <v>16</v>
      </c>
      <c r="F2608" t="s">
        <v>11</v>
      </c>
      <c r="G2608">
        <v>4</v>
      </c>
      <c r="H2608">
        <v>117433</v>
      </c>
      <c r="I2608">
        <v>3363</v>
      </c>
      <c r="J2608" t="s">
        <v>32</v>
      </c>
      <c r="K2608" t="str">
        <f>_xlfn.XLOOKUP(datos_ventas[[#This Row],[Ciudad]],Tabla2[Ciudades],Tabla2[Provincias],"no se encuentra")</f>
        <v>Barcelona</v>
      </c>
      <c r="L2608" t="str">
        <f>_xlfn.XLOOKUP(datos_ventas[[#This Row],[Provincia]],Tabla2[Provincias],Tabla2[Comunidades],"no se encuentra")</f>
        <v>Cataluña</v>
      </c>
      <c r="M2608" t="s">
        <v>13</v>
      </c>
      <c r="N2608">
        <v>1</v>
      </c>
    </row>
    <row r="2609" spans="1:14" x14ac:dyDescent="0.25">
      <c r="A2609">
        <v>3608</v>
      </c>
      <c r="B2609" s="1">
        <v>45671</v>
      </c>
      <c r="C2609" s="4">
        <f>MONTH(datos_ventas[[#This Row],[Fecha]])</f>
        <v>1</v>
      </c>
      <c r="D2609" s="4">
        <f>WEEKNUM(datos_ventas[[#This Row],[Fecha]],2)</f>
        <v>3</v>
      </c>
      <c r="E2609" t="s">
        <v>26</v>
      </c>
      <c r="F2609" t="s">
        <v>18</v>
      </c>
      <c r="G2609">
        <v>5</v>
      </c>
      <c r="H2609">
        <v>6096</v>
      </c>
      <c r="I2609">
        <v>3702</v>
      </c>
      <c r="J2609" t="s">
        <v>27</v>
      </c>
      <c r="K2609" t="str">
        <f>_xlfn.XLOOKUP(datos_ventas[[#This Row],[Ciudad]],Tabla2[Ciudades],Tabla2[Provincias],"no se encuentra")</f>
        <v>Sevilla</v>
      </c>
      <c r="L2609" t="str">
        <f>_xlfn.XLOOKUP(datos_ventas[[#This Row],[Provincia]],Tabla2[Provincias],Tabla2[Comunidades],"no se encuentra")</f>
        <v>Andalucía</v>
      </c>
      <c r="M2609" t="s">
        <v>28</v>
      </c>
      <c r="N2609">
        <v>1</v>
      </c>
    </row>
    <row r="2610" spans="1:14" x14ac:dyDescent="0.25">
      <c r="A2610">
        <v>3609</v>
      </c>
      <c r="B2610" s="1">
        <v>45765</v>
      </c>
      <c r="C2610" s="4">
        <f>MONTH(datos_ventas[[#This Row],[Fecha]])</f>
        <v>4</v>
      </c>
      <c r="D2610" s="4">
        <f>WEEKNUM(datos_ventas[[#This Row],[Fecha]],2)</f>
        <v>16</v>
      </c>
      <c r="E2610" t="s">
        <v>23</v>
      </c>
      <c r="F2610" t="s">
        <v>18</v>
      </c>
      <c r="G2610">
        <v>5</v>
      </c>
      <c r="H2610">
        <v>2428</v>
      </c>
      <c r="I2610">
        <v>2212</v>
      </c>
      <c r="J2610" t="s">
        <v>32</v>
      </c>
      <c r="K2610" t="str">
        <f>_xlfn.XLOOKUP(datos_ventas[[#This Row],[Ciudad]],Tabla2[Ciudades],Tabla2[Provincias],"no se encuentra")</f>
        <v>Barcelona</v>
      </c>
      <c r="L2610" t="str">
        <f>_xlfn.XLOOKUP(datos_ventas[[#This Row],[Provincia]],Tabla2[Provincias],Tabla2[Comunidades],"no se encuentra")</f>
        <v>Cataluña</v>
      </c>
      <c r="M2610" t="s">
        <v>13</v>
      </c>
      <c r="N2610">
        <v>3</v>
      </c>
    </row>
    <row r="2611" spans="1:14" x14ac:dyDescent="0.25">
      <c r="A2611">
        <v>3610</v>
      </c>
      <c r="B2611" s="1">
        <v>45913</v>
      </c>
      <c r="C2611" s="4">
        <f>MONTH(datos_ventas[[#This Row],[Fecha]])</f>
        <v>9</v>
      </c>
      <c r="D2611" s="4">
        <f>WEEKNUM(datos_ventas[[#This Row],[Fecha]],2)</f>
        <v>37</v>
      </c>
      <c r="E2611" t="s">
        <v>17</v>
      </c>
      <c r="F2611" t="s">
        <v>18</v>
      </c>
      <c r="G2611">
        <v>4</v>
      </c>
      <c r="H2611">
        <v>89032</v>
      </c>
      <c r="I2611">
        <v>4649</v>
      </c>
      <c r="J2611" t="s">
        <v>31</v>
      </c>
      <c r="K2611" t="str">
        <f>_xlfn.XLOOKUP(datos_ventas[[#This Row],[Ciudad]],Tabla2[Ciudades],Tabla2[Provincias],"no se encuentra")</f>
        <v>Vizcaya</v>
      </c>
      <c r="L2611" t="str">
        <f>_xlfn.XLOOKUP(datos_ventas[[#This Row],[Provincia]],Tabla2[Provincias],Tabla2[Comunidades],"no se encuentra")</f>
        <v>País Vasco</v>
      </c>
      <c r="M2611" t="s">
        <v>28</v>
      </c>
      <c r="N2611">
        <v>2</v>
      </c>
    </row>
    <row r="2612" spans="1:14" x14ac:dyDescent="0.25">
      <c r="A2612">
        <v>3611</v>
      </c>
      <c r="B2612" s="1">
        <v>45663</v>
      </c>
      <c r="C2612" s="4">
        <f>MONTH(datos_ventas[[#This Row],[Fecha]])</f>
        <v>1</v>
      </c>
      <c r="D2612" s="4">
        <f>WEEKNUM(datos_ventas[[#This Row],[Fecha]],2)</f>
        <v>2</v>
      </c>
      <c r="E2612" t="s">
        <v>29</v>
      </c>
      <c r="F2612" t="s">
        <v>30</v>
      </c>
      <c r="G2612">
        <v>4</v>
      </c>
      <c r="H2612">
        <v>6336</v>
      </c>
      <c r="I2612">
        <v>4698</v>
      </c>
      <c r="J2612" t="s">
        <v>22</v>
      </c>
      <c r="K2612" t="str">
        <f>_xlfn.XLOOKUP(datos_ventas[[#This Row],[Ciudad]],Tabla2[Ciudades],Tabla2[Provincias],"no se encuentra")</f>
        <v>Valencia</v>
      </c>
      <c r="L2612" t="str">
        <f>_xlfn.XLOOKUP(datos_ventas[[#This Row],[Provincia]],Tabla2[Provincias],Tabla2[Comunidades],"no se encuentra")</f>
        <v>Comunidad Valenciana</v>
      </c>
      <c r="M2612" t="s">
        <v>28</v>
      </c>
      <c r="N2612">
        <v>4</v>
      </c>
    </row>
    <row r="2613" spans="1:14" x14ac:dyDescent="0.25">
      <c r="A2613">
        <v>3612</v>
      </c>
      <c r="B2613" s="1">
        <v>45984</v>
      </c>
      <c r="C2613" s="4">
        <f>MONTH(datos_ventas[[#This Row],[Fecha]])</f>
        <v>11</v>
      </c>
      <c r="D2613" s="4">
        <f>WEEKNUM(datos_ventas[[#This Row],[Fecha]],2)</f>
        <v>47</v>
      </c>
      <c r="E2613" t="s">
        <v>26</v>
      </c>
      <c r="F2613" t="s">
        <v>18</v>
      </c>
      <c r="G2613">
        <v>5</v>
      </c>
      <c r="H2613">
        <v>49526</v>
      </c>
      <c r="I2613">
        <v>2342</v>
      </c>
      <c r="J2613" t="s">
        <v>32</v>
      </c>
      <c r="K2613" t="str">
        <f>_xlfn.XLOOKUP(datos_ventas[[#This Row],[Ciudad]],Tabla2[Ciudades],Tabla2[Provincias],"no se encuentra")</f>
        <v>Barcelona</v>
      </c>
      <c r="L2613" t="str">
        <f>_xlfn.XLOOKUP(datos_ventas[[#This Row],[Provincia]],Tabla2[Provincias],Tabla2[Comunidades],"no se encuentra")</f>
        <v>Cataluña</v>
      </c>
      <c r="M2613" t="s">
        <v>19</v>
      </c>
      <c r="N2613">
        <v>3</v>
      </c>
    </row>
    <row r="2614" spans="1:14" x14ac:dyDescent="0.25">
      <c r="A2614">
        <v>3613</v>
      </c>
      <c r="B2614" s="1">
        <v>45907</v>
      </c>
      <c r="C2614" s="4">
        <f>MONTH(datos_ventas[[#This Row],[Fecha]])</f>
        <v>9</v>
      </c>
      <c r="D2614" s="4">
        <f>WEEKNUM(datos_ventas[[#This Row],[Fecha]],2)</f>
        <v>36</v>
      </c>
      <c r="E2614" t="s">
        <v>16</v>
      </c>
      <c r="F2614" t="s">
        <v>11</v>
      </c>
      <c r="G2614">
        <v>1</v>
      </c>
      <c r="H2614">
        <v>4393</v>
      </c>
      <c r="I2614">
        <v>2156</v>
      </c>
      <c r="J2614" t="s">
        <v>27</v>
      </c>
      <c r="K2614" t="str">
        <f>_xlfn.XLOOKUP(datos_ventas[[#This Row],[Ciudad]],Tabla2[Ciudades],Tabla2[Provincias],"no se encuentra")</f>
        <v>Sevilla</v>
      </c>
      <c r="L2614" t="str">
        <f>_xlfn.XLOOKUP(datos_ventas[[#This Row],[Provincia]],Tabla2[Provincias],Tabla2[Comunidades],"no se encuentra")</f>
        <v>Andalucía</v>
      </c>
      <c r="M2614" t="s">
        <v>28</v>
      </c>
      <c r="N2614">
        <v>5</v>
      </c>
    </row>
    <row r="2615" spans="1:14" x14ac:dyDescent="0.25">
      <c r="A2615">
        <v>3614</v>
      </c>
      <c r="B2615" s="1">
        <v>45990</v>
      </c>
      <c r="C2615" s="4">
        <f>MONTH(datos_ventas[[#This Row],[Fecha]])</f>
        <v>11</v>
      </c>
      <c r="D2615" s="4">
        <f>WEEKNUM(datos_ventas[[#This Row],[Fecha]],2)</f>
        <v>48</v>
      </c>
      <c r="E2615" t="s">
        <v>26</v>
      </c>
      <c r="F2615" t="s">
        <v>18</v>
      </c>
      <c r="G2615">
        <v>2</v>
      </c>
      <c r="H2615">
        <v>113204</v>
      </c>
      <c r="I2615">
        <v>4408</v>
      </c>
      <c r="J2615" t="s">
        <v>14</v>
      </c>
      <c r="K2615" t="str">
        <f>_xlfn.XLOOKUP(datos_ventas[[#This Row],[Ciudad]],Tabla2[Ciudades],Tabla2[Provincias],"no se encuentra")</f>
        <v>Madrid</v>
      </c>
      <c r="L2615" t="str">
        <f>_xlfn.XLOOKUP(datos_ventas[[#This Row],[Provincia]],Tabla2[Provincias],Tabla2[Comunidades],"no se encuentra")</f>
        <v>Comunidad de Madrid</v>
      </c>
      <c r="M2615" t="s">
        <v>28</v>
      </c>
      <c r="N2615">
        <v>3</v>
      </c>
    </row>
    <row r="2616" spans="1:14" x14ac:dyDescent="0.25">
      <c r="A2616">
        <v>3615</v>
      </c>
      <c r="B2616" s="1">
        <v>45850</v>
      </c>
      <c r="C2616" s="4">
        <f>MONTH(datos_ventas[[#This Row],[Fecha]])</f>
        <v>7</v>
      </c>
      <c r="D2616" s="4">
        <f>WEEKNUM(datos_ventas[[#This Row],[Fecha]],2)</f>
        <v>28</v>
      </c>
      <c r="E2616" t="s">
        <v>16</v>
      </c>
      <c r="F2616" t="s">
        <v>11</v>
      </c>
      <c r="G2616">
        <v>2</v>
      </c>
      <c r="H2616">
        <v>28228</v>
      </c>
      <c r="I2616">
        <v>3238</v>
      </c>
      <c r="J2616" t="s">
        <v>32</v>
      </c>
      <c r="K2616" t="str">
        <f>_xlfn.XLOOKUP(datos_ventas[[#This Row],[Ciudad]],Tabla2[Ciudades],Tabla2[Provincias],"no se encuentra")</f>
        <v>Barcelona</v>
      </c>
      <c r="L2616" t="str">
        <f>_xlfn.XLOOKUP(datos_ventas[[#This Row],[Provincia]],Tabla2[Provincias],Tabla2[Comunidades],"no se encuentra")</f>
        <v>Cataluña</v>
      </c>
      <c r="M2616" t="s">
        <v>15</v>
      </c>
      <c r="N2616">
        <v>3</v>
      </c>
    </row>
    <row r="2617" spans="1:14" x14ac:dyDescent="0.25">
      <c r="A2617">
        <v>3616</v>
      </c>
      <c r="B2617" s="1">
        <v>45961</v>
      </c>
      <c r="C2617" s="4">
        <f>MONTH(datos_ventas[[#This Row],[Fecha]])</f>
        <v>10</v>
      </c>
      <c r="D2617" s="4">
        <f>WEEKNUM(datos_ventas[[#This Row],[Fecha]],2)</f>
        <v>44</v>
      </c>
      <c r="E2617" t="s">
        <v>24</v>
      </c>
      <c r="F2617" t="s">
        <v>25</v>
      </c>
      <c r="G2617">
        <v>5</v>
      </c>
      <c r="H2617">
        <v>11945</v>
      </c>
      <c r="I2617">
        <v>4969</v>
      </c>
      <c r="J2617" t="s">
        <v>31</v>
      </c>
      <c r="K2617" t="str">
        <f>_xlfn.XLOOKUP(datos_ventas[[#This Row],[Ciudad]],Tabla2[Ciudades],Tabla2[Provincias],"no se encuentra")</f>
        <v>Vizcaya</v>
      </c>
      <c r="L2617" t="str">
        <f>_xlfn.XLOOKUP(datos_ventas[[#This Row],[Provincia]],Tabla2[Provincias],Tabla2[Comunidades],"no se encuentra")</f>
        <v>País Vasco</v>
      </c>
      <c r="M2617" t="s">
        <v>28</v>
      </c>
      <c r="N2617">
        <v>2</v>
      </c>
    </row>
    <row r="2618" spans="1:14" x14ac:dyDescent="0.25">
      <c r="A2618">
        <v>3617</v>
      </c>
      <c r="B2618" s="1">
        <v>45802</v>
      </c>
      <c r="C2618" s="4">
        <f>MONTH(datos_ventas[[#This Row],[Fecha]])</f>
        <v>5</v>
      </c>
      <c r="D2618" s="4">
        <f>WEEKNUM(datos_ventas[[#This Row],[Fecha]],2)</f>
        <v>21</v>
      </c>
      <c r="E2618" t="s">
        <v>23</v>
      </c>
      <c r="F2618" t="s">
        <v>18</v>
      </c>
      <c r="G2618">
        <v>2</v>
      </c>
      <c r="H2618">
        <v>10503</v>
      </c>
      <c r="I2618">
        <v>4978</v>
      </c>
      <c r="J2618" t="s">
        <v>31</v>
      </c>
      <c r="K2618" t="str">
        <f>_xlfn.XLOOKUP(datos_ventas[[#This Row],[Ciudad]],Tabla2[Ciudades],Tabla2[Provincias],"no se encuentra")</f>
        <v>Vizcaya</v>
      </c>
      <c r="L2618" t="str">
        <f>_xlfn.XLOOKUP(datos_ventas[[#This Row],[Provincia]],Tabla2[Provincias],Tabla2[Comunidades],"no se encuentra")</f>
        <v>País Vasco</v>
      </c>
      <c r="M2618" t="s">
        <v>19</v>
      </c>
      <c r="N2618">
        <v>2</v>
      </c>
    </row>
    <row r="2619" spans="1:14" x14ac:dyDescent="0.25">
      <c r="A2619">
        <v>3618</v>
      </c>
      <c r="B2619" s="1">
        <v>45738</v>
      </c>
      <c r="C2619" s="4">
        <f>MONTH(datos_ventas[[#This Row],[Fecha]])</f>
        <v>3</v>
      </c>
      <c r="D2619" s="4">
        <f>WEEKNUM(datos_ventas[[#This Row],[Fecha]],2)</f>
        <v>12</v>
      </c>
      <c r="E2619" t="s">
        <v>23</v>
      </c>
      <c r="F2619" t="s">
        <v>18</v>
      </c>
      <c r="G2619">
        <v>4</v>
      </c>
      <c r="H2619">
        <v>25753</v>
      </c>
      <c r="I2619">
        <v>1334</v>
      </c>
      <c r="J2619" t="s">
        <v>22</v>
      </c>
      <c r="K2619" t="str">
        <f>_xlfn.XLOOKUP(datos_ventas[[#This Row],[Ciudad]],Tabla2[Ciudades],Tabla2[Provincias],"no se encuentra")</f>
        <v>Valencia</v>
      </c>
      <c r="L2619" t="str">
        <f>_xlfn.XLOOKUP(datos_ventas[[#This Row],[Provincia]],Tabla2[Provincias],Tabla2[Comunidades],"no se encuentra")</f>
        <v>Comunidad Valenciana</v>
      </c>
      <c r="M2619" t="s">
        <v>28</v>
      </c>
      <c r="N2619">
        <v>4</v>
      </c>
    </row>
    <row r="2620" spans="1:14" x14ac:dyDescent="0.25">
      <c r="A2620">
        <v>3619</v>
      </c>
      <c r="B2620" s="1">
        <v>45683</v>
      </c>
      <c r="C2620" s="4">
        <f>MONTH(datos_ventas[[#This Row],[Fecha]])</f>
        <v>1</v>
      </c>
      <c r="D2620" s="4">
        <f>WEEKNUM(datos_ventas[[#This Row],[Fecha]],2)</f>
        <v>4</v>
      </c>
      <c r="E2620" t="s">
        <v>16</v>
      </c>
      <c r="F2620" t="s">
        <v>11</v>
      </c>
      <c r="G2620">
        <v>1</v>
      </c>
      <c r="H2620">
        <v>8382</v>
      </c>
      <c r="I2620">
        <v>2684</v>
      </c>
      <c r="J2620" t="s">
        <v>12</v>
      </c>
      <c r="K2620" t="str">
        <f>_xlfn.XLOOKUP(datos_ventas[[#This Row],[Ciudad]],Tabla2[Ciudades],Tabla2[Provincias],"no se encuentra")</f>
        <v>Málaga</v>
      </c>
      <c r="L2620" t="str">
        <f>_xlfn.XLOOKUP(datos_ventas[[#This Row],[Provincia]],Tabla2[Provincias],Tabla2[Comunidades],"no se encuentra")</f>
        <v>Andalucía</v>
      </c>
      <c r="M2620" t="s">
        <v>28</v>
      </c>
      <c r="N2620">
        <v>4</v>
      </c>
    </row>
    <row r="2621" spans="1:14" x14ac:dyDescent="0.25">
      <c r="A2621">
        <v>3620</v>
      </c>
      <c r="B2621" s="1">
        <v>45735</v>
      </c>
      <c r="C2621" s="4">
        <f>MONTH(datos_ventas[[#This Row],[Fecha]])</f>
        <v>3</v>
      </c>
      <c r="D2621" s="4">
        <f>WEEKNUM(datos_ventas[[#This Row],[Fecha]],2)</f>
        <v>12</v>
      </c>
      <c r="E2621" t="s">
        <v>23</v>
      </c>
      <c r="F2621" t="s">
        <v>18</v>
      </c>
      <c r="G2621">
        <v>5</v>
      </c>
      <c r="H2621">
        <v>18282</v>
      </c>
      <c r="I2621">
        <v>935</v>
      </c>
      <c r="J2621" t="s">
        <v>14</v>
      </c>
      <c r="K2621" t="str">
        <f>_xlfn.XLOOKUP(datos_ventas[[#This Row],[Ciudad]],Tabla2[Ciudades],Tabla2[Provincias],"no se encuentra")</f>
        <v>Madrid</v>
      </c>
      <c r="L2621" t="str">
        <f>_xlfn.XLOOKUP(datos_ventas[[#This Row],[Provincia]],Tabla2[Provincias],Tabla2[Comunidades],"no se encuentra")</f>
        <v>Comunidad de Madrid</v>
      </c>
      <c r="M2621" t="s">
        <v>19</v>
      </c>
      <c r="N2621">
        <v>5</v>
      </c>
    </row>
    <row r="2622" spans="1:14" x14ac:dyDescent="0.25">
      <c r="A2622">
        <v>3621</v>
      </c>
      <c r="B2622" s="1">
        <v>45726</v>
      </c>
      <c r="C2622" s="4">
        <f>MONTH(datos_ventas[[#This Row],[Fecha]])</f>
        <v>3</v>
      </c>
      <c r="D2622" s="4">
        <f>WEEKNUM(datos_ventas[[#This Row],[Fecha]],2)</f>
        <v>11</v>
      </c>
      <c r="E2622" t="s">
        <v>29</v>
      </c>
      <c r="F2622" t="s">
        <v>30</v>
      </c>
      <c r="G2622">
        <v>3</v>
      </c>
      <c r="H2622">
        <v>65198</v>
      </c>
      <c r="I2622">
        <v>1046</v>
      </c>
      <c r="J2622" t="s">
        <v>12</v>
      </c>
      <c r="K2622" t="str">
        <f>_xlfn.XLOOKUP(datos_ventas[[#This Row],[Ciudad]],Tabla2[Ciudades],Tabla2[Provincias],"no se encuentra")</f>
        <v>Málaga</v>
      </c>
      <c r="L2622" t="str">
        <f>_xlfn.XLOOKUP(datos_ventas[[#This Row],[Provincia]],Tabla2[Provincias],Tabla2[Comunidades],"no se encuentra")</f>
        <v>Andalucía</v>
      </c>
      <c r="M2622" t="s">
        <v>15</v>
      </c>
      <c r="N2622">
        <v>4</v>
      </c>
    </row>
    <row r="2623" spans="1:14" x14ac:dyDescent="0.25">
      <c r="A2623">
        <v>3622</v>
      </c>
      <c r="B2623" s="1">
        <v>45777</v>
      </c>
      <c r="C2623" s="4">
        <f>MONTH(datos_ventas[[#This Row],[Fecha]])</f>
        <v>4</v>
      </c>
      <c r="D2623" s="4">
        <f>WEEKNUM(datos_ventas[[#This Row],[Fecha]],2)</f>
        <v>18</v>
      </c>
      <c r="E2623" t="s">
        <v>20</v>
      </c>
      <c r="F2623" t="s">
        <v>21</v>
      </c>
      <c r="G2623">
        <v>1</v>
      </c>
      <c r="H2623">
        <v>65714</v>
      </c>
      <c r="I2623">
        <v>2145</v>
      </c>
      <c r="J2623" t="s">
        <v>22</v>
      </c>
      <c r="K2623" t="str">
        <f>_xlfn.XLOOKUP(datos_ventas[[#This Row],[Ciudad]],Tabla2[Ciudades],Tabla2[Provincias],"no se encuentra")</f>
        <v>Valencia</v>
      </c>
      <c r="L2623" t="str">
        <f>_xlfn.XLOOKUP(datos_ventas[[#This Row],[Provincia]],Tabla2[Provincias],Tabla2[Comunidades],"no se encuentra")</f>
        <v>Comunidad Valenciana</v>
      </c>
      <c r="M2623" t="s">
        <v>15</v>
      </c>
      <c r="N2623">
        <v>4</v>
      </c>
    </row>
    <row r="2624" spans="1:14" x14ac:dyDescent="0.25">
      <c r="A2624">
        <v>3623</v>
      </c>
      <c r="B2624" s="1">
        <v>45801</v>
      </c>
      <c r="C2624" s="4">
        <f>MONTH(datos_ventas[[#This Row],[Fecha]])</f>
        <v>5</v>
      </c>
      <c r="D2624" s="4">
        <f>WEEKNUM(datos_ventas[[#This Row],[Fecha]],2)</f>
        <v>21</v>
      </c>
      <c r="E2624" t="s">
        <v>23</v>
      </c>
      <c r="F2624" t="s">
        <v>18</v>
      </c>
      <c r="G2624">
        <v>3</v>
      </c>
      <c r="H2624">
        <v>113394</v>
      </c>
      <c r="I2624">
        <v>241</v>
      </c>
      <c r="J2624" t="s">
        <v>31</v>
      </c>
      <c r="K2624" t="str">
        <f>_xlfn.XLOOKUP(datos_ventas[[#This Row],[Ciudad]],Tabla2[Ciudades],Tabla2[Provincias],"no se encuentra")</f>
        <v>Vizcaya</v>
      </c>
      <c r="L2624" t="str">
        <f>_xlfn.XLOOKUP(datos_ventas[[#This Row],[Provincia]],Tabla2[Provincias],Tabla2[Comunidades],"no se encuentra")</f>
        <v>País Vasco</v>
      </c>
      <c r="M2624" t="s">
        <v>28</v>
      </c>
      <c r="N2624">
        <v>4</v>
      </c>
    </row>
    <row r="2625" spans="1:14" x14ac:dyDescent="0.25">
      <c r="A2625">
        <v>3624</v>
      </c>
      <c r="B2625" s="1">
        <v>45911</v>
      </c>
      <c r="C2625" s="4">
        <f>MONTH(datos_ventas[[#This Row],[Fecha]])</f>
        <v>9</v>
      </c>
      <c r="D2625" s="4">
        <f>WEEKNUM(datos_ventas[[#This Row],[Fecha]],2)</f>
        <v>37</v>
      </c>
      <c r="E2625" t="s">
        <v>20</v>
      </c>
      <c r="F2625" t="s">
        <v>21</v>
      </c>
      <c r="G2625">
        <v>1</v>
      </c>
      <c r="H2625">
        <v>70167</v>
      </c>
      <c r="I2625">
        <v>1508</v>
      </c>
      <c r="J2625" t="s">
        <v>27</v>
      </c>
      <c r="K2625" t="str">
        <f>_xlfn.XLOOKUP(datos_ventas[[#This Row],[Ciudad]],Tabla2[Ciudades],Tabla2[Provincias],"no se encuentra")</f>
        <v>Sevilla</v>
      </c>
      <c r="L2625" t="str">
        <f>_xlfn.XLOOKUP(datos_ventas[[#This Row],[Provincia]],Tabla2[Provincias],Tabla2[Comunidades],"no se encuentra")</f>
        <v>Andalucía</v>
      </c>
      <c r="M2625" t="s">
        <v>19</v>
      </c>
      <c r="N2625">
        <v>1</v>
      </c>
    </row>
    <row r="2626" spans="1:14" x14ac:dyDescent="0.25">
      <c r="A2626">
        <v>3625</v>
      </c>
      <c r="B2626" s="1">
        <v>45670</v>
      </c>
      <c r="C2626" s="4">
        <f>MONTH(datos_ventas[[#This Row],[Fecha]])</f>
        <v>1</v>
      </c>
      <c r="D2626" s="4">
        <f>WEEKNUM(datos_ventas[[#This Row],[Fecha]],2)</f>
        <v>3</v>
      </c>
      <c r="E2626" t="s">
        <v>26</v>
      </c>
      <c r="F2626" t="s">
        <v>18</v>
      </c>
      <c r="G2626">
        <v>5</v>
      </c>
      <c r="H2626">
        <v>4198</v>
      </c>
      <c r="I2626">
        <v>3006</v>
      </c>
      <c r="J2626" t="s">
        <v>14</v>
      </c>
      <c r="K2626" t="str">
        <f>_xlfn.XLOOKUP(datos_ventas[[#This Row],[Ciudad]],Tabla2[Ciudades],Tabla2[Provincias],"no se encuentra")</f>
        <v>Madrid</v>
      </c>
      <c r="L2626" t="str">
        <f>_xlfn.XLOOKUP(datos_ventas[[#This Row],[Provincia]],Tabla2[Provincias],Tabla2[Comunidades],"no se encuentra")</f>
        <v>Comunidad de Madrid</v>
      </c>
      <c r="M2626" t="s">
        <v>13</v>
      </c>
      <c r="N2626">
        <v>4</v>
      </c>
    </row>
    <row r="2627" spans="1:14" x14ac:dyDescent="0.25">
      <c r="A2627">
        <v>3626</v>
      </c>
      <c r="B2627" s="1">
        <v>45854</v>
      </c>
      <c r="C2627" s="4">
        <f>MONTH(datos_ventas[[#This Row],[Fecha]])</f>
        <v>7</v>
      </c>
      <c r="D2627" s="4">
        <f>WEEKNUM(datos_ventas[[#This Row],[Fecha]],2)</f>
        <v>29</v>
      </c>
      <c r="E2627" t="s">
        <v>17</v>
      </c>
      <c r="F2627" t="s">
        <v>18</v>
      </c>
      <c r="G2627">
        <v>4</v>
      </c>
      <c r="H2627">
        <v>58724</v>
      </c>
      <c r="I2627">
        <v>3983</v>
      </c>
      <c r="J2627" t="s">
        <v>22</v>
      </c>
      <c r="K2627" t="str">
        <f>_xlfn.XLOOKUP(datos_ventas[[#This Row],[Ciudad]],Tabla2[Ciudades],Tabla2[Provincias],"no se encuentra")</f>
        <v>Valencia</v>
      </c>
      <c r="L2627" t="str">
        <f>_xlfn.XLOOKUP(datos_ventas[[#This Row],[Provincia]],Tabla2[Provincias],Tabla2[Comunidades],"no se encuentra")</f>
        <v>Comunidad Valenciana</v>
      </c>
      <c r="M2627" t="s">
        <v>15</v>
      </c>
      <c r="N2627">
        <v>1</v>
      </c>
    </row>
    <row r="2628" spans="1:14" x14ac:dyDescent="0.25">
      <c r="A2628">
        <v>3627</v>
      </c>
      <c r="B2628" s="1">
        <v>45797</v>
      </c>
      <c r="C2628" s="4">
        <f>MONTH(datos_ventas[[#This Row],[Fecha]])</f>
        <v>5</v>
      </c>
      <c r="D2628" s="4">
        <f>WEEKNUM(datos_ventas[[#This Row],[Fecha]],2)</f>
        <v>21</v>
      </c>
      <c r="E2628" t="s">
        <v>29</v>
      </c>
      <c r="F2628" t="s">
        <v>30</v>
      </c>
      <c r="G2628">
        <v>1</v>
      </c>
      <c r="H2628">
        <v>48336</v>
      </c>
      <c r="I2628">
        <v>3688</v>
      </c>
      <c r="J2628" t="s">
        <v>14</v>
      </c>
      <c r="K2628" t="str">
        <f>_xlfn.XLOOKUP(datos_ventas[[#This Row],[Ciudad]],Tabla2[Ciudades],Tabla2[Provincias],"no se encuentra")</f>
        <v>Madrid</v>
      </c>
      <c r="L2628" t="str">
        <f>_xlfn.XLOOKUP(datos_ventas[[#This Row],[Provincia]],Tabla2[Provincias],Tabla2[Comunidades],"no se encuentra")</f>
        <v>Comunidad de Madrid</v>
      </c>
      <c r="M2628" t="s">
        <v>28</v>
      </c>
      <c r="N2628">
        <v>5</v>
      </c>
    </row>
    <row r="2629" spans="1:14" x14ac:dyDescent="0.25">
      <c r="A2629">
        <v>3628</v>
      </c>
      <c r="B2629" s="1">
        <v>45794</v>
      </c>
      <c r="C2629" s="4">
        <f>MONTH(datos_ventas[[#This Row],[Fecha]])</f>
        <v>5</v>
      </c>
      <c r="D2629" s="4">
        <f>WEEKNUM(datos_ventas[[#This Row],[Fecha]],2)</f>
        <v>20</v>
      </c>
      <c r="E2629" t="s">
        <v>29</v>
      </c>
      <c r="F2629" t="s">
        <v>30</v>
      </c>
      <c r="G2629">
        <v>5</v>
      </c>
      <c r="H2629">
        <v>89821</v>
      </c>
      <c r="I2629">
        <v>3518</v>
      </c>
      <c r="J2629" t="s">
        <v>27</v>
      </c>
      <c r="K2629" t="str">
        <f>_xlfn.XLOOKUP(datos_ventas[[#This Row],[Ciudad]],Tabla2[Ciudades],Tabla2[Provincias],"no se encuentra")</f>
        <v>Sevilla</v>
      </c>
      <c r="L2629" t="str">
        <f>_xlfn.XLOOKUP(datos_ventas[[#This Row],[Provincia]],Tabla2[Provincias],Tabla2[Comunidades],"no se encuentra")</f>
        <v>Andalucía</v>
      </c>
      <c r="M2629" t="s">
        <v>13</v>
      </c>
      <c r="N2629">
        <v>4</v>
      </c>
    </row>
    <row r="2630" spans="1:14" x14ac:dyDescent="0.25">
      <c r="A2630">
        <v>3629</v>
      </c>
      <c r="B2630" s="1">
        <v>45941</v>
      </c>
      <c r="C2630" s="4">
        <f>MONTH(datos_ventas[[#This Row],[Fecha]])</f>
        <v>10</v>
      </c>
      <c r="D2630" s="4">
        <f>WEEKNUM(datos_ventas[[#This Row],[Fecha]],2)</f>
        <v>41</v>
      </c>
      <c r="E2630" t="s">
        <v>10</v>
      </c>
      <c r="F2630" t="s">
        <v>11</v>
      </c>
      <c r="G2630">
        <v>3</v>
      </c>
      <c r="H2630">
        <v>93314</v>
      </c>
      <c r="I2630">
        <v>4351</v>
      </c>
      <c r="J2630" t="s">
        <v>12</v>
      </c>
      <c r="K2630" t="str">
        <f>_xlfn.XLOOKUP(datos_ventas[[#This Row],[Ciudad]],Tabla2[Ciudades],Tabla2[Provincias],"no se encuentra")</f>
        <v>Málaga</v>
      </c>
      <c r="L2630" t="str">
        <f>_xlfn.XLOOKUP(datos_ventas[[#This Row],[Provincia]],Tabla2[Provincias],Tabla2[Comunidades],"no se encuentra")</f>
        <v>Andalucía</v>
      </c>
      <c r="M2630" t="s">
        <v>28</v>
      </c>
      <c r="N2630">
        <v>5</v>
      </c>
    </row>
    <row r="2631" spans="1:14" x14ac:dyDescent="0.25">
      <c r="A2631">
        <v>3630</v>
      </c>
      <c r="B2631" s="1">
        <v>45827</v>
      </c>
      <c r="C2631" s="4">
        <f>MONTH(datos_ventas[[#This Row],[Fecha]])</f>
        <v>6</v>
      </c>
      <c r="D2631" s="4">
        <f>WEEKNUM(datos_ventas[[#This Row],[Fecha]],2)</f>
        <v>25</v>
      </c>
      <c r="E2631" t="s">
        <v>20</v>
      </c>
      <c r="F2631" t="s">
        <v>21</v>
      </c>
      <c r="G2631">
        <v>1</v>
      </c>
      <c r="H2631">
        <v>114582</v>
      </c>
      <c r="I2631">
        <v>2999</v>
      </c>
      <c r="J2631" t="s">
        <v>12</v>
      </c>
      <c r="K2631" t="str">
        <f>_xlfn.XLOOKUP(datos_ventas[[#This Row],[Ciudad]],Tabla2[Ciudades],Tabla2[Provincias],"no se encuentra")</f>
        <v>Málaga</v>
      </c>
      <c r="L2631" t="str">
        <f>_xlfn.XLOOKUP(datos_ventas[[#This Row],[Provincia]],Tabla2[Provincias],Tabla2[Comunidades],"no se encuentra")</f>
        <v>Andalucía</v>
      </c>
      <c r="M2631" t="s">
        <v>13</v>
      </c>
      <c r="N2631">
        <v>3</v>
      </c>
    </row>
    <row r="2632" spans="1:14" x14ac:dyDescent="0.25">
      <c r="A2632">
        <v>3631</v>
      </c>
      <c r="B2632" s="1">
        <v>45692</v>
      </c>
      <c r="C2632" s="4">
        <f>MONTH(datos_ventas[[#This Row],[Fecha]])</f>
        <v>2</v>
      </c>
      <c r="D2632" s="4">
        <f>WEEKNUM(datos_ventas[[#This Row],[Fecha]],2)</f>
        <v>6</v>
      </c>
      <c r="E2632" t="s">
        <v>20</v>
      </c>
      <c r="F2632" t="s">
        <v>21</v>
      </c>
      <c r="G2632">
        <v>1</v>
      </c>
      <c r="H2632">
        <v>119884</v>
      </c>
      <c r="I2632">
        <v>4225</v>
      </c>
      <c r="J2632" t="s">
        <v>31</v>
      </c>
      <c r="K2632" t="str">
        <f>_xlfn.XLOOKUP(datos_ventas[[#This Row],[Ciudad]],Tabla2[Ciudades],Tabla2[Provincias],"no se encuentra")</f>
        <v>Vizcaya</v>
      </c>
      <c r="L2632" t="str">
        <f>_xlfn.XLOOKUP(datos_ventas[[#This Row],[Provincia]],Tabla2[Provincias],Tabla2[Comunidades],"no se encuentra")</f>
        <v>País Vasco</v>
      </c>
      <c r="M2632" t="s">
        <v>15</v>
      </c>
      <c r="N2632">
        <v>3</v>
      </c>
    </row>
    <row r="2633" spans="1:14" x14ac:dyDescent="0.25">
      <c r="A2633">
        <v>3632</v>
      </c>
      <c r="B2633" s="1">
        <v>45808</v>
      </c>
      <c r="C2633" s="4">
        <f>MONTH(datos_ventas[[#This Row],[Fecha]])</f>
        <v>5</v>
      </c>
      <c r="D2633" s="4">
        <f>WEEKNUM(datos_ventas[[#This Row],[Fecha]],2)</f>
        <v>22</v>
      </c>
      <c r="E2633" t="s">
        <v>24</v>
      </c>
      <c r="F2633" t="s">
        <v>25</v>
      </c>
      <c r="G2633">
        <v>1</v>
      </c>
      <c r="H2633">
        <v>103156</v>
      </c>
      <c r="I2633">
        <v>2578</v>
      </c>
      <c r="J2633" t="s">
        <v>22</v>
      </c>
      <c r="K2633" t="str">
        <f>_xlfn.XLOOKUP(datos_ventas[[#This Row],[Ciudad]],Tabla2[Ciudades],Tabla2[Provincias],"no se encuentra")</f>
        <v>Valencia</v>
      </c>
      <c r="L2633" t="str">
        <f>_xlfn.XLOOKUP(datos_ventas[[#This Row],[Provincia]],Tabla2[Provincias],Tabla2[Comunidades],"no se encuentra")</f>
        <v>Comunidad Valenciana</v>
      </c>
      <c r="M2633" t="s">
        <v>19</v>
      </c>
      <c r="N2633">
        <v>2</v>
      </c>
    </row>
    <row r="2634" spans="1:14" x14ac:dyDescent="0.25">
      <c r="A2634">
        <v>3633</v>
      </c>
      <c r="B2634" s="1">
        <v>45734</v>
      </c>
      <c r="C2634" s="4">
        <f>MONTH(datos_ventas[[#This Row],[Fecha]])</f>
        <v>3</v>
      </c>
      <c r="D2634" s="4">
        <f>WEEKNUM(datos_ventas[[#This Row],[Fecha]],2)</f>
        <v>12</v>
      </c>
      <c r="E2634" t="s">
        <v>17</v>
      </c>
      <c r="F2634" t="s">
        <v>18</v>
      </c>
      <c r="G2634">
        <v>3</v>
      </c>
      <c r="H2634">
        <v>108073</v>
      </c>
      <c r="I2634">
        <v>3845</v>
      </c>
      <c r="J2634" t="s">
        <v>12</v>
      </c>
      <c r="K2634" t="str">
        <f>_xlfn.XLOOKUP(datos_ventas[[#This Row],[Ciudad]],Tabla2[Ciudades],Tabla2[Provincias],"no se encuentra")</f>
        <v>Málaga</v>
      </c>
      <c r="L2634" t="str">
        <f>_xlfn.XLOOKUP(datos_ventas[[#This Row],[Provincia]],Tabla2[Provincias],Tabla2[Comunidades],"no se encuentra")</f>
        <v>Andalucía</v>
      </c>
      <c r="M2634" t="s">
        <v>15</v>
      </c>
      <c r="N2634">
        <v>1</v>
      </c>
    </row>
    <row r="2635" spans="1:14" x14ac:dyDescent="0.25">
      <c r="A2635">
        <v>3634</v>
      </c>
      <c r="B2635" s="1">
        <v>45706</v>
      </c>
      <c r="C2635" s="4">
        <f>MONTH(datos_ventas[[#This Row],[Fecha]])</f>
        <v>2</v>
      </c>
      <c r="D2635" s="4">
        <f>WEEKNUM(datos_ventas[[#This Row],[Fecha]],2)</f>
        <v>8</v>
      </c>
      <c r="E2635" t="s">
        <v>26</v>
      </c>
      <c r="F2635" t="s">
        <v>18</v>
      </c>
      <c r="G2635">
        <v>4</v>
      </c>
      <c r="H2635">
        <v>7448</v>
      </c>
      <c r="I2635">
        <v>1621</v>
      </c>
      <c r="J2635" t="s">
        <v>14</v>
      </c>
      <c r="K2635" t="str">
        <f>_xlfn.XLOOKUP(datos_ventas[[#This Row],[Ciudad]],Tabla2[Ciudades],Tabla2[Provincias],"no se encuentra")</f>
        <v>Madrid</v>
      </c>
      <c r="L2635" t="str">
        <f>_xlfn.XLOOKUP(datos_ventas[[#This Row],[Provincia]],Tabla2[Provincias],Tabla2[Comunidades],"no se encuentra")</f>
        <v>Comunidad de Madrid</v>
      </c>
      <c r="M2635" t="s">
        <v>19</v>
      </c>
      <c r="N2635">
        <v>4</v>
      </c>
    </row>
    <row r="2636" spans="1:14" x14ac:dyDescent="0.25">
      <c r="A2636">
        <v>3635</v>
      </c>
      <c r="B2636" s="1">
        <v>45935</v>
      </c>
      <c r="C2636" s="4">
        <f>MONTH(datos_ventas[[#This Row],[Fecha]])</f>
        <v>10</v>
      </c>
      <c r="D2636" s="4">
        <f>WEEKNUM(datos_ventas[[#This Row],[Fecha]],2)</f>
        <v>40</v>
      </c>
      <c r="E2636" t="s">
        <v>17</v>
      </c>
      <c r="F2636" t="s">
        <v>18</v>
      </c>
      <c r="G2636">
        <v>2</v>
      </c>
      <c r="H2636">
        <v>63111</v>
      </c>
      <c r="I2636">
        <v>2706</v>
      </c>
      <c r="J2636" t="s">
        <v>32</v>
      </c>
      <c r="K2636" t="str">
        <f>_xlfn.XLOOKUP(datos_ventas[[#This Row],[Ciudad]],Tabla2[Ciudades],Tabla2[Provincias],"no se encuentra")</f>
        <v>Barcelona</v>
      </c>
      <c r="L2636" t="str">
        <f>_xlfn.XLOOKUP(datos_ventas[[#This Row],[Provincia]],Tabla2[Provincias],Tabla2[Comunidades],"no se encuentra")</f>
        <v>Cataluña</v>
      </c>
      <c r="M2636" t="s">
        <v>13</v>
      </c>
      <c r="N2636">
        <v>1</v>
      </c>
    </row>
    <row r="2637" spans="1:14" x14ac:dyDescent="0.25">
      <c r="A2637">
        <v>3636</v>
      </c>
      <c r="B2637" s="1">
        <v>45788</v>
      </c>
      <c r="C2637" s="4">
        <f>MONTH(datos_ventas[[#This Row],[Fecha]])</f>
        <v>5</v>
      </c>
      <c r="D2637" s="4">
        <f>WEEKNUM(datos_ventas[[#This Row],[Fecha]],2)</f>
        <v>19</v>
      </c>
      <c r="E2637" t="s">
        <v>17</v>
      </c>
      <c r="F2637" t="s">
        <v>18</v>
      </c>
      <c r="G2637">
        <v>3</v>
      </c>
      <c r="H2637">
        <v>84691</v>
      </c>
      <c r="I2637">
        <v>3546</v>
      </c>
      <c r="J2637" t="s">
        <v>31</v>
      </c>
      <c r="K2637" t="str">
        <f>_xlfn.XLOOKUP(datos_ventas[[#This Row],[Ciudad]],Tabla2[Ciudades],Tabla2[Provincias],"no se encuentra")</f>
        <v>Vizcaya</v>
      </c>
      <c r="L2637" t="str">
        <f>_xlfn.XLOOKUP(datos_ventas[[#This Row],[Provincia]],Tabla2[Provincias],Tabla2[Comunidades],"no se encuentra")</f>
        <v>País Vasco</v>
      </c>
      <c r="M2637" t="s">
        <v>28</v>
      </c>
      <c r="N2637">
        <v>3</v>
      </c>
    </row>
    <row r="2638" spans="1:14" x14ac:dyDescent="0.25">
      <c r="A2638">
        <v>3637</v>
      </c>
      <c r="B2638" s="1">
        <v>45960</v>
      </c>
      <c r="C2638" s="4">
        <f>MONTH(datos_ventas[[#This Row],[Fecha]])</f>
        <v>10</v>
      </c>
      <c r="D2638" s="4">
        <f>WEEKNUM(datos_ventas[[#This Row],[Fecha]],2)</f>
        <v>44</v>
      </c>
      <c r="E2638" t="s">
        <v>10</v>
      </c>
      <c r="F2638" t="s">
        <v>11</v>
      </c>
      <c r="G2638">
        <v>4</v>
      </c>
      <c r="H2638">
        <v>70199</v>
      </c>
      <c r="I2638">
        <v>1428</v>
      </c>
      <c r="J2638" t="s">
        <v>22</v>
      </c>
      <c r="K2638" t="str">
        <f>_xlfn.XLOOKUP(datos_ventas[[#This Row],[Ciudad]],Tabla2[Ciudades],Tabla2[Provincias],"no se encuentra")</f>
        <v>Valencia</v>
      </c>
      <c r="L2638" t="str">
        <f>_xlfn.XLOOKUP(datos_ventas[[#This Row],[Provincia]],Tabla2[Provincias],Tabla2[Comunidades],"no se encuentra")</f>
        <v>Comunidad Valenciana</v>
      </c>
      <c r="M2638" t="s">
        <v>13</v>
      </c>
      <c r="N2638">
        <v>5</v>
      </c>
    </row>
    <row r="2639" spans="1:14" x14ac:dyDescent="0.25">
      <c r="A2639">
        <v>3638</v>
      </c>
      <c r="B2639" s="1">
        <v>45672</v>
      </c>
      <c r="C2639" s="4">
        <f>MONTH(datos_ventas[[#This Row],[Fecha]])</f>
        <v>1</v>
      </c>
      <c r="D2639" s="4">
        <f>WEEKNUM(datos_ventas[[#This Row],[Fecha]],2)</f>
        <v>3</v>
      </c>
      <c r="E2639" t="s">
        <v>24</v>
      </c>
      <c r="F2639" t="s">
        <v>25</v>
      </c>
      <c r="G2639">
        <v>2</v>
      </c>
      <c r="H2639">
        <v>31452</v>
      </c>
      <c r="I2639">
        <v>2339</v>
      </c>
      <c r="J2639" t="s">
        <v>12</v>
      </c>
      <c r="K2639" t="str">
        <f>_xlfn.XLOOKUP(datos_ventas[[#This Row],[Ciudad]],Tabla2[Ciudades],Tabla2[Provincias],"no se encuentra")</f>
        <v>Málaga</v>
      </c>
      <c r="L2639" t="str">
        <f>_xlfn.XLOOKUP(datos_ventas[[#This Row],[Provincia]],Tabla2[Provincias],Tabla2[Comunidades],"no se encuentra")</f>
        <v>Andalucía</v>
      </c>
      <c r="M2639" t="s">
        <v>13</v>
      </c>
      <c r="N2639">
        <v>3</v>
      </c>
    </row>
    <row r="2640" spans="1:14" x14ac:dyDescent="0.25">
      <c r="A2640">
        <v>3639</v>
      </c>
      <c r="B2640" s="1">
        <v>45880</v>
      </c>
      <c r="C2640" s="4">
        <f>MONTH(datos_ventas[[#This Row],[Fecha]])</f>
        <v>8</v>
      </c>
      <c r="D2640" s="4">
        <f>WEEKNUM(datos_ventas[[#This Row],[Fecha]],2)</f>
        <v>33</v>
      </c>
      <c r="E2640" t="s">
        <v>20</v>
      </c>
      <c r="F2640" t="s">
        <v>21</v>
      </c>
      <c r="G2640">
        <v>2</v>
      </c>
      <c r="H2640">
        <v>98187</v>
      </c>
      <c r="I2640">
        <v>2439</v>
      </c>
      <c r="J2640" t="s">
        <v>27</v>
      </c>
      <c r="K2640" t="str">
        <f>_xlfn.XLOOKUP(datos_ventas[[#This Row],[Ciudad]],Tabla2[Ciudades],Tabla2[Provincias],"no se encuentra")</f>
        <v>Sevilla</v>
      </c>
      <c r="L2640" t="str">
        <f>_xlfn.XLOOKUP(datos_ventas[[#This Row],[Provincia]],Tabla2[Provincias],Tabla2[Comunidades],"no se encuentra")</f>
        <v>Andalucía</v>
      </c>
      <c r="M2640" t="s">
        <v>19</v>
      </c>
      <c r="N2640">
        <v>4</v>
      </c>
    </row>
    <row r="2641" spans="1:14" x14ac:dyDescent="0.25">
      <c r="A2641">
        <v>3640</v>
      </c>
      <c r="B2641" s="1">
        <v>45912</v>
      </c>
      <c r="C2641" s="4">
        <f>MONTH(datos_ventas[[#This Row],[Fecha]])</f>
        <v>9</v>
      </c>
      <c r="D2641" s="4">
        <f>WEEKNUM(datos_ventas[[#This Row],[Fecha]],2)</f>
        <v>37</v>
      </c>
      <c r="E2641" t="s">
        <v>29</v>
      </c>
      <c r="F2641" t="s">
        <v>30</v>
      </c>
      <c r="G2641">
        <v>5</v>
      </c>
      <c r="H2641">
        <v>42302</v>
      </c>
      <c r="I2641">
        <v>956</v>
      </c>
      <c r="J2641" t="s">
        <v>12</v>
      </c>
      <c r="K2641" t="str">
        <f>_xlfn.XLOOKUP(datos_ventas[[#This Row],[Ciudad]],Tabla2[Ciudades],Tabla2[Provincias],"no se encuentra")</f>
        <v>Málaga</v>
      </c>
      <c r="L2641" t="str">
        <f>_xlfn.XLOOKUP(datos_ventas[[#This Row],[Provincia]],Tabla2[Provincias],Tabla2[Comunidades],"no se encuentra")</f>
        <v>Andalucía</v>
      </c>
      <c r="M2641" t="s">
        <v>15</v>
      </c>
      <c r="N2641">
        <v>4</v>
      </c>
    </row>
    <row r="2642" spans="1:14" x14ac:dyDescent="0.25">
      <c r="A2642">
        <v>3641</v>
      </c>
      <c r="B2642" s="1">
        <v>45807</v>
      </c>
      <c r="C2642" s="4">
        <f>MONTH(datos_ventas[[#This Row],[Fecha]])</f>
        <v>5</v>
      </c>
      <c r="D2642" s="4">
        <f>WEEKNUM(datos_ventas[[#This Row],[Fecha]],2)</f>
        <v>22</v>
      </c>
      <c r="E2642" t="s">
        <v>26</v>
      </c>
      <c r="F2642" t="s">
        <v>18</v>
      </c>
      <c r="G2642">
        <v>4</v>
      </c>
      <c r="H2642">
        <v>70571</v>
      </c>
      <c r="I2642">
        <v>2922</v>
      </c>
      <c r="J2642" t="s">
        <v>22</v>
      </c>
      <c r="K2642" t="str">
        <f>_xlfn.XLOOKUP(datos_ventas[[#This Row],[Ciudad]],Tabla2[Ciudades],Tabla2[Provincias],"no se encuentra")</f>
        <v>Valencia</v>
      </c>
      <c r="L2642" t="str">
        <f>_xlfn.XLOOKUP(datos_ventas[[#This Row],[Provincia]],Tabla2[Provincias],Tabla2[Comunidades],"no se encuentra")</f>
        <v>Comunidad Valenciana</v>
      </c>
      <c r="M2642" t="s">
        <v>19</v>
      </c>
      <c r="N2642">
        <v>3</v>
      </c>
    </row>
    <row r="2643" spans="1:14" x14ac:dyDescent="0.25">
      <c r="A2643">
        <v>3642</v>
      </c>
      <c r="B2643" s="1">
        <v>45766</v>
      </c>
      <c r="C2643" s="4">
        <f>MONTH(datos_ventas[[#This Row],[Fecha]])</f>
        <v>4</v>
      </c>
      <c r="D2643" s="4">
        <f>WEEKNUM(datos_ventas[[#This Row],[Fecha]],2)</f>
        <v>16</v>
      </c>
      <c r="E2643" t="s">
        <v>16</v>
      </c>
      <c r="F2643" t="s">
        <v>11</v>
      </c>
      <c r="G2643">
        <v>5</v>
      </c>
      <c r="H2643">
        <v>104381</v>
      </c>
      <c r="I2643">
        <v>527</v>
      </c>
      <c r="J2643" t="s">
        <v>27</v>
      </c>
      <c r="K2643" t="str">
        <f>_xlfn.XLOOKUP(datos_ventas[[#This Row],[Ciudad]],Tabla2[Ciudades],Tabla2[Provincias],"no se encuentra")</f>
        <v>Sevilla</v>
      </c>
      <c r="L2643" t="str">
        <f>_xlfn.XLOOKUP(datos_ventas[[#This Row],[Provincia]],Tabla2[Provincias],Tabla2[Comunidades],"no se encuentra")</f>
        <v>Andalucía</v>
      </c>
      <c r="M2643" t="s">
        <v>15</v>
      </c>
      <c r="N2643">
        <v>2</v>
      </c>
    </row>
    <row r="2644" spans="1:14" x14ac:dyDescent="0.25">
      <c r="A2644">
        <v>3643</v>
      </c>
      <c r="B2644" s="1">
        <v>45673</v>
      </c>
      <c r="C2644" s="4">
        <f>MONTH(datos_ventas[[#This Row],[Fecha]])</f>
        <v>1</v>
      </c>
      <c r="D2644" s="4">
        <f>WEEKNUM(datos_ventas[[#This Row],[Fecha]],2)</f>
        <v>3</v>
      </c>
      <c r="E2644" t="s">
        <v>24</v>
      </c>
      <c r="F2644" t="s">
        <v>25</v>
      </c>
      <c r="G2644">
        <v>5</v>
      </c>
      <c r="H2644">
        <v>80538</v>
      </c>
      <c r="I2644">
        <v>2177</v>
      </c>
      <c r="J2644" t="s">
        <v>22</v>
      </c>
      <c r="K2644" t="str">
        <f>_xlfn.XLOOKUP(datos_ventas[[#This Row],[Ciudad]],Tabla2[Ciudades],Tabla2[Provincias],"no se encuentra")</f>
        <v>Valencia</v>
      </c>
      <c r="L2644" t="str">
        <f>_xlfn.XLOOKUP(datos_ventas[[#This Row],[Provincia]],Tabla2[Provincias],Tabla2[Comunidades],"no se encuentra")</f>
        <v>Comunidad Valenciana</v>
      </c>
      <c r="M2644" t="s">
        <v>19</v>
      </c>
      <c r="N2644">
        <v>2</v>
      </c>
    </row>
    <row r="2645" spans="1:14" x14ac:dyDescent="0.25">
      <c r="A2645">
        <v>3644</v>
      </c>
      <c r="B2645" s="1">
        <v>45869</v>
      </c>
      <c r="C2645" s="4">
        <f>MONTH(datos_ventas[[#This Row],[Fecha]])</f>
        <v>7</v>
      </c>
      <c r="D2645" s="4">
        <f>WEEKNUM(datos_ventas[[#This Row],[Fecha]],2)</f>
        <v>31</v>
      </c>
      <c r="E2645" t="s">
        <v>17</v>
      </c>
      <c r="F2645" t="s">
        <v>18</v>
      </c>
      <c r="G2645">
        <v>4</v>
      </c>
      <c r="H2645">
        <v>43466</v>
      </c>
      <c r="I2645">
        <v>3132</v>
      </c>
      <c r="J2645" t="s">
        <v>31</v>
      </c>
      <c r="K2645" t="str">
        <f>_xlfn.XLOOKUP(datos_ventas[[#This Row],[Ciudad]],Tabla2[Ciudades],Tabla2[Provincias],"no se encuentra")</f>
        <v>Vizcaya</v>
      </c>
      <c r="L2645" t="str">
        <f>_xlfn.XLOOKUP(datos_ventas[[#This Row],[Provincia]],Tabla2[Provincias],Tabla2[Comunidades],"no se encuentra")</f>
        <v>País Vasco</v>
      </c>
      <c r="M2645" t="s">
        <v>13</v>
      </c>
      <c r="N2645">
        <v>5</v>
      </c>
    </row>
    <row r="2646" spans="1:14" x14ac:dyDescent="0.25">
      <c r="A2646">
        <v>3645</v>
      </c>
      <c r="B2646" s="1">
        <v>45775</v>
      </c>
      <c r="C2646" s="4">
        <f>MONTH(datos_ventas[[#This Row],[Fecha]])</f>
        <v>4</v>
      </c>
      <c r="D2646" s="4">
        <f>WEEKNUM(datos_ventas[[#This Row],[Fecha]],2)</f>
        <v>18</v>
      </c>
      <c r="E2646" t="s">
        <v>16</v>
      </c>
      <c r="F2646" t="s">
        <v>11</v>
      </c>
      <c r="G2646">
        <v>3</v>
      </c>
      <c r="H2646">
        <v>47076</v>
      </c>
      <c r="I2646">
        <v>4875</v>
      </c>
      <c r="J2646" t="s">
        <v>31</v>
      </c>
      <c r="K2646" t="str">
        <f>_xlfn.XLOOKUP(datos_ventas[[#This Row],[Ciudad]],Tabla2[Ciudades],Tabla2[Provincias],"no se encuentra")</f>
        <v>Vizcaya</v>
      </c>
      <c r="L2646" t="str">
        <f>_xlfn.XLOOKUP(datos_ventas[[#This Row],[Provincia]],Tabla2[Provincias],Tabla2[Comunidades],"no se encuentra")</f>
        <v>País Vasco</v>
      </c>
      <c r="M2646" t="s">
        <v>19</v>
      </c>
      <c r="N2646">
        <v>4</v>
      </c>
    </row>
    <row r="2647" spans="1:14" x14ac:dyDescent="0.25">
      <c r="A2647">
        <v>3646</v>
      </c>
      <c r="B2647" s="1">
        <v>45970</v>
      </c>
      <c r="C2647" s="4">
        <f>MONTH(datos_ventas[[#This Row],[Fecha]])</f>
        <v>11</v>
      </c>
      <c r="D2647" s="4">
        <f>WEEKNUM(datos_ventas[[#This Row],[Fecha]],2)</f>
        <v>45</v>
      </c>
      <c r="E2647" t="s">
        <v>26</v>
      </c>
      <c r="F2647" t="s">
        <v>18</v>
      </c>
      <c r="G2647">
        <v>3</v>
      </c>
      <c r="H2647">
        <v>82142</v>
      </c>
      <c r="I2647">
        <v>913</v>
      </c>
      <c r="J2647" t="s">
        <v>31</v>
      </c>
      <c r="K2647" t="str">
        <f>_xlfn.XLOOKUP(datos_ventas[[#This Row],[Ciudad]],Tabla2[Ciudades],Tabla2[Provincias],"no se encuentra")</f>
        <v>Vizcaya</v>
      </c>
      <c r="L2647" t="str">
        <f>_xlfn.XLOOKUP(datos_ventas[[#This Row],[Provincia]],Tabla2[Provincias],Tabla2[Comunidades],"no se encuentra")</f>
        <v>País Vasco</v>
      </c>
      <c r="M2647" t="s">
        <v>28</v>
      </c>
      <c r="N2647">
        <v>4</v>
      </c>
    </row>
    <row r="2648" spans="1:14" x14ac:dyDescent="0.25">
      <c r="A2648">
        <v>3647</v>
      </c>
      <c r="B2648" s="1">
        <v>45956</v>
      </c>
      <c r="C2648" s="4">
        <f>MONTH(datos_ventas[[#This Row],[Fecha]])</f>
        <v>10</v>
      </c>
      <c r="D2648" s="4">
        <f>WEEKNUM(datos_ventas[[#This Row],[Fecha]],2)</f>
        <v>43</v>
      </c>
      <c r="E2648" t="s">
        <v>20</v>
      </c>
      <c r="F2648" t="s">
        <v>21</v>
      </c>
      <c r="G2648">
        <v>2</v>
      </c>
      <c r="H2648">
        <v>8761</v>
      </c>
      <c r="I2648">
        <v>2982</v>
      </c>
      <c r="J2648" t="s">
        <v>31</v>
      </c>
      <c r="K2648" t="str">
        <f>_xlfn.XLOOKUP(datos_ventas[[#This Row],[Ciudad]],Tabla2[Ciudades],Tabla2[Provincias],"no se encuentra")</f>
        <v>Vizcaya</v>
      </c>
      <c r="L2648" t="str">
        <f>_xlfn.XLOOKUP(datos_ventas[[#This Row],[Provincia]],Tabla2[Provincias],Tabla2[Comunidades],"no se encuentra")</f>
        <v>País Vasco</v>
      </c>
      <c r="M2648" t="s">
        <v>15</v>
      </c>
      <c r="N2648">
        <v>5</v>
      </c>
    </row>
    <row r="2649" spans="1:14" x14ac:dyDescent="0.25">
      <c r="A2649">
        <v>3648</v>
      </c>
      <c r="B2649" s="1">
        <v>45912</v>
      </c>
      <c r="C2649" s="4">
        <f>MONTH(datos_ventas[[#This Row],[Fecha]])</f>
        <v>9</v>
      </c>
      <c r="D2649" s="4">
        <f>WEEKNUM(datos_ventas[[#This Row],[Fecha]],2)</f>
        <v>37</v>
      </c>
      <c r="E2649" t="s">
        <v>16</v>
      </c>
      <c r="F2649" t="s">
        <v>11</v>
      </c>
      <c r="G2649">
        <v>1</v>
      </c>
      <c r="H2649">
        <v>104796</v>
      </c>
      <c r="I2649">
        <v>846</v>
      </c>
      <c r="J2649" t="s">
        <v>14</v>
      </c>
      <c r="K2649" t="str">
        <f>_xlfn.XLOOKUP(datos_ventas[[#This Row],[Ciudad]],Tabla2[Ciudades],Tabla2[Provincias],"no se encuentra")</f>
        <v>Madrid</v>
      </c>
      <c r="L2649" t="str">
        <f>_xlfn.XLOOKUP(datos_ventas[[#This Row],[Provincia]],Tabla2[Provincias],Tabla2[Comunidades],"no se encuentra")</f>
        <v>Comunidad de Madrid</v>
      </c>
      <c r="M2649" t="s">
        <v>15</v>
      </c>
      <c r="N2649">
        <v>1</v>
      </c>
    </row>
    <row r="2650" spans="1:14" x14ac:dyDescent="0.25">
      <c r="A2650">
        <v>3649</v>
      </c>
      <c r="B2650" s="1">
        <v>45777</v>
      </c>
      <c r="C2650" s="4">
        <f>MONTH(datos_ventas[[#This Row],[Fecha]])</f>
        <v>4</v>
      </c>
      <c r="D2650" s="4">
        <f>WEEKNUM(datos_ventas[[#This Row],[Fecha]],2)</f>
        <v>18</v>
      </c>
      <c r="E2650" t="s">
        <v>10</v>
      </c>
      <c r="F2650" t="s">
        <v>11</v>
      </c>
      <c r="G2650">
        <v>1</v>
      </c>
      <c r="H2650">
        <v>29176</v>
      </c>
      <c r="I2650">
        <v>821</v>
      </c>
      <c r="J2650" t="s">
        <v>27</v>
      </c>
      <c r="K2650" t="str">
        <f>_xlfn.XLOOKUP(datos_ventas[[#This Row],[Ciudad]],Tabla2[Ciudades],Tabla2[Provincias],"no se encuentra")</f>
        <v>Sevilla</v>
      </c>
      <c r="L2650" t="str">
        <f>_xlfn.XLOOKUP(datos_ventas[[#This Row],[Provincia]],Tabla2[Provincias],Tabla2[Comunidades],"no se encuentra")</f>
        <v>Andalucía</v>
      </c>
      <c r="M2650" t="s">
        <v>15</v>
      </c>
      <c r="N2650">
        <v>5</v>
      </c>
    </row>
    <row r="2651" spans="1:14" x14ac:dyDescent="0.25">
      <c r="A2651">
        <v>3650</v>
      </c>
      <c r="B2651" s="1">
        <v>45659</v>
      </c>
      <c r="C2651" s="4">
        <f>MONTH(datos_ventas[[#This Row],[Fecha]])</f>
        <v>1</v>
      </c>
      <c r="D2651" s="4">
        <f>WEEKNUM(datos_ventas[[#This Row],[Fecha]],2)</f>
        <v>1</v>
      </c>
      <c r="E2651" t="s">
        <v>20</v>
      </c>
      <c r="F2651" t="s">
        <v>21</v>
      </c>
      <c r="G2651">
        <v>2</v>
      </c>
      <c r="H2651">
        <v>56802</v>
      </c>
      <c r="I2651">
        <v>2188</v>
      </c>
      <c r="J2651" t="s">
        <v>32</v>
      </c>
      <c r="K2651" t="str">
        <f>_xlfn.XLOOKUP(datos_ventas[[#This Row],[Ciudad]],Tabla2[Ciudades],Tabla2[Provincias],"no se encuentra")</f>
        <v>Barcelona</v>
      </c>
      <c r="L2651" t="str">
        <f>_xlfn.XLOOKUP(datos_ventas[[#This Row],[Provincia]],Tabla2[Provincias],Tabla2[Comunidades],"no se encuentra")</f>
        <v>Cataluña</v>
      </c>
      <c r="M2651" t="s">
        <v>15</v>
      </c>
      <c r="N2651">
        <v>5</v>
      </c>
    </row>
    <row r="2652" spans="1:14" x14ac:dyDescent="0.25">
      <c r="A2652">
        <v>3651</v>
      </c>
      <c r="B2652" s="1">
        <v>45749</v>
      </c>
      <c r="C2652" s="4">
        <f>MONTH(datos_ventas[[#This Row],[Fecha]])</f>
        <v>4</v>
      </c>
      <c r="D2652" s="4">
        <f>WEEKNUM(datos_ventas[[#This Row],[Fecha]],2)</f>
        <v>14</v>
      </c>
      <c r="E2652" t="s">
        <v>23</v>
      </c>
      <c r="F2652" t="s">
        <v>18</v>
      </c>
      <c r="G2652">
        <v>1</v>
      </c>
      <c r="H2652">
        <v>106801</v>
      </c>
      <c r="I2652">
        <v>2384</v>
      </c>
      <c r="J2652" t="s">
        <v>32</v>
      </c>
      <c r="K2652" t="str">
        <f>_xlfn.XLOOKUP(datos_ventas[[#This Row],[Ciudad]],Tabla2[Ciudades],Tabla2[Provincias],"no se encuentra")</f>
        <v>Barcelona</v>
      </c>
      <c r="L2652" t="str">
        <f>_xlfn.XLOOKUP(datos_ventas[[#This Row],[Provincia]],Tabla2[Provincias],Tabla2[Comunidades],"no se encuentra")</f>
        <v>Cataluña</v>
      </c>
      <c r="M2652" t="s">
        <v>19</v>
      </c>
      <c r="N2652">
        <v>2</v>
      </c>
    </row>
    <row r="2653" spans="1:14" x14ac:dyDescent="0.25">
      <c r="A2653">
        <v>3652</v>
      </c>
      <c r="B2653" s="1">
        <v>45935</v>
      </c>
      <c r="C2653" s="4">
        <f>MONTH(datos_ventas[[#This Row],[Fecha]])</f>
        <v>10</v>
      </c>
      <c r="D2653" s="4">
        <f>WEEKNUM(datos_ventas[[#This Row],[Fecha]],2)</f>
        <v>40</v>
      </c>
      <c r="E2653" t="s">
        <v>29</v>
      </c>
      <c r="F2653" t="s">
        <v>30</v>
      </c>
      <c r="G2653">
        <v>3</v>
      </c>
      <c r="H2653">
        <v>37479</v>
      </c>
      <c r="I2653">
        <v>2308</v>
      </c>
      <c r="J2653" t="s">
        <v>12</v>
      </c>
      <c r="K2653" t="str">
        <f>_xlfn.XLOOKUP(datos_ventas[[#This Row],[Ciudad]],Tabla2[Ciudades],Tabla2[Provincias],"no se encuentra")</f>
        <v>Málaga</v>
      </c>
      <c r="L2653" t="str">
        <f>_xlfn.XLOOKUP(datos_ventas[[#This Row],[Provincia]],Tabla2[Provincias],Tabla2[Comunidades],"no se encuentra")</f>
        <v>Andalucía</v>
      </c>
      <c r="M2653" t="s">
        <v>19</v>
      </c>
      <c r="N2653">
        <v>4</v>
      </c>
    </row>
    <row r="2654" spans="1:14" x14ac:dyDescent="0.25">
      <c r="A2654">
        <v>3653</v>
      </c>
      <c r="B2654" s="1">
        <v>45813</v>
      </c>
      <c r="C2654" s="4">
        <f>MONTH(datos_ventas[[#This Row],[Fecha]])</f>
        <v>6</v>
      </c>
      <c r="D2654" s="4">
        <f>WEEKNUM(datos_ventas[[#This Row],[Fecha]],2)</f>
        <v>23</v>
      </c>
      <c r="E2654" t="s">
        <v>17</v>
      </c>
      <c r="F2654" t="s">
        <v>18</v>
      </c>
      <c r="G2654">
        <v>5</v>
      </c>
      <c r="H2654">
        <v>62783</v>
      </c>
      <c r="I2654">
        <v>1515</v>
      </c>
      <c r="J2654" t="s">
        <v>27</v>
      </c>
      <c r="K2654" t="str">
        <f>_xlfn.XLOOKUP(datos_ventas[[#This Row],[Ciudad]],Tabla2[Ciudades],Tabla2[Provincias],"no se encuentra")</f>
        <v>Sevilla</v>
      </c>
      <c r="L2654" t="str">
        <f>_xlfn.XLOOKUP(datos_ventas[[#This Row],[Provincia]],Tabla2[Provincias],Tabla2[Comunidades],"no se encuentra")</f>
        <v>Andalucía</v>
      </c>
      <c r="M2654" t="s">
        <v>19</v>
      </c>
      <c r="N2654">
        <v>2</v>
      </c>
    </row>
    <row r="2655" spans="1:14" x14ac:dyDescent="0.25">
      <c r="A2655">
        <v>3654</v>
      </c>
      <c r="B2655" s="1">
        <v>45841</v>
      </c>
      <c r="C2655" s="4">
        <f>MONTH(datos_ventas[[#This Row],[Fecha]])</f>
        <v>7</v>
      </c>
      <c r="D2655" s="4">
        <f>WEEKNUM(datos_ventas[[#This Row],[Fecha]],2)</f>
        <v>27</v>
      </c>
      <c r="E2655" t="s">
        <v>10</v>
      </c>
      <c r="F2655" t="s">
        <v>11</v>
      </c>
      <c r="G2655">
        <v>2</v>
      </c>
      <c r="H2655">
        <v>113301</v>
      </c>
      <c r="I2655">
        <v>1674</v>
      </c>
      <c r="J2655" t="s">
        <v>31</v>
      </c>
      <c r="K2655" t="str">
        <f>_xlfn.XLOOKUP(datos_ventas[[#This Row],[Ciudad]],Tabla2[Ciudades],Tabla2[Provincias],"no se encuentra")</f>
        <v>Vizcaya</v>
      </c>
      <c r="L2655" t="str">
        <f>_xlfn.XLOOKUP(datos_ventas[[#This Row],[Provincia]],Tabla2[Provincias],Tabla2[Comunidades],"no se encuentra")</f>
        <v>País Vasco</v>
      </c>
      <c r="M2655" t="s">
        <v>13</v>
      </c>
      <c r="N2655">
        <v>3</v>
      </c>
    </row>
    <row r="2656" spans="1:14" x14ac:dyDescent="0.25">
      <c r="A2656">
        <v>3655</v>
      </c>
      <c r="B2656" s="1">
        <v>45872</v>
      </c>
      <c r="C2656" s="4">
        <f>MONTH(datos_ventas[[#This Row],[Fecha]])</f>
        <v>8</v>
      </c>
      <c r="D2656" s="4">
        <f>WEEKNUM(datos_ventas[[#This Row],[Fecha]],2)</f>
        <v>31</v>
      </c>
      <c r="E2656" t="s">
        <v>23</v>
      </c>
      <c r="F2656" t="s">
        <v>18</v>
      </c>
      <c r="G2656">
        <v>5</v>
      </c>
      <c r="H2656">
        <v>113912</v>
      </c>
      <c r="I2656">
        <v>3562</v>
      </c>
      <c r="J2656" t="s">
        <v>31</v>
      </c>
      <c r="K2656" t="str">
        <f>_xlfn.XLOOKUP(datos_ventas[[#This Row],[Ciudad]],Tabla2[Ciudades],Tabla2[Provincias],"no se encuentra")</f>
        <v>Vizcaya</v>
      </c>
      <c r="L2656" t="str">
        <f>_xlfn.XLOOKUP(datos_ventas[[#This Row],[Provincia]],Tabla2[Provincias],Tabla2[Comunidades],"no se encuentra")</f>
        <v>País Vasco</v>
      </c>
      <c r="M2656" t="s">
        <v>19</v>
      </c>
      <c r="N2656">
        <v>5</v>
      </c>
    </row>
    <row r="2657" spans="1:14" x14ac:dyDescent="0.25">
      <c r="A2657">
        <v>3656</v>
      </c>
      <c r="B2657" s="1">
        <v>46009</v>
      </c>
      <c r="C2657" s="4">
        <f>MONTH(datos_ventas[[#This Row],[Fecha]])</f>
        <v>12</v>
      </c>
      <c r="D2657" s="4">
        <f>WEEKNUM(datos_ventas[[#This Row],[Fecha]],2)</f>
        <v>51</v>
      </c>
      <c r="E2657" t="s">
        <v>24</v>
      </c>
      <c r="F2657" t="s">
        <v>25</v>
      </c>
      <c r="G2657">
        <v>5</v>
      </c>
      <c r="H2657">
        <v>72428</v>
      </c>
      <c r="I2657">
        <v>2301</v>
      </c>
      <c r="J2657" t="s">
        <v>27</v>
      </c>
      <c r="K2657" t="str">
        <f>_xlfn.XLOOKUP(datos_ventas[[#This Row],[Ciudad]],Tabla2[Ciudades],Tabla2[Provincias],"no se encuentra")</f>
        <v>Sevilla</v>
      </c>
      <c r="L2657" t="str">
        <f>_xlfn.XLOOKUP(datos_ventas[[#This Row],[Provincia]],Tabla2[Provincias],Tabla2[Comunidades],"no se encuentra")</f>
        <v>Andalucía</v>
      </c>
      <c r="M2657" t="s">
        <v>13</v>
      </c>
      <c r="N2657">
        <v>2</v>
      </c>
    </row>
    <row r="2658" spans="1:14" x14ac:dyDescent="0.25">
      <c r="A2658">
        <v>3657</v>
      </c>
      <c r="B2658" s="1">
        <v>45728</v>
      </c>
      <c r="C2658" s="4">
        <f>MONTH(datos_ventas[[#This Row],[Fecha]])</f>
        <v>3</v>
      </c>
      <c r="D2658" s="4">
        <f>WEEKNUM(datos_ventas[[#This Row],[Fecha]],2)</f>
        <v>11</v>
      </c>
      <c r="E2658" t="s">
        <v>24</v>
      </c>
      <c r="F2658" t="s">
        <v>25</v>
      </c>
      <c r="G2658">
        <v>5</v>
      </c>
      <c r="H2658">
        <v>106504</v>
      </c>
      <c r="I2658">
        <v>931</v>
      </c>
      <c r="J2658" t="s">
        <v>31</v>
      </c>
      <c r="K2658" t="str">
        <f>_xlfn.XLOOKUP(datos_ventas[[#This Row],[Ciudad]],Tabla2[Ciudades],Tabla2[Provincias],"no se encuentra")</f>
        <v>Vizcaya</v>
      </c>
      <c r="L2658" t="str">
        <f>_xlfn.XLOOKUP(datos_ventas[[#This Row],[Provincia]],Tabla2[Provincias],Tabla2[Comunidades],"no se encuentra")</f>
        <v>País Vasco</v>
      </c>
      <c r="M2658" t="s">
        <v>19</v>
      </c>
      <c r="N2658">
        <v>5</v>
      </c>
    </row>
    <row r="2659" spans="1:14" x14ac:dyDescent="0.25">
      <c r="A2659">
        <v>3658</v>
      </c>
      <c r="B2659" s="1">
        <v>45772</v>
      </c>
      <c r="C2659" s="4">
        <f>MONTH(datos_ventas[[#This Row],[Fecha]])</f>
        <v>4</v>
      </c>
      <c r="D2659" s="4">
        <f>WEEKNUM(datos_ventas[[#This Row],[Fecha]],2)</f>
        <v>17</v>
      </c>
      <c r="E2659" t="s">
        <v>29</v>
      </c>
      <c r="F2659" t="s">
        <v>30</v>
      </c>
      <c r="G2659">
        <v>3</v>
      </c>
      <c r="H2659">
        <v>20918</v>
      </c>
      <c r="I2659">
        <v>4152</v>
      </c>
      <c r="J2659" t="s">
        <v>31</v>
      </c>
      <c r="K2659" t="str">
        <f>_xlfn.XLOOKUP(datos_ventas[[#This Row],[Ciudad]],Tabla2[Ciudades],Tabla2[Provincias],"no se encuentra")</f>
        <v>Vizcaya</v>
      </c>
      <c r="L2659" t="str">
        <f>_xlfn.XLOOKUP(datos_ventas[[#This Row],[Provincia]],Tabla2[Provincias],Tabla2[Comunidades],"no se encuentra")</f>
        <v>País Vasco</v>
      </c>
      <c r="M2659" t="s">
        <v>19</v>
      </c>
      <c r="N2659">
        <v>3</v>
      </c>
    </row>
    <row r="2660" spans="1:14" x14ac:dyDescent="0.25">
      <c r="A2660">
        <v>3659</v>
      </c>
      <c r="B2660" s="1">
        <v>45809</v>
      </c>
      <c r="C2660" s="4">
        <f>MONTH(datos_ventas[[#This Row],[Fecha]])</f>
        <v>6</v>
      </c>
      <c r="D2660" s="4">
        <f>WEEKNUM(datos_ventas[[#This Row],[Fecha]],2)</f>
        <v>22</v>
      </c>
      <c r="E2660" t="s">
        <v>29</v>
      </c>
      <c r="F2660" t="s">
        <v>30</v>
      </c>
      <c r="G2660">
        <v>2</v>
      </c>
      <c r="H2660">
        <v>20888</v>
      </c>
      <c r="I2660">
        <v>1739</v>
      </c>
      <c r="J2660" t="s">
        <v>12</v>
      </c>
      <c r="K2660" t="str">
        <f>_xlfn.XLOOKUP(datos_ventas[[#This Row],[Ciudad]],Tabla2[Ciudades],Tabla2[Provincias],"no se encuentra")</f>
        <v>Málaga</v>
      </c>
      <c r="L2660" t="str">
        <f>_xlfn.XLOOKUP(datos_ventas[[#This Row],[Provincia]],Tabla2[Provincias],Tabla2[Comunidades],"no se encuentra")</f>
        <v>Andalucía</v>
      </c>
      <c r="M2660" t="s">
        <v>28</v>
      </c>
      <c r="N2660">
        <v>2</v>
      </c>
    </row>
    <row r="2661" spans="1:14" x14ac:dyDescent="0.25">
      <c r="A2661">
        <v>3660</v>
      </c>
      <c r="B2661" s="1">
        <v>45915</v>
      </c>
      <c r="C2661" s="4">
        <f>MONTH(datos_ventas[[#This Row],[Fecha]])</f>
        <v>9</v>
      </c>
      <c r="D2661" s="4">
        <f>WEEKNUM(datos_ventas[[#This Row],[Fecha]],2)</f>
        <v>38</v>
      </c>
      <c r="E2661" t="s">
        <v>24</v>
      </c>
      <c r="F2661" t="s">
        <v>25</v>
      </c>
      <c r="G2661">
        <v>2</v>
      </c>
      <c r="H2661">
        <v>67588</v>
      </c>
      <c r="I2661">
        <v>370</v>
      </c>
      <c r="J2661" t="s">
        <v>14</v>
      </c>
      <c r="K2661" t="str">
        <f>_xlfn.XLOOKUP(datos_ventas[[#This Row],[Ciudad]],Tabla2[Ciudades],Tabla2[Provincias],"no se encuentra")</f>
        <v>Madrid</v>
      </c>
      <c r="L2661" t="str">
        <f>_xlfn.XLOOKUP(datos_ventas[[#This Row],[Provincia]],Tabla2[Provincias],Tabla2[Comunidades],"no se encuentra")</f>
        <v>Comunidad de Madrid</v>
      </c>
      <c r="M2661" t="s">
        <v>13</v>
      </c>
      <c r="N2661">
        <v>3</v>
      </c>
    </row>
    <row r="2662" spans="1:14" x14ac:dyDescent="0.25">
      <c r="A2662">
        <v>3661</v>
      </c>
      <c r="B2662" s="1">
        <v>45767</v>
      </c>
      <c r="C2662" s="4">
        <f>MONTH(datos_ventas[[#This Row],[Fecha]])</f>
        <v>4</v>
      </c>
      <c r="D2662" s="4">
        <f>WEEKNUM(datos_ventas[[#This Row],[Fecha]],2)</f>
        <v>16</v>
      </c>
      <c r="E2662" t="s">
        <v>16</v>
      </c>
      <c r="F2662" t="s">
        <v>11</v>
      </c>
      <c r="G2662">
        <v>3</v>
      </c>
      <c r="H2662">
        <v>47359</v>
      </c>
      <c r="I2662">
        <v>4001</v>
      </c>
      <c r="J2662" t="s">
        <v>31</v>
      </c>
      <c r="K2662" t="str">
        <f>_xlfn.XLOOKUP(datos_ventas[[#This Row],[Ciudad]],Tabla2[Ciudades],Tabla2[Provincias],"no se encuentra")</f>
        <v>Vizcaya</v>
      </c>
      <c r="L2662" t="str">
        <f>_xlfn.XLOOKUP(datos_ventas[[#This Row],[Provincia]],Tabla2[Provincias],Tabla2[Comunidades],"no se encuentra")</f>
        <v>País Vasco</v>
      </c>
      <c r="M2662" t="s">
        <v>15</v>
      </c>
      <c r="N2662">
        <v>5</v>
      </c>
    </row>
    <row r="2663" spans="1:14" x14ac:dyDescent="0.25">
      <c r="A2663">
        <v>3662</v>
      </c>
      <c r="B2663" s="1">
        <v>45791</v>
      </c>
      <c r="C2663" s="4">
        <f>MONTH(datos_ventas[[#This Row],[Fecha]])</f>
        <v>5</v>
      </c>
      <c r="D2663" s="4">
        <f>WEEKNUM(datos_ventas[[#This Row],[Fecha]],2)</f>
        <v>20</v>
      </c>
      <c r="E2663" t="s">
        <v>29</v>
      </c>
      <c r="F2663" t="s">
        <v>30</v>
      </c>
      <c r="G2663">
        <v>5</v>
      </c>
      <c r="H2663">
        <v>103554</v>
      </c>
      <c r="I2663">
        <v>1201</v>
      </c>
      <c r="J2663" t="s">
        <v>14</v>
      </c>
      <c r="K2663" t="str">
        <f>_xlfn.XLOOKUP(datos_ventas[[#This Row],[Ciudad]],Tabla2[Ciudades],Tabla2[Provincias],"no se encuentra")</f>
        <v>Madrid</v>
      </c>
      <c r="L2663" t="str">
        <f>_xlfn.XLOOKUP(datos_ventas[[#This Row],[Provincia]],Tabla2[Provincias],Tabla2[Comunidades],"no se encuentra")</f>
        <v>Comunidad de Madrid</v>
      </c>
      <c r="M2663" t="s">
        <v>19</v>
      </c>
      <c r="N2663">
        <v>1</v>
      </c>
    </row>
    <row r="2664" spans="1:14" x14ac:dyDescent="0.25">
      <c r="A2664">
        <v>3663</v>
      </c>
      <c r="B2664" s="1">
        <v>45839</v>
      </c>
      <c r="C2664" s="4">
        <f>MONTH(datos_ventas[[#This Row],[Fecha]])</f>
        <v>7</v>
      </c>
      <c r="D2664" s="4">
        <f>WEEKNUM(datos_ventas[[#This Row],[Fecha]],2)</f>
        <v>27</v>
      </c>
      <c r="E2664" t="s">
        <v>16</v>
      </c>
      <c r="F2664" t="s">
        <v>11</v>
      </c>
      <c r="G2664">
        <v>4</v>
      </c>
      <c r="H2664">
        <v>46117</v>
      </c>
      <c r="I2664">
        <v>453</v>
      </c>
      <c r="J2664" t="s">
        <v>12</v>
      </c>
      <c r="K2664" t="str">
        <f>_xlfn.XLOOKUP(datos_ventas[[#This Row],[Ciudad]],Tabla2[Ciudades],Tabla2[Provincias],"no se encuentra")</f>
        <v>Málaga</v>
      </c>
      <c r="L2664" t="str">
        <f>_xlfn.XLOOKUP(datos_ventas[[#This Row],[Provincia]],Tabla2[Provincias],Tabla2[Comunidades],"no se encuentra")</f>
        <v>Andalucía</v>
      </c>
      <c r="M2664" t="s">
        <v>28</v>
      </c>
      <c r="N2664">
        <v>4</v>
      </c>
    </row>
    <row r="2665" spans="1:14" x14ac:dyDescent="0.25">
      <c r="A2665">
        <v>3664</v>
      </c>
      <c r="B2665" s="1">
        <v>45894</v>
      </c>
      <c r="C2665" s="4">
        <f>MONTH(datos_ventas[[#This Row],[Fecha]])</f>
        <v>8</v>
      </c>
      <c r="D2665" s="4">
        <f>WEEKNUM(datos_ventas[[#This Row],[Fecha]],2)</f>
        <v>35</v>
      </c>
      <c r="E2665" t="s">
        <v>20</v>
      </c>
      <c r="F2665" t="s">
        <v>21</v>
      </c>
      <c r="G2665">
        <v>3</v>
      </c>
      <c r="H2665">
        <v>11759</v>
      </c>
      <c r="I2665">
        <v>3766</v>
      </c>
      <c r="J2665" t="s">
        <v>27</v>
      </c>
      <c r="K2665" t="str">
        <f>_xlfn.XLOOKUP(datos_ventas[[#This Row],[Ciudad]],Tabla2[Ciudades],Tabla2[Provincias],"no se encuentra")</f>
        <v>Sevilla</v>
      </c>
      <c r="L2665" t="str">
        <f>_xlfn.XLOOKUP(datos_ventas[[#This Row],[Provincia]],Tabla2[Provincias],Tabla2[Comunidades],"no se encuentra")</f>
        <v>Andalucía</v>
      </c>
      <c r="M2665" t="s">
        <v>28</v>
      </c>
      <c r="N2665">
        <v>2</v>
      </c>
    </row>
    <row r="2666" spans="1:14" x14ac:dyDescent="0.25">
      <c r="A2666">
        <v>3665</v>
      </c>
      <c r="B2666" s="1">
        <v>45977</v>
      </c>
      <c r="C2666" s="4">
        <f>MONTH(datos_ventas[[#This Row],[Fecha]])</f>
        <v>11</v>
      </c>
      <c r="D2666" s="4">
        <f>WEEKNUM(datos_ventas[[#This Row],[Fecha]],2)</f>
        <v>46</v>
      </c>
      <c r="E2666" t="s">
        <v>10</v>
      </c>
      <c r="F2666" t="s">
        <v>11</v>
      </c>
      <c r="G2666">
        <v>3</v>
      </c>
      <c r="H2666">
        <v>52662</v>
      </c>
      <c r="I2666">
        <v>3923</v>
      </c>
      <c r="J2666" t="s">
        <v>27</v>
      </c>
      <c r="K2666" t="str">
        <f>_xlfn.XLOOKUP(datos_ventas[[#This Row],[Ciudad]],Tabla2[Ciudades],Tabla2[Provincias],"no se encuentra")</f>
        <v>Sevilla</v>
      </c>
      <c r="L2666" t="str">
        <f>_xlfn.XLOOKUP(datos_ventas[[#This Row],[Provincia]],Tabla2[Provincias],Tabla2[Comunidades],"no se encuentra")</f>
        <v>Andalucía</v>
      </c>
      <c r="M2666" t="s">
        <v>19</v>
      </c>
      <c r="N2666">
        <v>5</v>
      </c>
    </row>
    <row r="2667" spans="1:14" x14ac:dyDescent="0.25">
      <c r="A2667">
        <v>3666</v>
      </c>
      <c r="B2667" s="1">
        <v>45744</v>
      </c>
      <c r="C2667" s="4">
        <f>MONTH(datos_ventas[[#This Row],[Fecha]])</f>
        <v>3</v>
      </c>
      <c r="D2667" s="4">
        <f>WEEKNUM(datos_ventas[[#This Row],[Fecha]],2)</f>
        <v>13</v>
      </c>
      <c r="E2667" t="s">
        <v>29</v>
      </c>
      <c r="F2667" t="s">
        <v>30</v>
      </c>
      <c r="G2667">
        <v>5</v>
      </c>
      <c r="H2667">
        <v>1985</v>
      </c>
      <c r="I2667">
        <v>3062</v>
      </c>
      <c r="J2667" t="s">
        <v>32</v>
      </c>
      <c r="K2667" t="str">
        <f>_xlfn.XLOOKUP(datos_ventas[[#This Row],[Ciudad]],Tabla2[Ciudades],Tabla2[Provincias],"no se encuentra")</f>
        <v>Barcelona</v>
      </c>
      <c r="L2667" t="str">
        <f>_xlfn.XLOOKUP(datos_ventas[[#This Row],[Provincia]],Tabla2[Provincias],Tabla2[Comunidades],"no se encuentra")</f>
        <v>Cataluña</v>
      </c>
      <c r="M2667" t="s">
        <v>28</v>
      </c>
      <c r="N2667">
        <v>2</v>
      </c>
    </row>
    <row r="2668" spans="1:14" x14ac:dyDescent="0.25">
      <c r="A2668">
        <v>3667</v>
      </c>
      <c r="B2668" s="1">
        <v>45659</v>
      </c>
      <c r="C2668" s="4">
        <f>MONTH(datos_ventas[[#This Row],[Fecha]])</f>
        <v>1</v>
      </c>
      <c r="D2668" s="4">
        <f>WEEKNUM(datos_ventas[[#This Row],[Fecha]],2)</f>
        <v>1</v>
      </c>
      <c r="E2668" t="s">
        <v>20</v>
      </c>
      <c r="F2668" t="s">
        <v>21</v>
      </c>
      <c r="G2668">
        <v>2</v>
      </c>
      <c r="H2668">
        <v>28725</v>
      </c>
      <c r="I2668">
        <v>3688</v>
      </c>
      <c r="J2668" t="s">
        <v>32</v>
      </c>
      <c r="K2668" t="str">
        <f>_xlfn.XLOOKUP(datos_ventas[[#This Row],[Ciudad]],Tabla2[Ciudades],Tabla2[Provincias],"no se encuentra")</f>
        <v>Barcelona</v>
      </c>
      <c r="L2668" t="str">
        <f>_xlfn.XLOOKUP(datos_ventas[[#This Row],[Provincia]],Tabla2[Provincias],Tabla2[Comunidades],"no se encuentra")</f>
        <v>Cataluña</v>
      </c>
      <c r="M2668" t="s">
        <v>19</v>
      </c>
      <c r="N2668">
        <v>4</v>
      </c>
    </row>
    <row r="2669" spans="1:14" x14ac:dyDescent="0.25">
      <c r="A2669">
        <v>3668</v>
      </c>
      <c r="B2669" s="1">
        <v>45940</v>
      </c>
      <c r="C2669" s="4">
        <f>MONTH(datos_ventas[[#This Row],[Fecha]])</f>
        <v>10</v>
      </c>
      <c r="D2669" s="4">
        <f>WEEKNUM(datos_ventas[[#This Row],[Fecha]],2)</f>
        <v>41</v>
      </c>
      <c r="E2669" t="s">
        <v>26</v>
      </c>
      <c r="F2669" t="s">
        <v>18</v>
      </c>
      <c r="G2669">
        <v>4</v>
      </c>
      <c r="H2669">
        <v>34233</v>
      </c>
      <c r="I2669">
        <v>3791</v>
      </c>
      <c r="J2669" t="s">
        <v>31</v>
      </c>
      <c r="K2669" t="str">
        <f>_xlfn.XLOOKUP(datos_ventas[[#This Row],[Ciudad]],Tabla2[Ciudades],Tabla2[Provincias],"no se encuentra")</f>
        <v>Vizcaya</v>
      </c>
      <c r="L2669" t="str">
        <f>_xlfn.XLOOKUP(datos_ventas[[#This Row],[Provincia]],Tabla2[Provincias],Tabla2[Comunidades],"no se encuentra")</f>
        <v>País Vasco</v>
      </c>
      <c r="M2669" t="s">
        <v>15</v>
      </c>
      <c r="N2669">
        <v>4</v>
      </c>
    </row>
    <row r="2670" spans="1:14" x14ac:dyDescent="0.25">
      <c r="A2670">
        <v>3669</v>
      </c>
      <c r="B2670" s="1">
        <v>45952</v>
      </c>
      <c r="C2670" s="4">
        <f>MONTH(datos_ventas[[#This Row],[Fecha]])</f>
        <v>10</v>
      </c>
      <c r="D2670" s="4">
        <f>WEEKNUM(datos_ventas[[#This Row],[Fecha]],2)</f>
        <v>43</v>
      </c>
      <c r="E2670" t="s">
        <v>16</v>
      </c>
      <c r="F2670" t="s">
        <v>11</v>
      </c>
      <c r="G2670">
        <v>2</v>
      </c>
      <c r="H2670">
        <v>117749</v>
      </c>
      <c r="I2670">
        <v>3313</v>
      </c>
      <c r="J2670" t="s">
        <v>22</v>
      </c>
      <c r="K2670" t="str">
        <f>_xlfn.XLOOKUP(datos_ventas[[#This Row],[Ciudad]],Tabla2[Ciudades],Tabla2[Provincias],"no se encuentra")</f>
        <v>Valencia</v>
      </c>
      <c r="L2670" t="str">
        <f>_xlfn.XLOOKUP(datos_ventas[[#This Row],[Provincia]],Tabla2[Provincias],Tabla2[Comunidades],"no se encuentra")</f>
        <v>Comunidad Valenciana</v>
      </c>
      <c r="M2670" t="s">
        <v>15</v>
      </c>
      <c r="N2670">
        <v>1</v>
      </c>
    </row>
    <row r="2671" spans="1:14" x14ac:dyDescent="0.25">
      <c r="A2671">
        <v>3670</v>
      </c>
      <c r="B2671" s="1">
        <v>45975</v>
      </c>
      <c r="C2671" s="4">
        <f>MONTH(datos_ventas[[#This Row],[Fecha]])</f>
        <v>11</v>
      </c>
      <c r="D2671" s="4">
        <f>WEEKNUM(datos_ventas[[#This Row],[Fecha]],2)</f>
        <v>46</v>
      </c>
      <c r="E2671" t="s">
        <v>23</v>
      </c>
      <c r="F2671" t="s">
        <v>18</v>
      </c>
      <c r="G2671">
        <v>3</v>
      </c>
      <c r="H2671">
        <v>56254</v>
      </c>
      <c r="I2671">
        <v>3241</v>
      </c>
      <c r="J2671" t="s">
        <v>31</v>
      </c>
      <c r="K2671" t="str">
        <f>_xlfn.XLOOKUP(datos_ventas[[#This Row],[Ciudad]],Tabla2[Ciudades],Tabla2[Provincias],"no se encuentra")</f>
        <v>Vizcaya</v>
      </c>
      <c r="L2671" t="str">
        <f>_xlfn.XLOOKUP(datos_ventas[[#This Row],[Provincia]],Tabla2[Provincias],Tabla2[Comunidades],"no se encuentra")</f>
        <v>País Vasco</v>
      </c>
      <c r="M2671" t="s">
        <v>15</v>
      </c>
      <c r="N2671">
        <v>2</v>
      </c>
    </row>
    <row r="2672" spans="1:14" x14ac:dyDescent="0.25">
      <c r="A2672">
        <v>3671</v>
      </c>
      <c r="B2672" s="1">
        <v>45870</v>
      </c>
      <c r="C2672" s="4">
        <f>MONTH(datos_ventas[[#This Row],[Fecha]])</f>
        <v>8</v>
      </c>
      <c r="D2672" s="4">
        <f>WEEKNUM(datos_ventas[[#This Row],[Fecha]],2)</f>
        <v>31</v>
      </c>
      <c r="E2672" t="s">
        <v>10</v>
      </c>
      <c r="F2672" t="s">
        <v>11</v>
      </c>
      <c r="G2672">
        <v>1</v>
      </c>
      <c r="H2672">
        <v>66599</v>
      </c>
      <c r="I2672">
        <v>4479</v>
      </c>
      <c r="J2672" t="s">
        <v>27</v>
      </c>
      <c r="K2672" t="str">
        <f>_xlfn.XLOOKUP(datos_ventas[[#This Row],[Ciudad]],Tabla2[Ciudades],Tabla2[Provincias],"no se encuentra")</f>
        <v>Sevilla</v>
      </c>
      <c r="L2672" t="str">
        <f>_xlfn.XLOOKUP(datos_ventas[[#This Row],[Provincia]],Tabla2[Provincias],Tabla2[Comunidades],"no se encuentra")</f>
        <v>Andalucía</v>
      </c>
      <c r="M2672" t="s">
        <v>28</v>
      </c>
      <c r="N2672">
        <v>3</v>
      </c>
    </row>
    <row r="2673" spans="1:14" x14ac:dyDescent="0.25">
      <c r="A2673">
        <v>3672</v>
      </c>
      <c r="B2673" s="1">
        <v>45883</v>
      </c>
      <c r="C2673" s="4">
        <f>MONTH(datos_ventas[[#This Row],[Fecha]])</f>
        <v>8</v>
      </c>
      <c r="D2673" s="4">
        <f>WEEKNUM(datos_ventas[[#This Row],[Fecha]],2)</f>
        <v>33</v>
      </c>
      <c r="E2673" t="s">
        <v>24</v>
      </c>
      <c r="F2673" t="s">
        <v>25</v>
      </c>
      <c r="G2673">
        <v>4</v>
      </c>
      <c r="H2673">
        <v>36078</v>
      </c>
      <c r="I2673">
        <v>4764</v>
      </c>
      <c r="J2673" t="s">
        <v>14</v>
      </c>
      <c r="K2673" t="str">
        <f>_xlfn.XLOOKUP(datos_ventas[[#This Row],[Ciudad]],Tabla2[Ciudades],Tabla2[Provincias],"no se encuentra")</f>
        <v>Madrid</v>
      </c>
      <c r="L2673" t="str">
        <f>_xlfn.XLOOKUP(datos_ventas[[#This Row],[Provincia]],Tabla2[Provincias],Tabla2[Comunidades],"no se encuentra")</f>
        <v>Comunidad de Madrid</v>
      </c>
      <c r="M2673" t="s">
        <v>19</v>
      </c>
      <c r="N2673">
        <v>1</v>
      </c>
    </row>
    <row r="2674" spans="1:14" x14ac:dyDescent="0.25">
      <c r="A2674">
        <v>3673</v>
      </c>
      <c r="B2674" s="1">
        <v>45981</v>
      </c>
      <c r="C2674" s="4">
        <f>MONTH(datos_ventas[[#This Row],[Fecha]])</f>
        <v>11</v>
      </c>
      <c r="D2674" s="4">
        <f>WEEKNUM(datos_ventas[[#This Row],[Fecha]],2)</f>
        <v>47</v>
      </c>
      <c r="E2674" t="s">
        <v>16</v>
      </c>
      <c r="F2674" t="s">
        <v>11</v>
      </c>
      <c r="G2674">
        <v>2</v>
      </c>
      <c r="H2674">
        <v>58357</v>
      </c>
      <c r="I2674">
        <v>80</v>
      </c>
      <c r="J2674" t="s">
        <v>32</v>
      </c>
      <c r="K2674" t="str">
        <f>_xlfn.XLOOKUP(datos_ventas[[#This Row],[Ciudad]],Tabla2[Ciudades],Tabla2[Provincias],"no se encuentra")</f>
        <v>Barcelona</v>
      </c>
      <c r="L2674" t="str">
        <f>_xlfn.XLOOKUP(datos_ventas[[#This Row],[Provincia]],Tabla2[Provincias],Tabla2[Comunidades],"no se encuentra")</f>
        <v>Cataluña</v>
      </c>
      <c r="M2674" t="s">
        <v>19</v>
      </c>
      <c r="N2674">
        <v>4</v>
      </c>
    </row>
    <row r="2675" spans="1:14" x14ac:dyDescent="0.25">
      <c r="A2675">
        <v>3674</v>
      </c>
      <c r="B2675" s="1">
        <v>45851</v>
      </c>
      <c r="C2675" s="4">
        <f>MONTH(datos_ventas[[#This Row],[Fecha]])</f>
        <v>7</v>
      </c>
      <c r="D2675" s="4">
        <f>WEEKNUM(datos_ventas[[#This Row],[Fecha]],2)</f>
        <v>28</v>
      </c>
      <c r="E2675" t="s">
        <v>29</v>
      </c>
      <c r="F2675" t="s">
        <v>30</v>
      </c>
      <c r="G2675">
        <v>1</v>
      </c>
      <c r="H2675">
        <v>94481</v>
      </c>
      <c r="I2675">
        <v>4372</v>
      </c>
      <c r="J2675" t="s">
        <v>27</v>
      </c>
      <c r="K2675" t="str">
        <f>_xlfn.XLOOKUP(datos_ventas[[#This Row],[Ciudad]],Tabla2[Ciudades],Tabla2[Provincias],"no se encuentra")</f>
        <v>Sevilla</v>
      </c>
      <c r="L2675" t="str">
        <f>_xlfn.XLOOKUP(datos_ventas[[#This Row],[Provincia]],Tabla2[Provincias],Tabla2[Comunidades],"no se encuentra")</f>
        <v>Andalucía</v>
      </c>
      <c r="M2675" t="s">
        <v>13</v>
      </c>
      <c r="N2675">
        <v>1</v>
      </c>
    </row>
    <row r="2676" spans="1:14" x14ac:dyDescent="0.25">
      <c r="A2676">
        <v>3675</v>
      </c>
      <c r="B2676" s="1">
        <v>45910</v>
      </c>
      <c r="C2676" s="4">
        <f>MONTH(datos_ventas[[#This Row],[Fecha]])</f>
        <v>9</v>
      </c>
      <c r="D2676" s="4">
        <f>WEEKNUM(datos_ventas[[#This Row],[Fecha]],2)</f>
        <v>37</v>
      </c>
      <c r="E2676" t="s">
        <v>24</v>
      </c>
      <c r="F2676" t="s">
        <v>25</v>
      </c>
      <c r="G2676">
        <v>3</v>
      </c>
      <c r="H2676">
        <v>7871</v>
      </c>
      <c r="I2676">
        <v>3884</v>
      </c>
      <c r="J2676" t="s">
        <v>27</v>
      </c>
      <c r="K2676" t="str">
        <f>_xlfn.XLOOKUP(datos_ventas[[#This Row],[Ciudad]],Tabla2[Ciudades],Tabla2[Provincias],"no se encuentra")</f>
        <v>Sevilla</v>
      </c>
      <c r="L2676" t="str">
        <f>_xlfn.XLOOKUP(datos_ventas[[#This Row],[Provincia]],Tabla2[Provincias],Tabla2[Comunidades],"no se encuentra")</f>
        <v>Andalucía</v>
      </c>
      <c r="M2676" t="s">
        <v>28</v>
      </c>
      <c r="N2676">
        <v>5</v>
      </c>
    </row>
    <row r="2677" spans="1:14" x14ac:dyDescent="0.25">
      <c r="A2677">
        <v>3676</v>
      </c>
      <c r="B2677" s="1">
        <v>45743</v>
      </c>
      <c r="C2677" s="4">
        <f>MONTH(datos_ventas[[#This Row],[Fecha]])</f>
        <v>3</v>
      </c>
      <c r="D2677" s="4">
        <f>WEEKNUM(datos_ventas[[#This Row],[Fecha]],2)</f>
        <v>13</v>
      </c>
      <c r="E2677" t="s">
        <v>26</v>
      </c>
      <c r="F2677" t="s">
        <v>18</v>
      </c>
      <c r="G2677">
        <v>1</v>
      </c>
      <c r="H2677">
        <v>70916</v>
      </c>
      <c r="I2677">
        <v>4653</v>
      </c>
      <c r="J2677" t="s">
        <v>12</v>
      </c>
      <c r="K2677" t="str">
        <f>_xlfn.XLOOKUP(datos_ventas[[#This Row],[Ciudad]],Tabla2[Ciudades],Tabla2[Provincias],"no se encuentra")</f>
        <v>Málaga</v>
      </c>
      <c r="L2677" t="str">
        <f>_xlfn.XLOOKUP(datos_ventas[[#This Row],[Provincia]],Tabla2[Provincias],Tabla2[Comunidades],"no se encuentra")</f>
        <v>Andalucía</v>
      </c>
      <c r="M2677" t="s">
        <v>28</v>
      </c>
      <c r="N2677">
        <v>4</v>
      </c>
    </row>
    <row r="2678" spans="1:14" x14ac:dyDescent="0.25">
      <c r="A2678">
        <v>3677</v>
      </c>
      <c r="B2678" s="1">
        <v>45681</v>
      </c>
      <c r="C2678" s="4">
        <f>MONTH(datos_ventas[[#This Row],[Fecha]])</f>
        <v>1</v>
      </c>
      <c r="D2678" s="4">
        <f>WEEKNUM(datos_ventas[[#This Row],[Fecha]],2)</f>
        <v>4</v>
      </c>
      <c r="E2678" t="s">
        <v>29</v>
      </c>
      <c r="F2678" t="s">
        <v>30</v>
      </c>
      <c r="G2678">
        <v>5</v>
      </c>
      <c r="H2678">
        <v>7502</v>
      </c>
      <c r="I2678">
        <v>413</v>
      </c>
      <c r="J2678" t="s">
        <v>31</v>
      </c>
      <c r="K2678" t="str">
        <f>_xlfn.XLOOKUP(datos_ventas[[#This Row],[Ciudad]],Tabla2[Ciudades],Tabla2[Provincias],"no se encuentra")</f>
        <v>Vizcaya</v>
      </c>
      <c r="L2678" t="str">
        <f>_xlfn.XLOOKUP(datos_ventas[[#This Row],[Provincia]],Tabla2[Provincias],Tabla2[Comunidades],"no se encuentra")</f>
        <v>País Vasco</v>
      </c>
      <c r="M2678" t="s">
        <v>19</v>
      </c>
      <c r="N2678">
        <v>1</v>
      </c>
    </row>
    <row r="2679" spans="1:14" x14ac:dyDescent="0.25">
      <c r="A2679">
        <v>3678</v>
      </c>
      <c r="B2679" s="1">
        <v>45892</v>
      </c>
      <c r="C2679" s="4">
        <f>MONTH(datos_ventas[[#This Row],[Fecha]])</f>
        <v>8</v>
      </c>
      <c r="D2679" s="4">
        <f>WEEKNUM(datos_ventas[[#This Row],[Fecha]],2)</f>
        <v>34</v>
      </c>
      <c r="E2679" t="s">
        <v>20</v>
      </c>
      <c r="F2679" t="s">
        <v>21</v>
      </c>
      <c r="G2679">
        <v>3</v>
      </c>
      <c r="H2679">
        <v>90838</v>
      </c>
      <c r="I2679">
        <v>3563</v>
      </c>
      <c r="J2679" t="s">
        <v>31</v>
      </c>
      <c r="K2679" t="str">
        <f>_xlfn.XLOOKUP(datos_ventas[[#This Row],[Ciudad]],Tabla2[Ciudades],Tabla2[Provincias],"no se encuentra")</f>
        <v>Vizcaya</v>
      </c>
      <c r="L2679" t="str">
        <f>_xlfn.XLOOKUP(datos_ventas[[#This Row],[Provincia]],Tabla2[Provincias],Tabla2[Comunidades],"no se encuentra")</f>
        <v>País Vasco</v>
      </c>
      <c r="M2679" t="s">
        <v>28</v>
      </c>
      <c r="N2679">
        <v>4</v>
      </c>
    </row>
    <row r="2680" spans="1:14" x14ac:dyDescent="0.25">
      <c r="A2680">
        <v>3679</v>
      </c>
      <c r="B2680" s="1">
        <v>45876</v>
      </c>
      <c r="C2680" s="4">
        <f>MONTH(datos_ventas[[#This Row],[Fecha]])</f>
        <v>8</v>
      </c>
      <c r="D2680" s="4">
        <f>WEEKNUM(datos_ventas[[#This Row],[Fecha]],2)</f>
        <v>32</v>
      </c>
      <c r="E2680" t="s">
        <v>29</v>
      </c>
      <c r="F2680" t="s">
        <v>30</v>
      </c>
      <c r="G2680">
        <v>4</v>
      </c>
      <c r="H2680">
        <v>38307</v>
      </c>
      <c r="I2680">
        <v>4205</v>
      </c>
      <c r="J2680" t="s">
        <v>32</v>
      </c>
      <c r="K2680" t="str">
        <f>_xlfn.XLOOKUP(datos_ventas[[#This Row],[Ciudad]],Tabla2[Ciudades],Tabla2[Provincias],"no se encuentra")</f>
        <v>Barcelona</v>
      </c>
      <c r="L2680" t="str">
        <f>_xlfn.XLOOKUP(datos_ventas[[#This Row],[Provincia]],Tabla2[Provincias],Tabla2[Comunidades],"no se encuentra")</f>
        <v>Cataluña</v>
      </c>
      <c r="M2680" t="s">
        <v>28</v>
      </c>
      <c r="N2680">
        <v>4</v>
      </c>
    </row>
    <row r="2681" spans="1:14" x14ac:dyDescent="0.25">
      <c r="A2681">
        <v>3680</v>
      </c>
      <c r="B2681" s="1">
        <v>45903</v>
      </c>
      <c r="C2681" s="4">
        <f>MONTH(datos_ventas[[#This Row],[Fecha]])</f>
        <v>9</v>
      </c>
      <c r="D2681" s="4">
        <f>WEEKNUM(datos_ventas[[#This Row],[Fecha]],2)</f>
        <v>36</v>
      </c>
      <c r="E2681" t="s">
        <v>23</v>
      </c>
      <c r="F2681" t="s">
        <v>18</v>
      </c>
      <c r="G2681">
        <v>3</v>
      </c>
      <c r="H2681">
        <v>55771</v>
      </c>
      <c r="I2681">
        <v>4641</v>
      </c>
      <c r="J2681" t="s">
        <v>31</v>
      </c>
      <c r="K2681" t="str">
        <f>_xlfn.XLOOKUP(datos_ventas[[#This Row],[Ciudad]],Tabla2[Ciudades],Tabla2[Provincias],"no se encuentra")</f>
        <v>Vizcaya</v>
      </c>
      <c r="L2681" t="str">
        <f>_xlfn.XLOOKUP(datos_ventas[[#This Row],[Provincia]],Tabla2[Provincias],Tabla2[Comunidades],"no se encuentra")</f>
        <v>País Vasco</v>
      </c>
      <c r="M2681" t="s">
        <v>19</v>
      </c>
      <c r="N2681">
        <v>1</v>
      </c>
    </row>
    <row r="2682" spans="1:14" x14ac:dyDescent="0.25">
      <c r="A2682">
        <v>3681</v>
      </c>
      <c r="B2682" s="1">
        <v>45697</v>
      </c>
      <c r="C2682" s="4">
        <f>MONTH(datos_ventas[[#This Row],[Fecha]])</f>
        <v>2</v>
      </c>
      <c r="D2682" s="4">
        <f>WEEKNUM(datos_ventas[[#This Row],[Fecha]],2)</f>
        <v>6</v>
      </c>
      <c r="E2682" t="s">
        <v>16</v>
      </c>
      <c r="F2682" t="s">
        <v>11</v>
      </c>
      <c r="G2682">
        <v>4</v>
      </c>
      <c r="H2682">
        <v>44132</v>
      </c>
      <c r="I2682">
        <v>2161</v>
      </c>
      <c r="J2682" t="s">
        <v>32</v>
      </c>
      <c r="K2682" t="str">
        <f>_xlfn.XLOOKUP(datos_ventas[[#This Row],[Ciudad]],Tabla2[Ciudades],Tabla2[Provincias],"no se encuentra")</f>
        <v>Barcelona</v>
      </c>
      <c r="L2682" t="str">
        <f>_xlfn.XLOOKUP(datos_ventas[[#This Row],[Provincia]],Tabla2[Provincias],Tabla2[Comunidades],"no se encuentra")</f>
        <v>Cataluña</v>
      </c>
      <c r="M2682" t="s">
        <v>13</v>
      </c>
      <c r="N2682">
        <v>1</v>
      </c>
    </row>
    <row r="2683" spans="1:14" x14ac:dyDescent="0.25">
      <c r="A2683">
        <v>3682</v>
      </c>
      <c r="B2683" s="1">
        <v>45665</v>
      </c>
      <c r="C2683" s="4">
        <f>MONTH(datos_ventas[[#This Row],[Fecha]])</f>
        <v>1</v>
      </c>
      <c r="D2683" s="4">
        <f>WEEKNUM(datos_ventas[[#This Row],[Fecha]],2)</f>
        <v>2</v>
      </c>
      <c r="E2683" t="s">
        <v>29</v>
      </c>
      <c r="F2683" t="s">
        <v>30</v>
      </c>
      <c r="G2683">
        <v>3</v>
      </c>
      <c r="H2683">
        <v>26365</v>
      </c>
      <c r="I2683">
        <v>2721</v>
      </c>
      <c r="J2683" t="s">
        <v>31</v>
      </c>
      <c r="K2683" t="str">
        <f>_xlfn.XLOOKUP(datos_ventas[[#This Row],[Ciudad]],Tabla2[Ciudades],Tabla2[Provincias],"no se encuentra")</f>
        <v>Vizcaya</v>
      </c>
      <c r="L2683" t="str">
        <f>_xlfn.XLOOKUP(datos_ventas[[#This Row],[Provincia]],Tabla2[Provincias],Tabla2[Comunidades],"no se encuentra")</f>
        <v>País Vasco</v>
      </c>
      <c r="M2683" t="s">
        <v>15</v>
      </c>
      <c r="N2683">
        <v>1</v>
      </c>
    </row>
    <row r="2684" spans="1:14" x14ac:dyDescent="0.25">
      <c r="A2684">
        <v>3683</v>
      </c>
      <c r="B2684" s="1">
        <v>45905</v>
      </c>
      <c r="C2684" s="4">
        <f>MONTH(datos_ventas[[#This Row],[Fecha]])</f>
        <v>9</v>
      </c>
      <c r="D2684" s="4">
        <f>WEEKNUM(datos_ventas[[#This Row],[Fecha]],2)</f>
        <v>36</v>
      </c>
      <c r="E2684" t="s">
        <v>20</v>
      </c>
      <c r="F2684" t="s">
        <v>21</v>
      </c>
      <c r="G2684">
        <v>3</v>
      </c>
      <c r="H2684">
        <v>108208</v>
      </c>
      <c r="I2684">
        <v>3681</v>
      </c>
      <c r="J2684" t="s">
        <v>27</v>
      </c>
      <c r="K2684" t="str">
        <f>_xlfn.XLOOKUP(datos_ventas[[#This Row],[Ciudad]],Tabla2[Ciudades],Tabla2[Provincias],"no se encuentra")</f>
        <v>Sevilla</v>
      </c>
      <c r="L2684" t="str">
        <f>_xlfn.XLOOKUP(datos_ventas[[#This Row],[Provincia]],Tabla2[Provincias],Tabla2[Comunidades],"no se encuentra")</f>
        <v>Andalucía</v>
      </c>
      <c r="M2684" t="s">
        <v>19</v>
      </c>
      <c r="N2684">
        <v>2</v>
      </c>
    </row>
    <row r="2685" spans="1:14" x14ac:dyDescent="0.25">
      <c r="A2685">
        <v>3684</v>
      </c>
      <c r="B2685" s="1">
        <v>45846</v>
      </c>
      <c r="C2685" s="4">
        <f>MONTH(datos_ventas[[#This Row],[Fecha]])</f>
        <v>7</v>
      </c>
      <c r="D2685" s="4">
        <f>WEEKNUM(datos_ventas[[#This Row],[Fecha]],2)</f>
        <v>28</v>
      </c>
      <c r="E2685" t="s">
        <v>24</v>
      </c>
      <c r="F2685" t="s">
        <v>25</v>
      </c>
      <c r="G2685">
        <v>5</v>
      </c>
      <c r="H2685">
        <v>82827</v>
      </c>
      <c r="I2685">
        <v>155</v>
      </c>
      <c r="J2685" t="s">
        <v>14</v>
      </c>
      <c r="K2685" t="str">
        <f>_xlfn.XLOOKUP(datos_ventas[[#This Row],[Ciudad]],Tabla2[Ciudades],Tabla2[Provincias],"no se encuentra")</f>
        <v>Madrid</v>
      </c>
      <c r="L2685" t="str">
        <f>_xlfn.XLOOKUP(datos_ventas[[#This Row],[Provincia]],Tabla2[Provincias],Tabla2[Comunidades],"no se encuentra")</f>
        <v>Comunidad de Madrid</v>
      </c>
      <c r="M2685" t="s">
        <v>19</v>
      </c>
      <c r="N2685">
        <v>5</v>
      </c>
    </row>
    <row r="2686" spans="1:14" x14ac:dyDescent="0.25">
      <c r="A2686">
        <v>3685</v>
      </c>
      <c r="B2686" s="1">
        <v>45761</v>
      </c>
      <c r="C2686" s="4">
        <f>MONTH(datos_ventas[[#This Row],[Fecha]])</f>
        <v>4</v>
      </c>
      <c r="D2686" s="4">
        <f>WEEKNUM(datos_ventas[[#This Row],[Fecha]],2)</f>
        <v>16</v>
      </c>
      <c r="E2686" t="s">
        <v>10</v>
      </c>
      <c r="F2686" t="s">
        <v>11</v>
      </c>
      <c r="G2686">
        <v>3</v>
      </c>
      <c r="H2686">
        <v>65481</v>
      </c>
      <c r="I2686">
        <v>3651</v>
      </c>
      <c r="J2686" t="s">
        <v>31</v>
      </c>
      <c r="K2686" t="str">
        <f>_xlfn.XLOOKUP(datos_ventas[[#This Row],[Ciudad]],Tabla2[Ciudades],Tabla2[Provincias],"no se encuentra")</f>
        <v>Vizcaya</v>
      </c>
      <c r="L2686" t="str">
        <f>_xlfn.XLOOKUP(datos_ventas[[#This Row],[Provincia]],Tabla2[Provincias],Tabla2[Comunidades],"no se encuentra")</f>
        <v>País Vasco</v>
      </c>
      <c r="M2686" t="s">
        <v>13</v>
      </c>
      <c r="N2686">
        <v>2</v>
      </c>
    </row>
    <row r="2687" spans="1:14" x14ac:dyDescent="0.25">
      <c r="A2687">
        <v>3686</v>
      </c>
      <c r="B2687" s="1">
        <v>45804</v>
      </c>
      <c r="C2687" s="4">
        <f>MONTH(datos_ventas[[#This Row],[Fecha]])</f>
        <v>5</v>
      </c>
      <c r="D2687" s="4">
        <f>WEEKNUM(datos_ventas[[#This Row],[Fecha]],2)</f>
        <v>22</v>
      </c>
      <c r="E2687" t="s">
        <v>23</v>
      </c>
      <c r="F2687" t="s">
        <v>18</v>
      </c>
      <c r="G2687">
        <v>5</v>
      </c>
      <c r="H2687">
        <v>34615</v>
      </c>
      <c r="I2687">
        <v>3276</v>
      </c>
      <c r="J2687" t="s">
        <v>32</v>
      </c>
      <c r="K2687" t="str">
        <f>_xlfn.XLOOKUP(datos_ventas[[#This Row],[Ciudad]],Tabla2[Ciudades],Tabla2[Provincias],"no se encuentra")</f>
        <v>Barcelona</v>
      </c>
      <c r="L2687" t="str">
        <f>_xlfn.XLOOKUP(datos_ventas[[#This Row],[Provincia]],Tabla2[Provincias],Tabla2[Comunidades],"no se encuentra")</f>
        <v>Cataluña</v>
      </c>
      <c r="M2687" t="s">
        <v>15</v>
      </c>
      <c r="N2687">
        <v>5</v>
      </c>
    </row>
    <row r="2688" spans="1:14" x14ac:dyDescent="0.25">
      <c r="A2688">
        <v>3687</v>
      </c>
      <c r="B2688" s="1">
        <v>45844</v>
      </c>
      <c r="C2688" s="4">
        <f>MONTH(datos_ventas[[#This Row],[Fecha]])</f>
        <v>7</v>
      </c>
      <c r="D2688" s="4">
        <f>WEEKNUM(datos_ventas[[#This Row],[Fecha]],2)</f>
        <v>27</v>
      </c>
      <c r="E2688" t="s">
        <v>29</v>
      </c>
      <c r="F2688" t="s">
        <v>30</v>
      </c>
      <c r="G2688">
        <v>2</v>
      </c>
      <c r="H2688">
        <v>25093</v>
      </c>
      <c r="I2688">
        <v>4335</v>
      </c>
      <c r="J2688" t="s">
        <v>31</v>
      </c>
      <c r="K2688" t="str">
        <f>_xlfn.XLOOKUP(datos_ventas[[#This Row],[Ciudad]],Tabla2[Ciudades],Tabla2[Provincias],"no se encuentra")</f>
        <v>Vizcaya</v>
      </c>
      <c r="L2688" t="str">
        <f>_xlfn.XLOOKUP(datos_ventas[[#This Row],[Provincia]],Tabla2[Provincias],Tabla2[Comunidades],"no se encuentra")</f>
        <v>País Vasco</v>
      </c>
      <c r="M2688" t="s">
        <v>28</v>
      </c>
      <c r="N2688">
        <v>5</v>
      </c>
    </row>
    <row r="2689" spans="1:14" x14ac:dyDescent="0.25">
      <c r="A2689">
        <v>3688</v>
      </c>
      <c r="B2689" s="1">
        <v>45732</v>
      </c>
      <c r="C2689" s="4">
        <f>MONTH(datos_ventas[[#This Row],[Fecha]])</f>
        <v>3</v>
      </c>
      <c r="D2689" s="4">
        <f>WEEKNUM(datos_ventas[[#This Row],[Fecha]],2)</f>
        <v>11</v>
      </c>
      <c r="E2689" t="s">
        <v>26</v>
      </c>
      <c r="F2689" t="s">
        <v>18</v>
      </c>
      <c r="G2689">
        <v>1</v>
      </c>
      <c r="H2689">
        <v>48808</v>
      </c>
      <c r="I2689">
        <v>4198</v>
      </c>
      <c r="J2689" t="s">
        <v>27</v>
      </c>
      <c r="K2689" t="str">
        <f>_xlfn.XLOOKUP(datos_ventas[[#This Row],[Ciudad]],Tabla2[Ciudades],Tabla2[Provincias],"no se encuentra")</f>
        <v>Sevilla</v>
      </c>
      <c r="L2689" t="str">
        <f>_xlfn.XLOOKUP(datos_ventas[[#This Row],[Provincia]],Tabla2[Provincias],Tabla2[Comunidades],"no se encuentra")</f>
        <v>Andalucía</v>
      </c>
      <c r="M2689" t="s">
        <v>15</v>
      </c>
      <c r="N2689">
        <v>5</v>
      </c>
    </row>
    <row r="2690" spans="1:14" x14ac:dyDescent="0.25">
      <c r="A2690">
        <v>3689</v>
      </c>
      <c r="B2690" s="1">
        <v>45713</v>
      </c>
      <c r="C2690" s="4">
        <f>MONTH(datos_ventas[[#This Row],[Fecha]])</f>
        <v>2</v>
      </c>
      <c r="D2690" s="4">
        <f>WEEKNUM(datos_ventas[[#This Row],[Fecha]],2)</f>
        <v>9</v>
      </c>
      <c r="E2690" t="s">
        <v>10</v>
      </c>
      <c r="F2690" t="s">
        <v>11</v>
      </c>
      <c r="G2690">
        <v>3</v>
      </c>
      <c r="H2690">
        <v>4409</v>
      </c>
      <c r="I2690">
        <v>3304</v>
      </c>
      <c r="J2690" t="s">
        <v>22</v>
      </c>
      <c r="K2690" t="str">
        <f>_xlfn.XLOOKUP(datos_ventas[[#This Row],[Ciudad]],Tabla2[Ciudades],Tabla2[Provincias],"no se encuentra")</f>
        <v>Valencia</v>
      </c>
      <c r="L2690" t="str">
        <f>_xlfn.XLOOKUP(datos_ventas[[#This Row],[Provincia]],Tabla2[Provincias],Tabla2[Comunidades],"no se encuentra")</f>
        <v>Comunidad Valenciana</v>
      </c>
      <c r="M2690" t="s">
        <v>19</v>
      </c>
      <c r="N2690">
        <v>3</v>
      </c>
    </row>
    <row r="2691" spans="1:14" x14ac:dyDescent="0.25">
      <c r="A2691">
        <v>3690</v>
      </c>
      <c r="B2691" s="1">
        <v>45756</v>
      </c>
      <c r="C2691" s="4">
        <f>MONTH(datos_ventas[[#This Row],[Fecha]])</f>
        <v>4</v>
      </c>
      <c r="D2691" s="4">
        <f>WEEKNUM(datos_ventas[[#This Row],[Fecha]],2)</f>
        <v>15</v>
      </c>
      <c r="E2691" t="s">
        <v>24</v>
      </c>
      <c r="F2691" t="s">
        <v>25</v>
      </c>
      <c r="G2691">
        <v>1</v>
      </c>
      <c r="H2691">
        <v>13917</v>
      </c>
      <c r="I2691">
        <v>1559</v>
      </c>
      <c r="J2691" t="s">
        <v>14</v>
      </c>
      <c r="K2691" t="str">
        <f>_xlfn.XLOOKUP(datos_ventas[[#This Row],[Ciudad]],Tabla2[Ciudades],Tabla2[Provincias],"no se encuentra")</f>
        <v>Madrid</v>
      </c>
      <c r="L2691" t="str">
        <f>_xlfn.XLOOKUP(datos_ventas[[#This Row],[Provincia]],Tabla2[Provincias],Tabla2[Comunidades],"no se encuentra")</f>
        <v>Comunidad de Madrid</v>
      </c>
      <c r="M2691" t="s">
        <v>13</v>
      </c>
      <c r="N2691">
        <v>3</v>
      </c>
    </row>
    <row r="2692" spans="1:14" x14ac:dyDescent="0.25">
      <c r="A2692">
        <v>3691</v>
      </c>
      <c r="B2692" s="1">
        <v>45742</v>
      </c>
      <c r="C2692" s="4">
        <f>MONTH(datos_ventas[[#This Row],[Fecha]])</f>
        <v>3</v>
      </c>
      <c r="D2692" s="4">
        <f>WEEKNUM(datos_ventas[[#This Row],[Fecha]],2)</f>
        <v>13</v>
      </c>
      <c r="E2692" t="s">
        <v>29</v>
      </c>
      <c r="F2692" t="s">
        <v>30</v>
      </c>
      <c r="G2692">
        <v>5</v>
      </c>
      <c r="H2692">
        <v>66097</v>
      </c>
      <c r="I2692">
        <v>3576</v>
      </c>
      <c r="J2692" t="s">
        <v>22</v>
      </c>
      <c r="K2692" t="str">
        <f>_xlfn.XLOOKUP(datos_ventas[[#This Row],[Ciudad]],Tabla2[Ciudades],Tabla2[Provincias],"no se encuentra")</f>
        <v>Valencia</v>
      </c>
      <c r="L2692" t="str">
        <f>_xlfn.XLOOKUP(datos_ventas[[#This Row],[Provincia]],Tabla2[Provincias],Tabla2[Comunidades],"no se encuentra")</f>
        <v>Comunidad Valenciana</v>
      </c>
      <c r="M2692" t="s">
        <v>15</v>
      </c>
      <c r="N2692">
        <v>2</v>
      </c>
    </row>
    <row r="2693" spans="1:14" x14ac:dyDescent="0.25">
      <c r="A2693">
        <v>3692</v>
      </c>
      <c r="B2693" s="1">
        <v>45803</v>
      </c>
      <c r="C2693" s="4">
        <f>MONTH(datos_ventas[[#This Row],[Fecha]])</f>
        <v>5</v>
      </c>
      <c r="D2693" s="4">
        <f>WEEKNUM(datos_ventas[[#This Row],[Fecha]],2)</f>
        <v>22</v>
      </c>
      <c r="E2693" t="s">
        <v>20</v>
      </c>
      <c r="F2693" t="s">
        <v>21</v>
      </c>
      <c r="G2693">
        <v>4</v>
      </c>
      <c r="H2693">
        <v>11525</v>
      </c>
      <c r="I2693">
        <v>1441</v>
      </c>
      <c r="J2693" t="s">
        <v>31</v>
      </c>
      <c r="K2693" t="str">
        <f>_xlfn.XLOOKUP(datos_ventas[[#This Row],[Ciudad]],Tabla2[Ciudades],Tabla2[Provincias],"no se encuentra")</f>
        <v>Vizcaya</v>
      </c>
      <c r="L2693" t="str">
        <f>_xlfn.XLOOKUP(datos_ventas[[#This Row],[Provincia]],Tabla2[Provincias],Tabla2[Comunidades],"no se encuentra")</f>
        <v>País Vasco</v>
      </c>
      <c r="M2693" t="s">
        <v>28</v>
      </c>
      <c r="N2693">
        <v>1</v>
      </c>
    </row>
    <row r="2694" spans="1:14" x14ac:dyDescent="0.25">
      <c r="A2694">
        <v>3693</v>
      </c>
      <c r="B2694" s="1">
        <v>45960</v>
      </c>
      <c r="C2694" s="4">
        <f>MONTH(datos_ventas[[#This Row],[Fecha]])</f>
        <v>10</v>
      </c>
      <c r="D2694" s="4">
        <f>WEEKNUM(datos_ventas[[#This Row],[Fecha]],2)</f>
        <v>44</v>
      </c>
      <c r="E2694" t="s">
        <v>29</v>
      </c>
      <c r="F2694" t="s">
        <v>30</v>
      </c>
      <c r="G2694">
        <v>4</v>
      </c>
      <c r="H2694">
        <v>18536</v>
      </c>
      <c r="I2694">
        <v>3427</v>
      </c>
      <c r="J2694" t="s">
        <v>14</v>
      </c>
      <c r="K2694" t="str">
        <f>_xlfn.XLOOKUP(datos_ventas[[#This Row],[Ciudad]],Tabla2[Ciudades],Tabla2[Provincias],"no se encuentra")</f>
        <v>Madrid</v>
      </c>
      <c r="L2694" t="str">
        <f>_xlfn.XLOOKUP(datos_ventas[[#This Row],[Provincia]],Tabla2[Provincias],Tabla2[Comunidades],"no se encuentra")</f>
        <v>Comunidad de Madrid</v>
      </c>
      <c r="M2694" t="s">
        <v>13</v>
      </c>
      <c r="N2694">
        <v>2</v>
      </c>
    </row>
    <row r="2695" spans="1:14" x14ac:dyDescent="0.25">
      <c r="A2695">
        <v>3694</v>
      </c>
      <c r="B2695" s="1">
        <v>45877</v>
      </c>
      <c r="C2695" s="4">
        <f>MONTH(datos_ventas[[#This Row],[Fecha]])</f>
        <v>8</v>
      </c>
      <c r="D2695" s="4">
        <f>WEEKNUM(datos_ventas[[#This Row],[Fecha]],2)</f>
        <v>32</v>
      </c>
      <c r="E2695" t="s">
        <v>10</v>
      </c>
      <c r="F2695" t="s">
        <v>11</v>
      </c>
      <c r="G2695">
        <v>1</v>
      </c>
      <c r="H2695">
        <v>70845</v>
      </c>
      <c r="I2695">
        <v>1924</v>
      </c>
      <c r="J2695" t="s">
        <v>12</v>
      </c>
      <c r="K2695" t="str">
        <f>_xlfn.XLOOKUP(datos_ventas[[#This Row],[Ciudad]],Tabla2[Ciudades],Tabla2[Provincias],"no se encuentra")</f>
        <v>Málaga</v>
      </c>
      <c r="L2695" t="str">
        <f>_xlfn.XLOOKUP(datos_ventas[[#This Row],[Provincia]],Tabla2[Provincias],Tabla2[Comunidades],"no se encuentra")</f>
        <v>Andalucía</v>
      </c>
      <c r="M2695" t="s">
        <v>28</v>
      </c>
      <c r="N2695">
        <v>2</v>
      </c>
    </row>
    <row r="2696" spans="1:14" x14ac:dyDescent="0.25">
      <c r="A2696">
        <v>3695</v>
      </c>
      <c r="B2696" s="1">
        <v>45838</v>
      </c>
      <c r="C2696" s="4">
        <f>MONTH(datos_ventas[[#This Row],[Fecha]])</f>
        <v>6</v>
      </c>
      <c r="D2696" s="4">
        <f>WEEKNUM(datos_ventas[[#This Row],[Fecha]],2)</f>
        <v>27</v>
      </c>
      <c r="E2696" t="s">
        <v>10</v>
      </c>
      <c r="F2696" t="s">
        <v>11</v>
      </c>
      <c r="G2696">
        <v>4</v>
      </c>
      <c r="H2696">
        <v>38172</v>
      </c>
      <c r="I2696">
        <v>4166</v>
      </c>
      <c r="J2696" t="s">
        <v>27</v>
      </c>
      <c r="K2696" t="str">
        <f>_xlfn.XLOOKUP(datos_ventas[[#This Row],[Ciudad]],Tabla2[Ciudades],Tabla2[Provincias],"no se encuentra")</f>
        <v>Sevilla</v>
      </c>
      <c r="L2696" t="str">
        <f>_xlfn.XLOOKUP(datos_ventas[[#This Row],[Provincia]],Tabla2[Provincias],Tabla2[Comunidades],"no se encuentra")</f>
        <v>Andalucía</v>
      </c>
      <c r="M2696" t="s">
        <v>13</v>
      </c>
      <c r="N2696">
        <v>4</v>
      </c>
    </row>
    <row r="2697" spans="1:14" x14ac:dyDescent="0.25">
      <c r="A2697">
        <v>3696</v>
      </c>
      <c r="B2697" s="1">
        <v>45924</v>
      </c>
      <c r="C2697" s="4">
        <f>MONTH(datos_ventas[[#This Row],[Fecha]])</f>
        <v>9</v>
      </c>
      <c r="D2697" s="4">
        <f>WEEKNUM(datos_ventas[[#This Row],[Fecha]],2)</f>
        <v>39</v>
      </c>
      <c r="E2697" t="s">
        <v>24</v>
      </c>
      <c r="F2697" t="s">
        <v>25</v>
      </c>
      <c r="G2697">
        <v>3</v>
      </c>
      <c r="H2697">
        <v>50324</v>
      </c>
      <c r="I2697">
        <v>2391</v>
      </c>
      <c r="J2697" t="s">
        <v>14</v>
      </c>
      <c r="K2697" t="str">
        <f>_xlfn.XLOOKUP(datos_ventas[[#This Row],[Ciudad]],Tabla2[Ciudades],Tabla2[Provincias],"no se encuentra")</f>
        <v>Madrid</v>
      </c>
      <c r="L2697" t="str">
        <f>_xlfn.XLOOKUP(datos_ventas[[#This Row],[Provincia]],Tabla2[Provincias],Tabla2[Comunidades],"no se encuentra")</f>
        <v>Comunidad de Madrid</v>
      </c>
      <c r="M2697" t="s">
        <v>15</v>
      </c>
      <c r="N2697">
        <v>1</v>
      </c>
    </row>
    <row r="2698" spans="1:14" x14ac:dyDescent="0.25">
      <c r="A2698">
        <v>3697</v>
      </c>
      <c r="B2698" s="1">
        <v>45756</v>
      </c>
      <c r="C2698" s="4">
        <f>MONTH(datos_ventas[[#This Row],[Fecha]])</f>
        <v>4</v>
      </c>
      <c r="D2698" s="4">
        <f>WEEKNUM(datos_ventas[[#This Row],[Fecha]],2)</f>
        <v>15</v>
      </c>
      <c r="E2698" t="s">
        <v>29</v>
      </c>
      <c r="F2698" t="s">
        <v>30</v>
      </c>
      <c r="G2698">
        <v>4</v>
      </c>
      <c r="H2698">
        <v>4028</v>
      </c>
      <c r="I2698">
        <v>642</v>
      </c>
      <c r="J2698" t="s">
        <v>27</v>
      </c>
      <c r="K2698" t="str">
        <f>_xlfn.XLOOKUP(datos_ventas[[#This Row],[Ciudad]],Tabla2[Ciudades],Tabla2[Provincias],"no se encuentra")</f>
        <v>Sevilla</v>
      </c>
      <c r="L2698" t="str">
        <f>_xlfn.XLOOKUP(datos_ventas[[#This Row],[Provincia]],Tabla2[Provincias],Tabla2[Comunidades],"no se encuentra")</f>
        <v>Andalucía</v>
      </c>
      <c r="M2698" t="s">
        <v>13</v>
      </c>
      <c r="N2698">
        <v>2</v>
      </c>
    </row>
    <row r="2699" spans="1:14" x14ac:dyDescent="0.25">
      <c r="A2699">
        <v>3698</v>
      </c>
      <c r="B2699" s="1">
        <v>45718</v>
      </c>
      <c r="C2699" s="4">
        <f>MONTH(datos_ventas[[#This Row],[Fecha]])</f>
        <v>3</v>
      </c>
      <c r="D2699" s="4">
        <f>WEEKNUM(datos_ventas[[#This Row],[Fecha]],2)</f>
        <v>9</v>
      </c>
      <c r="E2699" t="s">
        <v>29</v>
      </c>
      <c r="F2699" t="s">
        <v>30</v>
      </c>
      <c r="G2699">
        <v>1</v>
      </c>
      <c r="H2699">
        <v>4419</v>
      </c>
      <c r="I2699">
        <v>2861</v>
      </c>
      <c r="J2699" t="s">
        <v>22</v>
      </c>
      <c r="K2699" t="str">
        <f>_xlfn.XLOOKUP(datos_ventas[[#This Row],[Ciudad]],Tabla2[Ciudades],Tabla2[Provincias],"no se encuentra")</f>
        <v>Valencia</v>
      </c>
      <c r="L2699" t="str">
        <f>_xlfn.XLOOKUP(datos_ventas[[#This Row],[Provincia]],Tabla2[Provincias],Tabla2[Comunidades],"no se encuentra")</f>
        <v>Comunidad Valenciana</v>
      </c>
      <c r="M2699" t="s">
        <v>19</v>
      </c>
      <c r="N2699">
        <v>1</v>
      </c>
    </row>
    <row r="2700" spans="1:14" x14ac:dyDescent="0.25">
      <c r="A2700">
        <v>3699</v>
      </c>
      <c r="B2700" s="1">
        <v>45835</v>
      </c>
      <c r="C2700" s="4">
        <f>MONTH(datos_ventas[[#This Row],[Fecha]])</f>
        <v>6</v>
      </c>
      <c r="D2700" s="4">
        <f>WEEKNUM(datos_ventas[[#This Row],[Fecha]],2)</f>
        <v>26</v>
      </c>
      <c r="E2700" t="s">
        <v>23</v>
      </c>
      <c r="F2700" t="s">
        <v>18</v>
      </c>
      <c r="G2700">
        <v>4</v>
      </c>
      <c r="H2700">
        <v>3197</v>
      </c>
      <c r="I2700">
        <v>785</v>
      </c>
      <c r="J2700" t="s">
        <v>27</v>
      </c>
      <c r="K2700" t="str">
        <f>_xlfn.XLOOKUP(datos_ventas[[#This Row],[Ciudad]],Tabla2[Ciudades],Tabla2[Provincias],"no se encuentra")</f>
        <v>Sevilla</v>
      </c>
      <c r="L2700" t="str">
        <f>_xlfn.XLOOKUP(datos_ventas[[#This Row],[Provincia]],Tabla2[Provincias],Tabla2[Comunidades],"no se encuentra")</f>
        <v>Andalucía</v>
      </c>
      <c r="M2700" t="s">
        <v>19</v>
      </c>
      <c r="N2700">
        <v>2</v>
      </c>
    </row>
    <row r="2701" spans="1:14" x14ac:dyDescent="0.25">
      <c r="A2701">
        <v>3700</v>
      </c>
      <c r="B2701" s="1">
        <v>45710</v>
      </c>
      <c r="C2701" s="4">
        <f>MONTH(datos_ventas[[#This Row],[Fecha]])</f>
        <v>2</v>
      </c>
      <c r="D2701" s="4">
        <f>WEEKNUM(datos_ventas[[#This Row],[Fecha]],2)</f>
        <v>8</v>
      </c>
      <c r="E2701" t="s">
        <v>17</v>
      </c>
      <c r="F2701" t="s">
        <v>18</v>
      </c>
      <c r="G2701">
        <v>3</v>
      </c>
      <c r="H2701">
        <v>2184</v>
      </c>
      <c r="I2701">
        <v>1065</v>
      </c>
      <c r="J2701" t="s">
        <v>27</v>
      </c>
      <c r="K2701" t="str">
        <f>_xlfn.XLOOKUP(datos_ventas[[#This Row],[Ciudad]],Tabla2[Ciudades],Tabla2[Provincias],"no se encuentra")</f>
        <v>Sevilla</v>
      </c>
      <c r="L2701" t="str">
        <f>_xlfn.XLOOKUP(datos_ventas[[#This Row],[Provincia]],Tabla2[Provincias],Tabla2[Comunidades],"no se encuentra")</f>
        <v>Andalucía</v>
      </c>
      <c r="M2701" t="s">
        <v>15</v>
      </c>
      <c r="N2701">
        <v>2</v>
      </c>
    </row>
    <row r="2702" spans="1:14" x14ac:dyDescent="0.25">
      <c r="A2702">
        <v>3701</v>
      </c>
      <c r="B2702" s="1">
        <v>45675</v>
      </c>
      <c r="C2702" s="4">
        <f>MONTH(datos_ventas[[#This Row],[Fecha]])</f>
        <v>1</v>
      </c>
      <c r="D2702" s="4">
        <f>WEEKNUM(datos_ventas[[#This Row],[Fecha]],2)</f>
        <v>3</v>
      </c>
      <c r="E2702" t="s">
        <v>24</v>
      </c>
      <c r="F2702" t="s">
        <v>25</v>
      </c>
      <c r="G2702">
        <v>3</v>
      </c>
      <c r="H2702">
        <v>65443</v>
      </c>
      <c r="I2702">
        <v>2844</v>
      </c>
      <c r="J2702" t="s">
        <v>12</v>
      </c>
      <c r="K2702" t="str">
        <f>_xlfn.XLOOKUP(datos_ventas[[#This Row],[Ciudad]],Tabla2[Ciudades],Tabla2[Provincias],"no se encuentra")</f>
        <v>Málaga</v>
      </c>
      <c r="L2702" t="str">
        <f>_xlfn.XLOOKUP(datos_ventas[[#This Row],[Provincia]],Tabla2[Provincias],Tabla2[Comunidades],"no se encuentra")</f>
        <v>Andalucía</v>
      </c>
      <c r="M2702" t="s">
        <v>28</v>
      </c>
      <c r="N2702">
        <v>3</v>
      </c>
    </row>
    <row r="2703" spans="1:14" x14ac:dyDescent="0.25">
      <c r="A2703">
        <v>3702</v>
      </c>
      <c r="B2703" s="1">
        <v>45799</v>
      </c>
      <c r="C2703" s="4">
        <f>MONTH(datos_ventas[[#This Row],[Fecha]])</f>
        <v>5</v>
      </c>
      <c r="D2703" s="4">
        <f>WEEKNUM(datos_ventas[[#This Row],[Fecha]],2)</f>
        <v>21</v>
      </c>
      <c r="E2703" t="s">
        <v>16</v>
      </c>
      <c r="F2703" t="s">
        <v>11</v>
      </c>
      <c r="G2703">
        <v>1</v>
      </c>
      <c r="H2703">
        <v>65862</v>
      </c>
      <c r="I2703">
        <v>1053</v>
      </c>
      <c r="J2703" t="s">
        <v>12</v>
      </c>
      <c r="K2703" t="str">
        <f>_xlfn.XLOOKUP(datos_ventas[[#This Row],[Ciudad]],Tabla2[Ciudades],Tabla2[Provincias],"no se encuentra")</f>
        <v>Málaga</v>
      </c>
      <c r="L2703" t="str">
        <f>_xlfn.XLOOKUP(datos_ventas[[#This Row],[Provincia]],Tabla2[Provincias],Tabla2[Comunidades],"no se encuentra")</f>
        <v>Andalucía</v>
      </c>
      <c r="M2703" t="s">
        <v>13</v>
      </c>
      <c r="N2703">
        <v>1</v>
      </c>
    </row>
    <row r="2704" spans="1:14" x14ac:dyDescent="0.25">
      <c r="A2704">
        <v>3703</v>
      </c>
      <c r="B2704" s="1">
        <v>45943</v>
      </c>
      <c r="C2704" s="4">
        <f>MONTH(datos_ventas[[#This Row],[Fecha]])</f>
        <v>10</v>
      </c>
      <c r="D2704" s="4">
        <f>WEEKNUM(datos_ventas[[#This Row],[Fecha]],2)</f>
        <v>42</v>
      </c>
      <c r="E2704" t="s">
        <v>10</v>
      </c>
      <c r="F2704" t="s">
        <v>11</v>
      </c>
      <c r="G2704">
        <v>3</v>
      </c>
      <c r="H2704">
        <v>108761</v>
      </c>
      <c r="I2704">
        <v>3792</v>
      </c>
      <c r="J2704" t="s">
        <v>14</v>
      </c>
      <c r="K2704" t="str">
        <f>_xlfn.XLOOKUP(datos_ventas[[#This Row],[Ciudad]],Tabla2[Ciudades],Tabla2[Provincias],"no se encuentra")</f>
        <v>Madrid</v>
      </c>
      <c r="L2704" t="str">
        <f>_xlfn.XLOOKUP(datos_ventas[[#This Row],[Provincia]],Tabla2[Provincias],Tabla2[Comunidades],"no se encuentra")</f>
        <v>Comunidad de Madrid</v>
      </c>
      <c r="M2704" t="s">
        <v>19</v>
      </c>
      <c r="N2704">
        <v>2</v>
      </c>
    </row>
    <row r="2705" spans="1:14" x14ac:dyDescent="0.25">
      <c r="A2705">
        <v>3704</v>
      </c>
      <c r="B2705" s="1">
        <v>45987</v>
      </c>
      <c r="C2705" s="4">
        <f>MONTH(datos_ventas[[#This Row],[Fecha]])</f>
        <v>11</v>
      </c>
      <c r="D2705" s="4">
        <f>WEEKNUM(datos_ventas[[#This Row],[Fecha]],2)</f>
        <v>48</v>
      </c>
      <c r="E2705" t="s">
        <v>23</v>
      </c>
      <c r="F2705" t="s">
        <v>18</v>
      </c>
      <c r="G2705">
        <v>5</v>
      </c>
      <c r="H2705">
        <v>96536</v>
      </c>
      <c r="I2705">
        <v>1724</v>
      </c>
      <c r="J2705" t="s">
        <v>32</v>
      </c>
      <c r="K2705" t="str">
        <f>_xlfn.XLOOKUP(datos_ventas[[#This Row],[Ciudad]],Tabla2[Ciudades],Tabla2[Provincias],"no se encuentra")</f>
        <v>Barcelona</v>
      </c>
      <c r="L2705" t="str">
        <f>_xlfn.XLOOKUP(datos_ventas[[#This Row],[Provincia]],Tabla2[Provincias],Tabla2[Comunidades],"no se encuentra")</f>
        <v>Cataluña</v>
      </c>
      <c r="M2705" t="s">
        <v>19</v>
      </c>
      <c r="N2705">
        <v>5</v>
      </c>
    </row>
    <row r="2706" spans="1:14" x14ac:dyDescent="0.25">
      <c r="A2706">
        <v>3705</v>
      </c>
      <c r="B2706" s="1">
        <v>45846</v>
      </c>
      <c r="C2706" s="4">
        <f>MONTH(datos_ventas[[#This Row],[Fecha]])</f>
        <v>7</v>
      </c>
      <c r="D2706" s="4">
        <f>WEEKNUM(datos_ventas[[#This Row],[Fecha]],2)</f>
        <v>28</v>
      </c>
      <c r="E2706" t="s">
        <v>16</v>
      </c>
      <c r="F2706" t="s">
        <v>11</v>
      </c>
      <c r="G2706">
        <v>1</v>
      </c>
      <c r="H2706">
        <v>115902</v>
      </c>
      <c r="I2706">
        <v>3556</v>
      </c>
      <c r="J2706" t="s">
        <v>31</v>
      </c>
      <c r="K2706" t="str">
        <f>_xlfn.XLOOKUP(datos_ventas[[#This Row],[Ciudad]],Tabla2[Ciudades],Tabla2[Provincias],"no se encuentra")</f>
        <v>Vizcaya</v>
      </c>
      <c r="L2706" t="str">
        <f>_xlfn.XLOOKUP(datos_ventas[[#This Row],[Provincia]],Tabla2[Provincias],Tabla2[Comunidades],"no se encuentra")</f>
        <v>País Vasco</v>
      </c>
      <c r="M2706" t="s">
        <v>15</v>
      </c>
      <c r="N2706">
        <v>3</v>
      </c>
    </row>
    <row r="2707" spans="1:14" x14ac:dyDescent="0.25">
      <c r="A2707">
        <v>3706</v>
      </c>
      <c r="B2707" s="1">
        <v>45747</v>
      </c>
      <c r="C2707" s="4">
        <f>MONTH(datos_ventas[[#This Row],[Fecha]])</f>
        <v>3</v>
      </c>
      <c r="D2707" s="4">
        <f>WEEKNUM(datos_ventas[[#This Row],[Fecha]],2)</f>
        <v>14</v>
      </c>
      <c r="E2707" t="s">
        <v>29</v>
      </c>
      <c r="F2707" t="s">
        <v>30</v>
      </c>
      <c r="G2707">
        <v>5</v>
      </c>
      <c r="H2707">
        <v>73318</v>
      </c>
      <c r="I2707">
        <v>1984</v>
      </c>
      <c r="J2707" t="s">
        <v>22</v>
      </c>
      <c r="K2707" t="str">
        <f>_xlfn.XLOOKUP(datos_ventas[[#This Row],[Ciudad]],Tabla2[Ciudades],Tabla2[Provincias],"no se encuentra")</f>
        <v>Valencia</v>
      </c>
      <c r="L2707" t="str">
        <f>_xlfn.XLOOKUP(datos_ventas[[#This Row],[Provincia]],Tabla2[Provincias],Tabla2[Comunidades],"no se encuentra")</f>
        <v>Comunidad Valenciana</v>
      </c>
      <c r="M2707" t="s">
        <v>19</v>
      </c>
      <c r="N2707">
        <v>4</v>
      </c>
    </row>
    <row r="2708" spans="1:14" x14ac:dyDescent="0.25">
      <c r="A2708">
        <v>3707</v>
      </c>
      <c r="B2708" s="1">
        <v>45963</v>
      </c>
      <c r="C2708" s="4">
        <f>MONTH(datos_ventas[[#This Row],[Fecha]])</f>
        <v>11</v>
      </c>
      <c r="D2708" s="4">
        <f>WEEKNUM(datos_ventas[[#This Row],[Fecha]],2)</f>
        <v>44</v>
      </c>
      <c r="E2708" t="s">
        <v>20</v>
      </c>
      <c r="F2708" t="s">
        <v>21</v>
      </c>
      <c r="G2708">
        <v>1</v>
      </c>
      <c r="H2708">
        <v>106821</v>
      </c>
      <c r="I2708">
        <v>1041</v>
      </c>
      <c r="J2708" t="s">
        <v>31</v>
      </c>
      <c r="K2708" t="str">
        <f>_xlfn.XLOOKUP(datos_ventas[[#This Row],[Ciudad]],Tabla2[Ciudades],Tabla2[Provincias],"no se encuentra")</f>
        <v>Vizcaya</v>
      </c>
      <c r="L2708" t="str">
        <f>_xlfn.XLOOKUP(datos_ventas[[#This Row],[Provincia]],Tabla2[Provincias],Tabla2[Comunidades],"no se encuentra")</f>
        <v>País Vasco</v>
      </c>
      <c r="M2708" t="s">
        <v>15</v>
      </c>
      <c r="N2708">
        <v>4</v>
      </c>
    </row>
    <row r="2709" spans="1:14" x14ac:dyDescent="0.25">
      <c r="A2709">
        <v>3708</v>
      </c>
      <c r="B2709" s="1">
        <v>45795</v>
      </c>
      <c r="C2709" s="4">
        <f>MONTH(datos_ventas[[#This Row],[Fecha]])</f>
        <v>5</v>
      </c>
      <c r="D2709" s="4">
        <f>WEEKNUM(datos_ventas[[#This Row],[Fecha]],2)</f>
        <v>20</v>
      </c>
      <c r="E2709" t="s">
        <v>29</v>
      </c>
      <c r="F2709" t="s">
        <v>30</v>
      </c>
      <c r="G2709">
        <v>2</v>
      </c>
      <c r="H2709">
        <v>115362</v>
      </c>
      <c r="I2709">
        <v>854</v>
      </c>
      <c r="J2709" t="s">
        <v>32</v>
      </c>
      <c r="K2709" t="str">
        <f>_xlfn.XLOOKUP(datos_ventas[[#This Row],[Ciudad]],Tabla2[Ciudades],Tabla2[Provincias],"no se encuentra")</f>
        <v>Barcelona</v>
      </c>
      <c r="L2709" t="str">
        <f>_xlfn.XLOOKUP(datos_ventas[[#This Row],[Provincia]],Tabla2[Provincias],Tabla2[Comunidades],"no se encuentra")</f>
        <v>Cataluña</v>
      </c>
      <c r="M2709" t="s">
        <v>28</v>
      </c>
      <c r="N2709">
        <v>2</v>
      </c>
    </row>
    <row r="2710" spans="1:14" x14ac:dyDescent="0.25">
      <c r="A2710">
        <v>3709</v>
      </c>
      <c r="B2710" s="1">
        <v>45901</v>
      </c>
      <c r="C2710" s="4">
        <f>MONTH(datos_ventas[[#This Row],[Fecha]])</f>
        <v>9</v>
      </c>
      <c r="D2710" s="4">
        <f>WEEKNUM(datos_ventas[[#This Row],[Fecha]],2)</f>
        <v>36</v>
      </c>
      <c r="E2710" t="s">
        <v>16</v>
      </c>
      <c r="F2710" t="s">
        <v>11</v>
      </c>
      <c r="G2710">
        <v>3</v>
      </c>
      <c r="H2710">
        <v>99698</v>
      </c>
      <c r="I2710">
        <v>3578</v>
      </c>
      <c r="J2710" t="s">
        <v>27</v>
      </c>
      <c r="K2710" t="str">
        <f>_xlfn.XLOOKUP(datos_ventas[[#This Row],[Ciudad]],Tabla2[Ciudades],Tabla2[Provincias],"no se encuentra")</f>
        <v>Sevilla</v>
      </c>
      <c r="L2710" t="str">
        <f>_xlfn.XLOOKUP(datos_ventas[[#This Row],[Provincia]],Tabla2[Provincias],Tabla2[Comunidades],"no se encuentra")</f>
        <v>Andalucía</v>
      </c>
      <c r="M2710" t="s">
        <v>28</v>
      </c>
      <c r="N2710">
        <v>5</v>
      </c>
    </row>
    <row r="2711" spans="1:14" x14ac:dyDescent="0.25">
      <c r="A2711">
        <v>3710</v>
      </c>
      <c r="B2711" s="1">
        <v>45891</v>
      </c>
      <c r="C2711" s="4">
        <f>MONTH(datos_ventas[[#This Row],[Fecha]])</f>
        <v>8</v>
      </c>
      <c r="D2711" s="4">
        <f>WEEKNUM(datos_ventas[[#This Row],[Fecha]],2)</f>
        <v>34</v>
      </c>
      <c r="E2711" t="s">
        <v>24</v>
      </c>
      <c r="F2711" t="s">
        <v>25</v>
      </c>
      <c r="G2711">
        <v>3</v>
      </c>
      <c r="H2711">
        <v>79242</v>
      </c>
      <c r="I2711">
        <v>456</v>
      </c>
      <c r="J2711" t="s">
        <v>22</v>
      </c>
      <c r="K2711" t="str">
        <f>_xlfn.XLOOKUP(datos_ventas[[#This Row],[Ciudad]],Tabla2[Ciudades],Tabla2[Provincias],"no se encuentra")</f>
        <v>Valencia</v>
      </c>
      <c r="L2711" t="str">
        <f>_xlfn.XLOOKUP(datos_ventas[[#This Row],[Provincia]],Tabla2[Provincias],Tabla2[Comunidades],"no se encuentra")</f>
        <v>Comunidad Valenciana</v>
      </c>
      <c r="M2711" t="s">
        <v>19</v>
      </c>
      <c r="N2711">
        <v>2</v>
      </c>
    </row>
    <row r="2712" spans="1:14" x14ac:dyDescent="0.25">
      <c r="A2712">
        <v>3711</v>
      </c>
      <c r="B2712" s="1">
        <v>45951</v>
      </c>
      <c r="C2712" s="4">
        <f>MONTH(datos_ventas[[#This Row],[Fecha]])</f>
        <v>10</v>
      </c>
      <c r="D2712" s="4">
        <f>WEEKNUM(datos_ventas[[#This Row],[Fecha]],2)</f>
        <v>43</v>
      </c>
      <c r="E2712" t="s">
        <v>29</v>
      </c>
      <c r="F2712" t="s">
        <v>30</v>
      </c>
      <c r="G2712">
        <v>2</v>
      </c>
      <c r="H2712">
        <v>93302</v>
      </c>
      <c r="I2712">
        <v>841</v>
      </c>
      <c r="J2712" t="s">
        <v>31</v>
      </c>
      <c r="K2712" t="str">
        <f>_xlfn.XLOOKUP(datos_ventas[[#This Row],[Ciudad]],Tabla2[Ciudades],Tabla2[Provincias],"no se encuentra")</f>
        <v>Vizcaya</v>
      </c>
      <c r="L2712" t="str">
        <f>_xlfn.XLOOKUP(datos_ventas[[#This Row],[Provincia]],Tabla2[Provincias],Tabla2[Comunidades],"no se encuentra")</f>
        <v>País Vasco</v>
      </c>
      <c r="M2712" t="s">
        <v>15</v>
      </c>
      <c r="N2712">
        <v>1</v>
      </c>
    </row>
    <row r="2713" spans="1:14" x14ac:dyDescent="0.25">
      <c r="A2713">
        <v>3712</v>
      </c>
      <c r="B2713" s="1">
        <v>45865</v>
      </c>
      <c r="C2713" s="4">
        <f>MONTH(datos_ventas[[#This Row],[Fecha]])</f>
        <v>7</v>
      </c>
      <c r="D2713" s="4">
        <f>WEEKNUM(datos_ventas[[#This Row],[Fecha]],2)</f>
        <v>30</v>
      </c>
      <c r="E2713" t="s">
        <v>29</v>
      </c>
      <c r="F2713" t="s">
        <v>30</v>
      </c>
      <c r="G2713">
        <v>5</v>
      </c>
      <c r="H2713">
        <v>65803</v>
      </c>
      <c r="I2713">
        <v>2164</v>
      </c>
      <c r="J2713" t="s">
        <v>14</v>
      </c>
      <c r="K2713" t="str">
        <f>_xlfn.XLOOKUP(datos_ventas[[#This Row],[Ciudad]],Tabla2[Ciudades],Tabla2[Provincias],"no se encuentra")</f>
        <v>Madrid</v>
      </c>
      <c r="L2713" t="str">
        <f>_xlfn.XLOOKUP(datos_ventas[[#This Row],[Provincia]],Tabla2[Provincias],Tabla2[Comunidades],"no se encuentra")</f>
        <v>Comunidad de Madrid</v>
      </c>
      <c r="M2713" t="s">
        <v>28</v>
      </c>
      <c r="N2713">
        <v>4</v>
      </c>
    </row>
    <row r="2714" spans="1:14" x14ac:dyDescent="0.25">
      <c r="A2714">
        <v>3713</v>
      </c>
      <c r="B2714" s="1">
        <v>45761</v>
      </c>
      <c r="C2714" s="4">
        <f>MONTH(datos_ventas[[#This Row],[Fecha]])</f>
        <v>4</v>
      </c>
      <c r="D2714" s="4">
        <f>WEEKNUM(datos_ventas[[#This Row],[Fecha]],2)</f>
        <v>16</v>
      </c>
      <c r="E2714" t="s">
        <v>24</v>
      </c>
      <c r="F2714" t="s">
        <v>25</v>
      </c>
      <c r="G2714">
        <v>3</v>
      </c>
      <c r="H2714">
        <v>6972</v>
      </c>
      <c r="I2714">
        <v>3677</v>
      </c>
      <c r="J2714" t="s">
        <v>32</v>
      </c>
      <c r="K2714" t="str">
        <f>_xlfn.XLOOKUP(datos_ventas[[#This Row],[Ciudad]],Tabla2[Ciudades],Tabla2[Provincias],"no se encuentra")</f>
        <v>Barcelona</v>
      </c>
      <c r="L2714" t="str">
        <f>_xlfn.XLOOKUP(datos_ventas[[#This Row],[Provincia]],Tabla2[Provincias],Tabla2[Comunidades],"no se encuentra")</f>
        <v>Cataluña</v>
      </c>
      <c r="M2714" t="s">
        <v>15</v>
      </c>
      <c r="N2714">
        <v>2</v>
      </c>
    </row>
    <row r="2715" spans="1:14" x14ac:dyDescent="0.25">
      <c r="A2715">
        <v>3714</v>
      </c>
      <c r="B2715" s="1">
        <v>45737</v>
      </c>
      <c r="C2715" s="4">
        <f>MONTH(datos_ventas[[#This Row],[Fecha]])</f>
        <v>3</v>
      </c>
      <c r="D2715" s="4">
        <f>WEEKNUM(datos_ventas[[#This Row],[Fecha]],2)</f>
        <v>12</v>
      </c>
      <c r="E2715" t="s">
        <v>17</v>
      </c>
      <c r="F2715" t="s">
        <v>18</v>
      </c>
      <c r="G2715">
        <v>3</v>
      </c>
      <c r="H2715">
        <v>110587</v>
      </c>
      <c r="I2715">
        <v>1775</v>
      </c>
      <c r="J2715" t="s">
        <v>12</v>
      </c>
      <c r="K2715" t="str">
        <f>_xlfn.XLOOKUP(datos_ventas[[#This Row],[Ciudad]],Tabla2[Ciudades],Tabla2[Provincias],"no se encuentra")</f>
        <v>Málaga</v>
      </c>
      <c r="L2715" t="str">
        <f>_xlfn.XLOOKUP(datos_ventas[[#This Row],[Provincia]],Tabla2[Provincias],Tabla2[Comunidades],"no se encuentra")</f>
        <v>Andalucía</v>
      </c>
      <c r="M2715" t="s">
        <v>13</v>
      </c>
      <c r="N2715">
        <v>1</v>
      </c>
    </row>
    <row r="2716" spans="1:14" x14ac:dyDescent="0.25">
      <c r="A2716">
        <v>3715</v>
      </c>
      <c r="B2716" s="1">
        <v>45692</v>
      </c>
      <c r="C2716" s="4">
        <f>MONTH(datos_ventas[[#This Row],[Fecha]])</f>
        <v>2</v>
      </c>
      <c r="D2716" s="4">
        <f>WEEKNUM(datos_ventas[[#This Row],[Fecha]],2)</f>
        <v>6</v>
      </c>
      <c r="E2716" t="s">
        <v>26</v>
      </c>
      <c r="F2716" t="s">
        <v>18</v>
      </c>
      <c r="G2716">
        <v>4</v>
      </c>
      <c r="H2716">
        <v>66868</v>
      </c>
      <c r="I2716">
        <v>1824</v>
      </c>
      <c r="J2716" t="s">
        <v>31</v>
      </c>
      <c r="K2716" t="str">
        <f>_xlfn.XLOOKUP(datos_ventas[[#This Row],[Ciudad]],Tabla2[Ciudades],Tabla2[Provincias],"no se encuentra")</f>
        <v>Vizcaya</v>
      </c>
      <c r="L2716" t="str">
        <f>_xlfn.XLOOKUP(datos_ventas[[#This Row],[Provincia]],Tabla2[Provincias],Tabla2[Comunidades],"no se encuentra")</f>
        <v>País Vasco</v>
      </c>
      <c r="M2716" t="s">
        <v>15</v>
      </c>
      <c r="N2716">
        <v>2</v>
      </c>
    </row>
    <row r="2717" spans="1:14" x14ac:dyDescent="0.25">
      <c r="A2717">
        <v>3716</v>
      </c>
      <c r="B2717" s="1">
        <v>45698</v>
      </c>
      <c r="C2717" s="4">
        <f>MONTH(datos_ventas[[#This Row],[Fecha]])</f>
        <v>2</v>
      </c>
      <c r="D2717" s="4">
        <f>WEEKNUM(datos_ventas[[#This Row],[Fecha]],2)</f>
        <v>7</v>
      </c>
      <c r="E2717" t="s">
        <v>20</v>
      </c>
      <c r="F2717" t="s">
        <v>21</v>
      </c>
      <c r="G2717">
        <v>5</v>
      </c>
      <c r="H2717">
        <v>59732</v>
      </c>
      <c r="I2717">
        <v>3987</v>
      </c>
      <c r="J2717" t="s">
        <v>27</v>
      </c>
      <c r="K2717" t="str">
        <f>_xlfn.XLOOKUP(datos_ventas[[#This Row],[Ciudad]],Tabla2[Ciudades],Tabla2[Provincias],"no se encuentra")</f>
        <v>Sevilla</v>
      </c>
      <c r="L2717" t="str">
        <f>_xlfn.XLOOKUP(datos_ventas[[#This Row],[Provincia]],Tabla2[Provincias],Tabla2[Comunidades],"no se encuentra")</f>
        <v>Andalucía</v>
      </c>
      <c r="M2717" t="s">
        <v>28</v>
      </c>
      <c r="N2717">
        <v>2</v>
      </c>
    </row>
    <row r="2718" spans="1:14" x14ac:dyDescent="0.25">
      <c r="A2718">
        <v>3717</v>
      </c>
      <c r="B2718" s="1">
        <v>45873</v>
      </c>
      <c r="C2718" s="4">
        <f>MONTH(datos_ventas[[#This Row],[Fecha]])</f>
        <v>8</v>
      </c>
      <c r="D2718" s="4">
        <f>WEEKNUM(datos_ventas[[#This Row],[Fecha]],2)</f>
        <v>32</v>
      </c>
      <c r="E2718" t="s">
        <v>16</v>
      </c>
      <c r="F2718" t="s">
        <v>11</v>
      </c>
      <c r="G2718">
        <v>1</v>
      </c>
      <c r="H2718">
        <v>12535</v>
      </c>
      <c r="I2718">
        <v>1663</v>
      </c>
      <c r="J2718" t="s">
        <v>12</v>
      </c>
      <c r="K2718" t="str">
        <f>_xlfn.XLOOKUP(datos_ventas[[#This Row],[Ciudad]],Tabla2[Ciudades],Tabla2[Provincias],"no se encuentra")</f>
        <v>Málaga</v>
      </c>
      <c r="L2718" t="str">
        <f>_xlfn.XLOOKUP(datos_ventas[[#This Row],[Provincia]],Tabla2[Provincias],Tabla2[Comunidades],"no se encuentra")</f>
        <v>Andalucía</v>
      </c>
      <c r="M2718" t="s">
        <v>19</v>
      </c>
      <c r="N2718">
        <v>2</v>
      </c>
    </row>
    <row r="2719" spans="1:14" x14ac:dyDescent="0.25">
      <c r="A2719">
        <v>3718</v>
      </c>
      <c r="B2719" s="1">
        <v>45834</v>
      </c>
      <c r="C2719" s="4">
        <f>MONTH(datos_ventas[[#This Row],[Fecha]])</f>
        <v>6</v>
      </c>
      <c r="D2719" s="4">
        <f>WEEKNUM(datos_ventas[[#This Row],[Fecha]],2)</f>
        <v>26</v>
      </c>
      <c r="E2719" t="s">
        <v>23</v>
      </c>
      <c r="F2719" t="s">
        <v>18</v>
      </c>
      <c r="G2719">
        <v>3</v>
      </c>
      <c r="H2719">
        <v>54983</v>
      </c>
      <c r="I2719">
        <v>1842</v>
      </c>
      <c r="J2719" t="s">
        <v>14</v>
      </c>
      <c r="K2719" t="str">
        <f>_xlfn.XLOOKUP(datos_ventas[[#This Row],[Ciudad]],Tabla2[Ciudades],Tabla2[Provincias],"no se encuentra")</f>
        <v>Madrid</v>
      </c>
      <c r="L2719" t="str">
        <f>_xlfn.XLOOKUP(datos_ventas[[#This Row],[Provincia]],Tabla2[Provincias],Tabla2[Comunidades],"no se encuentra")</f>
        <v>Comunidad de Madrid</v>
      </c>
      <c r="M2719" t="s">
        <v>19</v>
      </c>
      <c r="N2719">
        <v>4</v>
      </c>
    </row>
    <row r="2720" spans="1:14" x14ac:dyDescent="0.25">
      <c r="A2720">
        <v>3719</v>
      </c>
      <c r="B2720" s="1">
        <v>45878</v>
      </c>
      <c r="C2720" s="4">
        <f>MONTH(datos_ventas[[#This Row],[Fecha]])</f>
        <v>8</v>
      </c>
      <c r="D2720" s="4">
        <f>WEEKNUM(datos_ventas[[#This Row],[Fecha]],2)</f>
        <v>32</v>
      </c>
      <c r="E2720" t="s">
        <v>20</v>
      </c>
      <c r="F2720" t="s">
        <v>21</v>
      </c>
      <c r="G2720">
        <v>2</v>
      </c>
      <c r="H2720">
        <v>100681</v>
      </c>
      <c r="I2720">
        <v>519</v>
      </c>
      <c r="J2720" t="s">
        <v>22</v>
      </c>
      <c r="K2720" t="str">
        <f>_xlfn.XLOOKUP(datos_ventas[[#This Row],[Ciudad]],Tabla2[Ciudades],Tabla2[Provincias],"no se encuentra")</f>
        <v>Valencia</v>
      </c>
      <c r="L2720" t="str">
        <f>_xlfn.XLOOKUP(datos_ventas[[#This Row],[Provincia]],Tabla2[Provincias],Tabla2[Comunidades],"no se encuentra")</f>
        <v>Comunidad Valenciana</v>
      </c>
      <c r="M2720" t="s">
        <v>19</v>
      </c>
      <c r="N2720">
        <v>5</v>
      </c>
    </row>
    <row r="2721" spans="1:14" x14ac:dyDescent="0.25">
      <c r="A2721">
        <v>3720</v>
      </c>
      <c r="B2721" s="1">
        <v>45781</v>
      </c>
      <c r="C2721" s="4">
        <f>MONTH(datos_ventas[[#This Row],[Fecha]])</f>
        <v>5</v>
      </c>
      <c r="D2721" s="4">
        <f>WEEKNUM(datos_ventas[[#This Row],[Fecha]],2)</f>
        <v>18</v>
      </c>
      <c r="E2721" t="s">
        <v>10</v>
      </c>
      <c r="F2721" t="s">
        <v>11</v>
      </c>
      <c r="G2721">
        <v>2</v>
      </c>
      <c r="H2721">
        <v>71557</v>
      </c>
      <c r="I2721">
        <v>1445</v>
      </c>
      <c r="J2721" t="s">
        <v>27</v>
      </c>
      <c r="K2721" t="str">
        <f>_xlfn.XLOOKUP(datos_ventas[[#This Row],[Ciudad]],Tabla2[Ciudades],Tabla2[Provincias],"no se encuentra")</f>
        <v>Sevilla</v>
      </c>
      <c r="L2721" t="str">
        <f>_xlfn.XLOOKUP(datos_ventas[[#This Row],[Provincia]],Tabla2[Provincias],Tabla2[Comunidades],"no se encuentra")</f>
        <v>Andalucía</v>
      </c>
      <c r="M2721" t="s">
        <v>15</v>
      </c>
      <c r="N2721">
        <v>3</v>
      </c>
    </row>
    <row r="2722" spans="1:14" x14ac:dyDescent="0.25">
      <c r="A2722">
        <v>3721</v>
      </c>
      <c r="B2722" s="1">
        <v>45699</v>
      </c>
      <c r="C2722" s="4">
        <f>MONTH(datos_ventas[[#This Row],[Fecha]])</f>
        <v>2</v>
      </c>
      <c r="D2722" s="4">
        <f>WEEKNUM(datos_ventas[[#This Row],[Fecha]],2)</f>
        <v>7</v>
      </c>
      <c r="E2722" t="s">
        <v>10</v>
      </c>
      <c r="F2722" t="s">
        <v>11</v>
      </c>
      <c r="G2722">
        <v>1</v>
      </c>
      <c r="H2722">
        <v>36229</v>
      </c>
      <c r="I2722">
        <v>4321</v>
      </c>
      <c r="J2722" t="s">
        <v>27</v>
      </c>
      <c r="K2722" t="str">
        <f>_xlfn.XLOOKUP(datos_ventas[[#This Row],[Ciudad]],Tabla2[Ciudades],Tabla2[Provincias],"no se encuentra")</f>
        <v>Sevilla</v>
      </c>
      <c r="L2722" t="str">
        <f>_xlfn.XLOOKUP(datos_ventas[[#This Row],[Provincia]],Tabla2[Provincias],Tabla2[Comunidades],"no se encuentra")</f>
        <v>Andalucía</v>
      </c>
      <c r="M2722" t="s">
        <v>19</v>
      </c>
      <c r="N2722">
        <v>5</v>
      </c>
    </row>
    <row r="2723" spans="1:14" x14ac:dyDescent="0.25">
      <c r="A2723">
        <v>3722</v>
      </c>
      <c r="B2723" s="1">
        <v>45967</v>
      </c>
      <c r="C2723" s="4">
        <f>MONTH(datos_ventas[[#This Row],[Fecha]])</f>
        <v>11</v>
      </c>
      <c r="D2723" s="4">
        <f>WEEKNUM(datos_ventas[[#This Row],[Fecha]],2)</f>
        <v>45</v>
      </c>
      <c r="E2723" t="s">
        <v>17</v>
      </c>
      <c r="F2723" t="s">
        <v>18</v>
      </c>
      <c r="G2723">
        <v>3</v>
      </c>
      <c r="H2723">
        <v>54088</v>
      </c>
      <c r="I2723">
        <v>3344</v>
      </c>
      <c r="J2723" t="s">
        <v>31</v>
      </c>
      <c r="K2723" t="str">
        <f>_xlfn.XLOOKUP(datos_ventas[[#This Row],[Ciudad]],Tabla2[Ciudades],Tabla2[Provincias],"no se encuentra")</f>
        <v>Vizcaya</v>
      </c>
      <c r="L2723" t="str">
        <f>_xlfn.XLOOKUP(datos_ventas[[#This Row],[Provincia]],Tabla2[Provincias],Tabla2[Comunidades],"no se encuentra")</f>
        <v>País Vasco</v>
      </c>
      <c r="M2723" t="s">
        <v>19</v>
      </c>
      <c r="N2723">
        <v>1</v>
      </c>
    </row>
    <row r="2724" spans="1:14" x14ac:dyDescent="0.25">
      <c r="A2724">
        <v>3723</v>
      </c>
      <c r="B2724" s="1">
        <v>45900</v>
      </c>
      <c r="C2724" s="4">
        <f>MONTH(datos_ventas[[#This Row],[Fecha]])</f>
        <v>8</v>
      </c>
      <c r="D2724" s="4">
        <f>WEEKNUM(datos_ventas[[#This Row],[Fecha]],2)</f>
        <v>35</v>
      </c>
      <c r="E2724" t="s">
        <v>20</v>
      </c>
      <c r="F2724" t="s">
        <v>21</v>
      </c>
      <c r="G2724">
        <v>5</v>
      </c>
      <c r="H2724">
        <v>27853</v>
      </c>
      <c r="I2724">
        <v>1619</v>
      </c>
      <c r="J2724" t="s">
        <v>27</v>
      </c>
      <c r="K2724" t="str">
        <f>_xlfn.XLOOKUP(datos_ventas[[#This Row],[Ciudad]],Tabla2[Ciudades],Tabla2[Provincias],"no se encuentra")</f>
        <v>Sevilla</v>
      </c>
      <c r="L2724" t="str">
        <f>_xlfn.XLOOKUP(datos_ventas[[#This Row],[Provincia]],Tabla2[Provincias],Tabla2[Comunidades],"no se encuentra")</f>
        <v>Andalucía</v>
      </c>
      <c r="M2724" t="s">
        <v>28</v>
      </c>
      <c r="N2724">
        <v>2</v>
      </c>
    </row>
    <row r="2725" spans="1:14" x14ac:dyDescent="0.25">
      <c r="A2725">
        <v>3724</v>
      </c>
      <c r="B2725" s="1">
        <v>45975</v>
      </c>
      <c r="C2725" s="4">
        <f>MONTH(datos_ventas[[#This Row],[Fecha]])</f>
        <v>11</v>
      </c>
      <c r="D2725" s="4">
        <f>WEEKNUM(datos_ventas[[#This Row],[Fecha]],2)</f>
        <v>46</v>
      </c>
      <c r="E2725" t="s">
        <v>26</v>
      </c>
      <c r="F2725" t="s">
        <v>18</v>
      </c>
      <c r="G2725">
        <v>5</v>
      </c>
      <c r="H2725">
        <v>61129</v>
      </c>
      <c r="I2725">
        <v>72</v>
      </c>
      <c r="J2725" t="s">
        <v>12</v>
      </c>
      <c r="K2725" t="str">
        <f>_xlfn.XLOOKUP(datos_ventas[[#This Row],[Ciudad]],Tabla2[Ciudades],Tabla2[Provincias],"no se encuentra")</f>
        <v>Málaga</v>
      </c>
      <c r="L2725" t="str">
        <f>_xlfn.XLOOKUP(datos_ventas[[#This Row],[Provincia]],Tabla2[Provincias],Tabla2[Comunidades],"no se encuentra")</f>
        <v>Andalucía</v>
      </c>
      <c r="M2725" t="s">
        <v>28</v>
      </c>
      <c r="N2725">
        <v>4</v>
      </c>
    </row>
    <row r="2726" spans="1:14" x14ac:dyDescent="0.25">
      <c r="A2726">
        <v>3725</v>
      </c>
      <c r="B2726" s="1">
        <v>45740</v>
      </c>
      <c r="C2726" s="4">
        <f>MONTH(datos_ventas[[#This Row],[Fecha]])</f>
        <v>3</v>
      </c>
      <c r="D2726" s="4">
        <f>WEEKNUM(datos_ventas[[#This Row],[Fecha]],2)</f>
        <v>13</v>
      </c>
      <c r="E2726" t="s">
        <v>24</v>
      </c>
      <c r="F2726" t="s">
        <v>25</v>
      </c>
      <c r="G2726">
        <v>4</v>
      </c>
      <c r="H2726">
        <v>84961</v>
      </c>
      <c r="I2726">
        <v>3307</v>
      </c>
      <c r="J2726" t="s">
        <v>31</v>
      </c>
      <c r="K2726" t="str">
        <f>_xlfn.XLOOKUP(datos_ventas[[#This Row],[Ciudad]],Tabla2[Ciudades],Tabla2[Provincias],"no se encuentra")</f>
        <v>Vizcaya</v>
      </c>
      <c r="L2726" t="str">
        <f>_xlfn.XLOOKUP(datos_ventas[[#This Row],[Provincia]],Tabla2[Provincias],Tabla2[Comunidades],"no se encuentra")</f>
        <v>País Vasco</v>
      </c>
      <c r="M2726" t="s">
        <v>19</v>
      </c>
      <c r="N2726">
        <v>3</v>
      </c>
    </row>
    <row r="2727" spans="1:14" x14ac:dyDescent="0.25">
      <c r="A2727">
        <v>3726</v>
      </c>
      <c r="B2727" s="1">
        <v>45775</v>
      </c>
      <c r="C2727" s="4">
        <f>MONTH(datos_ventas[[#This Row],[Fecha]])</f>
        <v>4</v>
      </c>
      <c r="D2727" s="4">
        <f>WEEKNUM(datos_ventas[[#This Row],[Fecha]],2)</f>
        <v>18</v>
      </c>
      <c r="E2727" t="s">
        <v>17</v>
      </c>
      <c r="F2727" t="s">
        <v>18</v>
      </c>
      <c r="G2727">
        <v>5</v>
      </c>
      <c r="H2727">
        <v>78544</v>
      </c>
      <c r="I2727">
        <v>1027</v>
      </c>
      <c r="J2727" t="s">
        <v>32</v>
      </c>
      <c r="K2727" t="str">
        <f>_xlfn.XLOOKUP(datos_ventas[[#This Row],[Ciudad]],Tabla2[Ciudades],Tabla2[Provincias],"no se encuentra")</f>
        <v>Barcelona</v>
      </c>
      <c r="L2727" t="str">
        <f>_xlfn.XLOOKUP(datos_ventas[[#This Row],[Provincia]],Tabla2[Provincias],Tabla2[Comunidades],"no se encuentra")</f>
        <v>Cataluña</v>
      </c>
      <c r="M2727" t="s">
        <v>28</v>
      </c>
      <c r="N2727">
        <v>3</v>
      </c>
    </row>
    <row r="2728" spans="1:14" x14ac:dyDescent="0.25">
      <c r="A2728">
        <v>3727</v>
      </c>
      <c r="B2728" s="1">
        <v>45680</v>
      </c>
      <c r="C2728" s="4">
        <f>MONTH(datos_ventas[[#This Row],[Fecha]])</f>
        <v>1</v>
      </c>
      <c r="D2728" s="4">
        <f>WEEKNUM(datos_ventas[[#This Row],[Fecha]],2)</f>
        <v>4</v>
      </c>
      <c r="E2728" t="s">
        <v>24</v>
      </c>
      <c r="F2728" t="s">
        <v>25</v>
      </c>
      <c r="G2728">
        <v>5</v>
      </c>
      <c r="H2728">
        <v>75308</v>
      </c>
      <c r="I2728">
        <v>4916</v>
      </c>
      <c r="J2728" t="s">
        <v>32</v>
      </c>
      <c r="K2728" t="str">
        <f>_xlfn.XLOOKUP(datos_ventas[[#This Row],[Ciudad]],Tabla2[Ciudades],Tabla2[Provincias],"no se encuentra")</f>
        <v>Barcelona</v>
      </c>
      <c r="L2728" t="str">
        <f>_xlfn.XLOOKUP(datos_ventas[[#This Row],[Provincia]],Tabla2[Provincias],Tabla2[Comunidades],"no se encuentra")</f>
        <v>Cataluña</v>
      </c>
      <c r="M2728" t="s">
        <v>28</v>
      </c>
      <c r="N2728">
        <v>2</v>
      </c>
    </row>
    <row r="2729" spans="1:14" x14ac:dyDescent="0.25">
      <c r="A2729">
        <v>3728</v>
      </c>
      <c r="B2729" s="1">
        <v>45696</v>
      </c>
      <c r="C2729" s="4">
        <f>MONTH(datos_ventas[[#This Row],[Fecha]])</f>
        <v>2</v>
      </c>
      <c r="D2729" s="4">
        <f>WEEKNUM(datos_ventas[[#This Row],[Fecha]],2)</f>
        <v>6</v>
      </c>
      <c r="E2729" t="s">
        <v>10</v>
      </c>
      <c r="F2729" t="s">
        <v>11</v>
      </c>
      <c r="G2729">
        <v>5</v>
      </c>
      <c r="H2729">
        <v>72781</v>
      </c>
      <c r="I2729">
        <v>3967</v>
      </c>
      <c r="J2729" t="s">
        <v>12</v>
      </c>
      <c r="K2729" t="str">
        <f>_xlfn.XLOOKUP(datos_ventas[[#This Row],[Ciudad]],Tabla2[Ciudades],Tabla2[Provincias],"no se encuentra")</f>
        <v>Málaga</v>
      </c>
      <c r="L2729" t="str">
        <f>_xlfn.XLOOKUP(datos_ventas[[#This Row],[Provincia]],Tabla2[Provincias],Tabla2[Comunidades],"no se encuentra")</f>
        <v>Andalucía</v>
      </c>
      <c r="M2729" t="s">
        <v>19</v>
      </c>
      <c r="N2729">
        <v>5</v>
      </c>
    </row>
    <row r="2730" spans="1:14" x14ac:dyDescent="0.25">
      <c r="A2730">
        <v>3729</v>
      </c>
      <c r="B2730" s="1">
        <v>45924</v>
      </c>
      <c r="C2730" s="4">
        <f>MONTH(datos_ventas[[#This Row],[Fecha]])</f>
        <v>9</v>
      </c>
      <c r="D2730" s="4">
        <f>WEEKNUM(datos_ventas[[#This Row],[Fecha]],2)</f>
        <v>39</v>
      </c>
      <c r="E2730" t="s">
        <v>24</v>
      </c>
      <c r="F2730" t="s">
        <v>25</v>
      </c>
      <c r="G2730">
        <v>4</v>
      </c>
      <c r="H2730">
        <v>114445</v>
      </c>
      <c r="I2730">
        <v>4327</v>
      </c>
      <c r="J2730" t="s">
        <v>22</v>
      </c>
      <c r="K2730" t="str">
        <f>_xlfn.XLOOKUP(datos_ventas[[#This Row],[Ciudad]],Tabla2[Ciudades],Tabla2[Provincias],"no se encuentra")</f>
        <v>Valencia</v>
      </c>
      <c r="L2730" t="str">
        <f>_xlfn.XLOOKUP(datos_ventas[[#This Row],[Provincia]],Tabla2[Provincias],Tabla2[Comunidades],"no se encuentra")</f>
        <v>Comunidad Valenciana</v>
      </c>
      <c r="M2730" t="s">
        <v>13</v>
      </c>
      <c r="N2730">
        <v>4</v>
      </c>
    </row>
    <row r="2731" spans="1:14" x14ac:dyDescent="0.25">
      <c r="A2731">
        <v>3730</v>
      </c>
      <c r="B2731" s="1">
        <v>45923</v>
      </c>
      <c r="C2731" s="4">
        <f>MONTH(datos_ventas[[#This Row],[Fecha]])</f>
        <v>9</v>
      </c>
      <c r="D2731" s="4">
        <f>WEEKNUM(datos_ventas[[#This Row],[Fecha]],2)</f>
        <v>39</v>
      </c>
      <c r="E2731" t="s">
        <v>16</v>
      </c>
      <c r="F2731" t="s">
        <v>11</v>
      </c>
      <c r="G2731">
        <v>4</v>
      </c>
      <c r="H2731">
        <v>35075</v>
      </c>
      <c r="I2731">
        <v>3983</v>
      </c>
      <c r="J2731" t="s">
        <v>27</v>
      </c>
      <c r="K2731" t="str">
        <f>_xlfn.XLOOKUP(datos_ventas[[#This Row],[Ciudad]],Tabla2[Ciudades],Tabla2[Provincias],"no se encuentra")</f>
        <v>Sevilla</v>
      </c>
      <c r="L2731" t="str">
        <f>_xlfn.XLOOKUP(datos_ventas[[#This Row],[Provincia]],Tabla2[Provincias],Tabla2[Comunidades],"no se encuentra")</f>
        <v>Andalucía</v>
      </c>
      <c r="M2731" t="s">
        <v>13</v>
      </c>
      <c r="N2731">
        <v>5</v>
      </c>
    </row>
    <row r="2732" spans="1:14" x14ac:dyDescent="0.25">
      <c r="A2732">
        <v>3731</v>
      </c>
      <c r="B2732" s="1">
        <v>45866</v>
      </c>
      <c r="C2732" s="4">
        <f>MONTH(datos_ventas[[#This Row],[Fecha]])</f>
        <v>7</v>
      </c>
      <c r="D2732" s="4">
        <f>WEEKNUM(datos_ventas[[#This Row],[Fecha]],2)</f>
        <v>31</v>
      </c>
      <c r="E2732" t="s">
        <v>16</v>
      </c>
      <c r="F2732" t="s">
        <v>11</v>
      </c>
      <c r="G2732">
        <v>2</v>
      </c>
      <c r="H2732">
        <v>7505</v>
      </c>
      <c r="I2732">
        <v>1645</v>
      </c>
      <c r="J2732" t="s">
        <v>31</v>
      </c>
      <c r="K2732" t="str">
        <f>_xlfn.XLOOKUP(datos_ventas[[#This Row],[Ciudad]],Tabla2[Ciudades],Tabla2[Provincias],"no se encuentra")</f>
        <v>Vizcaya</v>
      </c>
      <c r="L2732" t="str">
        <f>_xlfn.XLOOKUP(datos_ventas[[#This Row],[Provincia]],Tabla2[Provincias],Tabla2[Comunidades],"no se encuentra")</f>
        <v>País Vasco</v>
      </c>
      <c r="M2732" t="s">
        <v>15</v>
      </c>
      <c r="N2732">
        <v>5</v>
      </c>
    </row>
    <row r="2733" spans="1:14" x14ac:dyDescent="0.25">
      <c r="A2733">
        <v>3732</v>
      </c>
      <c r="B2733" s="1">
        <v>45928</v>
      </c>
      <c r="C2733" s="4">
        <f>MONTH(datos_ventas[[#This Row],[Fecha]])</f>
        <v>9</v>
      </c>
      <c r="D2733" s="4">
        <f>WEEKNUM(datos_ventas[[#This Row],[Fecha]],2)</f>
        <v>39</v>
      </c>
      <c r="E2733" t="s">
        <v>17</v>
      </c>
      <c r="F2733" t="s">
        <v>18</v>
      </c>
      <c r="G2733">
        <v>5</v>
      </c>
      <c r="H2733">
        <v>103935</v>
      </c>
      <c r="I2733">
        <v>1787</v>
      </c>
      <c r="J2733" t="s">
        <v>31</v>
      </c>
      <c r="K2733" t="str">
        <f>_xlfn.XLOOKUP(datos_ventas[[#This Row],[Ciudad]],Tabla2[Ciudades],Tabla2[Provincias],"no se encuentra")</f>
        <v>Vizcaya</v>
      </c>
      <c r="L2733" t="str">
        <f>_xlfn.XLOOKUP(datos_ventas[[#This Row],[Provincia]],Tabla2[Provincias],Tabla2[Comunidades],"no se encuentra")</f>
        <v>País Vasco</v>
      </c>
      <c r="M2733" t="s">
        <v>28</v>
      </c>
      <c r="N2733">
        <v>1</v>
      </c>
    </row>
    <row r="2734" spans="1:14" x14ac:dyDescent="0.25">
      <c r="A2734">
        <v>3733</v>
      </c>
      <c r="B2734" s="1">
        <v>45817</v>
      </c>
      <c r="C2734" s="4">
        <f>MONTH(datos_ventas[[#This Row],[Fecha]])</f>
        <v>6</v>
      </c>
      <c r="D2734" s="4">
        <f>WEEKNUM(datos_ventas[[#This Row],[Fecha]],2)</f>
        <v>24</v>
      </c>
      <c r="E2734" t="s">
        <v>23</v>
      </c>
      <c r="F2734" t="s">
        <v>18</v>
      </c>
      <c r="G2734">
        <v>5</v>
      </c>
      <c r="H2734">
        <v>71797</v>
      </c>
      <c r="I2734">
        <v>4566</v>
      </c>
      <c r="J2734" t="s">
        <v>27</v>
      </c>
      <c r="K2734" t="str">
        <f>_xlfn.XLOOKUP(datos_ventas[[#This Row],[Ciudad]],Tabla2[Ciudades],Tabla2[Provincias],"no se encuentra")</f>
        <v>Sevilla</v>
      </c>
      <c r="L2734" t="str">
        <f>_xlfn.XLOOKUP(datos_ventas[[#This Row],[Provincia]],Tabla2[Provincias],Tabla2[Comunidades],"no se encuentra")</f>
        <v>Andalucía</v>
      </c>
      <c r="M2734" t="s">
        <v>13</v>
      </c>
      <c r="N2734">
        <v>4</v>
      </c>
    </row>
    <row r="2735" spans="1:14" x14ac:dyDescent="0.25">
      <c r="A2735">
        <v>3734</v>
      </c>
      <c r="B2735" s="1">
        <v>45906</v>
      </c>
      <c r="C2735" s="4">
        <f>MONTH(datos_ventas[[#This Row],[Fecha]])</f>
        <v>9</v>
      </c>
      <c r="D2735" s="4">
        <f>WEEKNUM(datos_ventas[[#This Row],[Fecha]],2)</f>
        <v>36</v>
      </c>
      <c r="E2735" t="s">
        <v>26</v>
      </c>
      <c r="F2735" t="s">
        <v>18</v>
      </c>
      <c r="G2735">
        <v>2</v>
      </c>
      <c r="H2735">
        <v>71929</v>
      </c>
      <c r="I2735">
        <v>3142</v>
      </c>
      <c r="J2735" t="s">
        <v>14</v>
      </c>
      <c r="K2735" t="str">
        <f>_xlfn.XLOOKUP(datos_ventas[[#This Row],[Ciudad]],Tabla2[Ciudades],Tabla2[Provincias],"no se encuentra")</f>
        <v>Madrid</v>
      </c>
      <c r="L2735" t="str">
        <f>_xlfn.XLOOKUP(datos_ventas[[#This Row],[Provincia]],Tabla2[Provincias],Tabla2[Comunidades],"no se encuentra")</f>
        <v>Comunidad de Madrid</v>
      </c>
      <c r="M2735" t="s">
        <v>13</v>
      </c>
      <c r="N2735">
        <v>4</v>
      </c>
    </row>
    <row r="2736" spans="1:14" x14ac:dyDescent="0.25">
      <c r="A2736">
        <v>3735</v>
      </c>
      <c r="B2736" s="1">
        <v>45750</v>
      </c>
      <c r="C2736" s="4">
        <f>MONTH(datos_ventas[[#This Row],[Fecha]])</f>
        <v>4</v>
      </c>
      <c r="D2736" s="4">
        <f>WEEKNUM(datos_ventas[[#This Row],[Fecha]],2)</f>
        <v>14</v>
      </c>
      <c r="E2736" t="s">
        <v>26</v>
      </c>
      <c r="F2736" t="s">
        <v>18</v>
      </c>
      <c r="G2736">
        <v>4</v>
      </c>
      <c r="H2736">
        <v>8034</v>
      </c>
      <c r="I2736">
        <v>4226</v>
      </c>
      <c r="J2736" t="s">
        <v>27</v>
      </c>
      <c r="K2736" t="str">
        <f>_xlfn.XLOOKUP(datos_ventas[[#This Row],[Ciudad]],Tabla2[Ciudades],Tabla2[Provincias],"no se encuentra")</f>
        <v>Sevilla</v>
      </c>
      <c r="L2736" t="str">
        <f>_xlfn.XLOOKUP(datos_ventas[[#This Row],[Provincia]],Tabla2[Provincias],Tabla2[Comunidades],"no se encuentra")</f>
        <v>Andalucía</v>
      </c>
      <c r="M2736" t="s">
        <v>28</v>
      </c>
      <c r="N2736">
        <v>5</v>
      </c>
    </row>
    <row r="2737" spans="1:14" x14ac:dyDescent="0.25">
      <c r="A2737">
        <v>3736</v>
      </c>
      <c r="B2737" s="1">
        <v>45749</v>
      </c>
      <c r="C2737" s="4">
        <f>MONTH(datos_ventas[[#This Row],[Fecha]])</f>
        <v>4</v>
      </c>
      <c r="D2737" s="4">
        <f>WEEKNUM(datos_ventas[[#This Row],[Fecha]],2)</f>
        <v>14</v>
      </c>
      <c r="E2737" t="s">
        <v>10</v>
      </c>
      <c r="F2737" t="s">
        <v>11</v>
      </c>
      <c r="G2737">
        <v>2</v>
      </c>
      <c r="H2737">
        <v>94556</v>
      </c>
      <c r="I2737">
        <v>4144</v>
      </c>
      <c r="J2737" t="s">
        <v>32</v>
      </c>
      <c r="K2737" t="str">
        <f>_xlfn.XLOOKUP(datos_ventas[[#This Row],[Ciudad]],Tabla2[Ciudades],Tabla2[Provincias],"no se encuentra")</f>
        <v>Barcelona</v>
      </c>
      <c r="L2737" t="str">
        <f>_xlfn.XLOOKUP(datos_ventas[[#This Row],[Provincia]],Tabla2[Provincias],Tabla2[Comunidades],"no se encuentra")</f>
        <v>Cataluña</v>
      </c>
      <c r="M2737" t="s">
        <v>13</v>
      </c>
      <c r="N2737">
        <v>1</v>
      </c>
    </row>
    <row r="2738" spans="1:14" x14ac:dyDescent="0.25">
      <c r="A2738">
        <v>3737</v>
      </c>
      <c r="B2738" s="1">
        <v>45869</v>
      </c>
      <c r="C2738" s="4">
        <f>MONTH(datos_ventas[[#This Row],[Fecha]])</f>
        <v>7</v>
      </c>
      <c r="D2738" s="4">
        <f>WEEKNUM(datos_ventas[[#This Row],[Fecha]],2)</f>
        <v>31</v>
      </c>
      <c r="E2738" t="s">
        <v>20</v>
      </c>
      <c r="F2738" t="s">
        <v>21</v>
      </c>
      <c r="G2738">
        <v>5</v>
      </c>
      <c r="H2738">
        <v>99381</v>
      </c>
      <c r="I2738">
        <v>1677</v>
      </c>
      <c r="J2738" t="s">
        <v>31</v>
      </c>
      <c r="K2738" t="str">
        <f>_xlfn.XLOOKUP(datos_ventas[[#This Row],[Ciudad]],Tabla2[Ciudades],Tabla2[Provincias],"no se encuentra")</f>
        <v>Vizcaya</v>
      </c>
      <c r="L2738" t="str">
        <f>_xlfn.XLOOKUP(datos_ventas[[#This Row],[Provincia]],Tabla2[Provincias],Tabla2[Comunidades],"no se encuentra")</f>
        <v>País Vasco</v>
      </c>
      <c r="M2738" t="s">
        <v>15</v>
      </c>
      <c r="N2738">
        <v>2</v>
      </c>
    </row>
    <row r="2739" spans="1:14" x14ac:dyDescent="0.25">
      <c r="A2739">
        <v>3738</v>
      </c>
      <c r="B2739" s="1">
        <v>45948</v>
      </c>
      <c r="C2739" s="4">
        <f>MONTH(datos_ventas[[#This Row],[Fecha]])</f>
        <v>10</v>
      </c>
      <c r="D2739" s="4">
        <f>WEEKNUM(datos_ventas[[#This Row],[Fecha]],2)</f>
        <v>42</v>
      </c>
      <c r="E2739" t="s">
        <v>29</v>
      </c>
      <c r="F2739" t="s">
        <v>30</v>
      </c>
      <c r="G2739">
        <v>4</v>
      </c>
      <c r="H2739">
        <v>26987</v>
      </c>
      <c r="I2739">
        <v>1796</v>
      </c>
      <c r="J2739" t="s">
        <v>27</v>
      </c>
      <c r="K2739" t="str">
        <f>_xlfn.XLOOKUP(datos_ventas[[#This Row],[Ciudad]],Tabla2[Ciudades],Tabla2[Provincias],"no se encuentra")</f>
        <v>Sevilla</v>
      </c>
      <c r="L2739" t="str">
        <f>_xlfn.XLOOKUP(datos_ventas[[#This Row],[Provincia]],Tabla2[Provincias],Tabla2[Comunidades],"no se encuentra")</f>
        <v>Andalucía</v>
      </c>
      <c r="M2739" t="s">
        <v>15</v>
      </c>
      <c r="N2739">
        <v>1</v>
      </c>
    </row>
    <row r="2740" spans="1:14" x14ac:dyDescent="0.25">
      <c r="A2740">
        <v>3739</v>
      </c>
      <c r="B2740" s="1">
        <v>45713</v>
      </c>
      <c r="C2740" s="4">
        <f>MONTH(datos_ventas[[#This Row],[Fecha]])</f>
        <v>2</v>
      </c>
      <c r="D2740" s="4">
        <f>WEEKNUM(datos_ventas[[#This Row],[Fecha]],2)</f>
        <v>9</v>
      </c>
      <c r="E2740" t="s">
        <v>20</v>
      </c>
      <c r="F2740" t="s">
        <v>21</v>
      </c>
      <c r="G2740">
        <v>3</v>
      </c>
      <c r="H2740">
        <v>5161</v>
      </c>
      <c r="I2740">
        <v>928</v>
      </c>
      <c r="J2740" t="s">
        <v>14</v>
      </c>
      <c r="K2740" t="str">
        <f>_xlfn.XLOOKUP(datos_ventas[[#This Row],[Ciudad]],Tabla2[Ciudades],Tabla2[Provincias],"no se encuentra")</f>
        <v>Madrid</v>
      </c>
      <c r="L2740" t="str">
        <f>_xlfn.XLOOKUP(datos_ventas[[#This Row],[Provincia]],Tabla2[Provincias],Tabla2[Comunidades],"no se encuentra")</f>
        <v>Comunidad de Madrid</v>
      </c>
      <c r="M2740" t="s">
        <v>13</v>
      </c>
      <c r="N2740">
        <v>2</v>
      </c>
    </row>
    <row r="2741" spans="1:14" x14ac:dyDescent="0.25">
      <c r="A2741">
        <v>3740</v>
      </c>
      <c r="B2741" s="1">
        <v>45959</v>
      </c>
      <c r="C2741" s="4">
        <f>MONTH(datos_ventas[[#This Row],[Fecha]])</f>
        <v>10</v>
      </c>
      <c r="D2741" s="4">
        <f>WEEKNUM(datos_ventas[[#This Row],[Fecha]],2)</f>
        <v>44</v>
      </c>
      <c r="E2741" t="s">
        <v>23</v>
      </c>
      <c r="F2741" t="s">
        <v>18</v>
      </c>
      <c r="G2741">
        <v>3</v>
      </c>
      <c r="H2741">
        <v>79593</v>
      </c>
      <c r="I2741">
        <v>3898</v>
      </c>
      <c r="J2741" t="s">
        <v>31</v>
      </c>
      <c r="K2741" t="str">
        <f>_xlfn.XLOOKUP(datos_ventas[[#This Row],[Ciudad]],Tabla2[Ciudades],Tabla2[Provincias],"no se encuentra")</f>
        <v>Vizcaya</v>
      </c>
      <c r="L2741" t="str">
        <f>_xlfn.XLOOKUP(datos_ventas[[#This Row],[Provincia]],Tabla2[Provincias],Tabla2[Comunidades],"no se encuentra")</f>
        <v>País Vasco</v>
      </c>
      <c r="M2741" t="s">
        <v>19</v>
      </c>
      <c r="N2741">
        <v>1</v>
      </c>
    </row>
    <row r="2742" spans="1:14" x14ac:dyDescent="0.25">
      <c r="A2742">
        <v>3741</v>
      </c>
      <c r="B2742" s="1">
        <v>46009</v>
      </c>
      <c r="C2742" s="4">
        <f>MONTH(datos_ventas[[#This Row],[Fecha]])</f>
        <v>12</v>
      </c>
      <c r="D2742" s="4">
        <f>WEEKNUM(datos_ventas[[#This Row],[Fecha]],2)</f>
        <v>51</v>
      </c>
      <c r="E2742" t="s">
        <v>26</v>
      </c>
      <c r="F2742" t="s">
        <v>18</v>
      </c>
      <c r="G2742">
        <v>3</v>
      </c>
      <c r="H2742">
        <v>83775</v>
      </c>
      <c r="I2742">
        <v>3385</v>
      </c>
      <c r="J2742" t="s">
        <v>27</v>
      </c>
      <c r="K2742" t="str">
        <f>_xlfn.XLOOKUP(datos_ventas[[#This Row],[Ciudad]],Tabla2[Ciudades],Tabla2[Provincias],"no se encuentra")</f>
        <v>Sevilla</v>
      </c>
      <c r="L2742" t="str">
        <f>_xlfn.XLOOKUP(datos_ventas[[#This Row],[Provincia]],Tabla2[Provincias],Tabla2[Comunidades],"no se encuentra")</f>
        <v>Andalucía</v>
      </c>
      <c r="M2742" t="s">
        <v>15</v>
      </c>
      <c r="N2742">
        <v>2</v>
      </c>
    </row>
    <row r="2743" spans="1:14" x14ac:dyDescent="0.25">
      <c r="A2743">
        <v>3742</v>
      </c>
      <c r="B2743" s="1">
        <v>45888</v>
      </c>
      <c r="C2743" s="4">
        <f>MONTH(datos_ventas[[#This Row],[Fecha]])</f>
        <v>8</v>
      </c>
      <c r="D2743" s="4">
        <f>WEEKNUM(datos_ventas[[#This Row],[Fecha]],2)</f>
        <v>34</v>
      </c>
      <c r="E2743" t="s">
        <v>20</v>
      </c>
      <c r="F2743" t="s">
        <v>21</v>
      </c>
      <c r="G2743">
        <v>5</v>
      </c>
      <c r="H2743">
        <v>11522</v>
      </c>
      <c r="I2743">
        <v>2108</v>
      </c>
      <c r="J2743" t="s">
        <v>32</v>
      </c>
      <c r="K2743" t="str">
        <f>_xlfn.XLOOKUP(datos_ventas[[#This Row],[Ciudad]],Tabla2[Ciudades],Tabla2[Provincias],"no se encuentra")</f>
        <v>Barcelona</v>
      </c>
      <c r="L2743" t="str">
        <f>_xlfn.XLOOKUP(datos_ventas[[#This Row],[Provincia]],Tabla2[Provincias],Tabla2[Comunidades],"no se encuentra")</f>
        <v>Cataluña</v>
      </c>
      <c r="M2743" t="s">
        <v>15</v>
      </c>
      <c r="N2743">
        <v>3</v>
      </c>
    </row>
    <row r="2744" spans="1:14" x14ac:dyDescent="0.25">
      <c r="A2744">
        <v>3743</v>
      </c>
      <c r="B2744" s="1">
        <v>45996</v>
      </c>
      <c r="C2744" s="4">
        <f>MONTH(datos_ventas[[#This Row],[Fecha]])</f>
        <v>12</v>
      </c>
      <c r="D2744" s="4">
        <f>WEEKNUM(datos_ventas[[#This Row],[Fecha]],2)</f>
        <v>49</v>
      </c>
      <c r="E2744" t="s">
        <v>26</v>
      </c>
      <c r="F2744" t="s">
        <v>18</v>
      </c>
      <c r="G2744">
        <v>3</v>
      </c>
      <c r="H2744">
        <v>7803</v>
      </c>
      <c r="I2744">
        <v>4903</v>
      </c>
      <c r="J2744" t="s">
        <v>12</v>
      </c>
      <c r="K2744" t="str">
        <f>_xlfn.XLOOKUP(datos_ventas[[#This Row],[Ciudad]],Tabla2[Ciudades],Tabla2[Provincias],"no se encuentra")</f>
        <v>Málaga</v>
      </c>
      <c r="L2744" t="str">
        <f>_xlfn.XLOOKUP(datos_ventas[[#This Row],[Provincia]],Tabla2[Provincias],Tabla2[Comunidades],"no se encuentra")</f>
        <v>Andalucía</v>
      </c>
      <c r="M2744" t="s">
        <v>28</v>
      </c>
      <c r="N2744">
        <v>3</v>
      </c>
    </row>
    <row r="2745" spans="1:14" x14ac:dyDescent="0.25">
      <c r="A2745">
        <v>3744</v>
      </c>
      <c r="B2745" s="1">
        <v>45772</v>
      </c>
      <c r="C2745" s="4">
        <f>MONTH(datos_ventas[[#This Row],[Fecha]])</f>
        <v>4</v>
      </c>
      <c r="D2745" s="4">
        <f>WEEKNUM(datos_ventas[[#This Row],[Fecha]],2)</f>
        <v>17</v>
      </c>
      <c r="E2745" t="s">
        <v>20</v>
      </c>
      <c r="F2745" t="s">
        <v>21</v>
      </c>
      <c r="G2745">
        <v>4</v>
      </c>
      <c r="H2745">
        <v>73868</v>
      </c>
      <c r="I2745">
        <v>471</v>
      </c>
      <c r="J2745" t="s">
        <v>22</v>
      </c>
      <c r="K2745" t="str">
        <f>_xlfn.XLOOKUP(datos_ventas[[#This Row],[Ciudad]],Tabla2[Ciudades],Tabla2[Provincias],"no se encuentra")</f>
        <v>Valencia</v>
      </c>
      <c r="L2745" t="str">
        <f>_xlfn.XLOOKUP(datos_ventas[[#This Row],[Provincia]],Tabla2[Provincias],Tabla2[Comunidades],"no se encuentra")</f>
        <v>Comunidad Valenciana</v>
      </c>
      <c r="M2745" t="s">
        <v>19</v>
      </c>
      <c r="N2745">
        <v>5</v>
      </c>
    </row>
    <row r="2746" spans="1:14" x14ac:dyDescent="0.25">
      <c r="A2746">
        <v>3745</v>
      </c>
      <c r="B2746" s="1">
        <v>45963</v>
      </c>
      <c r="C2746" s="4">
        <f>MONTH(datos_ventas[[#This Row],[Fecha]])</f>
        <v>11</v>
      </c>
      <c r="D2746" s="4">
        <f>WEEKNUM(datos_ventas[[#This Row],[Fecha]],2)</f>
        <v>44</v>
      </c>
      <c r="E2746" t="s">
        <v>29</v>
      </c>
      <c r="F2746" t="s">
        <v>30</v>
      </c>
      <c r="G2746">
        <v>2</v>
      </c>
      <c r="H2746">
        <v>17859</v>
      </c>
      <c r="I2746">
        <v>1715</v>
      </c>
      <c r="J2746" t="s">
        <v>22</v>
      </c>
      <c r="K2746" t="str">
        <f>_xlfn.XLOOKUP(datos_ventas[[#This Row],[Ciudad]],Tabla2[Ciudades],Tabla2[Provincias],"no se encuentra")</f>
        <v>Valencia</v>
      </c>
      <c r="L2746" t="str">
        <f>_xlfn.XLOOKUP(datos_ventas[[#This Row],[Provincia]],Tabla2[Provincias],Tabla2[Comunidades],"no se encuentra")</f>
        <v>Comunidad Valenciana</v>
      </c>
      <c r="M2746" t="s">
        <v>15</v>
      </c>
      <c r="N2746">
        <v>1</v>
      </c>
    </row>
    <row r="2747" spans="1:14" x14ac:dyDescent="0.25">
      <c r="A2747">
        <v>3746</v>
      </c>
      <c r="B2747" s="1">
        <v>45766</v>
      </c>
      <c r="C2747" s="4">
        <f>MONTH(datos_ventas[[#This Row],[Fecha]])</f>
        <v>4</v>
      </c>
      <c r="D2747" s="4">
        <f>WEEKNUM(datos_ventas[[#This Row],[Fecha]],2)</f>
        <v>16</v>
      </c>
      <c r="E2747" t="s">
        <v>20</v>
      </c>
      <c r="F2747" t="s">
        <v>21</v>
      </c>
      <c r="G2747">
        <v>4</v>
      </c>
      <c r="H2747">
        <v>69354</v>
      </c>
      <c r="I2747">
        <v>1314</v>
      </c>
      <c r="J2747" t="s">
        <v>14</v>
      </c>
      <c r="K2747" t="str">
        <f>_xlfn.XLOOKUP(datos_ventas[[#This Row],[Ciudad]],Tabla2[Ciudades],Tabla2[Provincias],"no se encuentra")</f>
        <v>Madrid</v>
      </c>
      <c r="L2747" t="str">
        <f>_xlfn.XLOOKUP(datos_ventas[[#This Row],[Provincia]],Tabla2[Provincias],Tabla2[Comunidades],"no se encuentra")</f>
        <v>Comunidad de Madrid</v>
      </c>
      <c r="M2747" t="s">
        <v>19</v>
      </c>
      <c r="N2747">
        <v>5</v>
      </c>
    </row>
    <row r="2748" spans="1:14" x14ac:dyDescent="0.25">
      <c r="A2748">
        <v>3747</v>
      </c>
      <c r="B2748" s="1">
        <v>45884</v>
      </c>
      <c r="C2748" s="4">
        <f>MONTH(datos_ventas[[#This Row],[Fecha]])</f>
        <v>8</v>
      </c>
      <c r="D2748" s="4">
        <f>WEEKNUM(datos_ventas[[#This Row],[Fecha]],2)</f>
        <v>33</v>
      </c>
      <c r="E2748" t="s">
        <v>10</v>
      </c>
      <c r="F2748" t="s">
        <v>11</v>
      </c>
      <c r="G2748">
        <v>4</v>
      </c>
      <c r="H2748">
        <v>76187</v>
      </c>
      <c r="I2748">
        <v>1528</v>
      </c>
      <c r="J2748" t="s">
        <v>14</v>
      </c>
      <c r="K2748" t="str">
        <f>_xlfn.XLOOKUP(datos_ventas[[#This Row],[Ciudad]],Tabla2[Ciudades],Tabla2[Provincias],"no se encuentra")</f>
        <v>Madrid</v>
      </c>
      <c r="L2748" t="str">
        <f>_xlfn.XLOOKUP(datos_ventas[[#This Row],[Provincia]],Tabla2[Provincias],Tabla2[Comunidades],"no se encuentra")</f>
        <v>Comunidad de Madrid</v>
      </c>
      <c r="M2748" t="s">
        <v>28</v>
      </c>
      <c r="N2748">
        <v>1</v>
      </c>
    </row>
    <row r="2749" spans="1:14" x14ac:dyDescent="0.25">
      <c r="A2749">
        <v>3748</v>
      </c>
      <c r="B2749" s="1">
        <v>45798</v>
      </c>
      <c r="C2749" s="4">
        <f>MONTH(datos_ventas[[#This Row],[Fecha]])</f>
        <v>5</v>
      </c>
      <c r="D2749" s="4">
        <f>WEEKNUM(datos_ventas[[#This Row],[Fecha]],2)</f>
        <v>21</v>
      </c>
      <c r="E2749" t="s">
        <v>26</v>
      </c>
      <c r="F2749" t="s">
        <v>18</v>
      </c>
      <c r="G2749">
        <v>1</v>
      </c>
      <c r="H2749">
        <v>2905</v>
      </c>
      <c r="I2749">
        <v>2494</v>
      </c>
      <c r="J2749" t="s">
        <v>22</v>
      </c>
      <c r="K2749" t="str">
        <f>_xlfn.XLOOKUP(datos_ventas[[#This Row],[Ciudad]],Tabla2[Ciudades],Tabla2[Provincias],"no se encuentra")</f>
        <v>Valencia</v>
      </c>
      <c r="L2749" t="str">
        <f>_xlfn.XLOOKUP(datos_ventas[[#This Row],[Provincia]],Tabla2[Provincias],Tabla2[Comunidades],"no se encuentra")</f>
        <v>Comunidad Valenciana</v>
      </c>
      <c r="M2749" t="s">
        <v>19</v>
      </c>
      <c r="N2749">
        <v>2</v>
      </c>
    </row>
    <row r="2750" spans="1:14" x14ac:dyDescent="0.25">
      <c r="A2750">
        <v>3749</v>
      </c>
      <c r="B2750" s="1">
        <v>45783</v>
      </c>
      <c r="C2750" s="4">
        <f>MONTH(datos_ventas[[#This Row],[Fecha]])</f>
        <v>5</v>
      </c>
      <c r="D2750" s="4">
        <f>WEEKNUM(datos_ventas[[#This Row],[Fecha]],2)</f>
        <v>19</v>
      </c>
      <c r="E2750" t="s">
        <v>20</v>
      </c>
      <c r="F2750" t="s">
        <v>21</v>
      </c>
      <c r="G2750">
        <v>5</v>
      </c>
      <c r="H2750">
        <v>112379</v>
      </c>
      <c r="I2750">
        <v>2777</v>
      </c>
      <c r="J2750" t="s">
        <v>32</v>
      </c>
      <c r="K2750" t="str">
        <f>_xlfn.XLOOKUP(datos_ventas[[#This Row],[Ciudad]],Tabla2[Ciudades],Tabla2[Provincias],"no se encuentra")</f>
        <v>Barcelona</v>
      </c>
      <c r="L2750" t="str">
        <f>_xlfn.XLOOKUP(datos_ventas[[#This Row],[Provincia]],Tabla2[Provincias],Tabla2[Comunidades],"no se encuentra")</f>
        <v>Cataluña</v>
      </c>
      <c r="M2750" t="s">
        <v>13</v>
      </c>
      <c r="N2750">
        <v>5</v>
      </c>
    </row>
    <row r="2751" spans="1:14" x14ac:dyDescent="0.25">
      <c r="A2751">
        <v>3750</v>
      </c>
      <c r="B2751" s="1">
        <v>45849</v>
      </c>
      <c r="C2751" s="4">
        <f>MONTH(datos_ventas[[#This Row],[Fecha]])</f>
        <v>7</v>
      </c>
      <c r="D2751" s="4">
        <f>WEEKNUM(datos_ventas[[#This Row],[Fecha]],2)</f>
        <v>28</v>
      </c>
      <c r="E2751" t="s">
        <v>29</v>
      </c>
      <c r="F2751" t="s">
        <v>30</v>
      </c>
      <c r="G2751">
        <v>4</v>
      </c>
      <c r="H2751">
        <v>23225</v>
      </c>
      <c r="I2751">
        <v>4292</v>
      </c>
      <c r="J2751" t="s">
        <v>32</v>
      </c>
      <c r="K2751" t="str">
        <f>_xlfn.XLOOKUP(datos_ventas[[#This Row],[Ciudad]],Tabla2[Ciudades],Tabla2[Provincias],"no se encuentra")</f>
        <v>Barcelona</v>
      </c>
      <c r="L2751" t="str">
        <f>_xlfn.XLOOKUP(datos_ventas[[#This Row],[Provincia]],Tabla2[Provincias],Tabla2[Comunidades],"no se encuentra")</f>
        <v>Cataluña</v>
      </c>
      <c r="M2751" t="s">
        <v>28</v>
      </c>
      <c r="N2751">
        <v>3</v>
      </c>
    </row>
    <row r="2752" spans="1:14" x14ac:dyDescent="0.25">
      <c r="A2752">
        <v>3751</v>
      </c>
      <c r="B2752" s="1">
        <v>45754</v>
      </c>
      <c r="C2752" s="4">
        <f>MONTH(datos_ventas[[#This Row],[Fecha]])</f>
        <v>4</v>
      </c>
      <c r="D2752" s="4">
        <f>WEEKNUM(datos_ventas[[#This Row],[Fecha]],2)</f>
        <v>15</v>
      </c>
      <c r="E2752" t="s">
        <v>20</v>
      </c>
      <c r="F2752" t="s">
        <v>21</v>
      </c>
      <c r="G2752">
        <v>4</v>
      </c>
      <c r="H2752">
        <v>50876</v>
      </c>
      <c r="I2752">
        <v>3671</v>
      </c>
      <c r="J2752" t="s">
        <v>27</v>
      </c>
      <c r="K2752" t="str">
        <f>_xlfn.XLOOKUP(datos_ventas[[#This Row],[Ciudad]],Tabla2[Ciudades],Tabla2[Provincias],"no se encuentra")</f>
        <v>Sevilla</v>
      </c>
      <c r="L2752" t="str">
        <f>_xlfn.XLOOKUP(datos_ventas[[#This Row],[Provincia]],Tabla2[Provincias],Tabla2[Comunidades],"no se encuentra")</f>
        <v>Andalucía</v>
      </c>
      <c r="M2752" t="s">
        <v>19</v>
      </c>
      <c r="N2752">
        <v>4</v>
      </c>
    </row>
    <row r="2753" spans="1:14" x14ac:dyDescent="0.25">
      <c r="A2753">
        <v>3752</v>
      </c>
      <c r="B2753" s="1">
        <v>45755</v>
      </c>
      <c r="C2753" s="4">
        <f>MONTH(datos_ventas[[#This Row],[Fecha]])</f>
        <v>4</v>
      </c>
      <c r="D2753" s="4">
        <f>WEEKNUM(datos_ventas[[#This Row],[Fecha]],2)</f>
        <v>15</v>
      </c>
      <c r="E2753" t="s">
        <v>16</v>
      </c>
      <c r="F2753" t="s">
        <v>11</v>
      </c>
      <c r="G2753">
        <v>2</v>
      </c>
      <c r="H2753">
        <v>97364</v>
      </c>
      <c r="I2753">
        <v>2414</v>
      </c>
      <c r="J2753" t="s">
        <v>22</v>
      </c>
      <c r="K2753" t="str">
        <f>_xlfn.XLOOKUP(datos_ventas[[#This Row],[Ciudad]],Tabla2[Ciudades],Tabla2[Provincias],"no se encuentra")</f>
        <v>Valencia</v>
      </c>
      <c r="L2753" t="str">
        <f>_xlfn.XLOOKUP(datos_ventas[[#This Row],[Provincia]],Tabla2[Provincias],Tabla2[Comunidades],"no se encuentra")</f>
        <v>Comunidad Valenciana</v>
      </c>
      <c r="M2753" t="s">
        <v>19</v>
      </c>
      <c r="N2753">
        <v>4</v>
      </c>
    </row>
    <row r="2754" spans="1:14" x14ac:dyDescent="0.25">
      <c r="A2754">
        <v>3753</v>
      </c>
      <c r="B2754" s="1">
        <v>45816</v>
      </c>
      <c r="C2754" s="4">
        <f>MONTH(datos_ventas[[#This Row],[Fecha]])</f>
        <v>6</v>
      </c>
      <c r="D2754" s="4">
        <f>WEEKNUM(datos_ventas[[#This Row],[Fecha]],2)</f>
        <v>23</v>
      </c>
      <c r="E2754" t="s">
        <v>29</v>
      </c>
      <c r="F2754" t="s">
        <v>30</v>
      </c>
      <c r="G2754">
        <v>5</v>
      </c>
      <c r="H2754">
        <v>30409</v>
      </c>
      <c r="I2754">
        <v>1029</v>
      </c>
      <c r="J2754" t="s">
        <v>14</v>
      </c>
      <c r="K2754" t="str">
        <f>_xlfn.XLOOKUP(datos_ventas[[#This Row],[Ciudad]],Tabla2[Ciudades],Tabla2[Provincias],"no se encuentra")</f>
        <v>Madrid</v>
      </c>
      <c r="L2754" t="str">
        <f>_xlfn.XLOOKUP(datos_ventas[[#This Row],[Provincia]],Tabla2[Provincias],Tabla2[Comunidades],"no se encuentra")</f>
        <v>Comunidad de Madrid</v>
      </c>
      <c r="M2754" t="s">
        <v>28</v>
      </c>
      <c r="N2754">
        <v>1</v>
      </c>
    </row>
    <row r="2755" spans="1:14" x14ac:dyDescent="0.25">
      <c r="A2755">
        <v>3754</v>
      </c>
      <c r="B2755" s="1">
        <v>45700</v>
      </c>
      <c r="C2755" s="4">
        <f>MONTH(datos_ventas[[#This Row],[Fecha]])</f>
        <v>2</v>
      </c>
      <c r="D2755" s="4">
        <f>WEEKNUM(datos_ventas[[#This Row],[Fecha]],2)</f>
        <v>7</v>
      </c>
      <c r="E2755" t="s">
        <v>26</v>
      </c>
      <c r="F2755" t="s">
        <v>18</v>
      </c>
      <c r="G2755">
        <v>3</v>
      </c>
      <c r="H2755">
        <v>108753</v>
      </c>
      <c r="I2755">
        <v>451</v>
      </c>
      <c r="J2755" t="s">
        <v>12</v>
      </c>
      <c r="K2755" t="str">
        <f>_xlfn.XLOOKUP(datos_ventas[[#This Row],[Ciudad]],Tabla2[Ciudades],Tabla2[Provincias],"no se encuentra")</f>
        <v>Málaga</v>
      </c>
      <c r="L2755" t="str">
        <f>_xlfn.XLOOKUP(datos_ventas[[#This Row],[Provincia]],Tabla2[Provincias],Tabla2[Comunidades],"no se encuentra")</f>
        <v>Andalucía</v>
      </c>
      <c r="M2755" t="s">
        <v>19</v>
      </c>
      <c r="N2755">
        <v>1</v>
      </c>
    </row>
    <row r="2756" spans="1:14" x14ac:dyDescent="0.25">
      <c r="A2756">
        <v>3755</v>
      </c>
      <c r="B2756" s="1">
        <v>45830</v>
      </c>
      <c r="C2756" s="4">
        <f>MONTH(datos_ventas[[#This Row],[Fecha]])</f>
        <v>6</v>
      </c>
      <c r="D2756" s="4">
        <f>WEEKNUM(datos_ventas[[#This Row],[Fecha]],2)</f>
        <v>25</v>
      </c>
      <c r="E2756" t="s">
        <v>17</v>
      </c>
      <c r="F2756" t="s">
        <v>18</v>
      </c>
      <c r="G2756">
        <v>5</v>
      </c>
      <c r="H2756">
        <v>109023</v>
      </c>
      <c r="I2756">
        <v>4252</v>
      </c>
      <c r="J2756" t="s">
        <v>32</v>
      </c>
      <c r="K2756" t="str">
        <f>_xlfn.XLOOKUP(datos_ventas[[#This Row],[Ciudad]],Tabla2[Ciudades],Tabla2[Provincias],"no se encuentra")</f>
        <v>Barcelona</v>
      </c>
      <c r="L2756" t="str">
        <f>_xlfn.XLOOKUP(datos_ventas[[#This Row],[Provincia]],Tabla2[Provincias],Tabla2[Comunidades],"no se encuentra")</f>
        <v>Cataluña</v>
      </c>
      <c r="M2756" t="s">
        <v>19</v>
      </c>
      <c r="N2756">
        <v>1</v>
      </c>
    </row>
    <row r="2757" spans="1:14" x14ac:dyDescent="0.25">
      <c r="A2757">
        <v>3756</v>
      </c>
      <c r="B2757" s="1">
        <v>45724</v>
      </c>
      <c r="C2757" s="4">
        <f>MONTH(datos_ventas[[#This Row],[Fecha]])</f>
        <v>3</v>
      </c>
      <c r="D2757" s="4">
        <f>WEEKNUM(datos_ventas[[#This Row],[Fecha]],2)</f>
        <v>10</v>
      </c>
      <c r="E2757" t="s">
        <v>24</v>
      </c>
      <c r="F2757" t="s">
        <v>25</v>
      </c>
      <c r="G2757">
        <v>4</v>
      </c>
      <c r="H2757">
        <v>97323</v>
      </c>
      <c r="I2757">
        <v>447</v>
      </c>
      <c r="J2757" t="s">
        <v>12</v>
      </c>
      <c r="K2757" t="str">
        <f>_xlfn.XLOOKUP(datos_ventas[[#This Row],[Ciudad]],Tabla2[Ciudades],Tabla2[Provincias],"no se encuentra")</f>
        <v>Málaga</v>
      </c>
      <c r="L2757" t="str">
        <f>_xlfn.XLOOKUP(datos_ventas[[#This Row],[Provincia]],Tabla2[Provincias],Tabla2[Comunidades],"no se encuentra")</f>
        <v>Andalucía</v>
      </c>
      <c r="M2757" t="s">
        <v>19</v>
      </c>
      <c r="N2757">
        <v>4</v>
      </c>
    </row>
    <row r="2758" spans="1:14" x14ac:dyDescent="0.25">
      <c r="A2758">
        <v>3757</v>
      </c>
      <c r="B2758" s="1">
        <v>45953</v>
      </c>
      <c r="C2758" s="4">
        <f>MONTH(datos_ventas[[#This Row],[Fecha]])</f>
        <v>10</v>
      </c>
      <c r="D2758" s="4">
        <f>WEEKNUM(datos_ventas[[#This Row],[Fecha]],2)</f>
        <v>43</v>
      </c>
      <c r="E2758" t="s">
        <v>20</v>
      </c>
      <c r="F2758" t="s">
        <v>21</v>
      </c>
      <c r="G2758">
        <v>4</v>
      </c>
      <c r="H2758">
        <v>86483</v>
      </c>
      <c r="I2758">
        <v>2771</v>
      </c>
      <c r="J2758" t="s">
        <v>12</v>
      </c>
      <c r="K2758" t="str">
        <f>_xlfn.XLOOKUP(datos_ventas[[#This Row],[Ciudad]],Tabla2[Ciudades],Tabla2[Provincias],"no se encuentra")</f>
        <v>Málaga</v>
      </c>
      <c r="L2758" t="str">
        <f>_xlfn.XLOOKUP(datos_ventas[[#This Row],[Provincia]],Tabla2[Provincias],Tabla2[Comunidades],"no se encuentra")</f>
        <v>Andalucía</v>
      </c>
      <c r="M2758" t="s">
        <v>19</v>
      </c>
      <c r="N2758">
        <v>4</v>
      </c>
    </row>
    <row r="2759" spans="1:14" x14ac:dyDescent="0.25">
      <c r="A2759">
        <v>3758</v>
      </c>
      <c r="B2759" s="1">
        <v>45801</v>
      </c>
      <c r="C2759" s="4">
        <f>MONTH(datos_ventas[[#This Row],[Fecha]])</f>
        <v>5</v>
      </c>
      <c r="D2759" s="4">
        <f>WEEKNUM(datos_ventas[[#This Row],[Fecha]],2)</f>
        <v>21</v>
      </c>
      <c r="E2759" t="s">
        <v>10</v>
      </c>
      <c r="F2759" t="s">
        <v>11</v>
      </c>
      <c r="G2759">
        <v>2</v>
      </c>
      <c r="H2759">
        <v>87087</v>
      </c>
      <c r="I2759">
        <v>2264</v>
      </c>
      <c r="J2759" t="s">
        <v>14</v>
      </c>
      <c r="K2759" t="str">
        <f>_xlfn.XLOOKUP(datos_ventas[[#This Row],[Ciudad]],Tabla2[Ciudades],Tabla2[Provincias],"no se encuentra")</f>
        <v>Madrid</v>
      </c>
      <c r="L2759" t="str">
        <f>_xlfn.XLOOKUP(datos_ventas[[#This Row],[Provincia]],Tabla2[Provincias],Tabla2[Comunidades],"no se encuentra")</f>
        <v>Comunidad de Madrid</v>
      </c>
      <c r="M2759" t="s">
        <v>28</v>
      </c>
      <c r="N2759">
        <v>5</v>
      </c>
    </row>
    <row r="2760" spans="1:14" x14ac:dyDescent="0.25">
      <c r="A2760">
        <v>3759</v>
      </c>
      <c r="B2760" s="1">
        <v>45690</v>
      </c>
      <c r="C2760" s="4">
        <f>MONTH(datos_ventas[[#This Row],[Fecha]])</f>
        <v>2</v>
      </c>
      <c r="D2760" s="4">
        <f>WEEKNUM(datos_ventas[[#This Row],[Fecha]],2)</f>
        <v>5</v>
      </c>
      <c r="E2760" t="s">
        <v>23</v>
      </c>
      <c r="F2760" t="s">
        <v>18</v>
      </c>
      <c r="G2760">
        <v>4</v>
      </c>
      <c r="H2760">
        <v>83091</v>
      </c>
      <c r="I2760">
        <v>4026</v>
      </c>
      <c r="J2760" t="s">
        <v>12</v>
      </c>
      <c r="K2760" t="str">
        <f>_xlfn.XLOOKUP(datos_ventas[[#This Row],[Ciudad]],Tabla2[Ciudades],Tabla2[Provincias],"no se encuentra")</f>
        <v>Málaga</v>
      </c>
      <c r="L2760" t="str">
        <f>_xlfn.XLOOKUP(datos_ventas[[#This Row],[Provincia]],Tabla2[Provincias],Tabla2[Comunidades],"no se encuentra")</f>
        <v>Andalucía</v>
      </c>
      <c r="M2760" t="s">
        <v>13</v>
      </c>
      <c r="N2760">
        <v>1</v>
      </c>
    </row>
    <row r="2761" spans="1:14" x14ac:dyDescent="0.25">
      <c r="A2761">
        <v>3760</v>
      </c>
      <c r="B2761" s="1">
        <v>45963</v>
      </c>
      <c r="C2761" s="4">
        <f>MONTH(datos_ventas[[#This Row],[Fecha]])</f>
        <v>11</v>
      </c>
      <c r="D2761" s="4">
        <f>WEEKNUM(datos_ventas[[#This Row],[Fecha]],2)</f>
        <v>44</v>
      </c>
      <c r="E2761" t="s">
        <v>20</v>
      </c>
      <c r="F2761" t="s">
        <v>21</v>
      </c>
      <c r="G2761">
        <v>3</v>
      </c>
      <c r="H2761">
        <v>6280</v>
      </c>
      <c r="I2761">
        <v>3238</v>
      </c>
      <c r="J2761" t="s">
        <v>31</v>
      </c>
      <c r="K2761" t="str">
        <f>_xlfn.XLOOKUP(datos_ventas[[#This Row],[Ciudad]],Tabla2[Ciudades],Tabla2[Provincias],"no se encuentra")</f>
        <v>Vizcaya</v>
      </c>
      <c r="L2761" t="str">
        <f>_xlfn.XLOOKUP(datos_ventas[[#This Row],[Provincia]],Tabla2[Provincias],Tabla2[Comunidades],"no se encuentra")</f>
        <v>País Vasco</v>
      </c>
      <c r="M2761" t="s">
        <v>13</v>
      </c>
      <c r="N2761">
        <v>4</v>
      </c>
    </row>
    <row r="2762" spans="1:14" x14ac:dyDescent="0.25">
      <c r="A2762">
        <v>3761</v>
      </c>
      <c r="B2762" s="1">
        <v>45773</v>
      </c>
      <c r="C2762" s="4">
        <f>MONTH(datos_ventas[[#This Row],[Fecha]])</f>
        <v>4</v>
      </c>
      <c r="D2762" s="4">
        <f>WEEKNUM(datos_ventas[[#This Row],[Fecha]],2)</f>
        <v>17</v>
      </c>
      <c r="E2762" t="s">
        <v>24</v>
      </c>
      <c r="F2762" t="s">
        <v>25</v>
      </c>
      <c r="G2762">
        <v>4</v>
      </c>
      <c r="H2762">
        <v>107429</v>
      </c>
      <c r="I2762">
        <v>3348</v>
      </c>
      <c r="J2762" t="s">
        <v>32</v>
      </c>
      <c r="K2762" t="str">
        <f>_xlfn.XLOOKUP(datos_ventas[[#This Row],[Ciudad]],Tabla2[Ciudades],Tabla2[Provincias],"no se encuentra")</f>
        <v>Barcelona</v>
      </c>
      <c r="L2762" t="str">
        <f>_xlfn.XLOOKUP(datos_ventas[[#This Row],[Provincia]],Tabla2[Provincias],Tabla2[Comunidades],"no se encuentra")</f>
        <v>Cataluña</v>
      </c>
      <c r="M2762" t="s">
        <v>28</v>
      </c>
      <c r="N2762">
        <v>2</v>
      </c>
    </row>
    <row r="2763" spans="1:14" x14ac:dyDescent="0.25">
      <c r="A2763">
        <v>3762</v>
      </c>
      <c r="B2763" s="1">
        <v>45705</v>
      </c>
      <c r="C2763" s="4">
        <f>MONTH(datos_ventas[[#This Row],[Fecha]])</f>
        <v>2</v>
      </c>
      <c r="D2763" s="4">
        <f>WEEKNUM(datos_ventas[[#This Row],[Fecha]],2)</f>
        <v>8</v>
      </c>
      <c r="E2763" t="s">
        <v>16</v>
      </c>
      <c r="F2763" t="s">
        <v>11</v>
      </c>
      <c r="G2763">
        <v>2</v>
      </c>
      <c r="H2763">
        <v>47553</v>
      </c>
      <c r="I2763">
        <v>1191</v>
      </c>
      <c r="J2763" t="s">
        <v>12</v>
      </c>
      <c r="K2763" t="str">
        <f>_xlfn.XLOOKUP(datos_ventas[[#This Row],[Ciudad]],Tabla2[Ciudades],Tabla2[Provincias],"no se encuentra")</f>
        <v>Málaga</v>
      </c>
      <c r="L2763" t="str">
        <f>_xlfn.XLOOKUP(datos_ventas[[#This Row],[Provincia]],Tabla2[Provincias],Tabla2[Comunidades],"no se encuentra")</f>
        <v>Andalucía</v>
      </c>
      <c r="M2763" t="s">
        <v>15</v>
      </c>
      <c r="N2763">
        <v>2</v>
      </c>
    </row>
    <row r="2764" spans="1:14" x14ac:dyDescent="0.25">
      <c r="A2764">
        <v>3763</v>
      </c>
      <c r="B2764" s="1">
        <v>45904</v>
      </c>
      <c r="C2764" s="4">
        <f>MONTH(datos_ventas[[#This Row],[Fecha]])</f>
        <v>9</v>
      </c>
      <c r="D2764" s="4">
        <f>WEEKNUM(datos_ventas[[#This Row],[Fecha]],2)</f>
        <v>36</v>
      </c>
      <c r="E2764" t="s">
        <v>10</v>
      </c>
      <c r="F2764" t="s">
        <v>11</v>
      </c>
      <c r="G2764">
        <v>3</v>
      </c>
      <c r="H2764">
        <v>17315</v>
      </c>
      <c r="I2764">
        <v>1655</v>
      </c>
      <c r="J2764" t="s">
        <v>22</v>
      </c>
      <c r="K2764" t="str">
        <f>_xlfn.XLOOKUP(datos_ventas[[#This Row],[Ciudad]],Tabla2[Ciudades],Tabla2[Provincias],"no se encuentra")</f>
        <v>Valencia</v>
      </c>
      <c r="L2764" t="str">
        <f>_xlfn.XLOOKUP(datos_ventas[[#This Row],[Provincia]],Tabla2[Provincias],Tabla2[Comunidades],"no se encuentra")</f>
        <v>Comunidad Valenciana</v>
      </c>
      <c r="M2764" t="s">
        <v>28</v>
      </c>
      <c r="N2764">
        <v>2</v>
      </c>
    </row>
    <row r="2765" spans="1:14" x14ac:dyDescent="0.25">
      <c r="A2765">
        <v>3764</v>
      </c>
      <c r="B2765" s="1">
        <v>45860</v>
      </c>
      <c r="C2765" s="4">
        <f>MONTH(datos_ventas[[#This Row],[Fecha]])</f>
        <v>7</v>
      </c>
      <c r="D2765" s="4">
        <f>WEEKNUM(datos_ventas[[#This Row],[Fecha]],2)</f>
        <v>30</v>
      </c>
      <c r="E2765" t="s">
        <v>24</v>
      </c>
      <c r="F2765" t="s">
        <v>25</v>
      </c>
      <c r="G2765">
        <v>3</v>
      </c>
      <c r="H2765">
        <v>55678</v>
      </c>
      <c r="I2765">
        <v>841</v>
      </c>
      <c r="J2765" t="s">
        <v>31</v>
      </c>
      <c r="K2765" t="str">
        <f>_xlfn.XLOOKUP(datos_ventas[[#This Row],[Ciudad]],Tabla2[Ciudades],Tabla2[Provincias],"no se encuentra")</f>
        <v>Vizcaya</v>
      </c>
      <c r="L2765" t="str">
        <f>_xlfn.XLOOKUP(datos_ventas[[#This Row],[Provincia]],Tabla2[Provincias],Tabla2[Comunidades],"no se encuentra")</f>
        <v>País Vasco</v>
      </c>
      <c r="M2765" t="s">
        <v>19</v>
      </c>
      <c r="N2765">
        <v>1</v>
      </c>
    </row>
    <row r="2766" spans="1:14" x14ac:dyDescent="0.25">
      <c r="A2766">
        <v>3765</v>
      </c>
      <c r="B2766" s="1">
        <v>45867</v>
      </c>
      <c r="C2766" s="4">
        <f>MONTH(datos_ventas[[#This Row],[Fecha]])</f>
        <v>7</v>
      </c>
      <c r="D2766" s="4">
        <f>WEEKNUM(datos_ventas[[#This Row],[Fecha]],2)</f>
        <v>31</v>
      </c>
      <c r="E2766" t="s">
        <v>23</v>
      </c>
      <c r="F2766" t="s">
        <v>18</v>
      </c>
      <c r="G2766">
        <v>1</v>
      </c>
      <c r="H2766">
        <v>7800</v>
      </c>
      <c r="I2766">
        <v>252</v>
      </c>
      <c r="J2766" t="s">
        <v>22</v>
      </c>
      <c r="K2766" t="str">
        <f>_xlfn.XLOOKUP(datos_ventas[[#This Row],[Ciudad]],Tabla2[Ciudades],Tabla2[Provincias],"no se encuentra")</f>
        <v>Valencia</v>
      </c>
      <c r="L2766" t="str">
        <f>_xlfn.XLOOKUP(datos_ventas[[#This Row],[Provincia]],Tabla2[Provincias],Tabla2[Comunidades],"no se encuentra")</f>
        <v>Comunidad Valenciana</v>
      </c>
      <c r="M2766" t="s">
        <v>15</v>
      </c>
      <c r="N2766">
        <v>1</v>
      </c>
    </row>
    <row r="2767" spans="1:14" x14ac:dyDescent="0.25">
      <c r="A2767">
        <v>3766</v>
      </c>
      <c r="B2767" s="1">
        <v>45846</v>
      </c>
      <c r="C2767" s="4">
        <f>MONTH(datos_ventas[[#This Row],[Fecha]])</f>
        <v>7</v>
      </c>
      <c r="D2767" s="4">
        <f>WEEKNUM(datos_ventas[[#This Row],[Fecha]],2)</f>
        <v>28</v>
      </c>
      <c r="E2767" t="s">
        <v>17</v>
      </c>
      <c r="F2767" t="s">
        <v>18</v>
      </c>
      <c r="G2767">
        <v>2</v>
      </c>
      <c r="H2767">
        <v>7468</v>
      </c>
      <c r="I2767">
        <v>3772</v>
      </c>
      <c r="J2767" t="s">
        <v>27</v>
      </c>
      <c r="K2767" t="str">
        <f>_xlfn.XLOOKUP(datos_ventas[[#This Row],[Ciudad]],Tabla2[Ciudades],Tabla2[Provincias],"no se encuentra")</f>
        <v>Sevilla</v>
      </c>
      <c r="L2767" t="str">
        <f>_xlfn.XLOOKUP(datos_ventas[[#This Row],[Provincia]],Tabla2[Provincias],Tabla2[Comunidades],"no se encuentra")</f>
        <v>Andalucía</v>
      </c>
      <c r="M2767" t="s">
        <v>13</v>
      </c>
      <c r="N2767">
        <v>4</v>
      </c>
    </row>
    <row r="2768" spans="1:14" x14ac:dyDescent="0.25">
      <c r="A2768">
        <v>3767</v>
      </c>
      <c r="B2768" s="1">
        <v>45803</v>
      </c>
      <c r="C2768" s="4">
        <f>MONTH(datos_ventas[[#This Row],[Fecha]])</f>
        <v>5</v>
      </c>
      <c r="D2768" s="4">
        <f>WEEKNUM(datos_ventas[[#This Row],[Fecha]],2)</f>
        <v>22</v>
      </c>
      <c r="E2768" t="s">
        <v>29</v>
      </c>
      <c r="F2768" t="s">
        <v>30</v>
      </c>
      <c r="G2768">
        <v>3</v>
      </c>
      <c r="H2768">
        <v>118224</v>
      </c>
      <c r="I2768">
        <v>3637</v>
      </c>
      <c r="J2768" t="s">
        <v>31</v>
      </c>
      <c r="K2768" t="str">
        <f>_xlfn.XLOOKUP(datos_ventas[[#This Row],[Ciudad]],Tabla2[Ciudades],Tabla2[Provincias],"no se encuentra")</f>
        <v>Vizcaya</v>
      </c>
      <c r="L2768" t="str">
        <f>_xlfn.XLOOKUP(datos_ventas[[#This Row],[Provincia]],Tabla2[Provincias],Tabla2[Comunidades],"no se encuentra")</f>
        <v>País Vasco</v>
      </c>
      <c r="M2768" t="s">
        <v>13</v>
      </c>
      <c r="N2768">
        <v>2</v>
      </c>
    </row>
    <row r="2769" spans="1:14" x14ac:dyDescent="0.25">
      <c r="A2769">
        <v>3768</v>
      </c>
      <c r="B2769" s="1">
        <v>45863</v>
      </c>
      <c r="C2769" s="4">
        <f>MONTH(datos_ventas[[#This Row],[Fecha]])</f>
        <v>7</v>
      </c>
      <c r="D2769" s="4">
        <f>WEEKNUM(datos_ventas[[#This Row],[Fecha]],2)</f>
        <v>30</v>
      </c>
      <c r="E2769" t="s">
        <v>23</v>
      </c>
      <c r="F2769" t="s">
        <v>18</v>
      </c>
      <c r="G2769">
        <v>5</v>
      </c>
      <c r="H2769">
        <v>45515</v>
      </c>
      <c r="I2769">
        <v>3885</v>
      </c>
      <c r="J2769" t="s">
        <v>32</v>
      </c>
      <c r="K2769" t="str">
        <f>_xlfn.XLOOKUP(datos_ventas[[#This Row],[Ciudad]],Tabla2[Ciudades],Tabla2[Provincias],"no se encuentra")</f>
        <v>Barcelona</v>
      </c>
      <c r="L2769" t="str">
        <f>_xlfn.XLOOKUP(datos_ventas[[#This Row],[Provincia]],Tabla2[Provincias],Tabla2[Comunidades],"no se encuentra")</f>
        <v>Cataluña</v>
      </c>
      <c r="M2769" t="s">
        <v>13</v>
      </c>
      <c r="N2769">
        <v>2</v>
      </c>
    </row>
    <row r="2770" spans="1:14" x14ac:dyDescent="0.25">
      <c r="A2770">
        <v>3769</v>
      </c>
      <c r="B2770" s="1">
        <v>45717</v>
      </c>
      <c r="C2770" s="4">
        <f>MONTH(datos_ventas[[#This Row],[Fecha]])</f>
        <v>3</v>
      </c>
      <c r="D2770" s="4">
        <f>WEEKNUM(datos_ventas[[#This Row],[Fecha]],2)</f>
        <v>9</v>
      </c>
      <c r="E2770" t="s">
        <v>20</v>
      </c>
      <c r="F2770" t="s">
        <v>21</v>
      </c>
      <c r="G2770">
        <v>4</v>
      </c>
      <c r="H2770">
        <v>7339</v>
      </c>
      <c r="I2770">
        <v>1157</v>
      </c>
      <c r="J2770" t="s">
        <v>22</v>
      </c>
      <c r="K2770" t="str">
        <f>_xlfn.XLOOKUP(datos_ventas[[#This Row],[Ciudad]],Tabla2[Ciudades],Tabla2[Provincias],"no se encuentra")</f>
        <v>Valencia</v>
      </c>
      <c r="L2770" t="str">
        <f>_xlfn.XLOOKUP(datos_ventas[[#This Row],[Provincia]],Tabla2[Provincias],Tabla2[Comunidades],"no se encuentra")</f>
        <v>Comunidad Valenciana</v>
      </c>
      <c r="M2770" t="s">
        <v>13</v>
      </c>
      <c r="N2770">
        <v>2</v>
      </c>
    </row>
    <row r="2771" spans="1:14" x14ac:dyDescent="0.25">
      <c r="A2771">
        <v>3770</v>
      </c>
      <c r="B2771" s="1">
        <v>45674</v>
      </c>
      <c r="C2771" s="4">
        <f>MONTH(datos_ventas[[#This Row],[Fecha]])</f>
        <v>1</v>
      </c>
      <c r="D2771" s="4">
        <f>WEEKNUM(datos_ventas[[#This Row],[Fecha]],2)</f>
        <v>3</v>
      </c>
      <c r="E2771" t="s">
        <v>20</v>
      </c>
      <c r="F2771" t="s">
        <v>21</v>
      </c>
      <c r="G2771">
        <v>4</v>
      </c>
      <c r="H2771">
        <v>60387</v>
      </c>
      <c r="I2771">
        <v>431</v>
      </c>
      <c r="J2771" t="s">
        <v>27</v>
      </c>
      <c r="K2771" t="str">
        <f>_xlfn.XLOOKUP(datos_ventas[[#This Row],[Ciudad]],Tabla2[Ciudades],Tabla2[Provincias],"no se encuentra")</f>
        <v>Sevilla</v>
      </c>
      <c r="L2771" t="str">
        <f>_xlfn.XLOOKUP(datos_ventas[[#This Row],[Provincia]],Tabla2[Provincias],Tabla2[Comunidades],"no se encuentra")</f>
        <v>Andalucía</v>
      </c>
      <c r="M2771" t="s">
        <v>13</v>
      </c>
      <c r="N2771">
        <v>2</v>
      </c>
    </row>
    <row r="2772" spans="1:14" x14ac:dyDescent="0.25">
      <c r="A2772">
        <v>3771</v>
      </c>
      <c r="B2772" s="1">
        <v>45707</v>
      </c>
      <c r="C2772" s="4">
        <f>MONTH(datos_ventas[[#This Row],[Fecha]])</f>
        <v>2</v>
      </c>
      <c r="D2772" s="4">
        <f>WEEKNUM(datos_ventas[[#This Row],[Fecha]],2)</f>
        <v>8</v>
      </c>
      <c r="E2772" t="s">
        <v>29</v>
      </c>
      <c r="F2772" t="s">
        <v>30</v>
      </c>
      <c r="G2772">
        <v>2</v>
      </c>
      <c r="H2772">
        <v>118434</v>
      </c>
      <c r="I2772">
        <v>2951</v>
      </c>
      <c r="J2772" t="s">
        <v>31</v>
      </c>
      <c r="K2772" t="str">
        <f>_xlfn.XLOOKUP(datos_ventas[[#This Row],[Ciudad]],Tabla2[Ciudades],Tabla2[Provincias],"no se encuentra")</f>
        <v>Vizcaya</v>
      </c>
      <c r="L2772" t="str">
        <f>_xlfn.XLOOKUP(datos_ventas[[#This Row],[Provincia]],Tabla2[Provincias],Tabla2[Comunidades],"no se encuentra")</f>
        <v>País Vasco</v>
      </c>
      <c r="M2772" t="s">
        <v>13</v>
      </c>
      <c r="N2772">
        <v>2</v>
      </c>
    </row>
    <row r="2773" spans="1:14" x14ac:dyDescent="0.25">
      <c r="A2773">
        <v>3772</v>
      </c>
      <c r="B2773" s="1">
        <v>45899</v>
      </c>
      <c r="C2773" s="4">
        <f>MONTH(datos_ventas[[#This Row],[Fecha]])</f>
        <v>8</v>
      </c>
      <c r="D2773" s="4">
        <f>WEEKNUM(datos_ventas[[#This Row],[Fecha]],2)</f>
        <v>35</v>
      </c>
      <c r="E2773" t="s">
        <v>20</v>
      </c>
      <c r="F2773" t="s">
        <v>21</v>
      </c>
      <c r="G2773">
        <v>1</v>
      </c>
      <c r="H2773">
        <v>78452</v>
      </c>
      <c r="I2773">
        <v>2611</v>
      </c>
      <c r="J2773" t="s">
        <v>32</v>
      </c>
      <c r="K2773" t="str">
        <f>_xlfn.XLOOKUP(datos_ventas[[#This Row],[Ciudad]],Tabla2[Ciudades],Tabla2[Provincias],"no se encuentra")</f>
        <v>Barcelona</v>
      </c>
      <c r="L2773" t="str">
        <f>_xlfn.XLOOKUP(datos_ventas[[#This Row],[Provincia]],Tabla2[Provincias],Tabla2[Comunidades],"no se encuentra")</f>
        <v>Cataluña</v>
      </c>
      <c r="M2773" t="s">
        <v>28</v>
      </c>
      <c r="N2773">
        <v>4</v>
      </c>
    </row>
    <row r="2774" spans="1:14" x14ac:dyDescent="0.25">
      <c r="A2774">
        <v>3773</v>
      </c>
      <c r="B2774" s="1">
        <v>45842</v>
      </c>
      <c r="C2774" s="4">
        <f>MONTH(datos_ventas[[#This Row],[Fecha]])</f>
        <v>7</v>
      </c>
      <c r="D2774" s="4">
        <f>WEEKNUM(datos_ventas[[#This Row],[Fecha]],2)</f>
        <v>27</v>
      </c>
      <c r="E2774" t="s">
        <v>23</v>
      </c>
      <c r="F2774" t="s">
        <v>18</v>
      </c>
      <c r="G2774">
        <v>3</v>
      </c>
      <c r="H2774">
        <v>53283</v>
      </c>
      <c r="I2774">
        <v>53</v>
      </c>
      <c r="J2774" t="s">
        <v>27</v>
      </c>
      <c r="K2774" t="str">
        <f>_xlfn.XLOOKUP(datos_ventas[[#This Row],[Ciudad]],Tabla2[Ciudades],Tabla2[Provincias],"no se encuentra")</f>
        <v>Sevilla</v>
      </c>
      <c r="L2774" t="str">
        <f>_xlfn.XLOOKUP(datos_ventas[[#This Row],[Provincia]],Tabla2[Provincias],Tabla2[Comunidades],"no se encuentra")</f>
        <v>Andalucía</v>
      </c>
      <c r="M2774" t="s">
        <v>19</v>
      </c>
      <c r="N2774">
        <v>5</v>
      </c>
    </row>
    <row r="2775" spans="1:14" x14ac:dyDescent="0.25">
      <c r="A2775">
        <v>3774</v>
      </c>
      <c r="B2775" s="1">
        <v>45682</v>
      </c>
      <c r="C2775" s="4">
        <f>MONTH(datos_ventas[[#This Row],[Fecha]])</f>
        <v>1</v>
      </c>
      <c r="D2775" s="4">
        <f>WEEKNUM(datos_ventas[[#This Row],[Fecha]],2)</f>
        <v>4</v>
      </c>
      <c r="E2775" t="s">
        <v>26</v>
      </c>
      <c r="F2775" t="s">
        <v>18</v>
      </c>
      <c r="G2775">
        <v>4</v>
      </c>
      <c r="H2775">
        <v>54491</v>
      </c>
      <c r="I2775">
        <v>4266</v>
      </c>
      <c r="J2775" t="s">
        <v>32</v>
      </c>
      <c r="K2775" t="str">
        <f>_xlfn.XLOOKUP(datos_ventas[[#This Row],[Ciudad]],Tabla2[Ciudades],Tabla2[Provincias],"no se encuentra")</f>
        <v>Barcelona</v>
      </c>
      <c r="L2775" t="str">
        <f>_xlfn.XLOOKUP(datos_ventas[[#This Row],[Provincia]],Tabla2[Provincias],Tabla2[Comunidades],"no se encuentra")</f>
        <v>Cataluña</v>
      </c>
      <c r="M2775" t="s">
        <v>13</v>
      </c>
      <c r="N2775">
        <v>1</v>
      </c>
    </row>
    <row r="2776" spans="1:14" x14ac:dyDescent="0.25">
      <c r="A2776">
        <v>3775</v>
      </c>
      <c r="B2776" s="1">
        <v>45926</v>
      </c>
      <c r="C2776" s="4">
        <f>MONTH(datos_ventas[[#This Row],[Fecha]])</f>
        <v>9</v>
      </c>
      <c r="D2776" s="4">
        <f>WEEKNUM(datos_ventas[[#This Row],[Fecha]],2)</f>
        <v>39</v>
      </c>
      <c r="E2776" t="s">
        <v>17</v>
      </c>
      <c r="F2776" t="s">
        <v>18</v>
      </c>
      <c r="G2776">
        <v>1</v>
      </c>
      <c r="H2776">
        <v>25804</v>
      </c>
      <c r="I2776">
        <v>812</v>
      </c>
      <c r="J2776" t="s">
        <v>27</v>
      </c>
      <c r="K2776" t="str">
        <f>_xlfn.XLOOKUP(datos_ventas[[#This Row],[Ciudad]],Tabla2[Ciudades],Tabla2[Provincias],"no se encuentra")</f>
        <v>Sevilla</v>
      </c>
      <c r="L2776" t="str">
        <f>_xlfn.XLOOKUP(datos_ventas[[#This Row],[Provincia]],Tabla2[Provincias],Tabla2[Comunidades],"no se encuentra")</f>
        <v>Andalucía</v>
      </c>
      <c r="M2776" t="s">
        <v>28</v>
      </c>
      <c r="N2776">
        <v>2</v>
      </c>
    </row>
    <row r="2777" spans="1:14" x14ac:dyDescent="0.25">
      <c r="A2777">
        <v>3776</v>
      </c>
      <c r="B2777" s="1">
        <v>45697</v>
      </c>
      <c r="C2777" s="4">
        <f>MONTH(datos_ventas[[#This Row],[Fecha]])</f>
        <v>2</v>
      </c>
      <c r="D2777" s="4">
        <f>WEEKNUM(datos_ventas[[#This Row],[Fecha]],2)</f>
        <v>6</v>
      </c>
      <c r="E2777" t="s">
        <v>16</v>
      </c>
      <c r="F2777" t="s">
        <v>11</v>
      </c>
      <c r="G2777">
        <v>1</v>
      </c>
      <c r="H2777">
        <v>11412</v>
      </c>
      <c r="I2777">
        <v>1766</v>
      </c>
      <c r="J2777" t="s">
        <v>31</v>
      </c>
      <c r="K2777" t="str">
        <f>_xlfn.XLOOKUP(datos_ventas[[#This Row],[Ciudad]],Tabla2[Ciudades],Tabla2[Provincias],"no se encuentra")</f>
        <v>Vizcaya</v>
      </c>
      <c r="L2777" t="str">
        <f>_xlfn.XLOOKUP(datos_ventas[[#This Row],[Provincia]],Tabla2[Provincias],Tabla2[Comunidades],"no se encuentra")</f>
        <v>País Vasco</v>
      </c>
      <c r="M2777" t="s">
        <v>28</v>
      </c>
      <c r="N2777">
        <v>5</v>
      </c>
    </row>
    <row r="2778" spans="1:14" x14ac:dyDescent="0.25">
      <c r="A2778">
        <v>3777</v>
      </c>
      <c r="B2778" s="1">
        <v>45753</v>
      </c>
      <c r="C2778" s="4">
        <f>MONTH(datos_ventas[[#This Row],[Fecha]])</f>
        <v>4</v>
      </c>
      <c r="D2778" s="4">
        <f>WEEKNUM(datos_ventas[[#This Row],[Fecha]],2)</f>
        <v>14</v>
      </c>
      <c r="E2778" t="s">
        <v>29</v>
      </c>
      <c r="F2778" t="s">
        <v>30</v>
      </c>
      <c r="G2778">
        <v>4</v>
      </c>
      <c r="H2778">
        <v>94883</v>
      </c>
      <c r="I2778">
        <v>3585</v>
      </c>
      <c r="J2778" t="s">
        <v>14</v>
      </c>
      <c r="K2778" t="str">
        <f>_xlfn.XLOOKUP(datos_ventas[[#This Row],[Ciudad]],Tabla2[Ciudades],Tabla2[Provincias],"no se encuentra")</f>
        <v>Madrid</v>
      </c>
      <c r="L2778" t="str">
        <f>_xlfn.XLOOKUP(datos_ventas[[#This Row],[Provincia]],Tabla2[Provincias],Tabla2[Comunidades],"no se encuentra")</f>
        <v>Comunidad de Madrid</v>
      </c>
      <c r="M2778" t="s">
        <v>13</v>
      </c>
      <c r="N2778">
        <v>2</v>
      </c>
    </row>
    <row r="2779" spans="1:14" x14ac:dyDescent="0.25">
      <c r="A2779">
        <v>3778</v>
      </c>
      <c r="B2779" s="1">
        <v>45666</v>
      </c>
      <c r="C2779" s="4">
        <f>MONTH(datos_ventas[[#This Row],[Fecha]])</f>
        <v>1</v>
      </c>
      <c r="D2779" s="4">
        <f>WEEKNUM(datos_ventas[[#This Row],[Fecha]],2)</f>
        <v>2</v>
      </c>
      <c r="E2779" t="s">
        <v>24</v>
      </c>
      <c r="F2779" t="s">
        <v>25</v>
      </c>
      <c r="G2779">
        <v>3</v>
      </c>
      <c r="H2779">
        <v>104532</v>
      </c>
      <c r="I2779">
        <v>1537</v>
      </c>
      <c r="J2779" t="s">
        <v>22</v>
      </c>
      <c r="K2779" t="str">
        <f>_xlfn.XLOOKUP(datos_ventas[[#This Row],[Ciudad]],Tabla2[Ciudades],Tabla2[Provincias],"no se encuentra")</f>
        <v>Valencia</v>
      </c>
      <c r="L2779" t="str">
        <f>_xlfn.XLOOKUP(datos_ventas[[#This Row],[Provincia]],Tabla2[Provincias],Tabla2[Comunidades],"no se encuentra")</f>
        <v>Comunidad Valenciana</v>
      </c>
      <c r="M2779" t="s">
        <v>15</v>
      </c>
      <c r="N2779">
        <v>4</v>
      </c>
    </row>
    <row r="2780" spans="1:14" x14ac:dyDescent="0.25">
      <c r="A2780">
        <v>3779</v>
      </c>
      <c r="B2780" s="1">
        <v>45828</v>
      </c>
      <c r="C2780" s="4">
        <f>MONTH(datos_ventas[[#This Row],[Fecha]])</f>
        <v>6</v>
      </c>
      <c r="D2780" s="4">
        <f>WEEKNUM(datos_ventas[[#This Row],[Fecha]],2)</f>
        <v>25</v>
      </c>
      <c r="E2780" t="s">
        <v>16</v>
      </c>
      <c r="F2780" t="s">
        <v>11</v>
      </c>
      <c r="G2780">
        <v>4</v>
      </c>
      <c r="H2780">
        <v>14272</v>
      </c>
      <c r="I2780">
        <v>1524</v>
      </c>
      <c r="J2780" t="s">
        <v>14</v>
      </c>
      <c r="K2780" t="str">
        <f>_xlfn.XLOOKUP(datos_ventas[[#This Row],[Ciudad]],Tabla2[Ciudades],Tabla2[Provincias],"no se encuentra")</f>
        <v>Madrid</v>
      </c>
      <c r="L2780" t="str">
        <f>_xlfn.XLOOKUP(datos_ventas[[#This Row],[Provincia]],Tabla2[Provincias],Tabla2[Comunidades],"no se encuentra")</f>
        <v>Comunidad de Madrid</v>
      </c>
      <c r="M2780" t="s">
        <v>13</v>
      </c>
      <c r="N2780">
        <v>3</v>
      </c>
    </row>
    <row r="2781" spans="1:14" x14ac:dyDescent="0.25">
      <c r="A2781">
        <v>3780</v>
      </c>
      <c r="B2781" s="1">
        <v>45779</v>
      </c>
      <c r="C2781" s="4">
        <f>MONTH(datos_ventas[[#This Row],[Fecha]])</f>
        <v>5</v>
      </c>
      <c r="D2781" s="4">
        <f>WEEKNUM(datos_ventas[[#This Row],[Fecha]],2)</f>
        <v>18</v>
      </c>
      <c r="E2781" t="s">
        <v>23</v>
      </c>
      <c r="F2781" t="s">
        <v>18</v>
      </c>
      <c r="G2781">
        <v>1</v>
      </c>
      <c r="H2781">
        <v>6696</v>
      </c>
      <c r="I2781">
        <v>1285</v>
      </c>
      <c r="J2781" t="s">
        <v>27</v>
      </c>
      <c r="K2781" t="str">
        <f>_xlfn.XLOOKUP(datos_ventas[[#This Row],[Ciudad]],Tabla2[Ciudades],Tabla2[Provincias],"no se encuentra")</f>
        <v>Sevilla</v>
      </c>
      <c r="L2781" t="str">
        <f>_xlfn.XLOOKUP(datos_ventas[[#This Row],[Provincia]],Tabla2[Provincias],Tabla2[Comunidades],"no se encuentra")</f>
        <v>Andalucía</v>
      </c>
      <c r="M2781" t="s">
        <v>13</v>
      </c>
      <c r="N2781">
        <v>4</v>
      </c>
    </row>
    <row r="2782" spans="1:14" x14ac:dyDescent="0.25">
      <c r="A2782">
        <v>3781</v>
      </c>
      <c r="B2782" s="1">
        <v>45937</v>
      </c>
      <c r="C2782" s="4">
        <f>MONTH(datos_ventas[[#This Row],[Fecha]])</f>
        <v>10</v>
      </c>
      <c r="D2782" s="4">
        <f>WEEKNUM(datos_ventas[[#This Row],[Fecha]],2)</f>
        <v>41</v>
      </c>
      <c r="E2782" t="s">
        <v>20</v>
      </c>
      <c r="F2782" t="s">
        <v>21</v>
      </c>
      <c r="G2782">
        <v>2</v>
      </c>
      <c r="H2782">
        <v>16794</v>
      </c>
      <c r="I2782">
        <v>3048</v>
      </c>
      <c r="J2782" t="s">
        <v>12</v>
      </c>
      <c r="K2782" t="str">
        <f>_xlfn.XLOOKUP(datos_ventas[[#This Row],[Ciudad]],Tabla2[Ciudades],Tabla2[Provincias],"no se encuentra")</f>
        <v>Málaga</v>
      </c>
      <c r="L2782" t="str">
        <f>_xlfn.XLOOKUP(datos_ventas[[#This Row],[Provincia]],Tabla2[Provincias],Tabla2[Comunidades],"no se encuentra")</f>
        <v>Andalucía</v>
      </c>
      <c r="M2782" t="s">
        <v>28</v>
      </c>
      <c r="N2782">
        <v>2</v>
      </c>
    </row>
    <row r="2783" spans="1:14" x14ac:dyDescent="0.25">
      <c r="A2783">
        <v>3782</v>
      </c>
      <c r="B2783" s="1">
        <v>45735</v>
      </c>
      <c r="C2783" s="4">
        <f>MONTH(datos_ventas[[#This Row],[Fecha]])</f>
        <v>3</v>
      </c>
      <c r="D2783" s="4">
        <f>WEEKNUM(datos_ventas[[#This Row],[Fecha]],2)</f>
        <v>12</v>
      </c>
      <c r="E2783" t="s">
        <v>20</v>
      </c>
      <c r="F2783" t="s">
        <v>21</v>
      </c>
      <c r="G2783">
        <v>5</v>
      </c>
      <c r="H2783">
        <v>929</v>
      </c>
      <c r="I2783">
        <v>2189</v>
      </c>
      <c r="J2783" t="s">
        <v>22</v>
      </c>
      <c r="K2783" t="str">
        <f>_xlfn.XLOOKUP(datos_ventas[[#This Row],[Ciudad]],Tabla2[Ciudades],Tabla2[Provincias],"no se encuentra")</f>
        <v>Valencia</v>
      </c>
      <c r="L2783" t="str">
        <f>_xlfn.XLOOKUP(datos_ventas[[#This Row],[Provincia]],Tabla2[Provincias],Tabla2[Comunidades],"no se encuentra")</f>
        <v>Comunidad Valenciana</v>
      </c>
      <c r="M2783" t="s">
        <v>15</v>
      </c>
      <c r="N2783">
        <v>3</v>
      </c>
    </row>
    <row r="2784" spans="1:14" x14ac:dyDescent="0.25">
      <c r="A2784">
        <v>3783</v>
      </c>
      <c r="B2784" s="1">
        <v>45677</v>
      </c>
      <c r="C2784" s="4">
        <f>MONTH(datos_ventas[[#This Row],[Fecha]])</f>
        <v>1</v>
      </c>
      <c r="D2784" s="4">
        <f>WEEKNUM(datos_ventas[[#This Row],[Fecha]],2)</f>
        <v>4</v>
      </c>
      <c r="E2784" t="s">
        <v>23</v>
      </c>
      <c r="F2784" t="s">
        <v>18</v>
      </c>
      <c r="G2784">
        <v>5</v>
      </c>
      <c r="H2784">
        <v>738</v>
      </c>
      <c r="I2784">
        <v>3457</v>
      </c>
      <c r="J2784" t="s">
        <v>14</v>
      </c>
      <c r="K2784" t="str">
        <f>_xlfn.XLOOKUP(datos_ventas[[#This Row],[Ciudad]],Tabla2[Ciudades],Tabla2[Provincias],"no se encuentra")</f>
        <v>Madrid</v>
      </c>
      <c r="L2784" t="str">
        <f>_xlfn.XLOOKUP(datos_ventas[[#This Row],[Provincia]],Tabla2[Provincias],Tabla2[Comunidades],"no se encuentra")</f>
        <v>Comunidad de Madrid</v>
      </c>
      <c r="M2784" t="s">
        <v>15</v>
      </c>
      <c r="N2784">
        <v>1</v>
      </c>
    </row>
    <row r="2785" spans="1:14" x14ac:dyDescent="0.25">
      <c r="A2785">
        <v>3784</v>
      </c>
      <c r="B2785" s="1">
        <v>45775</v>
      </c>
      <c r="C2785" s="4">
        <f>MONTH(datos_ventas[[#This Row],[Fecha]])</f>
        <v>4</v>
      </c>
      <c r="D2785" s="4">
        <f>WEEKNUM(datos_ventas[[#This Row],[Fecha]],2)</f>
        <v>18</v>
      </c>
      <c r="E2785" t="s">
        <v>16</v>
      </c>
      <c r="F2785" t="s">
        <v>11</v>
      </c>
      <c r="G2785">
        <v>3</v>
      </c>
      <c r="H2785">
        <v>10294</v>
      </c>
      <c r="I2785">
        <v>4955</v>
      </c>
      <c r="J2785" t="s">
        <v>22</v>
      </c>
      <c r="K2785" t="str">
        <f>_xlfn.XLOOKUP(datos_ventas[[#This Row],[Ciudad]],Tabla2[Ciudades],Tabla2[Provincias],"no se encuentra")</f>
        <v>Valencia</v>
      </c>
      <c r="L2785" t="str">
        <f>_xlfn.XLOOKUP(datos_ventas[[#This Row],[Provincia]],Tabla2[Provincias],Tabla2[Comunidades],"no se encuentra")</f>
        <v>Comunidad Valenciana</v>
      </c>
      <c r="M2785" t="s">
        <v>19</v>
      </c>
      <c r="N2785">
        <v>1</v>
      </c>
    </row>
    <row r="2786" spans="1:14" x14ac:dyDescent="0.25">
      <c r="A2786">
        <v>3785</v>
      </c>
      <c r="B2786" s="1">
        <v>45669</v>
      </c>
      <c r="C2786" s="4">
        <f>MONTH(datos_ventas[[#This Row],[Fecha]])</f>
        <v>1</v>
      </c>
      <c r="D2786" s="4">
        <f>WEEKNUM(datos_ventas[[#This Row],[Fecha]],2)</f>
        <v>2</v>
      </c>
      <c r="E2786" t="s">
        <v>10</v>
      </c>
      <c r="F2786" t="s">
        <v>11</v>
      </c>
      <c r="G2786">
        <v>3</v>
      </c>
      <c r="H2786">
        <v>4790</v>
      </c>
      <c r="I2786">
        <v>3166</v>
      </c>
      <c r="J2786" t="s">
        <v>14</v>
      </c>
      <c r="K2786" t="str">
        <f>_xlfn.XLOOKUP(datos_ventas[[#This Row],[Ciudad]],Tabla2[Ciudades],Tabla2[Provincias],"no se encuentra")</f>
        <v>Madrid</v>
      </c>
      <c r="L2786" t="str">
        <f>_xlfn.XLOOKUP(datos_ventas[[#This Row],[Provincia]],Tabla2[Provincias],Tabla2[Comunidades],"no se encuentra")</f>
        <v>Comunidad de Madrid</v>
      </c>
      <c r="M2786" t="s">
        <v>28</v>
      </c>
      <c r="N2786">
        <v>3</v>
      </c>
    </row>
    <row r="2787" spans="1:14" x14ac:dyDescent="0.25">
      <c r="A2787">
        <v>3786</v>
      </c>
      <c r="B2787" s="1">
        <v>45979</v>
      </c>
      <c r="C2787" s="4">
        <f>MONTH(datos_ventas[[#This Row],[Fecha]])</f>
        <v>11</v>
      </c>
      <c r="D2787" s="4">
        <f>WEEKNUM(datos_ventas[[#This Row],[Fecha]],2)</f>
        <v>47</v>
      </c>
      <c r="E2787" t="s">
        <v>20</v>
      </c>
      <c r="F2787" t="s">
        <v>21</v>
      </c>
      <c r="G2787">
        <v>3</v>
      </c>
      <c r="H2787">
        <v>19909</v>
      </c>
      <c r="I2787">
        <v>1632</v>
      </c>
      <c r="J2787" t="s">
        <v>14</v>
      </c>
      <c r="K2787" t="str">
        <f>_xlfn.XLOOKUP(datos_ventas[[#This Row],[Ciudad]],Tabla2[Ciudades],Tabla2[Provincias],"no se encuentra")</f>
        <v>Madrid</v>
      </c>
      <c r="L2787" t="str">
        <f>_xlfn.XLOOKUP(datos_ventas[[#This Row],[Provincia]],Tabla2[Provincias],Tabla2[Comunidades],"no se encuentra")</f>
        <v>Comunidad de Madrid</v>
      </c>
      <c r="M2787" t="s">
        <v>13</v>
      </c>
      <c r="N2787">
        <v>2</v>
      </c>
    </row>
    <row r="2788" spans="1:14" x14ac:dyDescent="0.25">
      <c r="A2788">
        <v>3787</v>
      </c>
      <c r="B2788" s="1">
        <v>46021</v>
      </c>
      <c r="C2788" s="4">
        <f>MONTH(datos_ventas[[#This Row],[Fecha]])</f>
        <v>12</v>
      </c>
      <c r="D2788" s="4">
        <f>WEEKNUM(datos_ventas[[#This Row],[Fecha]],2)</f>
        <v>53</v>
      </c>
      <c r="E2788" t="s">
        <v>20</v>
      </c>
      <c r="F2788" t="s">
        <v>21</v>
      </c>
      <c r="G2788">
        <v>3</v>
      </c>
      <c r="H2788">
        <v>110129</v>
      </c>
      <c r="I2788">
        <v>70</v>
      </c>
      <c r="J2788" t="s">
        <v>12</v>
      </c>
      <c r="K2788" t="str">
        <f>_xlfn.XLOOKUP(datos_ventas[[#This Row],[Ciudad]],Tabla2[Ciudades],Tabla2[Provincias],"no se encuentra")</f>
        <v>Málaga</v>
      </c>
      <c r="L2788" t="str">
        <f>_xlfn.XLOOKUP(datos_ventas[[#This Row],[Provincia]],Tabla2[Provincias],Tabla2[Comunidades],"no se encuentra")</f>
        <v>Andalucía</v>
      </c>
      <c r="M2788" t="s">
        <v>28</v>
      </c>
      <c r="N2788">
        <v>1</v>
      </c>
    </row>
    <row r="2789" spans="1:14" x14ac:dyDescent="0.25">
      <c r="A2789">
        <v>3788</v>
      </c>
      <c r="B2789" s="1">
        <v>45870</v>
      </c>
      <c r="C2789" s="4">
        <f>MONTH(datos_ventas[[#This Row],[Fecha]])</f>
        <v>8</v>
      </c>
      <c r="D2789" s="4">
        <f>WEEKNUM(datos_ventas[[#This Row],[Fecha]],2)</f>
        <v>31</v>
      </c>
      <c r="E2789" t="s">
        <v>23</v>
      </c>
      <c r="F2789" t="s">
        <v>18</v>
      </c>
      <c r="G2789">
        <v>3</v>
      </c>
      <c r="H2789">
        <v>17231</v>
      </c>
      <c r="I2789">
        <v>4846</v>
      </c>
      <c r="J2789" t="s">
        <v>22</v>
      </c>
      <c r="K2789" t="str">
        <f>_xlfn.XLOOKUP(datos_ventas[[#This Row],[Ciudad]],Tabla2[Ciudades],Tabla2[Provincias],"no se encuentra")</f>
        <v>Valencia</v>
      </c>
      <c r="L2789" t="str">
        <f>_xlfn.XLOOKUP(datos_ventas[[#This Row],[Provincia]],Tabla2[Provincias],Tabla2[Comunidades],"no se encuentra")</f>
        <v>Comunidad Valenciana</v>
      </c>
      <c r="M2789" t="s">
        <v>15</v>
      </c>
      <c r="N2789">
        <v>2</v>
      </c>
    </row>
    <row r="2790" spans="1:14" x14ac:dyDescent="0.25">
      <c r="A2790">
        <v>3789</v>
      </c>
      <c r="B2790" s="1">
        <v>45717</v>
      </c>
      <c r="C2790" s="4">
        <f>MONTH(datos_ventas[[#This Row],[Fecha]])</f>
        <v>3</v>
      </c>
      <c r="D2790" s="4">
        <f>WEEKNUM(datos_ventas[[#This Row],[Fecha]],2)</f>
        <v>9</v>
      </c>
      <c r="E2790" t="s">
        <v>26</v>
      </c>
      <c r="F2790" t="s">
        <v>18</v>
      </c>
      <c r="G2790">
        <v>1</v>
      </c>
      <c r="H2790">
        <v>106301</v>
      </c>
      <c r="I2790">
        <v>3279</v>
      </c>
      <c r="J2790" t="s">
        <v>14</v>
      </c>
      <c r="K2790" t="str">
        <f>_xlfn.XLOOKUP(datos_ventas[[#This Row],[Ciudad]],Tabla2[Ciudades],Tabla2[Provincias],"no se encuentra")</f>
        <v>Madrid</v>
      </c>
      <c r="L2790" t="str">
        <f>_xlfn.XLOOKUP(datos_ventas[[#This Row],[Provincia]],Tabla2[Provincias],Tabla2[Comunidades],"no se encuentra")</f>
        <v>Comunidad de Madrid</v>
      </c>
      <c r="M2790" t="s">
        <v>28</v>
      </c>
      <c r="N2790">
        <v>2</v>
      </c>
    </row>
    <row r="2791" spans="1:14" x14ac:dyDescent="0.25">
      <c r="A2791">
        <v>3790</v>
      </c>
      <c r="B2791" s="1">
        <v>45817</v>
      </c>
      <c r="C2791" s="4">
        <f>MONTH(datos_ventas[[#This Row],[Fecha]])</f>
        <v>6</v>
      </c>
      <c r="D2791" s="4">
        <f>WEEKNUM(datos_ventas[[#This Row],[Fecha]],2)</f>
        <v>24</v>
      </c>
      <c r="E2791" t="s">
        <v>29</v>
      </c>
      <c r="F2791" t="s">
        <v>30</v>
      </c>
      <c r="G2791">
        <v>5</v>
      </c>
      <c r="H2791">
        <v>19324</v>
      </c>
      <c r="I2791">
        <v>4638</v>
      </c>
      <c r="J2791" t="s">
        <v>27</v>
      </c>
      <c r="K2791" t="str">
        <f>_xlfn.XLOOKUP(datos_ventas[[#This Row],[Ciudad]],Tabla2[Ciudades],Tabla2[Provincias],"no se encuentra")</f>
        <v>Sevilla</v>
      </c>
      <c r="L2791" t="str">
        <f>_xlfn.XLOOKUP(datos_ventas[[#This Row],[Provincia]],Tabla2[Provincias],Tabla2[Comunidades],"no se encuentra")</f>
        <v>Andalucía</v>
      </c>
      <c r="M2791" t="s">
        <v>19</v>
      </c>
      <c r="N2791">
        <v>2</v>
      </c>
    </row>
    <row r="2792" spans="1:14" x14ac:dyDescent="0.25">
      <c r="A2792">
        <v>3791</v>
      </c>
      <c r="B2792" s="1">
        <v>45827</v>
      </c>
      <c r="C2792" s="4">
        <f>MONTH(datos_ventas[[#This Row],[Fecha]])</f>
        <v>6</v>
      </c>
      <c r="D2792" s="4">
        <f>WEEKNUM(datos_ventas[[#This Row],[Fecha]],2)</f>
        <v>25</v>
      </c>
      <c r="E2792" t="s">
        <v>20</v>
      </c>
      <c r="F2792" t="s">
        <v>21</v>
      </c>
      <c r="G2792">
        <v>5</v>
      </c>
      <c r="H2792">
        <v>30114</v>
      </c>
      <c r="I2792">
        <v>1499</v>
      </c>
      <c r="J2792" t="s">
        <v>27</v>
      </c>
      <c r="K2792" t="str">
        <f>_xlfn.XLOOKUP(datos_ventas[[#This Row],[Ciudad]],Tabla2[Ciudades],Tabla2[Provincias],"no se encuentra")</f>
        <v>Sevilla</v>
      </c>
      <c r="L2792" t="str">
        <f>_xlfn.XLOOKUP(datos_ventas[[#This Row],[Provincia]],Tabla2[Provincias],Tabla2[Comunidades],"no se encuentra")</f>
        <v>Andalucía</v>
      </c>
      <c r="M2792" t="s">
        <v>15</v>
      </c>
      <c r="N2792">
        <v>5</v>
      </c>
    </row>
    <row r="2793" spans="1:14" x14ac:dyDescent="0.25">
      <c r="A2793">
        <v>3792</v>
      </c>
      <c r="B2793" s="1">
        <v>45934</v>
      </c>
      <c r="C2793" s="4">
        <f>MONTH(datos_ventas[[#This Row],[Fecha]])</f>
        <v>10</v>
      </c>
      <c r="D2793" s="4">
        <f>WEEKNUM(datos_ventas[[#This Row],[Fecha]],2)</f>
        <v>40</v>
      </c>
      <c r="E2793" t="s">
        <v>26</v>
      </c>
      <c r="F2793" t="s">
        <v>18</v>
      </c>
      <c r="G2793">
        <v>3</v>
      </c>
      <c r="H2793">
        <v>66533</v>
      </c>
      <c r="I2793">
        <v>2009</v>
      </c>
      <c r="J2793" t="s">
        <v>32</v>
      </c>
      <c r="K2793" t="str">
        <f>_xlfn.XLOOKUP(datos_ventas[[#This Row],[Ciudad]],Tabla2[Ciudades],Tabla2[Provincias],"no se encuentra")</f>
        <v>Barcelona</v>
      </c>
      <c r="L2793" t="str">
        <f>_xlfn.XLOOKUP(datos_ventas[[#This Row],[Provincia]],Tabla2[Provincias],Tabla2[Comunidades],"no se encuentra")</f>
        <v>Cataluña</v>
      </c>
      <c r="M2793" t="s">
        <v>15</v>
      </c>
      <c r="N2793">
        <v>2</v>
      </c>
    </row>
    <row r="2794" spans="1:14" x14ac:dyDescent="0.25">
      <c r="A2794">
        <v>3793</v>
      </c>
      <c r="B2794" s="1">
        <v>45663</v>
      </c>
      <c r="C2794" s="4">
        <f>MONTH(datos_ventas[[#This Row],[Fecha]])</f>
        <v>1</v>
      </c>
      <c r="D2794" s="4">
        <f>WEEKNUM(datos_ventas[[#This Row],[Fecha]],2)</f>
        <v>2</v>
      </c>
      <c r="E2794" t="s">
        <v>23</v>
      </c>
      <c r="F2794" t="s">
        <v>18</v>
      </c>
      <c r="G2794">
        <v>4</v>
      </c>
      <c r="H2794">
        <v>3240</v>
      </c>
      <c r="I2794">
        <v>3012</v>
      </c>
      <c r="J2794" t="s">
        <v>14</v>
      </c>
      <c r="K2794" t="str">
        <f>_xlfn.XLOOKUP(datos_ventas[[#This Row],[Ciudad]],Tabla2[Ciudades],Tabla2[Provincias],"no se encuentra")</f>
        <v>Madrid</v>
      </c>
      <c r="L2794" t="str">
        <f>_xlfn.XLOOKUP(datos_ventas[[#This Row],[Provincia]],Tabla2[Provincias],Tabla2[Comunidades],"no se encuentra")</f>
        <v>Comunidad de Madrid</v>
      </c>
      <c r="M2794" t="s">
        <v>15</v>
      </c>
      <c r="N2794">
        <v>3</v>
      </c>
    </row>
    <row r="2795" spans="1:14" x14ac:dyDescent="0.25">
      <c r="A2795">
        <v>3794</v>
      </c>
      <c r="B2795" s="1">
        <v>45856</v>
      </c>
      <c r="C2795" s="4">
        <f>MONTH(datos_ventas[[#This Row],[Fecha]])</f>
        <v>7</v>
      </c>
      <c r="D2795" s="4">
        <f>WEEKNUM(datos_ventas[[#This Row],[Fecha]],2)</f>
        <v>29</v>
      </c>
      <c r="E2795" t="s">
        <v>20</v>
      </c>
      <c r="F2795" t="s">
        <v>21</v>
      </c>
      <c r="G2795">
        <v>2</v>
      </c>
      <c r="H2795">
        <v>470</v>
      </c>
      <c r="I2795">
        <v>3886</v>
      </c>
      <c r="J2795" t="s">
        <v>32</v>
      </c>
      <c r="K2795" t="str">
        <f>_xlfn.XLOOKUP(datos_ventas[[#This Row],[Ciudad]],Tabla2[Ciudades],Tabla2[Provincias],"no se encuentra")</f>
        <v>Barcelona</v>
      </c>
      <c r="L2795" t="str">
        <f>_xlfn.XLOOKUP(datos_ventas[[#This Row],[Provincia]],Tabla2[Provincias],Tabla2[Comunidades],"no se encuentra")</f>
        <v>Cataluña</v>
      </c>
      <c r="M2795" t="s">
        <v>19</v>
      </c>
      <c r="N2795">
        <v>2</v>
      </c>
    </row>
    <row r="2796" spans="1:14" x14ac:dyDescent="0.25">
      <c r="A2796">
        <v>3795</v>
      </c>
      <c r="B2796" s="1">
        <v>45979</v>
      </c>
      <c r="C2796" s="4">
        <f>MONTH(datos_ventas[[#This Row],[Fecha]])</f>
        <v>11</v>
      </c>
      <c r="D2796" s="4">
        <f>WEEKNUM(datos_ventas[[#This Row],[Fecha]],2)</f>
        <v>47</v>
      </c>
      <c r="E2796" t="s">
        <v>20</v>
      </c>
      <c r="F2796" t="s">
        <v>21</v>
      </c>
      <c r="G2796">
        <v>3</v>
      </c>
      <c r="H2796">
        <v>102911</v>
      </c>
      <c r="I2796">
        <v>807</v>
      </c>
      <c r="J2796" t="s">
        <v>31</v>
      </c>
      <c r="K2796" t="str">
        <f>_xlfn.XLOOKUP(datos_ventas[[#This Row],[Ciudad]],Tabla2[Ciudades],Tabla2[Provincias],"no se encuentra")</f>
        <v>Vizcaya</v>
      </c>
      <c r="L2796" t="str">
        <f>_xlfn.XLOOKUP(datos_ventas[[#This Row],[Provincia]],Tabla2[Provincias],Tabla2[Comunidades],"no se encuentra")</f>
        <v>País Vasco</v>
      </c>
      <c r="M2796" t="s">
        <v>15</v>
      </c>
      <c r="N2796">
        <v>3</v>
      </c>
    </row>
    <row r="2797" spans="1:14" x14ac:dyDescent="0.25">
      <c r="A2797">
        <v>3796</v>
      </c>
      <c r="B2797" s="1">
        <v>45959</v>
      </c>
      <c r="C2797" s="4">
        <f>MONTH(datos_ventas[[#This Row],[Fecha]])</f>
        <v>10</v>
      </c>
      <c r="D2797" s="4">
        <f>WEEKNUM(datos_ventas[[#This Row],[Fecha]],2)</f>
        <v>44</v>
      </c>
      <c r="E2797" t="s">
        <v>10</v>
      </c>
      <c r="F2797" t="s">
        <v>11</v>
      </c>
      <c r="G2797">
        <v>3</v>
      </c>
      <c r="H2797">
        <v>77977</v>
      </c>
      <c r="I2797">
        <v>2897</v>
      </c>
      <c r="J2797" t="s">
        <v>32</v>
      </c>
      <c r="K2797" t="str">
        <f>_xlfn.XLOOKUP(datos_ventas[[#This Row],[Ciudad]],Tabla2[Ciudades],Tabla2[Provincias],"no se encuentra")</f>
        <v>Barcelona</v>
      </c>
      <c r="L2797" t="str">
        <f>_xlfn.XLOOKUP(datos_ventas[[#This Row],[Provincia]],Tabla2[Provincias],Tabla2[Comunidades],"no se encuentra")</f>
        <v>Cataluña</v>
      </c>
      <c r="M2797" t="s">
        <v>13</v>
      </c>
      <c r="N2797">
        <v>2</v>
      </c>
    </row>
    <row r="2798" spans="1:14" x14ac:dyDescent="0.25">
      <c r="A2798">
        <v>3797</v>
      </c>
      <c r="B2798" s="1">
        <v>45762</v>
      </c>
      <c r="C2798" s="4">
        <f>MONTH(datos_ventas[[#This Row],[Fecha]])</f>
        <v>4</v>
      </c>
      <c r="D2798" s="4">
        <f>WEEKNUM(datos_ventas[[#This Row],[Fecha]],2)</f>
        <v>16</v>
      </c>
      <c r="E2798" t="s">
        <v>16</v>
      </c>
      <c r="F2798" t="s">
        <v>11</v>
      </c>
      <c r="G2798">
        <v>1</v>
      </c>
      <c r="H2798">
        <v>63368</v>
      </c>
      <c r="I2798">
        <v>3203</v>
      </c>
      <c r="J2798" t="s">
        <v>31</v>
      </c>
      <c r="K2798" t="str">
        <f>_xlfn.XLOOKUP(datos_ventas[[#This Row],[Ciudad]],Tabla2[Ciudades],Tabla2[Provincias],"no se encuentra")</f>
        <v>Vizcaya</v>
      </c>
      <c r="L2798" t="str">
        <f>_xlfn.XLOOKUP(datos_ventas[[#This Row],[Provincia]],Tabla2[Provincias],Tabla2[Comunidades],"no se encuentra")</f>
        <v>País Vasco</v>
      </c>
      <c r="M2798" t="s">
        <v>15</v>
      </c>
      <c r="N2798">
        <v>5</v>
      </c>
    </row>
    <row r="2799" spans="1:14" x14ac:dyDescent="0.25">
      <c r="A2799">
        <v>3798</v>
      </c>
      <c r="B2799" s="1">
        <v>45803</v>
      </c>
      <c r="C2799" s="4">
        <f>MONTH(datos_ventas[[#This Row],[Fecha]])</f>
        <v>5</v>
      </c>
      <c r="D2799" s="4">
        <f>WEEKNUM(datos_ventas[[#This Row],[Fecha]],2)</f>
        <v>22</v>
      </c>
      <c r="E2799" t="s">
        <v>20</v>
      </c>
      <c r="F2799" t="s">
        <v>21</v>
      </c>
      <c r="G2799">
        <v>4</v>
      </c>
      <c r="H2799">
        <v>80799</v>
      </c>
      <c r="I2799">
        <v>3305</v>
      </c>
      <c r="J2799" t="s">
        <v>32</v>
      </c>
      <c r="K2799" t="str">
        <f>_xlfn.XLOOKUP(datos_ventas[[#This Row],[Ciudad]],Tabla2[Ciudades],Tabla2[Provincias],"no se encuentra")</f>
        <v>Barcelona</v>
      </c>
      <c r="L2799" t="str">
        <f>_xlfn.XLOOKUP(datos_ventas[[#This Row],[Provincia]],Tabla2[Provincias],Tabla2[Comunidades],"no se encuentra")</f>
        <v>Cataluña</v>
      </c>
      <c r="M2799" t="s">
        <v>19</v>
      </c>
      <c r="N2799">
        <v>4</v>
      </c>
    </row>
    <row r="2800" spans="1:14" x14ac:dyDescent="0.25">
      <c r="A2800">
        <v>3799</v>
      </c>
      <c r="B2800" s="1">
        <v>45848</v>
      </c>
      <c r="C2800" s="4">
        <f>MONTH(datos_ventas[[#This Row],[Fecha]])</f>
        <v>7</v>
      </c>
      <c r="D2800" s="4">
        <f>WEEKNUM(datos_ventas[[#This Row],[Fecha]],2)</f>
        <v>28</v>
      </c>
      <c r="E2800" t="s">
        <v>10</v>
      </c>
      <c r="F2800" t="s">
        <v>11</v>
      </c>
      <c r="G2800">
        <v>4</v>
      </c>
      <c r="H2800">
        <v>112742</v>
      </c>
      <c r="I2800">
        <v>3648</v>
      </c>
      <c r="J2800" t="s">
        <v>22</v>
      </c>
      <c r="K2800" t="str">
        <f>_xlfn.XLOOKUP(datos_ventas[[#This Row],[Ciudad]],Tabla2[Ciudades],Tabla2[Provincias],"no se encuentra")</f>
        <v>Valencia</v>
      </c>
      <c r="L2800" t="str">
        <f>_xlfn.XLOOKUP(datos_ventas[[#This Row],[Provincia]],Tabla2[Provincias],Tabla2[Comunidades],"no se encuentra")</f>
        <v>Comunidad Valenciana</v>
      </c>
      <c r="M2800" t="s">
        <v>19</v>
      </c>
      <c r="N2800">
        <v>1</v>
      </c>
    </row>
    <row r="2801" spans="1:14" x14ac:dyDescent="0.25">
      <c r="A2801">
        <v>3800</v>
      </c>
      <c r="B2801" s="1">
        <v>45683</v>
      </c>
      <c r="C2801" s="4">
        <f>MONTH(datos_ventas[[#This Row],[Fecha]])</f>
        <v>1</v>
      </c>
      <c r="D2801" s="4">
        <f>WEEKNUM(datos_ventas[[#This Row],[Fecha]],2)</f>
        <v>4</v>
      </c>
      <c r="E2801" t="s">
        <v>24</v>
      </c>
      <c r="F2801" t="s">
        <v>25</v>
      </c>
      <c r="G2801">
        <v>4</v>
      </c>
      <c r="H2801">
        <v>102365</v>
      </c>
      <c r="I2801">
        <v>3751</v>
      </c>
      <c r="J2801" t="s">
        <v>27</v>
      </c>
      <c r="K2801" t="str">
        <f>_xlfn.XLOOKUP(datos_ventas[[#This Row],[Ciudad]],Tabla2[Ciudades],Tabla2[Provincias],"no se encuentra")</f>
        <v>Sevilla</v>
      </c>
      <c r="L2801" t="str">
        <f>_xlfn.XLOOKUP(datos_ventas[[#This Row],[Provincia]],Tabla2[Provincias],Tabla2[Comunidades],"no se encuentra")</f>
        <v>Andalucía</v>
      </c>
      <c r="M2801" t="s">
        <v>15</v>
      </c>
      <c r="N2801">
        <v>3</v>
      </c>
    </row>
    <row r="2802" spans="1:14" x14ac:dyDescent="0.25">
      <c r="A2802">
        <v>3801</v>
      </c>
      <c r="B2802" s="1">
        <v>46008</v>
      </c>
      <c r="C2802" s="4">
        <f>MONTH(datos_ventas[[#This Row],[Fecha]])</f>
        <v>12</v>
      </c>
      <c r="D2802" s="4">
        <f>WEEKNUM(datos_ventas[[#This Row],[Fecha]],2)</f>
        <v>51</v>
      </c>
      <c r="E2802" t="s">
        <v>24</v>
      </c>
      <c r="F2802" t="s">
        <v>25</v>
      </c>
      <c r="G2802">
        <v>5</v>
      </c>
      <c r="H2802">
        <v>78357</v>
      </c>
      <c r="I2802">
        <v>3939</v>
      </c>
      <c r="J2802" t="s">
        <v>31</v>
      </c>
      <c r="K2802" t="str">
        <f>_xlfn.XLOOKUP(datos_ventas[[#This Row],[Ciudad]],Tabla2[Ciudades],Tabla2[Provincias],"no se encuentra")</f>
        <v>Vizcaya</v>
      </c>
      <c r="L2802" t="str">
        <f>_xlfn.XLOOKUP(datos_ventas[[#This Row],[Provincia]],Tabla2[Provincias],Tabla2[Comunidades],"no se encuentra")</f>
        <v>País Vasco</v>
      </c>
      <c r="M2802" t="s">
        <v>13</v>
      </c>
      <c r="N2802">
        <v>3</v>
      </c>
    </row>
    <row r="2803" spans="1:14" x14ac:dyDescent="0.25">
      <c r="A2803">
        <v>3802</v>
      </c>
      <c r="B2803" s="1">
        <v>45784</v>
      </c>
      <c r="C2803" s="4">
        <f>MONTH(datos_ventas[[#This Row],[Fecha]])</f>
        <v>5</v>
      </c>
      <c r="D2803" s="4">
        <f>WEEKNUM(datos_ventas[[#This Row],[Fecha]],2)</f>
        <v>19</v>
      </c>
      <c r="E2803" t="s">
        <v>20</v>
      </c>
      <c r="F2803" t="s">
        <v>21</v>
      </c>
      <c r="G2803">
        <v>1</v>
      </c>
      <c r="H2803">
        <v>77868</v>
      </c>
      <c r="I2803">
        <v>2163</v>
      </c>
      <c r="J2803" t="s">
        <v>31</v>
      </c>
      <c r="K2803" t="str">
        <f>_xlfn.XLOOKUP(datos_ventas[[#This Row],[Ciudad]],Tabla2[Ciudades],Tabla2[Provincias],"no se encuentra")</f>
        <v>Vizcaya</v>
      </c>
      <c r="L2803" t="str">
        <f>_xlfn.XLOOKUP(datos_ventas[[#This Row],[Provincia]],Tabla2[Provincias],Tabla2[Comunidades],"no se encuentra")</f>
        <v>País Vasco</v>
      </c>
      <c r="M2803" t="s">
        <v>19</v>
      </c>
      <c r="N2803">
        <v>4</v>
      </c>
    </row>
    <row r="2804" spans="1:14" x14ac:dyDescent="0.25">
      <c r="A2804">
        <v>3803</v>
      </c>
      <c r="B2804" s="1">
        <v>45785</v>
      </c>
      <c r="C2804" s="4">
        <f>MONTH(datos_ventas[[#This Row],[Fecha]])</f>
        <v>5</v>
      </c>
      <c r="D2804" s="4">
        <f>WEEKNUM(datos_ventas[[#This Row],[Fecha]],2)</f>
        <v>19</v>
      </c>
      <c r="E2804" t="s">
        <v>23</v>
      </c>
      <c r="F2804" t="s">
        <v>18</v>
      </c>
      <c r="G2804">
        <v>4</v>
      </c>
      <c r="H2804">
        <v>30401</v>
      </c>
      <c r="I2804">
        <v>2531</v>
      </c>
      <c r="J2804" t="s">
        <v>31</v>
      </c>
      <c r="K2804" t="str">
        <f>_xlfn.XLOOKUP(datos_ventas[[#This Row],[Ciudad]],Tabla2[Ciudades],Tabla2[Provincias],"no se encuentra")</f>
        <v>Vizcaya</v>
      </c>
      <c r="L2804" t="str">
        <f>_xlfn.XLOOKUP(datos_ventas[[#This Row],[Provincia]],Tabla2[Provincias],Tabla2[Comunidades],"no se encuentra")</f>
        <v>País Vasco</v>
      </c>
      <c r="M2804" t="s">
        <v>28</v>
      </c>
      <c r="N2804">
        <v>3</v>
      </c>
    </row>
    <row r="2805" spans="1:14" x14ac:dyDescent="0.25">
      <c r="A2805">
        <v>3804</v>
      </c>
      <c r="B2805" s="1">
        <v>45737</v>
      </c>
      <c r="C2805" s="4">
        <f>MONTH(datos_ventas[[#This Row],[Fecha]])</f>
        <v>3</v>
      </c>
      <c r="D2805" s="4">
        <f>WEEKNUM(datos_ventas[[#This Row],[Fecha]],2)</f>
        <v>12</v>
      </c>
      <c r="E2805" t="s">
        <v>17</v>
      </c>
      <c r="F2805" t="s">
        <v>18</v>
      </c>
      <c r="G2805">
        <v>3</v>
      </c>
      <c r="H2805">
        <v>55793</v>
      </c>
      <c r="I2805">
        <v>1508</v>
      </c>
      <c r="J2805" t="s">
        <v>14</v>
      </c>
      <c r="K2805" t="str">
        <f>_xlfn.XLOOKUP(datos_ventas[[#This Row],[Ciudad]],Tabla2[Ciudades],Tabla2[Provincias],"no se encuentra")</f>
        <v>Madrid</v>
      </c>
      <c r="L2805" t="str">
        <f>_xlfn.XLOOKUP(datos_ventas[[#This Row],[Provincia]],Tabla2[Provincias],Tabla2[Comunidades],"no se encuentra")</f>
        <v>Comunidad de Madrid</v>
      </c>
      <c r="M2805" t="s">
        <v>15</v>
      </c>
      <c r="N2805">
        <v>5</v>
      </c>
    </row>
    <row r="2806" spans="1:14" x14ac:dyDescent="0.25">
      <c r="A2806">
        <v>3805</v>
      </c>
      <c r="B2806" s="1">
        <v>45974</v>
      </c>
      <c r="C2806" s="4">
        <f>MONTH(datos_ventas[[#This Row],[Fecha]])</f>
        <v>11</v>
      </c>
      <c r="D2806" s="4">
        <f>WEEKNUM(datos_ventas[[#This Row],[Fecha]],2)</f>
        <v>46</v>
      </c>
      <c r="E2806" t="s">
        <v>20</v>
      </c>
      <c r="F2806" t="s">
        <v>21</v>
      </c>
      <c r="G2806">
        <v>2</v>
      </c>
      <c r="H2806">
        <v>39676</v>
      </c>
      <c r="I2806">
        <v>1886</v>
      </c>
      <c r="J2806" t="s">
        <v>22</v>
      </c>
      <c r="K2806" t="str">
        <f>_xlfn.XLOOKUP(datos_ventas[[#This Row],[Ciudad]],Tabla2[Ciudades],Tabla2[Provincias],"no se encuentra")</f>
        <v>Valencia</v>
      </c>
      <c r="L2806" t="str">
        <f>_xlfn.XLOOKUP(datos_ventas[[#This Row],[Provincia]],Tabla2[Provincias],Tabla2[Comunidades],"no se encuentra")</f>
        <v>Comunidad Valenciana</v>
      </c>
      <c r="M2806" t="s">
        <v>15</v>
      </c>
      <c r="N2806">
        <v>3</v>
      </c>
    </row>
    <row r="2807" spans="1:14" x14ac:dyDescent="0.25">
      <c r="A2807">
        <v>3806</v>
      </c>
      <c r="B2807" s="1">
        <v>45691</v>
      </c>
      <c r="C2807" s="4">
        <f>MONTH(datos_ventas[[#This Row],[Fecha]])</f>
        <v>2</v>
      </c>
      <c r="D2807" s="4">
        <f>WEEKNUM(datos_ventas[[#This Row],[Fecha]],2)</f>
        <v>6</v>
      </c>
      <c r="E2807" t="s">
        <v>10</v>
      </c>
      <c r="F2807" t="s">
        <v>11</v>
      </c>
      <c r="G2807">
        <v>1</v>
      </c>
      <c r="H2807">
        <v>39285</v>
      </c>
      <c r="I2807">
        <v>961</v>
      </c>
      <c r="J2807" t="s">
        <v>12</v>
      </c>
      <c r="K2807" t="str">
        <f>_xlfn.XLOOKUP(datos_ventas[[#This Row],[Ciudad]],Tabla2[Ciudades],Tabla2[Provincias],"no se encuentra")</f>
        <v>Málaga</v>
      </c>
      <c r="L2807" t="str">
        <f>_xlfn.XLOOKUP(datos_ventas[[#This Row],[Provincia]],Tabla2[Provincias],Tabla2[Comunidades],"no se encuentra")</f>
        <v>Andalucía</v>
      </c>
      <c r="M2807" t="s">
        <v>15</v>
      </c>
      <c r="N2807">
        <v>3</v>
      </c>
    </row>
    <row r="2808" spans="1:14" x14ac:dyDescent="0.25">
      <c r="A2808">
        <v>3807</v>
      </c>
      <c r="B2808" s="1">
        <v>45887</v>
      </c>
      <c r="C2808" s="4">
        <f>MONTH(datos_ventas[[#This Row],[Fecha]])</f>
        <v>8</v>
      </c>
      <c r="D2808" s="4">
        <f>WEEKNUM(datos_ventas[[#This Row],[Fecha]],2)</f>
        <v>34</v>
      </c>
      <c r="E2808" t="s">
        <v>29</v>
      </c>
      <c r="F2808" t="s">
        <v>30</v>
      </c>
      <c r="G2808">
        <v>1</v>
      </c>
      <c r="H2808">
        <v>106109</v>
      </c>
      <c r="I2808">
        <v>1826</v>
      </c>
      <c r="J2808" t="s">
        <v>22</v>
      </c>
      <c r="K2808" t="str">
        <f>_xlfn.XLOOKUP(datos_ventas[[#This Row],[Ciudad]],Tabla2[Ciudades],Tabla2[Provincias],"no se encuentra")</f>
        <v>Valencia</v>
      </c>
      <c r="L2808" t="str">
        <f>_xlfn.XLOOKUP(datos_ventas[[#This Row],[Provincia]],Tabla2[Provincias],Tabla2[Comunidades],"no se encuentra")</f>
        <v>Comunidad Valenciana</v>
      </c>
      <c r="M2808" t="s">
        <v>13</v>
      </c>
      <c r="N2808">
        <v>1</v>
      </c>
    </row>
    <row r="2809" spans="1:14" x14ac:dyDescent="0.25">
      <c r="A2809">
        <v>3808</v>
      </c>
      <c r="B2809" s="1">
        <v>45967</v>
      </c>
      <c r="C2809" s="4">
        <f>MONTH(datos_ventas[[#This Row],[Fecha]])</f>
        <v>11</v>
      </c>
      <c r="D2809" s="4">
        <f>WEEKNUM(datos_ventas[[#This Row],[Fecha]],2)</f>
        <v>45</v>
      </c>
      <c r="E2809" t="s">
        <v>17</v>
      </c>
      <c r="F2809" t="s">
        <v>18</v>
      </c>
      <c r="G2809">
        <v>2</v>
      </c>
      <c r="H2809">
        <v>82816</v>
      </c>
      <c r="I2809">
        <v>1258</v>
      </c>
      <c r="J2809" t="s">
        <v>31</v>
      </c>
      <c r="K2809" t="str">
        <f>_xlfn.XLOOKUP(datos_ventas[[#This Row],[Ciudad]],Tabla2[Ciudades],Tabla2[Provincias],"no se encuentra")</f>
        <v>Vizcaya</v>
      </c>
      <c r="L2809" t="str">
        <f>_xlfn.XLOOKUP(datos_ventas[[#This Row],[Provincia]],Tabla2[Provincias],Tabla2[Comunidades],"no se encuentra")</f>
        <v>País Vasco</v>
      </c>
      <c r="M2809" t="s">
        <v>19</v>
      </c>
      <c r="N2809">
        <v>5</v>
      </c>
    </row>
    <row r="2810" spans="1:14" x14ac:dyDescent="0.25">
      <c r="A2810">
        <v>3809</v>
      </c>
      <c r="B2810" s="1">
        <v>45817</v>
      </c>
      <c r="C2810" s="4">
        <f>MONTH(datos_ventas[[#This Row],[Fecha]])</f>
        <v>6</v>
      </c>
      <c r="D2810" s="4">
        <f>WEEKNUM(datos_ventas[[#This Row],[Fecha]],2)</f>
        <v>24</v>
      </c>
      <c r="E2810" t="s">
        <v>20</v>
      </c>
      <c r="F2810" t="s">
        <v>21</v>
      </c>
      <c r="G2810">
        <v>2</v>
      </c>
      <c r="H2810">
        <v>2967</v>
      </c>
      <c r="I2810">
        <v>51</v>
      </c>
      <c r="J2810" t="s">
        <v>22</v>
      </c>
      <c r="K2810" t="str">
        <f>_xlfn.XLOOKUP(datos_ventas[[#This Row],[Ciudad]],Tabla2[Ciudades],Tabla2[Provincias],"no se encuentra")</f>
        <v>Valencia</v>
      </c>
      <c r="L2810" t="str">
        <f>_xlfn.XLOOKUP(datos_ventas[[#This Row],[Provincia]],Tabla2[Provincias],Tabla2[Comunidades],"no se encuentra")</f>
        <v>Comunidad Valenciana</v>
      </c>
      <c r="M2810" t="s">
        <v>28</v>
      </c>
      <c r="N2810">
        <v>2</v>
      </c>
    </row>
    <row r="2811" spans="1:14" x14ac:dyDescent="0.25">
      <c r="A2811">
        <v>3810</v>
      </c>
      <c r="B2811" s="1">
        <v>45699</v>
      </c>
      <c r="C2811" s="4">
        <f>MONTH(datos_ventas[[#This Row],[Fecha]])</f>
        <v>2</v>
      </c>
      <c r="D2811" s="4">
        <f>WEEKNUM(datos_ventas[[#This Row],[Fecha]],2)</f>
        <v>7</v>
      </c>
      <c r="E2811" t="s">
        <v>16</v>
      </c>
      <c r="F2811" t="s">
        <v>11</v>
      </c>
      <c r="G2811">
        <v>1</v>
      </c>
      <c r="H2811">
        <v>2922</v>
      </c>
      <c r="I2811">
        <v>2867</v>
      </c>
      <c r="J2811" t="s">
        <v>12</v>
      </c>
      <c r="K2811" t="str">
        <f>_xlfn.XLOOKUP(datos_ventas[[#This Row],[Ciudad]],Tabla2[Ciudades],Tabla2[Provincias],"no se encuentra")</f>
        <v>Málaga</v>
      </c>
      <c r="L2811" t="str">
        <f>_xlfn.XLOOKUP(datos_ventas[[#This Row],[Provincia]],Tabla2[Provincias],Tabla2[Comunidades],"no se encuentra")</f>
        <v>Andalucía</v>
      </c>
      <c r="M2811" t="s">
        <v>13</v>
      </c>
      <c r="N2811">
        <v>3</v>
      </c>
    </row>
    <row r="2812" spans="1:14" x14ac:dyDescent="0.25">
      <c r="A2812">
        <v>3811</v>
      </c>
      <c r="B2812" s="1">
        <v>45891</v>
      </c>
      <c r="C2812" s="4">
        <f>MONTH(datos_ventas[[#This Row],[Fecha]])</f>
        <v>8</v>
      </c>
      <c r="D2812" s="4">
        <f>WEEKNUM(datos_ventas[[#This Row],[Fecha]],2)</f>
        <v>34</v>
      </c>
      <c r="E2812" t="s">
        <v>26</v>
      </c>
      <c r="F2812" t="s">
        <v>18</v>
      </c>
      <c r="G2812">
        <v>3</v>
      </c>
      <c r="H2812">
        <v>56374</v>
      </c>
      <c r="I2812">
        <v>2971</v>
      </c>
      <c r="J2812" t="s">
        <v>32</v>
      </c>
      <c r="K2812" t="str">
        <f>_xlfn.XLOOKUP(datos_ventas[[#This Row],[Ciudad]],Tabla2[Ciudades],Tabla2[Provincias],"no se encuentra")</f>
        <v>Barcelona</v>
      </c>
      <c r="L2812" t="str">
        <f>_xlfn.XLOOKUP(datos_ventas[[#This Row],[Provincia]],Tabla2[Provincias],Tabla2[Comunidades],"no se encuentra")</f>
        <v>Cataluña</v>
      </c>
      <c r="M2812" t="s">
        <v>19</v>
      </c>
      <c r="N2812">
        <v>1</v>
      </c>
    </row>
    <row r="2813" spans="1:14" x14ac:dyDescent="0.25">
      <c r="A2813">
        <v>3812</v>
      </c>
      <c r="B2813" s="1">
        <v>45936</v>
      </c>
      <c r="C2813" s="4">
        <f>MONTH(datos_ventas[[#This Row],[Fecha]])</f>
        <v>10</v>
      </c>
      <c r="D2813" s="4">
        <f>WEEKNUM(datos_ventas[[#This Row],[Fecha]],2)</f>
        <v>41</v>
      </c>
      <c r="E2813" t="s">
        <v>10</v>
      </c>
      <c r="F2813" t="s">
        <v>11</v>
      </c>
      <c r="G2813">
        <v>5</v>
      </c>
      <c r="H2813">
        <v>45142</v>
      </c>
      <c r="I2813">
        <v>270</v>
      </c>
      <c r="J2813" t="s">
        <v>14</v>
      </c>
      <c r="K2813" t="str">
        <f>_xlfn.XLOOKUP(datos_ventas[[#This Row],[Ciudad]],Tabla2[Ciudades],Tabla2[Provincias],"no se encuentra")</f>
        <v>Madrid</v>
      </c>
      <c r="L2813" t="str">
        <f>_xlfn.XLOOKUP(datos_ventas[[#This Row],[Provincia]],Tabla2[Provincias],Tabla2[Comunidades],"no se encuentra")</f>
        <v>Comunidad de Madrid</v>
      </c>
      <c r="M2813" t="s">
        <v>28</v>
      </c>
      <c r="N2813">
        <v>2</v>
      </c>
    </row>
    <row r="2814" spans="1:14" x14ac:dyDescent="0.25">
      <c r="A2814">
        <v>3813</v>
      </c>
      <c r="B2814" s="1">
        <v>45976</v>
      </c>
      <c r="C2814" s="4">
        <f>MONTH(datos_ventas[[#This Row],[Fecha]])</f>
        <v>11</v>
      </c>
      <c r="D2814" s="4">
        <f>WEEKNUM(datos_ventas[[#This Row],[Fecha]],2)</f>
        <v>46</v>
      </c>
      <c r="E2814" t="s">
        <v>20</v>
      </c>
      <c r="F2814" t="s">
        <v>21</v>
      </c>
      <c r="G2814">
        <v>5</v>
      </c>
      <c r="H2814">
        <v>105372</v>
      </c>
      <c r="I2814">
        <v>425</v>
      </c>
      <c r="J2814" t="s">
        <v>22</v>
      </c>
      <c r="K2814" t="str">
        <f>_xlfn.XLOOKUP(datos_ventas[[#This Row],[Ciudad]],Tabla2[Ciudades],Tabla2[Provincias],"no se encuentra")</f>
        <v>Valencia</v>
      </c>
      <c r="L2814" t="str">
        <f>_xlfn.XLOOKUP(datos_ventas[[#This Row],[Provincia]],Tabla2[Provincias],Tabla2[Comunidades],"no se encuentra")</f>
        <v>Comunidad Valenciana</v>
      </c>
      <c r="M2814" t="s">
        <v>15</v>
      </c>
      <c r="N2814">
        <v>5</v>
      </c>
    </row>
    <row r="2815" spans="1:14" x14ac:dyDescent="0.25">
      <c r="A2815">
        <v>3814</v>
      </c>
      <c r="B2815" s="1">
        <v>45776</v>
      </c>
      <c r="C2815" s="4">
        <f>MONTH(datos_ventas[[#This Row],[Fecha]])</f>
        <v>4</v>
      </c>
      <c r="D2815" s="4">
        <f>WEEKNUM(datos_ventas[[#This Row],[Fecha]],2)</f>
        <v>18</v>
      </c>
      <c r="E2815" t="s">
        <v>23</v>
      </c>
      <c r="F2815" t="s">
        <v>18</v>
      </c>
      <c r="G2815">
        <v>2</v>
      </c>
      <c r="H2815">
        <v>101367</v>
      </c>
      <c r="I2815">
        <v>4083</v>
      </c>
      <c r="J2815" t="s">
        <v>12</v>
      </c>
      <c r="K2815" t="str">
        <f>_xlfn.XLOOKUP(datos_ventas[[#This Row],[Ciudad]],Tabla2[Ciudades],Tabla2[Provincias],"no se encuentra")</f>
        <v>Málaga</v>
      </c>
      <c r="L2815" t="str">
        <f>_xlfn.XLOOKUP(datos_ventas[[#This Row],[Provincia]],Tabla2[Provincias],Tabla2[Comunidades],"no se encuentra")</f>
        <v>Andalucía</v>
      </c>
      <c r="M2815" t="s">
        <v>13</v>
      </c>
      <c r="N2815">
        <v>5</v>
      </c>
    </row>
    <row r="2816" spans="1:14" x14ac:dyDescent="0.25">
      <c r="A2816">
        <v>3815</v>
      </c>
      <c r="B2816" s="1">
        <v>45684</v>
      </c>
      <c r="C2816" s="4">
        <f>MONTH(datos_ventas[[#This Row],[Fecha]])</f>
        <v>1</v>
      </c>
      <c r="D2816" s="4">
        <f>WEEKNUM(datos_ventas[[#This Row],[Fecha]],2)</f>
        <v>5</v>
      </c>
      <c r="E2816" t="s">
        <v>23</v>
      </c>
      <c r="F2816" t="s">
        <v>18</v>
      </c>
      <c r="G2816">
        <v>3</v>
      </c>
      <c r="H2816">
        <v>73609</v>
      </c>
      <c r="I2816">
        <v>1158</v>
      </c>
      <c r="J2816" t="s">
        <v>12</v>
      </c>
      <c r="K2816" t="str">
        <f>_xlfn.XLOOKUP(datos_ventas[[#This Row],[Ciudad]],Tabla2[Ciudades],Tabla2[Provincias],"no se encuentra")</f>
        <v>Málaga</v>
      </c>
      <c r="L2816" t="str">
        <f>_xlfn.XLOOKUP(datos_ventas[[#This Row],[Provincia]],Tabla2[Provincias],Tabla2[Comunidades],"no se encuentra")</f>
        <v>Andalucía</v>
      </c>
      <c r="M2816" t="s">
        <v>19</v>
      </c>
      <c r="N2816">
        <v>3</v>
      </c>
    </row>
    <row r="2817" spans="1:14" x14ac:dyDescent="0.25">
      <c r="A2817">
        <v>3816</v>
      </c>
      <c r="B2817" s="1">
        <v>45697</v>
      </c>
      <c r="C2817" s="4">
        <f>MONTH(datos_ventas[[#This Row],[Fecha]])</f>
        <v>2</v>
      </c>
      <c r="D2817" s="4">
        <f>WEEKNUM(datos_ventas[[#This Row],[Fecha]],2)</f>
        <v>6</v>
      </c>
      <c r="E2817" t="s">
        <v>24</v>
      </c>
      <c r="F2817" t="s">
        <v>25</v>
      </c>
      <c r="G2817">
        <v>1</v>
      </c>
      <c r="H2817">
        <v>98315</v>
      </c>
      <c r="I2817">
        <v>161</v>
      </c>
      <c r="J2817" t="s">
        <v>32</v>
      </c>
      <c r="K2817" t="str">
        <f>_xlfn.XLOOKUP(datos_ventas[[#This Row],[Ciudad]],Tabla2[Ciudades],Tabla2[Provincias],"no se encuentra")</f>
        <v>Barcelona</v>
      </c>
      <c r="L2817" t="str">
        <f>_xlfn.XLOOKUP(datos_ventas[[#This Row],[Provincia]],Tabla2[Provincias],Tabla2[Comunidades],"no se encuentra")</f>
        <v>Cataluña</v>
      </c>
      <c r="M2817" t="s">
        <v>13</v>
      </c>
      <c r="N2817">
        <v>2</v>
      </c>
    </row>
    <row r="2818" spans="1:14" x14ac:dyDescent="0.25">
      <c r="A2818">
        <v>3817</v>
      </c>
      <c r="B2818" s="1">
        <v>45833</v>
      </c>
      <c r="C2818" s="4">
        <f>MONTH(datos_ventas[[#This Row],[Fecha]])</f>
        <v>6</v>
      </c>
      <c r="D2818" s="4">
        <f>WEEKNUM(datos_ventas[[#This Row],[Fecha]],2)</f>
        <v>26</v>
      </c>
      <c r="E2818" t="s">
        <v>16</v>
      </c>
      <c r="F2818" t="s">
        <v>11</v>
      </c>
      <c r="G2818">
        <v>5</v>
      </c>
      <c r="H2818">
        <v>111277</v>
      </c>
      <c r="I2818">
        <v>4508</v>
      </c>
      <c r="J2818" t="s">
        <v>31</v>
      </c>
      <c r="K2818" t="str">
        <f>_xlfn.XLOOKUP(datos_ventas[[#This Row],[Ciudad]],Tabla2[Ciudades],Tabla2[Provincias],"no se encuentra")</f>
        <v>Vizcaya</v>
      </c>
      <c r="L2818" t="str">
        <f>_xlfn.XLOOKUP(datos_ventas[[#This Row],[Provincia]],Tabla2[Provincias],Tabla2[Comunidades],"no se encuentra")</f>
        <v>País Vasco</v>
      </c>
      <c r="M2818" t="s">
        <v>15</v>
      </c>
      <c r="N2818">
        <v>3</v>
      </c>
    </row>
    <row r="2819" spans="1:14" x14ac:dyDescent="0.25">
      <c r="A2819">
        <v>3818</v>
      </c>
      <c r="B2819" s="1">
        <v>45744</v>
      </c>
      <c r="C2819" s="4">
        <f>MONTH(datos_ventas[[#This Row],[Fecha]])</f>
        <v>3</v>
      </c>
      <c r="D2819" s="4">
        <f>WEEKNUM(datos_ventas[[#This Row],[Fecha]],2)</f>
        <v>13</v>
      </c>
      <c r="E2819" t="s">
        <v>17</v>
      </c>
      <c r="F2819" t="s">
        <v>18</v>
      </c>
      <c r="G2819">
        <v>2</v>
      </c>
      <c r="H2819">
        <v>12382</v>
      </c>
      <c r="I2819">
        <v>4476</v>
      </c>
      <c r="J2819" t="s">
        <v>32</v>
      </c>
      <c r="K2819" t="str">
        <f>_xlfn.XLOOKUP(datos_ventas[[#This Row],[Ciudad]],Tabla2[Ciudades],Tabla2[Provincias],"no se encuentra")</f>
        <v>Barcelona</v>
      </c>
      <c r="L2819" t="str">
        <f>_xlfn.XLOOKUP(datos_ventas[[#This Row],[Provincia]],Tabla2[Provincias],Tabla2[Comunidades],"no se encuentra")</f>
        <v>Cataluña</v>
      </c>
      <c r="M2819" t="s">
        <v>19</v>
      </c>
      <c r="N2819">
        <v>2</v>
      </c>
    </row>
    <row r="2820" spans="1:14" x14ac:dyDescent="0.25">
      <c r="A2820">
        <v>3819</v>
      </c>
      <c r="B2820" s="1">
        <v>45900</v>
      </c>
      <c r="C2820" s="4">
        <f>MONTH(datos_ventas[[#This Row],[Fecha]])</f>
        <v>8</v>
      </c>
      <c r="D2820" s="4">
        <f>WEEKNUM(datos_ventas[[#This Row],[Fecha]],2)</f>
        <v>35</v>
      </c>
      <c r="E2820" t="s">
        <v>17</v>
      </c>
      <c r="F2820" t="s">
        <v>18</v>
      </c>
      <c r="G2820">
        <v>3</v>
      </c>
      <c r="H2820">
        <v>112644</v>
      </c>
      <c r="I2820">
        <v>182</v>
      </c>
      <c r="J2820" t="s">
        <v>12</v>
      </c>
      <c r="K2820" t="str">
        <f>_xlfn.XLOOKUP(datos_ventas[[#This Row],[Ciudad]],Tabla2[Ciudades],Tabla2[Provincias],"no se encuentra")</f>
        <v>Málaga</v>
      </c>
      <c r="L2820" t="str">
        <f>_xlfn.XLOOKUP(datos_ventas[[#This Row],[Provincia]],Tabla2[Provincias],Tabla2[Comunidades],"no se encuentra")</f>
        <v>Andalucía</v>
      </c>
      <c r="M2820" t="s">
        <v>19</v>
      </c>
      <c r="N2820">
        <v>4</v>
      </c>
    </row>
    <row r="2821" spans="1:14" x14ac:dyDescent="0.25">
      <c r="A2821">
        <v>3820</v>
      </c>
      <c r="B2821" s="1">
        <v>45663</v>
      </c>
      <c r="C2821" s="4">
        <f>MONTH(datos_ventas[[#This Row],[Fecha]])</f>
        <v>1</v>
      </c>
      <c r="D2821" s="4">
        <f>WEEKNUM(datos_ventas[[#This Row],[Fecha]],2)</f>
        <v>2</v>
      </c>
      <c r="E2821" t="s">
        <v>29</v>
      </c>
      <c r="F2821" t="s">
        <v>30</v>
      </c>
      <c r="G2821">
        <v>4</v>
      </c>
      <c r="H2821">
        <v>65266</v>
      </c>
      <c r="I2821">
        <v>1226</v>
      </c>
      <c r="J2821" t="s">
        <v>22</v>
      </c>
      <c r="K2821" t="str">
        <f>_xlfn.XLOOKUP(datos_ventas[[#This Row],[Ciudad]],Tabla2[Ciudades],Tabla2[Provincias],"no se encuentra")</f>
        <v>Valencia</v>
      </c>
      <c r="L2821" t="str">
        <f>_xlfn.XLOOKUP(datos_ventas[[#This Row],[Provincia]],Tabla2[Provincias],Tabla2[Comunidades],"no se encuentra")</f>
        <v>Comunidad Valenciana</v>
      </c>
      <c r="M2821" t="s">
        <v>19</v>
      </c>
      <c r="N2821">
        <v>1</v>
      </c>
    </row>
    <row r="2822" spans="1:14" x14ac:dyDescent="0.25">
      <c r="A2822">
        <v>3821</v>
      </c>
      <c r="B2822" s="1">
        <v>45786</v>
      </c>
      <c r="C2822" s="4">
        <f>MONTH(datos_ventas[[#This Row],[Fecha]])</f>
        <v>5</v>
      </c>
      <c r="D2822" s="4">
        <f>WEEKNUM(datos_ventas[[#This Row],[Fecha]],2)</f>
        <v>19</v>
      </c>
      <c r="E2822" t="s">
        <v>26</v>
      </c>
      <c r="F2822" t="s">
        <v>18</v>
      </c>
      <c r="G2822">
        <v>1</v>
      </c>
      <c r="H2822">
        <v>92061</v>
      </c>
      <c r="I2822">
        <v>3215</v>
      </c>
      <c r="J2822" t="s">
        <v>31</v>
      </c>
      <c r="K2822" t="str">
        <f>_xlfn.XLOOKUP(datos_ventas[[#This Row],[Ciudad]],Tabla2[Ciudades],Tabla2[Provincias],"no se encuentra")</f>
        <v>Vizcaya</v>
      </c>
      <c r="L2822" t="str">
        <f>_xlfn.XLOOKUP(datos_ventas[[#This Row],[Provincia]],Tabla2[Provincias],Tabla2[Comunidades],"no se encuentra")</f>
        <v>País Vasco</v>
      </c>
      <c r="M2822" t="s">
        <v>19</v>
      </c>
      <c r="N2822">
        <v>4</v>
      </c>
    </row>
    <row r="2823" spans="1:14" x14ac:dyDescent="0.25">
      <c r="A2823">
        <v>3822</v>
      </c>
      <c r="B2823" s="1">
        <v>46013</v>
      </c>
      <c r="C2823" s="4">
        <f>MONTH(datos_ventas[[#This Row],[Fecha]])</f>
        <v>12</v>
      </c>
      <c r="D2823" s="4">
        <f>WEEKNUM(datos_ventas[[#This Row],[Fecha]],2)</f>
        <v>52</v>
      </c>
      <c r="E2823" t="s">
        <v>24</v>
      </c>
      <c r="F2823" t="s">
        <v>25</v>
      </c>
      <c r="G2823">
        <v>5</v>
      </c>
      <c r="H2823">
        <v>100583</v>
      </c>
      <c r="I2823">
        <v>1198</v>
      </c>
      <c r="J2823" t="s">
        <v>31</v>
      </c>
      <c r="K2823" t="str">
        <f>_xlfn.XLOOKUP(datos_ventas[[#This Row],[Ciudad]],Tabla2[Ciudades],Tabla2[Provincias],"no se encuentra")</f>
        <v>Vizcaya</v>
      </c>
      <c r="L2823" t="str">
        <f>_xlfn.XLOOKUP(datos_ventas[[#This Row],[Provincia]],Tabla2[Provincias],Tabla2[Comunidades],"no se encuentra")</f>
        <v>País Vasco</v>
      </c>
      <c r="M2823" t="s">
        <v>28</v>
      </c>
      <c r="N2823">
        <v>5</v>
      </c>
    </row>
    <row r="2824" spans="1:14" x14ac:dyDescent="0.25">
      <c r="A2824">
        <v>3823</v>
      </c>
      <c r="B2824" s="1">
        <v>45971</v>
      </c>
      <c r="C2824" s="4">
        <f>MONTH(datos_ventas[[#This Row],[Fecha]])</f>
        <v>11</v>
      </c>
      <c r="D2824" s="4">
        <f>WEEKNUM(datos_ventas[[#This Row],[Fecha]],2)</f>
        <v>46</v>
      </c>
      <c r="E2824" t="s">
        <v>17</v>
      </c>
      <c r="F2824" t="s">
        <v>18</v>
      </c>
      <c r="G2824">
        <v>5</v>
      </c>
      <c r="H2824">
        <v>69117</v>
      </c>
      <c r="I2824">
        <v>217</v>
      </c>
      <c r="J2824" t="s">
        <v>12</v>
      </c>
      <c r="K2824" t="str">
        <f>_xlfn.XLOOKUP(datos_ventas[[#This Row],[Ciudad]],Tabla2[Ciudades],Tabla2[Provincias],"no se encuentra")</f>
        <v>Málaga</v>
      </c>
      <c r="L2824" t="str">
        <f>_xlfn.XLOOKUP(datos_ventas[[#This Row],[Provincia]],Tabla2[Provincias],Tabla2[Comunidades],"no se encuentra")</f>
        <v>Andalucía</v>
      </c>
      <c r="M2824" t="s">
        <v>28</v>
      </c>
      <c r="N2824">
        <v>2</v>
      </c>
    </row>
    <row r="2825" spans="1:14" x14ac:dyDescent="0.25">
      <c r="A2825">
        <v>3824</v>
      </c>
      <c r="B2825" s="1">
        <v>45744</v>
      </c>
      <c r="C2825" s="4">
        <f>MONTH(datos_ventas[[#This Row],[Fecha]])</f>
        <v>3</v>
      </c>
      <c r="D2825" s="4">
        <f>WEEKNUM(datos_ventas[[#This Row],[Fecha]],2)</f>
        <v>13</v>
      </c>
      <c r="E2825" t="s">
        <v>23</v>
      </c>
      <c r="F2825" t="s">
        <v>18</v>
      </c>
      <c r="G2825">
        <v>5</v>
      </c>
      <c r="H2825">
        <v>101171</v>
      </c>
      <c r="I2825">
        <v>1512</v>
      </c>
      <c r="J2825" t="s">
        <v>31</v>
      </c>
      <c r="K2825" t="str">
        <f>_xlfn.XLOOKUP(datos_ventas[[#This Row],[Ciudad]],Tabla2[Ciudades],Tabla2[Provincias],"no se encuentra")</f>
        <v>Vizcaya</v>
      </c>
      <c r="L2825" t="str">
        <f>_xlfn.XLOOKUP(datos_ventas[[#This Row],[Provincia]],Tabla2[Provincias],Tabla2[Comunidades],"no se encuentra")</f>
        <v>País Vasco</v>
      </c>
      <c r="M2825" t="s">
        <v>28</v>
      </c>
      <c r="N2825">
        <v>5</v>
      </c>
    </row>
    <row r="2826" spans="1:14" x14ac:dyDescent="0.25">
      <c r="A2826">
        <v>3825</v>
      </c>
      <c r="B2826" s="1">
        <v>45945</v>
      </c>
      <c r="C2826" s="4">
        <f>MONTH(datos_ventas[[#This Row],[Fecha]])</f>
        <v>10</v>
      </c>
      <c r="D2826" s="4">
        <f>WEEKNUM(datos_ventas[[#This Row],[Fecha]],2)</f>
        <v>42</v>
      </c>
      <c r="E2826" t="s">
        <v>20</v>
      </c>
      <c r="F2826" t="s">
        <v>21</v>
      </c>
      <c r="G2826">
        <v>3</v>
      </c>
      <c r="H2826">
        <v>43934</v>
      </c>
      <c r="I2826">
        <v>747</v>
      </c>
      <c r="J2826" t="s">
        <v>12</v>
      </c>
      <c r="K2826" t="str">
        <f>_xlfn.XLOOKUP(datos_ventas[[#This Row],[Ciudad]],Tabla2[Ciudades],Tabla2[Provincias],"no se encuentra")</f>
        <v>Málaga</v>
      </c>
      <c r="L2826" t="str">
        <f>_xlfn.XLOOKUP(datos_ventas[[#This Row],[Provincia]],Tabla2[Provincias],Tabla2[Comunidades],"no se encuentra")</f>
        <v>Andalucía</v>
      </c>
      <c r="M2826" t="s">
        <v>15</v>
      </c>
      <c r="N2826">
        <v>4</v>
      </c>
    </row>
    <row r="2827" spans="1:14" x14ac:dyDescent="0.25">
      <c r="A2827">
        <v>3826</v>
      </c>
      <c r="B2827" s="1">
        <v>45858</v>
      </c>
      <c r="C2827" s="4">
        <f>MONTH(datos_ventas[[#This Row],[Fecha]])</f>
        <v>7</v>
      </c>
      <c r="D2827" s="4">
        <f>WEEKNUM(datos_ventas[[#This Row],[Fecha]],2)</f>
        <v>29</v>
      </c>
      <c r="E2827" t="s">
        <v>10</v>
      </c>
      <c r="F2827" t="s">
        <v>11</v>
      </c>
      <c r="G2827">
        <v>5</v>
      </c>
      <c r="H2827">
        <v>5556</v>
      </c>
      <c r="I2827">
        <v>4462</v>
      </c>
      <c r="J2827" t="s">
        <v>14</v>
      </c>
      <c r="K2827" t="str">
        <f>_xlfn.XLOOKUP(datos_ventas[[#This Row],[Ciudad]],Tabla2[Ciudades],Tabla2[Provincias],"no se encuentra")</f>
        <v>Madrid</v>
      </c>
      <c r="L2827" t="str">
        <f>_xlfn.XLOOKUP(datos_ventas[[#This Row],[Provincia]],Tabla2[Provincias],Tabla2[Comunidades],"no se encuentra")</f>
        <v>Comunidad de Madrid</v>
      </c>
      <c r="M2827" t="s">
        <v>28</v>
      </c>
      <c r="N2827">
        <v>2</v>
      </c>
    </row>
    <row r="2828" spans="1:14" x14ac:dyDescent="0.25">
      <c r="A2828">
        <v>3827</v>
      </c>
      <c r="B2828" s="1">
        <v>45730</v>
      </c>
      <c r="C2828" s="4">
        <f>MONTH(datos_ventas[[#This Row],[Fecha]])</f>
        <v>3</v>
      </c>
      <c r="D2828" s="4">
        <f>WEEKNUM(datos_ventas[[#This Row],[Fecha]],2)</f>
        <v>11</v>
      </c>
      <c r="E2828" t="s">
        <v>16</v>
      </c>
      <c r="F2828" t="s">
        <v>11</v>
      </c>
      <c r="G2828">
        <v>5</v>
      </c>
      <c r="H2828">
        <v>40094</v>
      </c>
      <c r="I2828">
        <v>356</v>
      </c>
      <c r="J2828" t="s">
        <v>27</v>
      </c>
      <c r="K2828" t="str">
        <f>_xlfn.XLOOKUP(datos_ventas[[#This Row],[Ciudad]],Tabla2[Ciudades],Tabla2[Provincias],"no se encuentra")</f>
        <v>Sevilla</v>
      </c>
      <c r="L2828" t="str">
        <f>_xlfn.XLOOKUP(datos_ventas[[#This Row],[Provincia]],Tabla2[Provincias],Tabla2[Comunidades],"no se encuentra")</f>
        <v>Andalucía</v>
      </c>
      <c r="M2828" t="s">
        <v>13</v>
      </c>
      <c r="N2828">
        <v>3</v>
      </c>
    </row>
    <row r="2829" spans="1:14" x14ac:dyDescent="0.25">
      <c r="A2829">
        <v>3828</v>
      </c>
      <c r="B2829" s="1">
        <v>45951</v>
      </c>
      <c r="C2829" s="4">
        <f>MONTH(datos_ventas[[#This Row],[Fecha]])</f>
        <v>10</v>
      </c>
      <c r="D2829" s="4">
        <f>WEEKNUM(datos_ventas[[#This Row],[Fecha]],2)</f>
        <v>43</v>
      </c>
      <c r="E2829" t="s">
        <v>17</v>
      </c>
      <c r="F2829" t="s">
        <v>18</v>
      </c>
      <c r="G2829">
        <v>2</v>
      </c>
      <c r="H2829">
        <v>46769</v>
      </c>
      <c r="I2829">
        <v>1771</v>
      </c>
      <c r="J2829" t="s">
        <v>31</v>
      </c>
      <c r="K2829" t="str">
        <f>_xlfn.XLOOKUP(datos_ventas[[#This Row],[Ciudad]],Tabla2[Ciudades],Tabla2[Provincias],"no se encuentra")</f>
        <v>Vizcaya</v>
      </c>
      <c r="L2829" t="str">
        <f>_xlfn.XLOOKUP(datos_ventas[[#This Row],[Provincia]],Tabla2[Provincias],Tabla2[Comunidades],"no se encuentra")</f>
        <v>País Vasco</v>
      </c>
      <c r="M2829" t="s">
        <v>28</v>
      </c>
      <c r="N2829">
        <v>4</v>
      </c>
    </row>
    <row r="2830" spans="1:14" x14ac:dyDescent="0.25">
      <c r="A2830">
        <v>3829</v>
      </c>
      <c r="B2830" s="1">
        <v>45710</v>
      </c>
      <c r="C2830" s="4">
        <f>MONTH(datos_ventas[[#This Row],[Fecha]])</f>
        <v>2</v>
      </c>
      <c r="D2830" s="4">
        <f>WEEKNUM(datos_ventas[[#This Row],[Fecha]],2)</f>
        <v>8</v>
      </c>
      <c r="E2830" t="s">
        <v>26</v>
      </c>
      <c r="F2830" t="s">
        <v>18</v>
      </c>
      <c r="G2830">
        <v>4</v>
      </c>
      <c r="H2830">
        <v>70832</v>
      </c>
      <c r="I2830">
        <v>2866</v>
      </c>
      <c r="J2830" t="s">
        <v>12</v>
      </c>
      <c r="K2830" t="str">
        <f>_xlfn.XLOOKUP(datos_ventas[[#This Row],[Ciudad]],Tabla2[Ciudades],Tabla2[Provincias],"no se encuentra")</f>
        <v>Málaga</v>
      </c>
      <c r="L2830" t="str">
        <f>_xlfn.XLOOKUP(datos_ventas[[#This Row],[Provincia]],Tabla2[Provincias],Tabla2[Comunidades],"no se encuentra")</f>
        <v>Andalucía</v>
      </c>
      <c r="M2830" t="s">
        <v>13</v>
      </c>
      <c r="N2830">
        <v>4</v>
      </c>
    </row>
    <row r="2831" spans="1:14" x14ac:dyDescent="0.25">
      <c r="A2831">
        <v>3830</v>
      </c>
      <c r="B2831" s="1">
        <v>45770</v>
      </c>
      <c r="C2831" s="4">
        <f>MONTH(datos_ventas[[#This Row],[Fecha]])</f>
        <v>4</v>
      </c>
      <c r="D2831" s="4">
        <f>WEEKNUM(datos_ventas[[#This Row],[Fecha]],2)</f>
        <v>17</v>
      </c>
      <c r="E2831" t="s">
        <v>23</v>
      </c>
      <c r="F2831" t="s">
        <v>18</v>
      </c>
      <c r="G2831">
        <v>4</v>
      </c>
      <c r="H2831">
        <v>10748</v>
      </c>
      <c r="I2831">
        <v>4923</v>
      </c>
      <c r="J2831" t="s">
        <v>22</v>
      </c>
      <c r="K2831" t="str">
        <f>_xlfn.XLOOKUP(datos_ventas[[#This Row],[Ciudad]],Tabla2[Ciudades],Tabla2[Provincias],"no se encuentra")</f>
        <v>Valencia</v>
      </c>
      <c r="L2831" t="str">
        <f>_xlfn.XLOOKUP(datos_ventas[[#This Row],[Provincia]],Tabla2[Provincias],Tabla2[Comunidades],"no se encuentra")</f>
        <v>Comunidad Valenciana</v>
      </c>
      <c r="M2831" t="s">
        <v>15</v>
      </c>
      <c r="N2831">
        <v>5</v>
      </c>
    </row>
    <row r="2832" spans="1:14" x14ac:dyDescent="0.25">
      <c r="A2832">
        <v>3831</v>
      </c>
      <c r="B2832" s="1">
        <v>45832</v>
      </c>
      <c r="C2832" s="4">
        <f>MONTH(datos_ventas[[#This Row],[Fecha]])</f>
        <v>6</v>
      </c>
      <c r="D2832" s="4">
        <f>WEEKNUM(datos_ventas[[#This Row],[Fecha]],2)</f>
        <v>26</v>
      </c>
      <c r="E2832" t="s">
        <v>20</v>
      </c>
      <c r="F2832" t="s">
        <v>21</v>
      </c>
      <c r="G2832">
        <v>5</v>
      </c>
      <c r="H2832">
        <v>16058</v>
      </c>
      <c r="I2832">
        <v>4626</v>
      </c>
      <c r="J2832" t="s">
        <v>27</v>
      </c>
      <c r="K2832" t="str">
        <f>_xlfn.XLOOKUP(datos_ventas[[#This Row],[Ciudad]],Tabla2[Ciudades],Tabla2[Provincias],"no se encuentra")</f>
        <v>Sevilla</v>
      </c>
      <c r="L2832" t="str">
        <f>_xlfn.XLOOKUP(datos_ventas[[#This Row],[Provincia]],Tabla2[Provincias],Tabla2[Comunidades],"no se encuentra")</f>
        <v>Andalucía</v>
      </c>
      <c r="M2832" t="s">
        <v>13</v>
      </c>
      <c r="N2832">
        <v>5</v>
      </c>
    </row>
    <row r="2833" spans="1:14" x14ac:dyDescent="0.25">
      <c r="A2833">
        <v>3832</v>
      </c>
      <c r="B2833" s="1">
        <v>45971</v>
      </c>
      <c r="C2833" s="4">
        <f>MONTH(datos_ventas[[#This Row],[Fecha]])</f>
        <v>11</v>
      </c>
      <c r="D2833" s="4">
        <f>WEEKNUM(datos_ventas[[#This Row],[Fecha]],2)</f>
        <v>46</v>
      </c>
      <c r="E2833" t="s">
        <v>10</v>
      </c>
      <c r="F2833" t="s">
        <v>11</v>
      </c>
      <c r="G2833">
        <v>5</v>
      </c>
      <c r="H2833">
        <v>3726</v>
      </c>
      <c r="I2833">
        <v>4473</v>
      </c>
      <c r="J2833" t="s">
        <v>31</v>
      </c>
      <c r="K2833" t="str">
        <f>_xlfn.XLOOKUP(datos_ventas[[#This Row],[Ciudad]],Tabla2[Ciudades],Tabla2[Provincias],"no se encuentra")</f>
        <v>Vizcaya</v>
      </c>
      <c r="L2833" t="str">
        <f>_xlfn.XLOOKUP(datos_ventas[[#This Row],[Provincia]],Tabla2[Provincias],Tabla2[Comunidades],"no se encuentra")</f>
        <v>País Vasco</v>
      </c>
      <c r="M2833" t="s">
        <v>19</v>
      </c>
      <c r="N2833">
        <v>4</v>
      </c>
    </row>
    <row r="2834" spans="1:14" x14ac:dyDescent="0.25">
      <c r="A2834">
        <v>3833</v>
      </c>
      <c r="B2834" s="1">
        <v>45715</v>
      </c>
      <c r="C2834" s="4">
        <f>MONTH(datos_ventas[[#This Row],[Fecha]])</f>
        <v>2</v>
      </c>
      <c r="D2834" s="4">
        <f>WEEKNUM(datos_ventas[[#This Row],[Fecha]],2)</f>
        <v>9</v>
      </c>
      <c r="E2834" t="s">
        <v>23</v>
      </c>
      <c r="F2834" t="s">
        <v>18</v>
      </c>
      <c r="G2834">
        <v>4</v>
      </c>
      <c r="H2834">
        <v>7275</v>
      </c>
      <c r="I2834">
        <v>1472</v>
      </c>
      <c r="J2834" t="s">
        <v>12</v>
      </c>
      <c r="K2834" t="str">
        <f>_xlfn.XLOOKUP(datos_ventas[[#This Row],[Ciudad]],Tabla2[Ciudades],Tabla2[Provincias],"no se encuentra")</f>
        <v>Málaga</v>
      </c>
      <c r="L2834" t="str">
        <f>_xlfn.XLOOKUP(datos_ventas[[#This Row],[Provincia]],Tabla2[Provincias],Tabla2[Comunidades],"no se encuentra")</f>
        <v>Andalucía</v>
      </c>
      <c r="M2834" t="s">
        <v>13</v>
      </c>
      <c r="N2834">
        <v>2</v>
      </c>
    </row>
    <row r="2835" spans="1:14" x14ac:dyDescent="0.25">
      <c r="A2835">
        <v>3834</v>
      </c>
      <c r="B2835" s="1">
        <v>45958</v>
      </c>
      <c r="C2835" s="4">
        <f>MONTH(datos_ventas[[#This Row],[Fecha]])</f>
        <v>10</v>
      </c>
      <c r="D2835" s="4">
        <f>WEEKNUM(datos_ventas[[#This Row],[Fecha]],2)</f>
        <v>44</v>
      </c>
      <c r="E2835" t="s">
        <v>10</v>
      </c>
      <c r="F2835" t="s">
        <v>11</v>
      </c>
      <c r="G2835">
        <v>3</v>
      </c>
      <c r="H2835">
        <v>6420</v>
      </c>
      <c r="I2835">
        <v>3162</v>
      </c>
      <c r="J2835" t="s">
        <v>27</v>
      </c>
      <c r="K2835" t="str">
        <f>_xlfn.XLOOKUP(datos_ventas[[#This Row],[Ciudad]],Tabla2[Ciudades],Tabla2[Provincias],"no se encuentra")</f>
        <v>Sevilla</v>
      </c>
      <c r="L2835" t="str">
        <f>_xlfn.XLOOKUP(datos_ventas[[#This Row],[Provincia]],Tabla2[Provincias],Tabla2[Comunidades],"no se encuentra")</f>
        <v>Andalucía</v>
      </c>
      <c r="M2835" t="s">
        <v>15</v>
      </c>
      <c r="N2835">
        <v>4</v>
      </c>
    </row>
    <row r="2836" spans="1:14" x14ac:dyDescent="0.25">
      <c r="A2836">
        <v>3835</v>
      </c>
      <c r="B2836" s="1">
        <v>45795</v>
      </c>
      <c r="C2836" s="4">
        <f>MONTH(datos_ventas[[#This Row],[Fecha]])</f>
        <v>5</v>
      </c>
      <c r="D2836" s="4">
        <f>WEEKNUM(datos_ventas[[#This Row],[Fecha]],2)</f>
        <v>20</v>
      </c>
      <c r="E2836" t="s">
        <v>10</v>
      </c>
      <c r="F2836" t="s">
        <v>11</v>
      </c>
      <c r="G2836">
        <v>1</v>
      </c>
      <c r="H2836">
        <v>104672</v>
      </c>
      <c r="I2836">
        <v>1541</v>
      </c>
      <c r="J2836" t="s">
        <v>32</v>
      </c>
      <c r="K2836" t="str">
        <f>_xlfn.XLOOKUP(datos_ventas[[#This Row],[Ciudad]],Tabla2[Ciudades],Tabla2[Provincias],"no se encuentra")</f>
        <v>Barcelona</v>
      </c>
      <c r="L2836" t="str">
        <f>_xlfn.XLOOKUP(datos_ventas[[#This Row],[Provincia]],Tabla2[Provincias],Tabla2[Comunidades],"no se encuentra")</f>
        <v>Cataluña</v>
      </c>
      <c r="M2836" t="s">
        <v>15</v>
      </c>
      <c r="N2836">
        <v>4</v>
      </c>
    </row>
    <row r="2837" spans="1:14" x14ac:dyDescent="0.25">
      <c r="A2837">
        <v>3836</v>
      </c>
      <c r="B2837" s="1">
        <v>45857</v>
      </c>
      <c r="C2837" s="4">
        <f>MONTH(datos_ventas[[#This Row],[Fecha]])</f>
        <v>7</v>
      </c>
      <c r="D2837" s="4">
        <f>WEEKNUM(datos_ventas[[#This Row],[Fecha]],2)</f>
        <v>29</v>
      </c>
      <c r="E2837" t="s">
        <v>16</v>
      </c>
      <c r="F2837" t="s">
        <v>11</v>
      </c>
      <c r="G2837">
        <v>3</v>
      </c>
      <c r="H2837">
        <v>36427</v>
      </c>
      <c r="I2837">
        <v>429</v>
      </c>
      <c r="J2837" t="s">
        <v>32</v>
      </c>
      <c r="K2837" t="str">
        <f>_xlfn.XLOOKUP(datos_ventas[[#This Row],[Ciudad]],Tabla2[Ciudades],Tabla2[Provincias],"no se encuentra")</f>
        <v>Barcelona</v>
      </c>
      <c r="L2837" t="str">
        <f>_xlfn.XLOOKUP(datos_ventas[[#This Row],[Provincia]],Tabla2[Provincias],Tabla2[Comunidades],"no se encuentra")</f>
        <v>Cataluña</v>
      </c>
      <c r="M2837" t="s">
        <v>13</v>
      </c>
      <c r="N2837">
        <v>5</v>
      </c>
    </row>
    <row r="2838" spans="1:14" x14ac:dyDescent="0.25">
      <c r="A2838">
        <v>3837</v>
      </c>
      <c r="B2838" s="1">
        <v>45984</v>
      </c>
      <c r="C2838" s="4">
        <f>MONTH(datos_ventas[[#This Row],[Fecha]])</f>
        <v>11</v>
      </c>
      <c r="D2838" s="4">
        <f>WEEKNUM(datos_ventas[[#This Row],[Fecha]],2)</f>
        <v>47</v>
      </c>
      <c r="E2838" t="s">
        <v>29</v>
      </c>
      <c r="F2838" t="s">
        <v>30</v>
      </c>
      <c r="G2838">
        <v>2</v>
      </c>
      <c r="H2838">
        <v>53049</v>
      </c>
      <c r="I2838">
        <v>3453</v>
      </c>
      <c r="J2838" t="s">
        <v>14</v>
      </c>
      <c r="K2838" t="str">
        <f>_xlfn.XLOOKUP(datos_ventas[[#This Row],[Ciudad]],Tabla2[Ciudades],Tabla2[Provincias],"no se encuentra")</f>
        <v>Madrid</v>
      </c>
      <c r="L2838" t="str">
        <f>_xlfn.XLOOKUP(datos_ventas[[#This Row],[Provincia]],Tabla2[Provincias],Tabla2[Comunidades],"no se encuentra")</f>
        <v>Comunidad de Madrid</v>
      </c>
      <c r="M2838" t="s">
        <v>28</v>
      </c>
      <c r="N2838">
        <v>3</v>
      </c>
    </row>
    <row r="2839" spans="1:14" x14ac:dyDescent="0.25">
      <c r="A2839">
        <v>3838</v>
      </c>
      <c r="B2839" s="1">
        <v>46021</v>
      </c>
      <c r="C2839" s="4">
        <f>MONTH(datos_ventas[[#This Row],[Fecha]])</f>
        <v>12</v>
      </c>
      <c r="D2839" s="4">
        <f>WEEKNUM(datos_ventas[[#This Row],[Fecha]],2)</f>
        <v>53</v>
      </c>
      <c r="E2839" t="s">
        <v>17</v>
      </c>
      <c r="F2839" t="s">
        <v>18</v>
      </c>
      <c r="G2839">
        <v>4</v>
      </c>
      <c r="H2839">
        <v>82139</v>
      </c>
      <c r="I2839">
        <v>1913</v>
      </c>
      <c r="J2839" t="s">
        <v>22</v>
      </c>
      <c r="K2839" t="str">
        <f>_xlfn.XLOOKUP(datos_ventas[[#This Row],[Ciudad]],Tabla2[Ciudades],Tabla2[Provincias],"no se encuentra")</f>
        <v>Valencia</v>
      </c>
      <c r="L2839" t="str">
        <f>_xlfn.XLOOKUP(datos_ventas[[#This Row],[Provincia]],Tabla2[Provincias],Tabla2[Comunidades],"no se encuentra")</f>
        <v>Comunidad Valenciana</v>
      </c>
      <c r="M2839" t="s">
        <v>13</v>
      </c>
      <c r="N2839">
        <v>1</v>
      </c>
    </row>
    <row r="2840" spans="1:14" x14ac:dyDescent="0.25">
      <c r="A2840">
        <v>3839</v>
      </c>
      <c r="B2840" s="1">
        <v>45840</v>
      </c>
      <c r="C2840" s="4">
        <f>MONTH(datos_ventas[[#This Row],[Fecha]])</f>
        <v>7</v>
      </c>
      <c r="D2840" s="4">
        <f>WEEKNUM(datos_ventas[[#This Row],[Fecha]],2)</f>
        <v>27</v>
      </c>
      <c r="E2840" t="s">
        <v>17</v>
      </c>
      <c r="F2840" t="s">
        <v>18</v>
      </c>
      <c r="G2840">
        <v>4</v>
      </c>
      <c r="H2840">
        <v>6975</v>
      </c>
      <c r="I2840">
        <v>3557</v>
      </c>
      <c r="J2840" t="s">
        <v>27</v>
      </c>
      <c r="K2840" t="str">
        <f>_xlfn.XLOOKUP(datos_ventas[[#This Row],[Ciudad]],Tabla2[Ciudades],Tabla2[Provincias],"no se encuentra")</f>
        <v>Sevilla</v>
      </c>
      <c r="L2840" t="str">
        <f>_xlfn.XLOOKUP(datos_ventas[[#This Row],[Provincia]],Tabla2[Provincias],Tabla2[Comunidades],"no se encuentra")</f>
        <v>Andalucía</v>
      </c>
      <c r="M2840" t="s">
        <v>28</v>
      </c>
      <c r="N2840">
        <v>3</v>
      </c>
    </row>
    <row r="2841" spans="1:14" x14ac:dyDescent="0.25">
      <c r="A2841">
        <v>3840</v>
      </c>
      <c r="B2841" s="1">
        <v>45817</v>
      </c>
      <c r="C2841" s="4">
        <f>MONTH(datos_ventas[[#This Row],[Fecha]])</f>
        <v>6</v>
      </c>
      <c r="D2841" s="4">
        <f>WEEKNUM(datos_ventas[[#This Row],[Fecha]],2)</f>
        <v>24</v>
      </c>
      <c r="E2841" t="s">
        <v>29</v>
      </c>
      <c r="F2841" t="s">
        <v>30</v>
      </c>
      <c r="G2841">
        <v>1</v>
      </c>
      <c r="H2841">
        <v>96424</v>
      </c>
      <c r="I2841">
        <v>1579</v>
      </c>
      <c r="J2841" t="s">
        <v>27</v>
      </c>
      <c r="K2841" t="str">
        <f>_xlfn.XLOOKUP(datos_ventas[[#This Row],[Ciudad]],Tabla2[Ciudades],Tabla2[Provincias],"no se encuentra")</f>
        <v>Sevilla</v>
      </c>
      <c r="L2841" t="str">
        <f>_xlfn.XLOOKUP(datos_ventas[[#This Row],[Provincia]],Tabla2[Provincias],Tabla2[Comunidades],"no se encuentra")</f>
        <v>Andalucía</v>
      </c>
      <c r="M2841" t="s">
        <v>19</v>
      </c>
      <c r="N2841">
        <v>2</v>
      </c>
    </row>
    <row r="2842" spans="1:14" x14ac:dyDescent="0.25">
      <c r="A2842">
        <v>3841</v>
      </c>
      <c r="B2842" s="1">
        <v>45881</v>
      </c>
      <c r="C2842" s="4">
        <f>MONTH(datos_ventas[[#This Row],[Fecha]])</f>
        <v>8</v>
      </c>
      <c r="D2842" s="4">
        <f>WEEKNUM(datos_ventas[[#This Row],[Fecha]],2)</f>
        <v>33</v>
      </c>
      <c r="E2842" t="s">
        <v>17</v>
      </c>
      <c r="F2842" t="s">
        <v>18</v>
      </c>
      <c r="G2842">
        <v>5</v>
      </c>
      <c r="H2842">
        <v>81469</v>
      </c>
      <c r="I2842">
        <v>4421</v>
      </c>
      <c r="J2842" t="s">
        <v>12</v>
      </c>
      <c r="K2842" t="str">
        <f>_xlfn.XLOOKUP(datos_ventas[[#This Row],[Ciudad]],Tabla2[Ciudades],Tabla2[Provincias],"no se encuentra")</f>
        <v>Málaga</v>
      </c>
      <c r="L2842" t="str">
        <f>_xlfn.XLOOKUP(datos_ventas[[#This Row],[Provincia]],Tabla2[Provincias],Tabla2[Comunidades],"no se encuentra")</f>
        <v>Andalucía</v>
      </c>
      <c r="M2842" t="s">
        <v>15</v>
      </c>
      <c r="N2842">
        <v>3</v>
      </c>
    </row>
    <row r="2843" spans="1:14" x14ac:dyDescent="0.25">
      <c r="A2843">
        <v>3842</v>
      </c>
      <c r="B2843" s="1">
        <v>45754</v>
      </c>
      <c r="C2843" s="4">
        <f>MONTH(datos_ventas[[#This Row],[Fecha]])</f>
        <v>4</v>
      </c>
      <c r="D2843" s="4">
        <f>WEEKNUM(datos_ventas[[#This Row],[Fecha]],2)</f>
        <v>15</v>
      </c>
      <c r="E2843" t="s">
        <v>16</v>
      </c>
      <c r="F2843" t="s">
        <v>11</v>
      </c>
      <c r="G2843">
        <v>5</v>
      </c>
      <c r="H2843">
        <v>5102</v>
      </c>
      <c r="I2843">
        <v>1291</v>
      </c>
      <c r="J2843" t="s">
        <v>27</v>
      </c>
      <c r="K2843" t="str">
        <f>_xlfn.XLOOKUP(datos_ventas[[#This Row],[Ciudad]],Tabla2[Ciudades],Tabla2[Provincias],"no se encuentra")</f>
        <v>Sevilla</v>
      </c>
      <c r="L2843" t="str">
        <f>_xlfn.XLOOKUP(datos_ventas[[#This Row],[Provincia]],Tabla2[Provincias],Tabla2[Comunidades],"no se encuentra")</f>
        <v>Andalucía</v>
      </c>
      <c r="M2843" t="s">
        <v>15</v>
      </c>
      <c r="N2843">
        <v>1</v>
      </c>
    </row>
    <row r="2844" spans="1:14" x14ac:dyDescent="0.25">
      <c r="A2844">
        <v>3843</v>
      </c>
      <c r="B2844" s="1">
        <v>45852</v>
      </c>
      <c r="C2844" s="4">
        <f>MONTH(datos_ventas[[#This Row],[Fecha]])</f>
        <v>7</v>
      </c>
      <c r="D2844" s="4">
        <f>WEEKNUM(datos_ventas[[#This Row],[Fecha]],2)</f>
        <v>29</v>
      </c>
      <c r="E2844" t="s">
        <v>23</v>
      </c>
      <c r="F2844" t="s">
        <v>18</v>
      </c>
      <c r="G2844">
        <v>4</v>
      </c>
      <c r="H2844">
        <v>91894</v>
      </c>
      <c r="I2844">
        <v>2874</v>
      </c>
      <c r="J2844" t="s">
        <v>31</v>
      </c>
      <c r="K2844" t="str">
        <f>_xlfn.XLOOKUP(datos_ventas[[#This Row],[Ciudad]],Tabla2[Ciudades],Tabla2[Provincias],"no se encuentra")</f>
        <v>Vizcaya</v>
      </c>
      <c r="L2844" t="str">
        <f>_xlfn.XLOOKUP(datos_ventas[[#This Row],[Provincia]],Tabla2[Provincias],Tabla2[Comunidades],"no se encuentra")</f>
        <v>País Vasco</v>
      </c>
      <c r="M2844" t="s">
        <v>28</v>
      </c>
      <c r="N2844">
        <v>2</v>
      </c>
    </row>
    <row r="2845" spans="1:14" x14ac:dyDescent="0.25">
      <c r="A2845">
        <v>3844</v>
      </c>
      <c r="B2845" s="1">
        <v>45796</v>
      </c>
      <c r="C2845" s="4">
        <f>MONTH(datos_ventas[[#This Row],[Fecha]])</f>
        <v>5</v>
      </c>
      <c r="D2845" s="4">
        <f>WEEKNUM(datos_ventas[[#This Row],[Fecha]],2)</f>
        <v>21</v>
      </c>
      <c r="E2845" t="s">
        <v>17</v>
      </c>
      <c r="F2845" t="s">
        <v>18</v>
      </c>
      <c r="G2845">
        <v>3</v>
      </c>
      <c r="H2845">
        <v>67316</v>
      </c>
      <c r="I2845">
        <v>2542</v>
      </c>
      <c r="J2845" t="s">
        <v>12</v>
      </c>
      <c r="K2845" t="str">
        <f>_xlfn.XLOOKUP(datos_ventas[[#This Row],[Ciudad]],Tabla2[Ciudades],Tabla2[Provincias],"no se encuentra")</f>
        <v>Málaga</v>
      </c>
      <c r="L2845" t="str">
        <f>_xlfn.XLOOKUP(datos_ventas[[#This Row],[Provincia]],Tabla2[Provincias],Tabla2[Comunidades],"no se encuentra")</f>
        <v>Andalucía</v>
      </c>
      <c r="M2845" t="s">
        <v>13</v>
      </c>
      <c r="N2845">
        <v>2</v>
      </c>
    </row>
    <row r="2846" spans="1:14" x14ac:dyDescent="0.25">
      <c r="A2846">
        <v>3845</v>
      </c>
      <c r="B2846" s="1">
        <v>45847</v>
      </c>
      <c r="C2846" s="4">
        <f>MONTH(datos_ventas[[#This Row],[Fecha]])</f>
        <v>7</v>
      </c>
      <c r="D2846" s="4">
        <f>WEEKNUM(datos_ventas[[#This Row],[Fecha]],2)</f>
        <v>28</v>
      </c>
      <c r="E2846" t="s">
        <v>16</v>
      </c>
      <c r="F2846" t="s">
        <v>11</v>
      </c>
      <c r="G2846">
        <v>5</v>
      </c>
      <c r="H2846">
        <v>86217</v>
      </c>
      <c r="I2846">
        <v>4368</v>
      </c>
      <c r="J2846" t="s">
        <v>12</v>
      </c>
      <c r="K2846" t="str">
        <f>_xlfn.XLOOKUP(datos_ventas[[#This Row],[Ciudad]],Tabla2[Ciudades],Tabla2[Provincias],"no se encuentra")</f>
        <v>Málaga</v>
      </c>
      <c r="L2846" t="str">
        <f>_xlfn.XLOOKUP(datos_ventas[[#This Row],[Provincia]],Tabla2[Provincias],Tabla2[Comunidades],"no se encuentra")</f>
        <v>Andalucía</v>
      </c>
      <c r="M2846" t="s">
        <v>13</v>
      </c>
      <c r="N2846">
        <v>1</v>
      </c>
    </row>
    <row r="2847" spans="1:14" x14ac:dyDescent="0.25">
      <c r="A2847">
        <v>3846</v>
      </c>
      <c r="B2847" s="1">
        <v>46020</v>
      </c>
      <c r="C2847" s="4">
        <f>MONTH(datos_ventas[[#This Row],[Fecha]])</f>
        <v>12</v>
      </c>
      <c r="D2847" s="4">
        <f>WEEKNUM(datos_ventas[[#This Row],[Fecha]],2)</f>
        <v>53</v>
      </c>
      <c r="E2847" t="s">
        <v>29</v>
      </c>
      <c r="F2847" t="s">
        <v>30</v>
      </c>
      <c r="G2847">
        <v>1</v>
      </c>
      <c r="H2847">
        <v>9281</v>
      </c>
      <c r="I2847">
        <v>3321</v>
      </c>
      <c r="J2847" t="s">
        <v>27</v>
      </c>
      <c r="K2847" t="str">
        <f>_xlfn.XLOOKUP(datos_ventas[[#This Row],[Ciudad]],Tabla2[Ciudades],Tabla2[Provincias],"no se encuentra")</f>
        <v>Sevilla</v>
      </c>
      <c r="L2847" t="str">
        <f>_xlfn.XLOOKUP(datos_ventas[[#This Row],[Provincia]],Tabla2[Provincias],Tabla2[Comunidades],"no se encuentra")</f>
        <v>Andalucía</v>
      </c>
      <c r="M2847" t="s">
        <v>15</v>
      </c>
      <c r="N2847">
        <v>5</v>
      </c>
    </row>
    <row r="2848" spans="1:14" x14ac:dyDescent="0.25">
      <c r="A2848">
        <v>3847</v>
      </c>
      <c r="B2848" s="1">
        <v>45926</v>
      </c>
      <c r="C2848" s="4">
        <f>MONTH(datos_ventas[[#This Row],[Fecha]])</f>
        <v>9</v>
      </c>
      <c r="D2848" s="4">
        <f>WEEKNUM(datos_ventas[[#This Row],[Fecha]],2)</f>
        <v>39</v>
      </c>
      <c r="E2848" t="s">
        <v>24</v>
      </c>
      <c r="F2848" t="s">
        <v>25</v>
      </c>
      <c r="G2848">
        <v>4</v>
      </c>
      <c r="H2848">
        <v>119573</v>
      </c>
      <c r="I2848">
        <v>1609</v>
      </c>
      <c r="J2848" t="s">
        <v>12</v>
      </c>
      <c r="K2848" t="str">
        <f>_xlfn.XLOOKUP(datos_ventas[[#This Row],[Ciudad]],Tabla2[Ciudades],Tabla2[Provincias],"no se encuentra")</f>
        <v>Málaga</v>
      </c>
      <c r="L2848" t="str">
        <f>_xlfn.XLOOKUP(datos_ventas[[#This Row],[Provincia]],Tabla2[Provincias],Tabla2[Comunidades],"no se encuentra")</f>
        <v>Andalucía</v>
      </c>
      <c r="M2848" t="s">
        <v>28</v>
      </c>
      <c r="N2848">
        <v>1</v>
      </c>
    </row>
    <row r="2849" spans="1:14" x14ac:dyDescent="0.25">
      <c r="A2849">
        <v>3848</v>
      </c>
      <c r="B2849" s="1">
        <v>45908</v>
      </c>
      <c r="C2849" s="4">
        <f>MONTH(datos_ventas[[#This Row],[Fecha]])</f>
        <v>9</v>
      </c>
      <c r="D2849" s="4">
        <f>WEEKNUM(datos_ventas[[#This Row],[Fecha]],2)</f>
        <v>37</v>
      </c>
      <c r="E2849" t="s">
        <v>29</v>
      </c>
      <c r="F2849" t="s">
        <v>30</v>
      </c>
      <c r="G2849">
        <v>4</v>
      </c>
      <c r="H2849">
        <v>86731</v>
      </c>
      <c r="I2849">
        <v>2802</v>
      </c>
      <c r="J2849" t="s">
        <v>22</v>
      </c>
      <c r="K2849" t="str">
        <f>_xlfn.XLOOKUP(datos_ventas[[#This Row],[Ciudad]],Tabla2[Ciudades],Tabla2[Provincias],"no se encuentra")</f>
        <v>Valencia</v>
      </c>
      <c r="L2849" t="str">
        <f>_xlfn.XLOOKUP(datos_ventas[[#This Row],[Provincia]],Tabla2[Provincias],Tabla2[Comunidades],"no se encuentra")</f>
        <v>Comunidad Valenciana</v>
      </c>
      <c r="M2849" t="s">
        <v>15</v>
      </c>
      <c r="N2849">
        <v>5</v>
      </c>
    </row>
    <row r="2850" spans="1:14" x14ac:dyDescent="0.25">
      <c r="A2850">
        <v>3849</v>
      </c>
      <c r="B2850" s="1">
        <v>45665</v>
      </c>
      <c r="C2850" s="4">
        <f>MONTH(datos_ventas[[#This Row],[Fecha]])</f>
        <v>1</v>
      </c>
      <c r="D2850" s="4">
        <f>WEEKNUM(datos_ventas[[#This Row],[Fecha]],2)</f>
        <v>2</v>
      </c>
      <c r="E2850" t="s">
        <v>24</v>
      </c>
      <c r="F2850" t="s">
        <v>25</v>
      </c>
      <c r="G2850">
        <v>3</v>
      </c>
      <c r="H2850">
        <v>105477</v>
      </c>
      <c r="I2850">
        <v>225</v>
      </c>
      <c r="J2850" t="s">
        <v>14</v>
      </c>
      <c r="K2850" t="str">
        <f>_xlfn.XLOOKUP(datos_ventas[[#This Row],[Ciudad]],Tabla2[Ciudades],Tabla2[Provincias],"no se encuentra")</f>
        <v>Madrid</v>
      </c>
      <c r="L2850" t="str">
        <f>_xlfn.XLOOKUP(datos_ventas[[#This Row],[Provincia]],Tabla2[Provincias],Tabla2[Comunidades],"no se encuentra")</f>
        <v>Comunidad de Madrid</v>
      </c>
      <c r="M2850" t="s">
        <v>28</v>
      </c>
      <c r="N2850">
        <v>5</v>
      </c>
    </row>
    <row r="2851" spans="1:14" x14ac:dyDescent="0.25">
      <c r="A2851">
        <v>3850</v>
      </c>
      <c r="B2851" s="1">
        <v>45737</v>
      </c>
      <c r="C2851" s="4">
        <f>MONTH(datos_ventas[[#This Row],[Fecha]])</f>
        <v>3</v>
      </c>
      <c r="D2851" s="4">
        <f>WEEKNUM(datos_ventas[[#This Row],[Fecha]],2)</f>
        <v>12</v>
      </c>
      <c r="E2851" t="s">
        <v>20</v>
      </c>
      <c r="F2851" t="s">
        <v>21</v>
      </c>
      <c r="G2851">
        <v>1</v>
      </c>
      <c r="H2851">
        <v>109715</v>
      </c>
      <c r="I2851">
        <v>4327</v>
      </c>
      <c r="J2851" t="s">
        <v>31</v>
      </c>
      <c r="K2851" t="str">
        <f>_xlfn.XLOOKUP(datos_ventas[[#This Row],[Ciudad]],Tabla2[Ciudades],Tabla2[Provincias],"no se encuentra")</f>
        <v>Vizcaya</v>
      </c>
      <c r="L2851" t="str">
        <f>_xlfn.XLOOKUP(datos_ventas[[#This Row],[Provincia]],Tabla2[Provincias],Tabla2[Comunidades],"no se encuentra")</f>
        <v>País Vasco</v>
      </c>
      <c r="M2851" t="s">
        <v>13</v>
      </c>
      <c r="N2851">
        <v>1</v>
      </c>
    </row>
    <row r="2852" spans="1:14" x14ac:dyDescent="0.25">
      <c r="A2852">
        <v>3851</v>
      </c>
      <c r="B2852" s="1">
        <v>45746</v>
      </c>
      <c r="C2852" s="4">
        <f>MONTH(datos_ventas[[#This Row],[Fecha]])</f>
        <v>3</v>
      </c>
      <c r="D2852" s="4">
        <f>WEEKNUM(datos_ventas[[#This Row],[Fecha]],2)</f>
        <v>13</v>
      </c>
      <c r="E2852" t="s">
        <v>26</v>
      </c>
      <c r="F2852" t="s">
        <v>18</v>
      </c>
      <c r="G2852">
        <v>1</v>
      </c>
      <c r="H2852">
        <v>60552</v>
      </c>
      <c r="I2852">
        <v>2806</v>
      </c>
      <c r="J2852" t="s">
        <v>22</v>
      </c>
      <c r="K2852" t="str">
        <f>_xlfn.XLOOKUP(datos_ventas[[#This Row],[Ciudad]],Tabla2[Ciudades],Tabla2[Provincias],"no se encuentra")</f>
        <v>Valencia</v>
      </c>
      <c r="L2852" t="str">
        <f>_xlfn.XLOOKUP(datos_ventas[[#This Row],[Provincia]],Tabla2[Provincias],Tabla2[Comunidades],"no se encuentra")</f>
        <v>Comunidad Valenciana</v>
      </c>
      <c r="M2852" t="s">
        <v>13</v>
      </c>
      <c r="N2852">
        <v>4</v>
      </c>
    </row>
    <row r="2853" spans="1:14" x14ac:dyDescent="0.25">
      <c r="A2853">
        <v>3852</v>
      </c>
      <c r="B2853" s="1">
        <v>45768</v>
      </c>
      <c r="C2853" s="4">
        <f>MONTH(datos_ventas[[#This Row],[Fecha]])</f>
        <v>4</v>
      </c>
      <c r="D2853" s="4">
        <f>WEEKNUM(datos_ventas[[#This Row],[Fecha]],2)</f>
        <v>17</v>
      </c>
      <c r="E2853" t="s">
        <v>17</v>
      </c>
      <c r="F2853" t="s">
        <v>18</v>
      </c>
      <c r="G2853">
        <v>5</v>
      </c>
      <c r="H2853">
        <v>46801</v>
      </c>
      <c r="I2853">
        <v>3485</v>
      </c>
      <c r="J2853" t="s">
        <v>12</v>
      </c>
      <c r="K2853" t="str">
        <f>_xlfn.XLOOKUP(datos_ventas[[#This Row],[Ciudad]],Tabla2[Ciudades],Tabla2[Provincias],"no se encuentra")</f>
        <v>Málaga</v>
      </c>
      <c r="L2853" t="str">
        <f>_xlfn.XLOOKUP(datos_ventas[[#This Row],[Provincia]],Tabla2[Provincias],Tabla2[Comunidades],"no se encuentra")</f>
        <v>Andalucía</v>
      </c>
      <c r="M2853" t="s">
        <v>13</v>
      </c>
      <c r="N2853">
        <v>3</v>
      </c>
    </row>
    <row r="2854" spans="1:14" x14ac:dyDescent="0.25">
      <c r="A2854">
        <v>3853</v>
      </c>
      <c r="B2854" s="1">
        <v>45772</v>
      </c>
      <c r="C2854" s="4">
        <f>MONTH(datos_ventas[[#This Row],[Fecha]])</f>
        <v>4</v>
      </c>
      <c r="D2854" s="4">
        <f>WEEKNUM(datos_ventas[[#This Row],[Fecha]],2)</f>
        <v>17</v>
      </c>
      <c r="E2854" t="s">
        <v>29</v>
      </c>
      <c r="F2854" t="s">
        <v>30</v>
      </c>
      <c r="G2854">
        <v>5</v>
      </c>
      <c r="H2854">
        <v>4431</v>
      </c>
      <c r="I2854">
        <v>4498</v>
      </c>
      <c r="J2854" t="s">
        <v>14</v>
      </c>
      <c r="K2854" t="str">
        <f>_xlfn.XLOOKUP(datos_ventas[[#This Row],[Ciudad]],Tabla2[Ciudades],Tabla2[Provincias],"no se encuentra")</f>
        <v>Madrid</v>
      </c>
      <c r="L2854" t="str">
        <f>_xlfn.XLOOKUP(datos_ventas[[#This Row],[Provincia]],Tabla2[Provincias],Tabla2[Comunidades],"no se encuentra")</f>
        <v>Comunidad de Madrid</v>
      </c>
      <c r="M2854" t="s">
        <v>13</v>
      </c>
      <c r="N2854">
        <v>3</v>
      </c>
    </row>
    <row r="2855" spans="1:14" x14ac:dyDescent="0.25">
      <c r="A2855">
        <v>3854</v>
      </c>
      <c r="B2855" s="1">
        <v>45936</v>
      </c>
      <c r="C2855" s="4">
        <f>MONTH(datos_ventas[[#This Row],[Fecha]])</f>
        <v>10</v>
      </c>
      <c r="D2855" s="4">
        <f>WEEKNUM(datos_ventas[[#This Row],[Fecha]],2)</f>
        <v>41</v>
      </c>
      <c r="E2855" t="s">
        <v>24</v>
      </c>
      <c r="F2855" t="s">
        <v>25</v>
      </c>
      <c r="G2855">
        <v>5</v>
      </c>
      <c r="H2855">
        <v>52038</v>
      </c>
      <c r="I2855">
        <v>3632</v>
      </c>
      <c r="J2855" t="s">
        <v>32</v>
      </c>
      <c r="K2855" t="str">
        <f>_xlfn.XLOOKUP(datos_ventas[[#This Row],[Ciudad]],Tabla2[Ciudades],Tabla2[Provincias],"no se encuentra")</f>
        <v>Barcelona</v>
      </c>
      <c r="L2855" t="str">
        <f>_xlfn.XLOOKUP(datos_ventas[[#This Row],[Provincia]],Tabla2[Provincias],Tabla2[Comunidades],"no se encuentra")</f>
        <v>Cataluña</v>
      </c>
      <c r="M2855" t="s">
        <v>28</v>
      </c>
      <c r="N2855">
        <v>5</v>
      </c>
    </row>
    <row r="2856" spans="1:14" x14ac:dyDescent="0.25">
      <c r="A2856">
        <v>3855</v>
      </c>
      <c r="B2856" s="1">
        <v>45658</v>
      </c>
      <c r="C2856" s="4">
        <f>MONTH(datos_ventas[[#This Row],[Fecha]])</f>
        <v>1</v>
      </c>
      <c r="D2856" s="4">
        <f>WEEKNUM(datos_ventas[[#This Row],[Fecha]],2)</f>
        <v>1</v>
      </c>
      <c r="E2856" t="s">
        <v>24</v>
      </c>
      <c r="F2856" t="s">
        <v>25</v>
      </c>
      <c r="G2856">
        <v>5</v>
      </c>
      <c r="H2856">
        <v>17242</v>
      </c>
      <c r="I2856">
        <v>4016</v>
      </c>
      <c r="J2856" t="s">
        <v>32</v>
      </c>
      <c r="K2856" t="str">
        <f>_xlfn.XLOOKUP(datos_ventas[[#This Row],[Ciudad]],Tabla2[Ciudades],Tabla2[Provincias],"no se encuentra")</f>
        <v>Barcelona</v>
      </c>
      <c r="L2856" t="str">
        <f>_xlfn.XLOOKUP(datos_ventas[[#This Row],[Provincia]],Tabla2[Provincias],Tabla2[Comunidades],"no se encuentra")</f>
        <v>Cataluña</v>
      </c>
      <c r="M2856" t="s">
        <v>13</v>
      </c>
      <c r="N2856">
        <v>4</v>
      </c>
    </row>
    <row r="2857" spans="1:14" x14ac:dyDescent="0.25">
      <c r="A2857">
        <v>3856</v>
      </c>
      <c r="B2857" s="1">
        <v>45762</v>
      </c>
      <c r="C2857" s="4">
        <f>MONTH(datos_ventas[[#This Row],[Fecha]])</f>
        <v>4</v>
      </c>
      <c r="D2857" s="4">
        <f>WEEKNUM(datos_ventas[[#This Row],[Fecha]],2)</f>
        <v>16</v>
      </c>
      <c r="E2857" t="s">
        <v>10</v>
      </c>
      <c r="F2857" t="s">
        <v>11</v>
      </c>
      <c r="G2857">
        <v>5</v>
      </c>
      <c r="H2857">
        <v>51145</v>
      </c>
      <c r="I2857">
        <v>1044</v>
      </c>
      <c r="J2857" t="s">
        <v>31</v>
      </c>
      <c r="K2857" t="str">
        <f>_xlfn.XLOOKUP(datos_ventas[[#This Row],[Ciudad]],Tabla2[Ciudades],Tabla2[Provincias],"no se encuentra")</f>
        <v>Vizcaya</v>
      </c>
      <c r="L2857" t="str">
        <f>_xlfn.XLOOKUP(datos_ventas[[#This Row],[Provincia]],Tabla2[Provincias],Tabla2[Comunidades],"no se encuentra")</f>
        <v>País Vasco</v>
      </c>
      <c r="M2857" t="s">
        <v>13</v>
      </c>
      <c r="N2857">
        <v>4</v>
      </c>
    </row>
    <row r="2858" spans="1:14" x14ac:dyDescent="0.25">
      <c r="A2858">
        <v>3857</v>
      </c>
      <c r="B2858" s="1">
        <v>45876</v>
      </c>
      <c r="C2858" s="4">
        <f>MONTH(datos_ventas[[#This Row],[Fecha]])</f>
        <v>8</v>
      </c>
      <c r="D2858" s="4">
        <f>WEEKNUM(datos_ventas[[#This Row],[Fecha]],2)</f>
        <v>32</v>
      </c>
      <c r="E2858" t="s">
        <v>16</v>
      </c>
      <c r="F2858" t="s">
        <v>11</v>
      </c>
      <c r="G2858">
        <v>1</v>
      </c>
      <c r="H2858">
        <v>18051</v>
      </c>
      <c r="I2858">
        <v>2339</v>
      </c>
      <c r="J2858" t="s">
        <v>14</v>
      </c>
      <c r="K2858" t="str">
        <f>_xlfn.XLOOKUP(datos_ventas[[#This Row],[Ciudad]],Tabla2[Ciudades],Tabla2[Provincias],"no se encuentra")</f>
        <v>Madrid</v>
      </c>
      <c r="L2858" t="str">
        <f>_xlfn.XLOOKUP(datos_ventas[[#This Row],[Provincia]],Tabla2[Provincias],Tabla2[Comunidades],"no se encuentra")</f>
        <v>Comunidad de Madrid</v>
      </c>
      <c r="M2858" t="s">
        <v>28</v>
      </c>
      <c r="N2858">
        <v>3</v>
      </c>
    </row>
    <row r="2859" spans="1:14" x14ac:dyDescent="0.25">
      <c r="A2859">
        <v>3858</v>
      </c>
      <c r="B2859" s="1">
        <v>45727</v>
      </c>
      <c r="C2859" s="4">
        <f>MONTH(datos_ventas[[#This Row],[Fecha]])</f>
        <v>3</v>
      </c>
      <c r="D2859" s="4">
        <f>WEEKNUM(datos_ventas[[#This Row],[Fecha]],2)</f>
        <v>11</v>
      </c>
      <c r="E2859" t="s">
        <v>10</v>
      </c>
      <c r="F2859" t="s">
        <v>11</v>
      </c>
      <c r="G2859">
        <v>2</v>
      </c>
      <c r="H2859">
        <v>934</v>
      </c>
      <c r="I2859">
        <v>2314</v>
      </c>
      <c r="J2859" t="s">
        <v>27</v>
      </c>
      <c r="K2859" t="str">
        <f>_xlfn.XLOOKUP(datos_ventas[[#This Row],[Ciudad]],Tabla2[Ciudades],Tabla2[Provincias],"no se encuentra")</f>
        <v>Sevilla</v>
      </c>
      <c r="L2859" t="str">
        <f>_xlfn.XLOOKUP(datos_ventas[[#This Row],[Provincia]],Tabla2[Provincias],Tabla2[Comunidades],"no se encuentra")</f>
        <v>Andalucía</v>
      </c>
      <c r="M2859" t="s">
        <v>15</v>
      </c>
      <c r="N2859">
        <v>3</v>
      </c>
    </row>
    <row r="2860" spans="1:14" x14ac:dyDescent="0.25">
      <c r="A2860">
        <v>3859</v>
      </c>
      <c r="B2860" s="1">
        <v>45997</v>
      </c>
      <c r="C2860" s="4">
        <f>MONTH(datos_ventas[[#This Row],[Fecha]])</f>
        <v>12</v>
      </c>
      <c r="D2860" s="4">
        <f>WEEKNUM(datos_ventas[[#This Row],[Fecha]],2)</f>
        <v>49</v>
      </c>
      <c r="E2860" t="s">
        <v>20</v>
      </c>
      <c r="F2860" t="s">
        <v>21</v>
      </c>
      <c r="G2860">
        <v>4</v>
      </c>
      <c r="H2860">
        <v>55202</v>
      </c>
      <c r="I2860">
        <v>1913</v>
      </c>
      <c r="J2860" t="s">
        <v>22</v>
      </c>
      <c r="K2860" t="str">
        <f>_xlfn.XLOOKUP(datos_ventas[[#This Row],[Ciudad]],Tabla2[Ciudades],Tabla2[Provincias],"no se encuentra")</f>
        <v>Valencia</v>
      </c>
      <c r="L2860" t="str">
        <f>_xlfn.XLOOKUP(datos_ventas[[#This Row],[Provincia]],Tabla2[Provincias],Tabla2[Comunidades],"no se encuentra")</f>
        <v>Comunidad Valenciana</v>
      </c>
      <c r="M2860" t="s">
        <v>13</v>
      </c>
      <c r="N2860">
        <v>5</v>
      </c>
    </row>
    <row r="2861" spans="1:14" x14ac:dyDescent="0.25">
      <c r="A2861">
        <v>3860</v>
      </c>
      <c r="B2861" s="1">
        <v>45872</v>
      </c>
      <c r="C2861" s="4">
        <f>MONTH(datos_ventas[[#This Row],[Fecha]])</f>
        <v>8</v>
      </c>
      <c r="D2861" s="4">
        <f>WEEKNUM(datos_ventas[[#This Row],[Fecha]],2)</f>
        <v>31</v>
      </c>
      <c r="E2861" t="s">
        <v>20</v>
      </c>
      <c r="F2861" t="s">
        <v>21</v>
      </c>
      <c r="G2861">
        <v>5</v>
      </c>
      <c r="H2861">
        <v>37932</v>
      </c>
      <c r="I2861">
        <v>209</v>
      </c>
      <c r="J2861" t="s">
        <v>32</v>
      </c>
      <c r="K2861" t="str">
        <f>_xlfn.XLOOKUP(datos_ventas[[#This Row],[Ciudad]],Tabla2[Ciudades],Tabla2[Provincias],"no se encuentra")</f>
        <v>Barcelona</v>
      </c>
      <c r="L2861" t="str">
        <f>_xlfn.XLOOKUP(datos_ventas[[#This Row],[Provincia]],Tabla2[Provincias],Tabla2[Comunidades],"no se encuentra")</f>
        <v>Cataluña</v>
      </c>
      <c r="M2861" t="s">
        <v>28</v>
      </c>
      <c r="N2861">
        <v>4</v>
      </c>
    </row>
    <row r="2862" spans="1:14" x14ac:dyDescent="0.25">
      <c r="A2862">
        <v>3861</v>
      </c>
      <c r="B2862" s="1">
        <v>45724</v>
      </c>
      <c r="C2862" s="4">
        <f>MONTH(datos_ventas[[#This Row],[Fecha]])</f>
        <v>3</v>
      </c>
      <c r="D2862" s="4">
        <f>WEEKNUM(datos_ventas[[#This Row],[Fecha]],2)</f>
        <v>10</v>
      </c>
      <c r="E2862" t="s">
        <v>16</v>
      </c>
      <c r="F2862" t="s">
        <v>11</v>
      </c>
      <c r="G2862">
        <v>1</v>
      </c>
      <c r="H2862">
        <v>84021</v>
      </c>
      <c r="I2862">
        <v>1542</v>
      </c>
      <c r="J2862" t="s">
        <v>22</v>
      </c>
      <c r="K2862" t="str">
        <f>_xlfn.XLOOKUP(datos_ventas[[#This Row],[Ciudad]],Tabla2[Ciudades],Tabla2[Provincias],"no se encuentra")</f>
        <v>Valencia</v>
      </c>
      <c r="L2862" t="str">
        <f>_xlfn.XLOOKUP(datos_ventas[[#This Row],[Provincia]],Tabla2[Provincias],Tabla2[Comunidades],"no se encuentra")</f>
        <v>Comunidad Valenciana</v>
      </c>
      <c r="M2862" t="s">
        <v>28</v>
      </c>
      <c r="N2862">
        <v>5</v>
      </c>
    </row>
    <row r="2863" spans="1:14" x14ac:dyDescent="0.25">
      <c r="A2863">
        <v>3862</v>
      </c>
      <c r="B2863" s="1">
        <v>45879</v>
      </c>
      <c r="C2863" s="4">
        <f>MONTH(datos_ventas[[#This Row],[Fecha]])</f>
        <v>8</v>
      </c>
      <c r="D2863" s="4">
        <f>WEEKNUM(datos_ventas[[#This Row],[Fecha]],2)</f>
        <v>32</v>
      </c>
      <c r="E2863" t="s">
        <v>23</v>
      </c>
      <c r="F2863" t="s">
        <v>18</v>
      </c>
      <c r="G2863">
        <v>4</v>
      </c>
      <c r="H2863">
        <v>114099</v>
      </c>
      <c r="I2863">
        <v>4535</v>
      </c>
      <c r="J2863" t="s">
        <v>22</v>
      </c>
      <c r="K2863" t="str">
        <f>_xlfn.XLOOKUP(datos_ventas[[#This Row],[Ciudad]],Tabla2[Ciudades],Tabla2[Provincias],"no se encuentra")</f>
        <v>Valencia</v>
      </c>
      <c r="L2863" t="str">
        <f>_xlfn.XLOOKUP(datos_ventas[[#This Row],[Provincia]],Tabla2[Provincias],Tabla2[Comunidades],"no se encuentra")</f>
        <v>Comunidad Valenciana</v>
      </c>
      <c r="M2863" t="s">
        <v>19</v>
      </c>
      <c r="N2863">
        <v>3</v>
      </c>
    </row>
    <row r="2864" spans="1:14" x14ac:dyDescent="0.25">
      <c r="A2864">
        <v>3863</v>
      </c>
      <c r="B2864" s="1">
        <v>45876</v>
      </c>
      <c r="C2864" s="4">
        <f>MONTH(datos_ventas[[#This Row],[Fecha]])</f>
        <v>8</v>
      </c>
      <c r="D2864" s="4">
        <f>WEEKNUM(datos_ventas[[#This Row],[Fecha]],2)</f>
        <v>32</v>
      </c>
      <c r="E2864" t="s">
        <v>26</v>
      </c>
      <c r="F2864" t="s">
        <v>18</v>
      </c>
      <c r="G2864">
        <v>2</v>
      </c>
      <c r="H2864">
        <v>15675</v>
      </c>
      <c r="I2864">
        <v>2352</v>
      </c>
      <c r="J2864" t="s">
        <v>22</v>
      </c>
      <c r="K2864" t="str">
        <f>_xlfn.XLOOKUP(datos_ventas[[#This Row],[Ciudad]],Tabla2[Ciudades],Tabla2[Provincias],"no se encuentra")</f>
        <v>Valencia</v>
      </c>
      <c r="L2864" t="str">
        <f>_xlfn.XLOOKUP(datos_ventas[[#This Row],[Provincia]],Tabla2[Provincias],Tabla2[Comunidades],"no se encuentra")</f>
        <v>Comunidad Valenciana</v>
      </c>
      <c r="M2864" t="s">
        <v>15</v>
      </c>
      <c r="N2864">
        <v>3</v>
      </c>
    </row>
    <row r="2865" spans="1:14" x14ac:dyDescent="0.25">
      <c r="A2865">
        <v>3864</v>
      </c>
      <c r="B2865" s="1">
        <v>45787</v>
      </c>
      <c r="C2865" s="4">
        <f>MONTH(datos_ventas[[#This Row],[Fecha]])</f>
        <v>5</v>
      </c>
      <c r="D2865" s="4">
        <f>WEEKNUM(datos_ventas[[#This Row],[Fecha]],2)</f>
        <v>19</v>
      </c>
      <c r="E2865" t="s">
        <v>23</v>
      </c>
      <c r="F2865" t="s">
        <v>18</v>
      </c>
      <c r="G2865">
        <v>1</v>
      </c>
      <c r="H2865">
        <v>87973</v>
      </c>
      <c r="I2865">
        <v>4093</v>
      </c>
      <c r="J2865" t="s">
        <v>27</v>
      </c>
      <c r="K2865" t="str">
        <f>_xlfn.XLOOKUP(datos_ventas[[#This Row],[Ciudad]],Tabla2[Ciudades],Tabla2[Provincias],"no se encuentra")</f>
        <v>Sevilla</v>
      </c>
      <c r="L2865" t="str">
        <f>_xlfn.XLOOKUP(datos_ventas[[#This Row],[Provincia]],Tabla2[Provincias],Tabla2[Comunidades],"no se encuentra")</f>
        <v>Andalucía</v>
      </c>
      <c r="M2865" t="s">
        <v>13</v>
      </c>
      <c r="N2865">
        <v>5</v>
      </c>
    </row>
    <row r="2866" spans="1:14" x14ac:dyDescent="0.25">
      <c r="A2866">
        <v>3865</v>
      </c>
      <c r="B2866" s="1">
        <v>45901</v>
      </c>
      <c r="C2866" s="4">
        <f>MONTH(datos_ventas[[#This Row],[Fecha]])</f>
        <v>9</v>
      </c>
      <c r="D2866" s="4">
        <f>WEEKNUM(datos_ventas[[#This Row],[Fecha]],2)</f>
        <v>36</v>
      </c>
      <c r="E2866" t="s">
        <v>26</v>
      </c>
      <c r="F2866" t="s">
        <v>18</v>
      </c>
      <c r="G2866">
        <v>2</v>
      </c>
      <c r="H2866">
        <v>82896</v>
      </c>
      <c r="I2866">
        <v>2699</v>
      </c>
      <c r="J2866" t="s">
        <v>14</v>
      </c>
      <c r="K2866" t="str">
        <f>_xlfn.XLOOKUP(datos_ventas[[#This Row],[Ciudad]],Tabla2[Ciudades],Tabla2[Provincias],"no se encuentra")</f>
        <v>Madrid</v>
      </c>
      <c r="L2866" t="str">
        <f>_xlfn.XLOOKUP(datos_ventas[[#This Row],[Provincia]],Tabla2[Provincias],Tabla2[Comunidades],"no se encuentra")</f>
        <v>Comunidad de Madrid</v>
      </c>
      <c r="M2866" t="s">
        <v>19</v>
      </c>
      <c r="N2866">
        <v>2</v>
      </c>
    </row>
    <row r="2867" spans="1:14" x14ac:dyDescent="0.25">
      <c r="A2867">
        <v>3866</v>
      </c>
      <c r="B2867" s="1">
        <v>45674</v>
      </c>
      <c r="C2867" s="4">
        <f>MONTH(datos_ventas[[#This Row],[Fecha]])</f>
        <v>1</v>
      </c>
      <c r="D2867" s="4">
        <f>WEEKNUM(datos_ventas[[#This Row],[Fecha]],2)</f>
        <v>3</v>
      </c>
      <c r="E2867" t="s">
        <v>24</v>
      </c>
      <c r="F2867" t="s">
        <v>25</v>
      </c>
      <c r="G2867">
        <v>1</v>
      </c>
      <c r="H2867">
        <v>42693</v>
      </c>
      <c r="I2867">
        <v>4858</v>
      </c>
      <c r="J2867" t="s">
        <v>12</v>
      </c>
      <c r="K2867" t="str">
        <f>_xlfn.XLOOKUP(datos_ventas[[#This Row],[Ciudad]],Tabla2[Ciudades],Tabla2[Provincias],"no se encuentra")</f>
        <v>Málaga</v>
      </c>
      <c r="L2867" t="str">
        <f>_xlfn.XLOOKUP(datos_ventas[[#This Row],[Provincia]],Tabla2[Provincias],Tabla2[Comunidades],"no se encuentra")</f>
        <v>Andalucía</v>
      </c>
      <c r="M2867" t="s">
        <v>19</v>
      </c>
      <c r="N2867">
        <v>2</v>
      </c>
    </row>
    <row r="2868" spans="1:14" x14ac:dyDescent="0.25">
      <c r="A2868">
        <v>3867</v>
      </c>
      <c r="B2868" s="1">
        <v>45985</v>
      </c>
      <c r="C2868" s="4">
        <f>MONTH(datos_ventas[[#This Row],[Fecha]])</f>
        <v>11</v>
      </c>
      <c r="D2868" s="4">
        <f>WEEKNUM(datos_ventas[[#This Row],[Fecha]],2)</f>
        <v>48</v>
      </c>
      <c r="E2868" t="s">
        <v>16</v>
      </c>
      <c r="F2868" t="s">
        <v>11</v>
      </c>
      <c r="G2868">
        <v>3</v>
      </c>
      <c r="H2868">
        <v>58461</v>
      </c>
      <c r="I2868">
        <v>3064</v>
      </c>
      <c r="J2868" t="s">
        <v>12</v>
      </c>
      <c r="K2868" t="str">
        <f>_xlfn.XLOOKUP(datos_ventas[[#This Row],[Ciudad]],Tabla2[Ciudades],Tabla2[Provincias],"no se encuentra")</f>
        <v>Málaga</v>
      </c>
      <c r="L2868" t="str">
        <f>_xlfn.XLOOKUP(datos_ventas[[#This Row],[Provincia]],Tabla2[Provincias],Tabla2[Comunidades],"no se encuentra")</f>
        <v>Andalucía</v>
      </c>
      <c r="M2868" t="s">
        <v>28</v>
      </c>
      <c r="N2868">
        <v>1</v>
      </c>
    </row>
    <row r="2869" spans="1:14" x14ac:dyDescent="0.25">
      <c r="A2869">
        <v>3868</v>
      </c>
      <c r="B2869" s="1">
        <v>45993</v>
      </c>
      <c r="C2869" s="4">
        <f>MONTH(datos_ventas[[#This Row],[Fecha]])</f>
        <v>12</v>
      </c>
      <c r="D2869" s="4">
        <f>WEEKNUM(datos_ventas[[#This Row],[Fecha]],2)</f>
        <v>49</v>
      </c>
      <c r="E2869" t="s">
        <v>26</v>
      </c>
      <c r="F2869" t="s">
        <v>18</v>
      </c>
      <c r="G2869">
        <v>5</v>
      </c>
      <c r="H2869">
        <v>95892</v>
      </c>
      <c r="I2869">
        <v>3821</v>
      </c>
      <c r="J2869" t="s">
        <v>12</v>
      </c>
      <c r="K2869" t="str">
        <f>_xlfn.XLOOKUP(datos_ventas[[#This Row],[Ciudad]],Tabla2[Ciudades],Tabla2[Provincias],"no se encuentra")</f>
        <v>Málaga</v>
      </c>
      <c r="L2869" t="str">
        <f>_xlfn.XLOOKUP(datos_ventas[[#This Row],[Provincia]],Tabla2[Provincias],Tabla2[Comunidades],"no se encuentra")</f>
        <v>Andalucía</v>
      </c>
      <c r="M2869" t="s">
        <v>15</v>
      </c>
      <c r="N2869">
        <v>5</v>
      </c>
    </row>
    <row r="2870" spans="1:14" x14ac:dyDescent="0.25">
      <c r="A2870">
        <v>3869</v>
      </c>
      <c r="B2870" s="1">
        <v>45774</v>
      </c>
      <c r="C2870" s="4">
        <f>MONTH(datos_ventas[[#This Row],[Fecha]])</f>
        <v>4</v>
      </c>
      <c r="D2870" s="4">
        <f>WEEKNUM(datos_ventas[[#This Row],[Fecha]],2)</f>
        <v>17</v>
      </c>
      <c r="E2870" t="s">
        <v>17</v>
      </c>
      <c r="F2870" t="s">
        <v>18</v>
      </c>
      <c r="G2870">
        <v>4</v>
      </c>
      <c r="H2870">
        <v>4170</v>
      </c>
      <c r="I2870">
        <v>4135</v>
      </c>
      <c r="J2870" t="s">
        <v>32</v>
      </c>
      <c r="K2870" t="str">
        <f>_xlfn.XLOOKUP(datos_ventas[[#This Row],[Ciudad]],Tabla2[Ciudades],Tabla2[Provincias],"no se encuentra")</f>
        <v>Barcelona</v>
      </c>
      <c r="L2870" t="str">
        <f>_xlfn.XLOOKUP(datos_ventas[[#This Row],[Provincia]],Tabla2[Provincias],Tabla2[Comunidades],"no se encuentra")</f>
        <v>Cataluña</v>
      </c>
      <c r="M2870" t="s">
        <v>15</v>
      </c>
      <c r="N2870">
        <v>3</v>
      </c>
    </row>
    <row r="2871" spans="1:14" x14ac:dyDescent="0.25">
      <c r="A2871">
        <v>3870</v>
      </c>
      <c r="B2871" s="1">
        <v>45671</v>
      </c>
      <c r="C2871" s="4">
        <f>MONTH(datos_ventas[[#This Row],[Fecha]])</f>
        <v>1</v>
      </c>
      <c r="D2871" s="4">
        <f>WEEKNUM(datos_ventas[[#This Row],[Fecha]],2)</f>
        <v>3</v>
      </c>
      <c r="E2871" t="s">
        <v>17</v>
      </c>
      <c r="F2871" t="s">
        <v>18</v>
      </c>
      <c r="G2871">
        <v>5</v>
      </c>
      <c r="H2871">
        <v>98035</v>
      </c>
      <c r="I2871">
        <v>611</v>
      </c>
      <c r="J2871" t="s">
        <v>22</v>
      </c>
      <c r="K2871" t="str">
        <f>_xlfn.XLOOKUP(datos_ventas[[#This Row],[Ciudad]],Tabla2[Ciudades],Tabla2[Provincias],"no se encuentra")</f>
        <v>Valencia</v>
      </c>
      <c r="L2871" t="str">
        <f>_xlfn.XLOOKUP(datos_ventas[[#This Row],[Provincia]],Tabla2[Provincias],Tabla2[Comunidades],"no se encuentra")</f>
        <v>Comunidad Valenciana</v>
      </c>
      <c r="M2871" t="s">
        <v>15</v>
      </c>
      <c r="N2871">
        <v>5</v>
      </c>
    </row>
    <row r="2872" spans="1:14" x14ac:dyDescent="0.25">
      <c r="A2872">
        <v>3871</v>
      </c>
      <c r="B2872" s="1">
        <v>45755</v>
      </c>
      <c r="C2872" s="4">
        <f>MONTH(datos_ventas[[#This Row],[Fecha]])</f>
        <v>4</v>
      </c>
      <c r="D2872" s="4">
        <f>WEEKNUM(datos_ventas[[#This Row],[Fecha]],2)</f>
        <v>15</v>
      </c>
      <c r="E2872" t="s">
        <v>10</v>
      </c>
      <c r="F2872" t="s">
        <v>11</v>
      </c>
      <c r="G2872">
        <v>5</v>
      </c>
      <c r="H2872">
        <v>52253</v>
      </c>
      <c r="I2872">
        <v>787</v>
      </c>
      <c r="J2872" t="s">
        <v>32</v>
      </c>
      <c r="K2872" t="str">
        <f>_xlfn.XLOOKUP(datos_ventas[[#This Row],[Ciudad]],Tabla2[Ciudades],Tabla2[Provincias],"no se encuentra")</f>
        <v>Barcelona</v>
      </c>
      <c r="L2872" t="str">
        <f>_xlfn.XLOOKUP(datos_ventas[[#This Row],[Provincia]],Tabla2[Provincias],Tabla2[Comunidades],"no se encuentra")</f>
        <v>Cataluña</v>
      </c>
      <c r="M2872" t="s">
        <v>19</v>
      </c>
      <c r="N2872">
        <v>4</v>
      </c>
    </row>
    <row r="2873" spans="1:14" x14ac:dyDescent="0.25">
      <c r="A2873">
        <v>3872</v>
      </c>
      <c r="B2873" s="1">
        <v>45787</v>
      </c>
      <c r="C2873" s="4">
        <f>MONTH(datos_ventas[[#This Row],[Fecha]])</f>
        <v>5</v>
      </c>
      <c r="D2873" s="4">
        <f>WEEKNUM(datos_ventas[[#This Row],[Fecha]],2)</f>
        <v>19</v>
      </c>
      <c r="E2873" t="s">
        <v>24</v>
      </c>
      <c r="F2873" t="s">
        <v>25</v>
      </c>
      <c r="G2873">
        <v>2</v>
      </c>
      <c r="H2873">
        <v>3585</v>
      </c>
      <c r="I2873">
        <v>107</v>
      </c>
      <c r="J2873" t="s">
        <v>14</v>
      </c>
      <c r="K2873" t="str">
        <f>_xlfn.XLOOKUP(datos_ventas[[#This Row],[Ciudad]],Tabla2[Ciudades],Tabla2[Provincias],"no se encuentra")</f>
        <v>Madrid</v>
      </c>
      <c r="L2873" t="str">
        <f>_xlfn.XLOOKUP(datos_ventas[[#This Row],[Provincia]],Tabla2[Provincias],Tabla2[Comunidades],"no se encuentra")</f>
        <v>Comunidad de Madrid</v>
      </c>
      <c r="M2873" t="s">
        <v>13</v>
      </c>
      <c r="N2873">
        <v>1</v>
      </c>
    </row>
    <row r="2874" spans="1:14" x14ac:dyDescent="0.25">
      <c r="A2874">
        <v>3873</v>
      </c>
      <c r="B2874" s="1">
        <v>45703</v>
      </c>
      <c r="C2874" s="4">
        <f>MONTH(datos_ventas[[#This Row],[Fecha]])</f>
        <v>2</v>
      </c>
      <c r="D2874" s="4">
        <f>WEEKNUM(datos_ventas[[#This Row],[Fecha]],2)</f>
        <v>7</v>
      </c>
      <c r="E2874" t="s">
        <v>16</v>
      </c>
      <c r="F2874" t="s">
        <v>11</v>
      </c>
      <c r="G2874">
        <v>3</v>
      </c>
      <c r="H2874">
        <v>108728</v>
      </c>
      <c r="I2874">
        <v>1972</v>
      </c>
      <c r="J2874" t="s">
        <v>22</v>
      </c>
      <c r="K2874" t="str">
        <f>_xlfn.XLOOKUP(datos_ventas[[#This Row],[Ciudad]],Tabla2[Ciudades],Tabla2[Provincias],"no se encuentra")</f>
        <v>Valencia</v>
      </c>
      <c r="L2874" t="str">
        <f>_xlfn.XLOOKUP(datos_ventas[[#This Row],[Provincia]],Tabla2[Provincias],Tabla2[Comunidades],"no se encuentra")</f>
        <v>Comunidad Valenciana</v>
      </c>
      <c r="M2874" t="s">
        <v>19</v>
      </c>
      <c r="N2874">
        <v>2</v>
      </c>
    </row>
    <row r="2875" spans="1:14" x14ac:dyDescent="0.25">
      <c r="A2875">
        <v>3874</v>
      </c>
      <c r="B2875" s="1">
        <v>45677</v>
      </c>
      <c r="C2875" s="4">
        <f>MONTH(datos_ventas[[#This Row],[Fecha]])</f>
        <v>1</v>
      </c>
      <c r="D2875" s="4">
        <f>WEEKNUM(datos_ventas[[#This Row],[Fecha]],2)</f>
        <v>4</v>
      </c>
      <c r="E2875" t="s">
        <v>10</v>
      </c>
      <c r="F2875" t="s">
        <v>11</v>
      </c>
      <c r="G2875">
        <v>5</v>
      </c>
      <c r="H2875">
        <v>5690</v>
      </c>
      <c r="I2875">
        <v>3334</v>
      </c>
      <c r="J2875" t="s">
        <v>14</v>
      </c>
      <c r="K2875" t="str">
        <f>_xlfn.XLOOKUP(datos_ventas[[#This Row],[Ciudad]],Tabla2[Ciudades],Tabla2[Provincias],"no se encuentra")</f>
        <v>Madrid</v>
      </c>
      <c r="L2875" t="str">
        <f>_xlfn.XLOOKUP(datos_ventas[[#This Row],[Provincia]],Tabla2[Provincias],Tabla2[Comunidades],"no se encuentra")</f>
        <v>Comunidad de Madrid</v>
      </c>
      <c r="M2875" t="s">
        <v>28</v>
      </c>
      <c r="N2875">
        <v>5</v>
      </c>
    </row>
    <row r="2876" spans="1:14" x14ac:dyDescent="0.25">
      <c r="A2876">
        <v>3875</v>
      </c>
      <c r="B2876" s="1">
        <v>45959</v>
      </c>
      <c r="C2876" s="4">
        <f>MONTH(datos_ventas[[#This Row],[Fecha]])</f>
        <v>10</v>
      </c>
      <c r="D2876" s="4">
        <f>WEEKNUM(datos_ventas[[#This Row],[Fecha]],2)</f>
        <v>44</v>
      </c>
      <c r="E2876" t="s">
        <v>23</v>
      </c>
      <c r="F2876" t="s">
        <v>18</v>
      </c>
      <c r="G2876">
        <v>5</v>
      </c>
      <c r="H2876">
        <v>81394</v>
      </c>
      <c r="I2876">
        <v>1574</v>
      </c>
      <c r="J2876" t="s">
        <v>12</v>
      </c>
      <c r="K2876" t="str">
        <f>_xlfn.XLOOKUP(datos_ventas[[#This Row],[Ciudad]],Tabla2[Ciudades],Tabla2[Provincias],"no se encuentra")</f>
        <v>Málaga</v>
      </c>
      <c r="L2876" t="str">
        <f>_xlfn.XLOOKUP(datos_ventas[[#This Row],[Provincia]],Tabla2[Provincias],Tabla2[Comunidades],"no se encuentra")</f>
        <v>Andalucía</v>
      </c>
      <c r="M2876" t="s">
        <v>15</v>
      </c>
      <c r="N2876">
        <v>1</v>
      </c>
    </row>
    <row r="2877" spans="1:14" x14ac:dyDescent="0.25">
      <c r="A2877">
        <v>3876</v>
      </c>
      <c r="B2877" s="1">
        <v>45665</v>
      </c>
      <c r="C2877" s="4">
        <f>MONTH(datos_ventas[[#This Row],[Fecha]])</f>
        <v>1</v>
      </c>
      <c r="D2877" s="4">
        <f>WEEKNUM(datos_ventas[[#This Row],[Fecha]],2)</f>
        <v>2</v>
      </c>
      <c r="E2877" t="s">
        <v>23</v>
      </c>
      <c r="F2877" t="s">
        <v>18</v>
      </c>
      <c r="G2877">
        <v>1</v>
      </c>
      <c r="H2877">
        <v>92689</v>
      </c>
      <c r="I2877">
        <v>4175</v>
      </c>
      <c r="J2877" t="s">
        <v>14</v>
      </c>
      <c r="K2877" t="str">
        <f>_xlfn.XLOOKUP(datos_ventas[[#This Row],[Ciudad]],Tabla2[Ciudades],Tabla2[Provincias],"no se encuentra")</f>
        <v>Madrid</v>
      </c>
      <c r="L2877" t="str">
        <f>_xlfn.XLOOKUP(datos_ventas[[#This Row],[Provincia]],Tabla2[Provincias],Tabla2[Comunidades],"no se encuentra")</f>
        <v>Comunidad de Madrid</v>
      </c>
      <c r="M2877" t="s">
        <v>13</v>
      </c>
      <c r="N2877">
        <v>5</v>
      </c>
    </row>
    <row r="2878" spans="1:14" x14ac:dyDescent="0.25">
      <c r="A2878">
        <v>3877</v>
      </c>
      <c r="B2878" s="1">
        <v>45895</v>
      </c>
      <c r="C2878" s="4">
        <f>MONTH(datos_ventas[[#This Row],[Fecha]])</f>
        <v>8</v>
      </c>
      <c r="D2878" s="4">
        <f>WEEKNUM(datos_ventas[[#This Row],[Fecha]],2)</f>
        <v>35</v>
      </c>
      <c r="E2878" t="s">
        <v>17</v>
      </c>
      <c r="F2878" t="s">
        <v>18</v>
      </c>
      <c r="G2878">
        <v>5</v>
      </c>
      <c r="H2878">
        <v>114377</v>
      </c>
      <c r="I2878">
        <v>3421</v>
      </c>
      <c r="J2878" t="s">
        <v>27</v>
      </c>
      <c r="K2878" t="str">
        <f>_xlfn.XLOOKUP(datos_ventas[[#This Row],[Ciudad]],Tabla2[Ciudades],Tabla2[Provincias],"no se encuentra")</f>
        <v>Sevilla</v>
      </c>
      <c r="L2878" t="str">
        <f>_xlfn.XLOOKUP(datos_ventas[[#This Row],[Provincia]],Tabla2[Provincias],Tabla2[Comunidades],"no se encuentra")</f>
        <v>Andalucía</v>
      </c>
      <c r="M2878" t="s">
        <v>13</v>
      </c>
      <c r="N2878">
        <v>5</v>
      </c>
    </row>
    <row r="2879" spans="1:14" x14ac:dyDescent="0.25">
      <c r="A2879">
        <v>3878</v>
      </c>
      <c r="B2879" s="1">
        <v>45852</v>
      </c>
      <c r="C2879" s="4">
        <f>MONTH(datos_ventas[[#This Row],[Fecha]])</f>
        <v>7</v>
      </c>
      <c r="D2879" s="4">
        <f>WEEKNUM(datos_ventas[[#This Row],[Fecha]],2)</f>
        <v>29</v>
      </c>
      <c r="E2879" t="s">
        <v>23</v>
      </c>
      <c r="F2879" t="s">
        <v>18</v>
      </c>
      <c r="G2879">
        <v>5</v>
      </c>
      <c r="H2879">
        <v>88084</v>
      </c>
      <c r="I2879">
        <v>2118</v>
      </c>
      <c r="J2879" t="s">
        <v>14</v>
      </c>
      <c r="K2879" t="str">
        <f>_xlfn.XLOOKUP(datos_ventas[[#This Row],[Ciudad]],Tabla2[Ciudades],Tabla2[Provincias],"no se encuentra")</f>
        <v>Madrid</v>
      </c>
      <c r="L2879" t="str">
        <f>_xlfn.XLOOKUP(datos_ventas[[#This Row],[Provincia]],Tabla2[Provincias],Tabla2[Comunidades],"no se encuentra")</f>
        <v>Comunidad de Madrid</v>
      </c>
      <c r="M2879" t="s">
        <v>28</v>
      </c>
      <c r="N2879">
        <v>4</v>
      </c>
    </row>
    <row r="2880" spans="1:14" x14ac:dyDescent="0.25">
      <c r="A2880">
        <v>3879</v>
      </c>
      <c r="B2880" s="1">
        <v>45703</v>
      </c>
      <c r="C2880" s="4">
        <f>MONTH(datos_ventas[[#This Row],[Fecha]])</f>
        <v>2</v>
      </c>
      <c r="D2880" s="4">
        <f>WEEKNUM(datos_ventas[[#This Row],[Fecha]],2)</f>
        <v>7</v>
      </c>
      <c r="E2880" t="s">
        <v>20</v>
      </c>
      <c r="F2880" t="s">
        <v>21</v>
      </c>
      <c r="G2880">
        <v>3</v>
      </c>
      <c r="H2880">
        <v>91073</v>
      </c>
      <c r="I2880">
        <v>3857</v>
      </c>
      <c r="J2880" t="s">
        <v>22</v>
      </c>
      <c r="K2880" t="str">
        <f>_xlfn.XLOOKUP(datos_ventas[[#This Row],[Ciudad]],Tabla2[Ciudades],Tabla2[Provincias],"no se encuentra")</f>
        <v>Valencia</v>
      </c>
      <c r="L2880" t="str">
        <f>_xlfn.XLOOKUP(datos_ventas[[#This Row],[Provincia]],Tabla2[Provincias],Tabla2[Comunidades],"no se encuentra")</f>
        <v>Comunidad Valenciana</v>
      </c>
      <c r="M2880" t="s">
        <v>13</v>
      </c>
      <c r="N2880">
        <v>2</v>
      </c>
    </row>
    <row r="2881" spans="1:14" x14ac:dyDescent="0.25">
      <c r="A2881">
        <v>3880</v>
      </c>
      <c r="B2881" s="1">
        <v>45987</v>
      </c>
      <c r="C2881" s="4">
        <f>MONTH(datos_ventas[[#This Row],[Fecha]])</f>
        <v>11</v>
      </c>
      <c r="D2881" s="4">
        <f>WEEKNUM(datos_ventas[[#This Row],[Fecha]],2)</f>
        <v>48</v>
      </c>
      <c r="E2881" t="s">
        <v>20</v>
      </c>
      <c r="F2881" t="s">
        <v>21</v>
      </c>
      <c r="G2881">
        <v>3</v>
      </c>
      <c r="H2881">
        <v>99118</v>
      </c>
      <c r="I2881">
        <v>2693</v>
      </c>
      <c r="J2881" t="s">
        <v>31</v>
      </c>
      <c r="K2881" t="str">
        <f>_xlfn.XLOOKUP(datos_ventas[[#This Row],[Ciudad]],Tabla2[Ciudades],Tabla2[Provincias],"no se encuentra")</f>
        <v>Vizcaya</v>
      </c>
      <c r="L2881" t="str">
        <f>_xlfn.XLOOKUP(datos_ventas[[#This Row],[Provincia]],Tabla2[Provincias],Tabla2[Comunidades],"no se encuentra")</f>
        <v>País Vasco</v>
      </c>
      <c r="M2881" t="s">
        <v>19</v>
      </c>
      <c r="N2881">
        <v>1</v>
      </c>
    </row>
    <row r="2882" spans="1:14" x14ac:dyDescent="0.25">
      <c r="A2882">
        <v>3881</v>
      </c>
      <c r="B2882" s="1">
        <v>45667</v>
      </c>
      <c r="C2882" s="4">
        <f>MONTH(datos_ventas[[#This Row],[Fecha]])</f>
        <v>1</v>
      </c>
      <c r="D2882" s="4">
        <f>WEEKNUM(datos_ventas[[#This Row],[Fecha]],2)</f>
        <v>2</v>
      </c>
      <c r="E2882" t="s">
        <v>26</v>
      </c>
      <c r="F2882" t="s">
        <v>18</v>
      </c>
      <c r="G2882">
        <v>5</v>
      </c>
      <c r="H2882">
        <v>98323</v>
      </c>
      <c r="I2882">
        <v>2186</v>
      </c>
      <c r="J2882" t="s">
        <v>22</v>
      </c>
      <c r="K2882" t="str">
        <f>_xlfn.XLOOKUP(datos_ventas[[#This Row],[Ciudad]],Tabla2[Ciudades],Tabla2[Provincias],"no se encuentra")</f>
        <v>Valencia</v>
      </c>
      <c r="L2882" t="str">
        <f>_xlfn.XLOOKUP(datos_ventas[[#This Row],[Provincia]],Tabla2[Provincias],Tabla2[Comunidades],"no se encuentra")</f>
        <v>Comunidad Valenciana</v>
      </c>
      <c r="M2882" t="s">
        <v>19</v>
      </c>
      <c r="N2882">
        <v>2</v>
      </c>
    </row>
    <row r="2883" spans="1:14" x14ac:dyDescent="0.25">
      <c r="A2883">
        <v>3882</v>
      </c>
      <c r="B2883" s="1">
        <v>45959</v>
      </c>
      <c r="C2883" s="4">
        <f>MONTH(datos_ventas[[#This Row],[Fecha]])</f>
        <v>10</v>
      </c>
      <c r="D2883" s="4">
        <f>WEEKNUM(datos_ventas[[#This Row],[Fecha]],2)</f>
        <v>44</v>
      </c>
      <c r="E2883" t="s">
        <v>16</v>
      </c>
      <c r="F2883" t="s">
        <v>11</v>
      </c>
      <c r="G2883">
        <v>1</v>
      </c>
      <c r="H2883">
        <v>3660</v>
      </c>
      <c r="I2883">
        <v>4471</v>
      </c>
      <c r="J2883" t="s">
        <v>22</v>
      </c>
      <c r="K2883" t="str">
        <f>_xlfn.XLOOKUP(datos_ventas[[#This Row],[Ciudad]],Tabla2[Ciudades],Tabla2[Provincias],"no se encuentra")</f>
        <v>Valencia</v>
      </c>
      <c r="L2883" t="str">
        <f>_xlfn.XLOOKUP(datos_ventas[[#This Row],[Provincia]],Tabla2[Provincias],Tabla2[Comunidades],"no se encuentra")</f>
        <v>Comunidad Valenciana</v>
      </c>
      <c r="M2883" t="s">
        <v>28</v>
      </c>
      <c r="N2883">
        <v>3</v>
      </c>
    </row>
    <row r="2884" spans="1:14" x14ac:dyDescent="0.25">
      <c r="A2884">
        <v>3883</v>
      </c>
      <c r="B2884" s="1">
        <v>45800</v>
      </c>
      <c r="C2884" s="4">
        <f>MONTH(datos_ventas[[#This Row],[Fecha]])</f>
        <v>5</v>
      </c>
      <c r="D2884" s="4">
        <f>WEEKNUM(datos_ventas[[#This Row],[Fecha]],2)</f>
        <v>21</v>
      </c>
      <c r="E2884" t="s">
        <v>29</v>
      </c>
      <c r="F2884" t="s">
        <v>30</v>
      </c>
      <c r="G2884">
        <v>5</v>
      </c>
      <c r="H2884">
        <v>11329</v>
      </c>
      <c r="I2884">
        <v>1639</v>
      </c>
      <c r="J2884" t="s">
        <v>14</v>
      </c>
      <c r="K2884" t="str">
        <f>_xlfn.XLOOKUP(datos_ventas[[#This Row],[Ciudad]],Tabla2[Ciudades],Tabla2[Provincias],"no se encuentra")</f>
        <v>Madrid</v>
      </c>
      <c r="L2884" t="str">
        <f>_xlfn.XLOOKUP(datos_ventas[[#This Row],[Provincia]],Tabla2[Provincias],Tabla2[Comunidades],"no se encuentra")</f>
        <v>Comunidad de Madrid</v>
      </c>
      <c r="M2884" t="s">
        <v>15</v>
      </c>
      <c r="N2884">
        <v>1</v>
      </c>
    </row>
    <row r="2885" spans="1:14" x14ac:dyDescent="0.25">
      <c r="A2885">
        <v>3884</v>
      </c>
      <c r="B2885" s="1">
        <v>45715</v>
      </c>
      <c r="C2885" s="4">
        <f>MONTH(datos_ventas[[#This Row],[Fecha]])</f>
        <v>2</v>
      </c>
      <c r="D2885" s="4">
        <f>WEEKNUM(datos_ventas[[#This Row],[Fecha]],2)</f>
        <v>9</v>
      </c>
      <c r="E2885" t="s">
        <v>26</v>
      </c>
      <c r="F2885" t="s">
        <v>18</v>
      </c>
      <c r="G2885">
        <v>3</v>
      </c>
      <c r="H2885">
        <v>101371</v>
      </c>
      <c r="I2885">
        <v>946</v>
      </c>
      <c r="J2885" t="s">
        <v>31</v>
      </c>
      <c r="K2885" t="str">
        <f>_xlfn.XLOOKUP(datos_ventas[[#This Row],[Ciudad]],Tabla2[Ciudades],Tabla2[Provincias],"no se encuentra")</f>
        <v>Vizcaya</v>
      </c>
      <c r="L2885" t="str">
        <f>_xlfn.XLOOKUP(datos_ventas[[#This Row],[Provincia]],Tabla2[Provincias],Tabla2[Comunidades],"no se encuentra")</f>
        <v>País Vasco</v>
      </c>
      <c r="M2885" t="s">
        <v>13</v>
      </c>
      <c r="N2885">
        <v>1</v>
      </c>
    </row>
    <row r="2886" spans="1:14" x14ac:dyDescent="0.25">
      <c r="A2886">
        <v>3885</v>
      </c>
      <c r="B2886" s="1">
        <v>45728</v>
      </c>
      <c r="C2886" s="4">
        <f>MONTH(datos_ventas[[#This Row],[Fecha]])</f>
        <v>3</v>
      </c>
      <c r="D2886" s="4">
        <f>WEEKNUM(datos_ventas[[#This Row],[Fecha]],2)</f>
        <v>11</v>
      </c>
      <c r="E2886" t="s">
        <v>17</v>
      </c>
      <c r="F2886" t="s">
        <v>18</v>
      </c>
      <c r="G2886">
        <v>2</v>
      </c>
      <c r="H2886">
        <v>52445</v>
      </c>
      <c r="I2886">
        <v>1505</v>
      </c>
      <c r="J2886" t="s">
        <v>12</v>
      </c>
      <c r="K2886" t="str">
        <f>_xlfn.XLOOKUP(datos_ventas[[#This Row],[Ciudad]],Tabla2[Ciudades],Tabla2[Provincias],"no se encuentra")</f>
        <v>Málaga</v>
      </c>
      <c r="L2886" t="str">
        <f>_xlfn.XLOOKUP(datos_ventas[[#This Row],[Provincia]],Tabla2[Provincias],Tabla2[Comunidades],"no se encuentra")</f>
        <v>Andalucía</v>
      </c>
      <c r="M2886" t="s">
        <v>13</v>
      </c>
      <c r="N2886">
        <v>2</v>
      </c>
    </row>
    <row r="2887" spans="1:14" x14ac:dyDescent="0.25">
      <c r="A2887">
        <v>3886</v>
      </c>
      <c r="B2887" s="1">
        <v>45814</v>
      </c>
      <c r="C2887" s="4">
        <f>MONTH(datos_ventas[[#This Row],[Fecha]])</f>
        <v>6</v>
      </c>
      <c r="D2887" s="4">
        <f>WEEKNUM(datos_ventas[[#This Row],[Fecha]],2)</f>
        <v>23</v>
      </c>
      <c r="E2887" t="s">
        <v>20</v>
      </c>
      <c r="F2887" t="s">
        <v>21</v>
      </c>
      <c r="G2887">
        <v>2</v>
      </c>
      <c r="H2887">
        <v>106889</v>
      </c>
      <c r="I2887">
        <v>1173</v>
      </c>
      <c r="J2887" t="s">
        <v>32</v>
      </c>
      <c r="K2887" t="str">
        <f>_xlfn.XLOOKUP(datos_ventas[[#This Row],[Ciudad]],Tabla2[Ciudades],Tabla2[Provincias],"no se encuentra")</f>
        <v>Barcelona</v>
      </c>
      <c r="L2887" t="str">
        <f>_xlfn.XLOOKUP(datos_ventas[[#This Row],[Provincia]],Tabla2[Provincias],Tabla2[Comunidades],"no se encuentra")</f>
        <v>Cataluña</v>
      </c>
      <c r="M2887" t="s">
        <v>28</v>
      </c>
      <c r="N2887">
        <v>1</v>
      </c>
    </row>
    <row r="2888" spans="1:14" x14ac:dyDescent="0.25">
      <c r="A2888">
        <v>3887</v>
      </c>
      <c r="B2888" s="1">
        <v>45955</v>
      </c>
      <c r="C2888" s="4">
        <f>MONTH(datos_ventas[[#This Row],[Fecha]])</f>
        <v>10</v>
      </c>
      <c r="D2888" s="4">
        <f>WEEKNUM(datos_ventas[[#This Row],[Fecha]],2)</f>
        <v>43</v>
      </c>
      <c r="E2888" t="s">
        <v>26</v>
      </c>
      <c r="F2888" t="s">
        <v>18</v>
      </c>
      <c r="G2888">
        <v>3</v>
      </c>
      <c r="H2888">
        <v>62821</v>
      </c>
      <c r="I2888">
        <v>4271</v>
      </c>
      <c r="J2888" t="s">
        <v>31</v>
      </c>
      <c r="K2888" t="str">
        <f>_xlfn.XLOOKUP(datos_ventas[[#This Row],[Ciudad]],Tabla2[Ciudades],Tabla2[Provincias],"no se encuentra")</f>
        <v>Vizcaya</v>
      </c>
      <c r="L2888" t="str">
        <f>_xlfn.XLOOKUP(datos_ventas[[#This Row],[Provincia]],Tabla2[Provincias],Tabla2[Comunidades],"no se encuentra")</f>
        <v>País Vasco</v>
      </c>
      <c r="M2888" t="s">
        <v>28</v>
      </c>
      <c r="N2888">
        <v>1</v>
      </c>
    </row>
    <row r="2889" spans="1:14" x14ac:dyDescent="0.25">
      <c r="A2889">
        <v>3888</v>
      </c>
      <c r="B2889" s="1">
        <v>45876</v>
      </c>
      <c r="C2889" s="4">
        <f>MONTH(datos_ventas[[#This Row],[Fecha]])</f>
        <v>8</v>
      </c>
      <c r="D2889" s="4">
        <f>WEEKNUM(datos_ventas[[#This Row],[Fecha]],2)</f>
        <v>32</v>
      </c>
      <c r="E2889" t="s">
        <v>24</v>
      </c>
      <c r="F2889" t="s">
        <v>25</v>
      </c>
      <c r="G2889">
        <v>1</v>
      </c>
      <c r="H2889">
        <v>80786</v>
      </c>
      <c r="I2889">
        <v>4883</v>
      </c>
      <c r="J2889" t="s">
        <v>14</v>
      </c>
      <c r="K2889" t="str">
        <f>_xlfn.XLOOKUP(datos_ventas[[#This Row],[Ciudad]],Tabla2[Ciudades],Tabla2[Provincias],"no se encuentra")</f>
        <v>Madrid</v>
      </c>
      <c r="L2889" t="str">
        <f>_xlfn.XLOOKUP(datos_ventas[[#This Row],[Provincia]],Tabla2[Provincias],Tabla2[Comunidades],"no se encuentra")</f>
        <v>Comunidad de Madrid</v>
      </c>
      <c r="M2889" t="s">
        <v>15</v>
      </c>
      <c r="N2889">
        <v>5</v>
      </c>
    </row>
    <row r="2890" spans="1:14" x14ac:dyDescent="0.25">
      <c r="A2890">
        <v>3889</v>
      </c>
      <c r="B2890" s="1">
        <v>45854</v>
      </c>
      <c r="C2890" s="4">
        <f>MONTH(datos_ventas[[#This Row],[Fecha]])</f>
        <v>7</v>
      </c>
      <c r="D2890" s="4">
        <f>WEEKNUM(datos_ventas[[#This Row],[Fecha]],2)</f>
        <v>29</v>
      </c>
      <c r="E2890" t="s">
        <v>24</v>
      </c>
      <c r="F2890" t="s">
        <v>25</v>
      </c>
      <c r="G2890">
        <v>4</v>
      </c>
      <c r="H2890">
        <v>83931</v>
      </c>
      <c r="I2890">
        <v>329</v>
      </c>
      <c r="J2890" t="s">
        <v>31</v>
      </c>
      <c r="K2890" t="str">
        <f>_xlfn.XLOOKUP(datos_ventas[[#This Row],[Ciudad]],Tabla2[Ciudades],Tabla2[Provincias],"no se encuentra")</f>
        <v>Vizcaya</v>
      </c>
      <c r="L2890" t="str">
        <f>_xlfn.XLOOKUP(datos_ventas[[#This Row],[Provincia]],Tabla2[Provincias],Tabla2[Comunidades],"no se encuentra")</f>
        <v>País Vasco</v>
      </c>
      <c r="M2890" t="s">
        <v>19</v>
      </c>
      <c r="N2890">
        <v>5</v>
      </c>
    </row>
    <row r="2891" spans="1:14" x14ac:dyDescent="0.25">
      <c r="A2891">
        <v>3890</v>
      </c>
      <c r="B2891" s="1">
        <v>45912</v>
      </c>
      <c r="C2891" s="4">
        <f>MONTH(datos_ventas[[#This Row],[Fecha]])</f>
        <v>9</v>
      </c>
      <c r="D2891" s="4">
        <f>WEEKNUM(datos_ventas[[#This Row],[Fecha]],2)</f>
        <v>37</v>
      </c>
      <c r="E2891" t="s">
        <v>24</v>
      </c>
      <c r="F2891" t="s">
        <v>25</v>
      </c>
      <c r="G2891">
        <v>3</v>
      </c>
      <c r="H2891">
        <v>46558</v>
      </c>
      <c r="I2891">
        <v>2978</v>
      </c>
      <c r="J2891" t="s">
        <v>12</v>
      </c>
      <c r="K2891" t="str">
        <f>_xlfn.XLOOKUP(datos_ventas[[#This Row],[Ciudad]],Tabla2[Ciudades],Tabla2[Provincias],"no se encuentra")</f>
        <v>Málaga</v>
      </c>
      <c r="L2891" t="str">
        <f>_xlfn.XLOOKUP(datos_ventas[[#This Row],[Provincia]],Tabla2[Provincias],Tabla2[Comunidades],"no se encuentra")</f>
        <v>Andalucía</v>
      </c>
      <c r="M2891" t="s">
        <v>15</v>
      </c>
      <c r="N2891">
        <v>2</v>
      </c>
    </row>
    <row r="2892" spans="1:14" x14ac:dyDescent="0.25">
      <c r="A2892">
        <v>3891</v>
      </c>
      <c r="B2892" s="1">
        <v>45660</v>
      </c>
      <c r="C2892" s="4">
        <f>MONTH(datos_ventas[[#This Row],[Fecha]])</f>
        <v>1</v>
      </c>
      <c r="D2892" s="4">
        <f>WEEKNUM(datos_ventas[[#This Row],[Fecha]],2)</f>
        <v>1</v>
      </c>
      <c r="E2892" t="s">
        <v>23</v>
      </c>
      <c r="F2892" t="s">
        <v>18</v>
      </c>
      <c r="G2892">
        <v>1</v>
      </c>
      <c r="H2892">
        <v>6257</v>
      </c>
      <c r="I2892">
        <v>2312</v>
      </c>
      <c r="J2892" t="s">
        <v>12</v>
      </c>
      <c r="K2892" t="str">
        <f>_xlfn.XLOOKUP(datos_ventas[[#This Row],[Ciudad]],Tabla2[Ciudades],Tabla2[Provincias],"no se encuentra")</f>
        <v>Málaga</v>
      </c>
      <c r="L2892" t="str">
        <f>_xlfn.XLOOKUP(datos_ventas[[#This Row],[Provincia]],Tabla2[Provincias],Tabla2[Comunidades],"no se encuentra")</f>
        <v>Andalucía</v>
      </c>
      <c r="M2892" t="s">
        <v>28</v>
      </c>
      <c r="N2892">
        <v>4</v>
      </c>
    </row>
    <row r="2893" spans="1:14" x14ac:dyDescent="0.25">
      <c r="A2893">
        <v>3892</v>
      </c>
      <c r="B2893" s="1">
        <v>45754</v>
      </c>
      <c r="C2893" s="4">
        <f>MONTH(datos_ventas[[#This Row],[Fecha]])</f>
        <v>4</v>
      </c>
      <c r="D2893" s="4">
        <f>WEEKNUM(datos_ventas[[#This Row],[Fecha]],2)</f>
        <v>15</v>
      </c>
      <c r="E2893" t="s">
        <v>10</v>
      </c>
      <c r="F2893" t="s">
        <v>11</v>
      </c>
      <c r="G2893">
        <v>1</v>
      </c>
      <c r="H2893">
        <v>87799</v>
      </c>
      <c r="I2893">
        <v>1277</v>
      </c>
      <c r="J2893" t="s">
        <v>22</v>
      </c>
      <c r="K2893" t="str">
        <f>_xlfn.XLOOKUP(datos_ventas[[#This Row],[Ciudad]],Tabla2[Ciudades],Tabla2[Provincias],"no se encuentra")</f>
        <v>Valencia</v>
      </c>
      <c r="L2893" t="str">
        <f>_xlfn.XLOOKUP(datos_ventas[[#This Row],[Provincia]],Tabla2[Provincias],Tabla2[Comunidades],"no se encuentra")</f>
        <v>Comunidad Valenciana</v>
      </c>
      <c r="M2893" t="s">
        <v>15</v>
      </c>
      <c r="N2893">
        <v>1</v>
      </c>
    </row>
    <row r="2894" spans="1:14" x14ac:dyDescent="0.25">
      <c r="A2894">
        <v>3893</v>
      </c>
      <c r="B2894" s="1">
        <v>45745</v>
      </c>
      <c r="C2894" s="4">
        <f>MONTH(datos_ventas[[#This Row],[Fecha]])</f>
        <v>3</v>
      </c>
      <c r="D2894" s="4">
        <f>WEEKNUM(datos_ventas[[#This Row],[Fecha]],2)</f>
        <v>13</v>
      </c>
      <c r="E2894" t="s">
        <v>16</v>
      </c>
      <c r="F2894" t="s">
        <v>11</v>
      </c>
      <c r="G2894">
        <v>1</v>
      </c>
      <c r="H2894">
        <v>21772</v>
      </c>
      <c r="I2894">
        <v>4781</v>
      </c>
      <c r="J2894" t="s">
        <v>14</v>
      </c>
      <c r="K2894" t="str">
        <f>_xlfn.XLOOKUP(datos_ventas[[#This Row],[Ciudad]],Tabla2[Ciudades],Tabla2[Provincias],"no se encuentra")</f>
        <v>Madrid</v>
      </c>
      <c r="L2894" t="str">
        <f>_xlfn.XLOOKUP(datos_ventas[[#This Row],[Provincia]],Tabla2[Provincias],Tabla2[Comunidades],"no se encuentra")</f>
        <v>Comunidad de Madrid</v>
      </c>
      <c r="M2894" t="s">
        <v>19</v>
      </c>
      <c r="N2894">
        <v>1</v>
      </c>
    </row>
    <row r="2895" spans="1:14" x14ac:dyDescent="0.25">
      <c r="A2895">
        <v>3894</v>
      </c>
      <c r="B2895" s="1">
        <v>45907</v>
      </c>
      <c r="C2895" s="4">
        <f>MONTH(datos_ventas[[#This Row],[Fecha]])</f>
        <v>9</v>
      </c>
      <c r="D2895" s="4">
        <f>WEEKNUM(datos_ventas[[#This Row],[Fecha]],2)</f>
        <v>36</v>
      </c>
      <c r="E2895" t="s">
        <v>24</v>
      </c>
      <c r="F2895" t="s">
        <v>25</v>
      </c>
      <c r="G2895">
        <v>5</v>
      </c>
      <c r="H2895">
        <v>43807</v>
      </c>
      <c r="I2895">
        <v>3049</v>
      </c>
      <c r="J2895" t="s">
        <v>22</v>
      </c>
      <c r="K2895" t="str">
        <f>_xlfn.XLOOKUP(datos_ventas[[#This Row],[Ciudad]],Tabla2[Ciudades],Tabla2[Provincias],"no se encuentra")</f>
        <v>Valencia</v>
      </c>
      <c r="L2895" t="str">
        <f>_xlfn.XLOOKUP(datos_ventas[[#This Row],[Provincia]],Tabla2[Provincias],Tabla2[Comunidades],"no se encuentra")</f>
        <v>Comunidad Valenciana</v>
      </c>
      <c r="M2895" t="s">
        <v>28</v>
      </c>
      <c r="N2895">
        <v>3</v>
      </c>
    </row>
    <row r="2896" spans="1:14" x14ac:dyDescent="0.25">
      <c r="A2896">
        <v>3895</v>
      </c>
      <c r="B2896" s="1">
        <v>45952</v>
      </c>
      <c r="C2896" s="4">
        <f>MONTH(datos_ventas[[#This Row],[Fecha]])</f>
        <v>10</v>
      </c>
      <c r="D2896" s="4">
        <f>WEEKNUM(datos_ventas[[#This Row],[Fecha]],2)</f>
        <v>43</v>
      </c>
      <c r="E2896" t="s">
        <v>29</v>
      </c>
      <c r="F2896" t="s">
        <v>30</v>
      </c>
      <c r="G2896">
        <v>4</v>
      </c>
      <c r="H2896">
        <v>44678</v>
      </c>
      <c r="I2896">
        <v>581</v>
      </c>
      <c r="J2896" t="s">
        <v>22</v>
      </c>
      <c r="K2896" t="str">
        <f>_xlfn.XLOOKUP(datos_ventas[[#This Row],[Ciudad]],Tabla2[Ciudades],Tabla2[Provincias],"no se encuentra")</f>
        <v>Valencia</v>
      </c>
      <c r="L2896" t="str">
        <f>_xlfn.XLOOKUP(datos_ventas[[#This Row],[Provincia]],Tabla2[Provincias],Tabla2[Comunidades],"no se encuentra")</f>
        <v>Comunidad Valenciana</v>
      </c>
      <c r="M2896" t="s">
        <v>15</v>
      </c>
      <c r="N2896">
        <v>3</v>
      </c>
    </row>
    <row r="2897" spans="1:14" x14ac:dyDescent="0.25">
      <c r="A2897">
        <v>3896</v>
      </c>
      <c r="B2897" s="1">
        <v>45686</v>
      </c>
      <c r="C2897" s="4">
        <f>MONTH(datos_ventas[[#This Row],[Fecha]])</f>
        <v>1</v>
      </c>
      <c r="D2897" s="4">
        <f>WEEKNUM(datos_ventas[[#This Row],[Fecha]],2)</f>
        <v>5</v>
      </c>
      <c r="E2897" t="s">
        <v>24</v>
      </c>
      <c r="F2897" t="s">
        <v>25</v>
      </c>
      <c r="G2897">
        <v>1</v>
      </c>
      <c r="H2897">
        <v>102343</v>
      </c>
      <c r="I2897">
        <v>1148</v>
      </c>
      <c r="J2897" t="s">
        <v>12</v>
      </c>
      <c r="K2897" t="str">
        <f>_xlfn.XLOOKUP(datos_ventas[[#This Row],[Ciudad]],Tabla2[Ciudades],Tabla2[Provincias],"no se encuentra")</f>
        <v>Málaga</v>
      </c>
      <c r="L2897" t="str">
        <f>_xlfn.XLOOKUP(datos_ventas[[#This Row],[Provincia]],Tabla2[Provincias],Tabla2[Comunidades],"no se encuentra")</f>
        <v>Andalucía</v>
      </c>
      <c r="M2897" t="s">
        <v>19</v>
      </c>
      <c r="N2897">
        <v>3</v>
      </c>
    </row>
    <row r="2898" spans="1:14" x14ac:dyDescent="0.25">
      <c r="A2898">
        <v>3897</v>
      </c>
      <c r="B2898" s="1">
        <v>45808</v>
      </c>
      <c r="C2898" s="4">
        <f>MONTH(datos_ventas[[#This Row],[Fecha]])</f>
        <v>5</v>
      </c>
      <c r="D2898" s="4">
        <f>WEEKNUM(datos_ventas[[#This Row],[Fecha]],2)</f>
        <v>22</v>
      </c>
      <c r="E2898" t="s">
        <v>17</v>
      </c>
      <c r="F2898" t="s">
        <v>18</v>
      </c>
      <c r="G2898">
        <v>2</v>
      </c>
      <c r="H2898">
        <v>88868</v>
      </c>
      <c r="I2898">
        <v>2001</v>
      </c>
      <c r="J2898" t="s">
        <v>12</v>
      </c>
      <c r="K2898" t="str">
        <f>_xlfn.XLOOKUP(datos_ventas[[#This Row],[Ciudad]],Tabla2[Ciudades],Tabla2[Provincias],"no se encuentra")</f>
        <v>Málaga</v>
      </c>
      <c r="L2898" t="str">
        <f>_xlfn.XLOOKUP(datos_ventas[[#This Row],[Provincia]],Tabla2[Provincias],Tabla2[Comunidades],"no se encuentra")</f>
        <v>Andalucía</v>
      </c>
      <c r="M2898" t="s">
        <v>28</v>
      </c>
      <c r="N2898">
        <v>2</v>
      </c>
    </row>
    <row r="2899" spans="1:14" x14ac:dyDescent="0.25">
      <c r="A2899">
        <v>3898</v>
      </c>
      <c r="B2899" s="1">
        <v>45890</v>
      </c>
      <c r="C2899" s="4">
        <f>MONTH(datos_ventas[[#This Row],[Fecha]])</f>
        <v>8</v>
      </c>
      <c r="D2899" s="4">
        <f>WEEKNUM(datos_ventas[[#This Row],[Fecha]],2)</f>
        <v>34</v>
      </c>
      <c r="E2899" t="s">
        <v>24</v>
      </c>
      <c r="F2899" t="s">
        <v>25</v>
      </c>
      <c r="G2899">
        <v>3</v>
      </c>
      <c r="H2899">
        <v>91689</v>
      </c>
      <c r="I2899">
        <v>2801</v>
      </c>
      <c r="J2899" t="s">
        <v>31</v>
      </c>
      <c r="K2899" t="str">
        <f>_xlfn.XLOOKUP(datos_ventas[[#This Row],[Ciudad]],Tabla2[Ciudades],Tabla2[Provincias],"no se encuentra")</f>
        <v>Vizcaya</v>
      </c>
      <c r="L2899" t="str">
        <f>_xlfn.XLOOKUP(datos_ventas[[#This Row],[Provincia]],Tabla2[Provincias],Tabla2[Comunidades],"no se encuentra")</f>
        <v>País Vasco</v>
      </c>
      <c r="M2899" t="s">
        <v>19</v>
      </c>
      <c r="N2899">
        <v>4</v>
      </c>
    </row>
    <row r="2900" spans="1:14" x14ac:dyDescent="0.25">
      <c r="A2900">
        <v>3899</v>
      </c>
      <c r="B2900" s="1">
        <v>45813</v>
      </c>
      <c r="C2900" s="4">
        <f>MONTH(datos_ventas[[#This Row],[Fecha]])</f>
        <v>6</v>
      </c>
      <c r="D2900" s="4">
        <f>WEEKNUM(datos_ventas[[#This Row],[Fecha]],2)</f>
        <v>23</v>
      </c>
      <c r="E2900" t="s">
        <v>24</v>
      </c>
      <c r="F2900" t="s">
        <v>25</v>
      </c>
      <c r="G2900">
        <v>5</v>
      </c>
      <c r="H2900">
        <v>49206</v>
      </c>
      <c r="I2900">
        <v>3095</v>
      </c>
      <c r="J2900" t="s">
        <v>31</v>
      </c>
      <c r="K2900" t="str">
        <f>_xlfn.XLOOKUP(datos_ventas[[#This Row],[Ciudad]],Tabla2[Ciudades],Tabla2[Provincias],"no se encuentra")</f>
        <v>Vizcaya</v>
      </c>
      <c r="L2900" t="str">
        <f>_xlfn.XLOOKUP(datos_ventas[[#This Row],[Provincia]],Tabla2[Provincias],Tabla2[Comunidades],"no se encuentra")</f>
        <v>País Vasco</v>
      </c>
      <c r="M2900" t="s">
        <v>13</v>
      </c>
      <c r="N2900">
        <v>3</v>
      </c>
    </row>
    <row r="2901" spans="1:14" x14ac:dyDescent="0.25">
      <c r="A2901">
        <v>3900</v>
      </c>
      <c r="B2901" s="1">
        <v>45978</v>
      </c>
      <c r="C2901" s="4">
        <f>MONTH(datos_ventas[[#This Row],[Fecha]])</f>
        <v>11</v>
      </c>
      <c r="D2901" s="4">
        <f>WEEKNUM(datos_ventas[[#This Row],[Fecha]],2)</f>
        <v>47</v>
      </c>
      <c r="E2901" t="s">
        <v>23</v>
      </c>
      <c r="F2901" t="s">
        <v>18</v>
      </c>
      <c r="G2901">
        <v>1</v>
      </c>
      <c r="H2901">
        <v>29834</v>
      </c>
      <c r="I2901">
        <v>546</v>
      </c>
      <c r="J2901" t="s">
        <v>27</v>
      </c>
      <c r="K2901" t="str">
        <f>_xlfn.XLOOKUP(datos_ventas[[#This Row],[Ciudad]],Tabla2[Ciudades],Tabla2[Provincias],"no se encuentra")</f>
        <v>Sevilla</v>
      </c>
      <c r="L2901" t="str">
        <f>_xlfn.XLOOKUP(datos_ventas[[#This Row],[Provincia]],Tabla2[Provincias],Tabla2[Comunidades],"no se encuentra")</f>
        <v>Andalucía</v>
      </c>
      <c r="M2901" t="s">
        <v>15</v>
      </c>
      <c r="N2901">
        <v>1</v>
      </c>
    </row>
    <row r="2902" spans="1:14" x14ac:dyDescent="0.25">
      <c r="A2902">
        <v>3901</v>
      </c>
      <c r="B2902" s="1">
        <v>45758</v>
      </c>
      <c r="C2902" s="4">
        <f>MONTH(datos_ventas[[#This Row],[Fecha]])</f>
        <v>4</v>
      </c>
      <c r="D2902" s="4">
        <f>WEEKNUM(datos_ventas[[#This Row],[Fecha]],2)</f>
        <v>15</v>
      </c>
      <c r="E2902" t="s">
        <v>29</v>
      </c>
      <c r="F2902" t="s">
        <v>30</v>
      </c>
      <c r="G2902">
        <v>3</v>
      </c>
      <c r="H2902">
        <v>103209</v>
      </c>
      <c r="I2902">
        <v>2957</v>
      </c>
      <c r="J2902" t="s">
        <v>32</v>
      </c>
      <c r="K2902" t="str">
        <f>_xlfn.XLOOKUP(datos_ventas[[#This Row],[Ciudad]],Tabla2[Ciudades],Tabla2[Provincias],"no se encuentra")</f>
        <v>Barcelona</v>
      </c>
      <c r="L2902" t="str">
        <f>_xlfn.XLOOKUP(datos_ventas[[#This Row],[Provincia]],Tabla2[Provincias],Tabla2[Comunidades],"no se encuentra")</f>
        <v>Cataluña</v>
      </c>
      <c r="M2902" t="s">
        <v>13</v>
      </c>
      <c r="N2902">
        <v>1</v>
      </c>
    </row>
    <row r="2903" spans="1:14" x14ac:dyDescent="0.25">
      <c r="A2903">
        <v>3902</v>
      </c>
      <c r="B2903" s="1">
        <v>45745</v>
      </c>
      <c r="C2903" s="4">
        <f>MONTH(datos_ventas[[#This Row],[Fecha]])</f>
        <v>3</v>
      </c>
      <c r="D2903" s="4">
        <f>WEEKNUM(datos_ventas[[#This Row],[Fecha]],2)</f>
        <v>13</v>
      </c>
      <c r="E2903" t="s">
        <v>26</v>
      </c>
      <c r="F2903" t="s">
        <v>18</v>
      </c>
      <c r="G2903">
        <v>4</v>
      </c>
      <c r="H2903">
        <v>118079</v>
      </c>
      <c r="I2903">
        <v>2644</v>
      </c>
      <c r="J2903" t="s">
        <v>32</v>
      </c>
      <c r="K2903" t="str">
        <f>_xlfn.XLOOKUP(datos_ventas[[#This Row],[Ciudad]],Tabla2[Ciudades],Tabla2[Provincias],"no se encuentra")</f>
        <v>Barcelona</v>
      </c>
      <c r="L2903" t="str">
        <f>_xlfn.XLOOKUP(datos_ventas[[#This Row],[Provincia]],Tabla2[Provincias],Tabla2[Comunidades],"no se encuentra")</f>
        <v>Cataluña</v>
      </c>
      <c r="M2903" t="s">
        <v>13</v>
      </c>
      <c r="N2903">
        <v>3</v>
      </c>
    </row>
    <row r="2904" spans="1:14" x14ac:dyDescent="0.25">
      <c r="A2904">
        <v>3903</v>
      </c>
      <c r="B2904" s="1">
        <v>45887</v>
      </c>
      <c r="C2904" s="4">
        <f>MONTH(datos_ventas[[#This Row],[Fecha]])</f>
        <v>8</v>
      </c>
      <c r="D2904" s="4">
        <f>WEEKNUM(datos_ventas[[#This Row],[Fecha]],2)</f>
        <v>34</v>
      </c>
      <c r="E2904" t="s">
        <v>24</v>
      </c>
      <c r="F2904" t="s">
        <v>25</v>
      </c>
      <c r="G2904">
        <v>2</v>
      </c>
      <c r="H2904">
        <v>56448</v>
      </c>
      <c r="I2904">
        <v>460</v>
      </c>
      <c r="J2904" t="s">
        <v>14</v>
      </c>
      <c r="K2904" t="str">
        <f>_xlfn.XLOOKUP(datos_ventas[[#This Row],[Ciudad]],Tabla2[Ciudades],Tabla2[Provincias],"no se encuentra")</f>
        <v>Madrid</v>
      </c>
      <c r="L2904" t="str">
        <f>_xlfn.XLOOKUP(datos_ventas[[#This Row],[Provincia]],Tabla2[Provincias],Tabla2[Comunidades],"no se encuentra")</f>
        <v>Comunidad de Madrid</v>
      </c>
      <c r="M2904" t="s">
        <v>15</v>
      </c>
      <c r="N2904">
        <v>3</v>
      </c>
    </row>
    <row r="2905" spans="1:14" x14ac:dyDescent="0.25">
      <c r="A2905">
        <v>3904</v>
      </c>
      <c r="B2905" s="1">
        <v>46000</v>
      </c>
      <c r="C2905" s="4">
        <f>MONTH(datos_ventas[[#This Row],[Fecha]])</f>
        <v>12</v>
      </c>
      <c r="D2905" s="4">
        <f>WEEKNUM(datos_ventas[[#This Row],[Fecha]],2)</f>
        <v>50</v>
      </c>
      <c r="E2905" t="s">
        <v>24</v>
      </c>
      <c r="F2905" t="s">
        <v>25</v>
      </c>
      <c r="G2905">
        <v>2</v>
      </c>
      <c r="H2905">
        <v>25123</v>
      </c>
      <c r="I2905">
        <v>3903</v>
      </c>
      <c r="J2905" t="s">
        <v>27</v>
      </c>
      <c r="K2905" t="str">
        <f>_xlfn.XLOOKUP(datos_ventas[[#This Row],[Ciudad]],Tabla2[Ciudades],Tabla2[Provincias],"no se encuentra")</f>
        <v>Sevilla</v>
      </c>
      <c r="L2905" t="str">
        <f>_xlfn.XLOOKUP(datos_ventas[[#This Row],[Provincia]],Tabla2[Provincias],Tabla2[Comunidades],"no se encuentra")</f>
        <v>Andalucía</v>
      </c>
      <c r="M2905" t="s">
        <v>15</v>
      </c>
      <c r="N2905">
        <v>4</v>
      </c>
    </row>
    <row r="2906" spans="1:14" x14ac:dyDescent="0.25">
      <c r="A2906">
        <v>3905</v>
      </c>
      <c r="B2906" s="1">
        <v>45983</v>
      </c>
      <c r="C2906" s="4">
        <f>MONTH(datos_ventas[[#This Row],[Fecha]])</f>
        <v>11</v>
      </c>
      <c r="D2906" s="4">
        <f>WEEKNUM(datos_ventas[[#This Row],[Fecha]],2)</f>
        <v>47</v>
      </c>
      <c r="E2906" t="s">
        <v>24</v>
      </c>
      <c r="F2906" t="s">
        <v>25</v>
      </c>
      <c r="G2906">
        <v>5</v>
      </c>
      <c r="H2906">
        <v>92894</v>
      </c>
      <c r="I2906">
        <v>1036</v>
      </c>
      <c r="J2906" t="s">
        <v>27</v>
      </c>
      <c r="K2906" t="str">
        <f>_xlfn.XLOOKUP(datos_ventas[[#This Row],[Ciudad]],Tabla2[Ciudades],Tabla2[Provincias],"no se encuentra")</f>
        <v>Sevilla</v>
      </c>
      <c r="L2906" t="str">
        <f>_xlfn.XLOOKUP(datos_ventas[[#This Row],[Provincia]],Tabla2[Provincias],Tabla2[Comunidades],"no se encuentra")</f>
        <v>Andalucía</v>
      </c>
      <c r="M2906" t="s">
        <v>13</v>
      </c>
      <c r="N2906">
        <v>3</v>
      </c>
    </row>
    <row r="2907" spans="1:14" x14ac:dyDescent="0.25">
      <c r="A2907">
        <v>3906</v>
      </c>
      <c r="B2907" s="1">
        <v>46003</v>
      </c>
      <c r="C2907" s="4">
        <f>MONTH(datos_ventas[[#This Row],[Fecha]])</f>
        <v>12</v>
      </c>
      <c r="D2907" s="4">
        <f>WEEKNUM(datos_ventas[[#This Row],[Fecha]],2)</f>
        <v>50</v>
      </c>
      <c r="E2907" t="s">
        <v>10</v>
      </c>
      <c r="F2907" t="s">
        <v>11</v>
      </c>
      <c r="G2907">
        <v>5</v>
      </c>
      <c r="H2907">
        <v>57537</v>
      </c>
      <c r="I2907">
        <v>2514</v>
      </c>
      <c r="J2907" t="s">
        <v>22</v>
      </c>
      <c r="K2907" t="str">
        <f>_xlfn.XLOOKUP(datos_ventas[[#This Row],[Ciudad]],Tabla2[Ciudades],Tabla2[Provincias],"no se encuentra")</f>
        <v>Valencia</v>
      </c>
      <c r="L2907" t="str">
        <f>_xlfn.XLOOKUP(datos_ventas[[#This Row],[Provincia]],Tabla2[Provincias],Tabla2[Comunidades],"no se encuentra")</f>
        <v>Comunidad Valenciana</v>
      </c>
      <c r="M2907" t="s">
        <v>19</v>
      </c>
      <c r="N2907">
        <v>2</v>
      </c>
    </row>
    <row r="2908" spans="1:14" x14ac:dyDescent="0.25">
      <c r="A2908">
        <v>3907</v>
      </c>
      <c r="B2908" s="1">
        <v>45686</v>
      </c>
      <c r="C2908" s="4">
        <f>MONTH(datos_ventas[[#This Row],[Fecha]])</f>
        <v>1</v>
      </c>
      <c r="D2908" s="4">
        <f>WEEKNUM(datos_ventas[[#This Row],[Fecha]],2)</f>
        <v>5</v>
      </c>
      <c r="E2908" t="s">
        <v>10</v>
      </c>
      <c r="F2908" t="s">
        <v>11</v>
      </c>
      <c r="G2908">
        <v>4</v>
      </c>
      <c r="H2908">
        <v>73432</v>
      </c>
      <c r="I2908">
        <v>104</v>
      </c>
      <c r="J2908" t="s">
        <v>14</v>
      </c>
      <c r="K2908" t="str">
        <f>_xlfn.XLOOKUP(datos_ventas[[#This Row],[Ciudad]],Tabla2[Ciudades],Tabla2[Provincias],"no se encuentra")</f>
        <v>Madrid</v>
      </c>
      <c r="L2908" t="str">
        <f>_xlfn.XLOOKUP(datos_ventas[[#This Row],[Provincia]],Tabla2[Provincias],Tabla2[Comunidades],"no se encuentra")</f>
        <v>Comunidad de Madrid</v>
      </c>
      <c r="M2908" t="s">
        <v>13</v>
      </c>
      <c r="N2908">
        <v>1</v>
      </c>
    </row>
    <row r="2909" spans="1:14" x14ac:dyDescent="0.25">
      <c r="A2909">
        <v>3908</v>
      </c>
      <c r="B2909" s="1">
        <v>45980</v>
      </c>
      <c r="C2909" s="4">
        <f>MONTH(datos_ventas[[#This Row],[Fecha]])</f>
        <v>11</v>
      </c>
      <c r="D2909" s="4">
        <f>WEEKNUM(datos_ventas[[#This Row],[Fecha]],2)</f>
        <v>47</v>
      </c>
      <c r="E2909" t="s">
        <v>10</v>
      </c>
      <c r="F2909" t="s">
        <v>11</v>
      </c>
      <c r="G2909">
        <v>5</v>
      </c>
      <c r="H2909">
        <v>3414</v>
      </c>
      <c r="I2909">
        <v>1284</v>
      </c>
      <c r="J2909" t="s">
        <v>31</v>
      </c>
      <c r="K2909" t="str">
        <f>_xlfn.XLOOKUP(datos_ventas[[#This Row],[Ciudad]],Tabla2[Ciudades],Tabla2[Provincias],"no se encuentra")</f>
        <v>Vizcaya</v>
      </c>
      <c r="L2909" t="str">
        <f>_xlfn.XLOOKUP(datos_ventas[[#This Row],[Provincia]],Tabla2[Provincias],Tabla2[Comunidades],"no se encuentra")</f>
        <v>País Vasco</v>
      </c>
      <c r="M2909" t="s">
        <v>15</v>
      </c>
      <c r="N2909">
        <v>3</v>
      </c>
    </row>
    <row r="2910" spans="1:14" x14ac:dyDescent="0.25">
      <c r="A2910">
        <v>3909</v>
      </c>
      <c r="B2910" s="1">
        <v>45689</v>
      </c>
      <c r="C2910" s="4">
        <f>MONTH(datos_ventas[[#This Row],[Fecha]])</f>
        <v>2</v>
      </c>
      <c r="D2910" s="4">
        <f>WEEKNUM(datos_ventas[[#This Row],[Fecha]],2)</f>
        <v>5</v>
      </c>
      <c r="E2910" t="s">
        <v>24</v>
      </c>
      <c r="F2910" t="s">
        <v>25</v>
      </c>
      <c r="G2910">
        <v>5</v>
      </c>
      <c r="H2910">
        <v>57569</v>
      </c>
      <c r="I2910">
        <v>2602</v>
      </c>
      <c r="J2910" t="s">
        <v>12</v>
      </c>
      <c r="K2910" t="str">
        <f>_xlfn.XLOOKUP(datos_ventas[[#This Row],[Ciudad]],Tabla2[Ciudades],Tabla2[Provincias],"no se encuentra")</f>
        <v>Málaga</v>
      </c>
      <c r="L2910" t="str">
        <f>_xlfn.XLOOKUP(datos_ventas[[#This Row],[Provincia]],Tabla2[Provincias],Tabla2[Comunidades],"no se encuentra")</f>
        <v>Andalucía</v>
      </c>
      <c r="M2910" t="s">
        <v>15</v>
      </c>
      <c r="N2910">
        <v>1</v>
      </c>
    </row>
    <row r="2911" spans="1:14" x14ac:dyDescent="0.25">
      <c r="A2911">
        <v>3910</v>
      </c>
      <c r="B2911" s="1">
        <v>45849</v>
      </c>
      <c r="C2911" s="4">
        <f>MONTH(datos_ventas[[#This Row],[Fecha]])</f>
        <v>7</v>
      </c>
      <c r="D2911" s="4">
        <f>WEEKNUM(datos_ventas[[#This Row],[Fecha]],2)</f>
        <v>28</v>
      </c>
      <c r="E2911" t="s">
        <v>23</v>
      </c>
      <c r="F2911" t="s">
        <v>18</v>
      </c>
      <c r="G2911">
        <v>5</v>
      </c>
      <c r="H2911">
        <v>82432</v>
      </c>
      <c r="I2911">
        <v>1111</v>
      </c>
      <c r="J2911" t="s">
        <v>27</v>
      </c>
      <c r="K2911" t="str">
        <f>_xlfn.XLOOKUP(datos_ventas[[#This Row],[Ciudad]],Tabla2[Ciudades],Tabla2[Provincias],"no se encuentra")</f>
        <v>Sevilla</v>
      </c>
      <c r="L2911" t="str">
        <f>_xlfn.XLOOKUP(datos_ventas[[#This Row],[Provincia]],Tabla2[Provincias],Tabla2[Comunidades],"no se encuentra")</f>
        <v>Andalucía</v>
      </c>
      <c r="M2911" t="s">
        <v>13</v>
      </c>
      <c r="N2911">
        <v>3</v>
      </c>
    </row>
    <row r="2912" spans="1:14" x14ac:dyDescent="0.25">
      <c r="A2912">
        <v>3911</v>
      </c>
      <c r="B2912" s="1">
        <v>45837</v>
      </c>
      <c r="C2912" s="4">
        <f>MONTH(datos_ventas[[#This Row],[Fecha]])</f>
        <v>6</v>
      </c>
      <c r="D2912" s="4">
        <f>WEEKNUM(datos_ventas[[#This Row],[Fecha]],2)</f>
        <v>26</v>
      </c>
      <c r="E2912" t="s">
        <v>10</v>
      </c>
      <c r="F2912" t="s">
        <v>11</v>
      </c>
      <c r="G2912">
        <v>5</v>
      </c>
      <c r="H2912">
        <v>8315</v>
      </c>
      <c r="I2912">
        <v>4247</v>
      </c>
      <c r="J2912" t="s">
        <v>32</v>
      </c>
      <c r="K2912" t="str">
        <f>_xlfn.XLOOKUP(datos_ventas[[#This Row],[Ciudad]],Tabla2[Ciudades],Tabla2[Provincias],"no se encuentra")</f>
        <v>Barcelona</v>
      </c>
      <c r="L2912" t="str">
        <f>_xlfn.XLOOKUP(datos_ventas[[#This Row],[Provincia]],Tabla2[Provincias],Tabla2[Comunidades],"no se encuentra")</f>
        <v>Cataluña</v>
      </c>
      <c r="M2912" t="s">
        <v>28</v>
      </c>
      <c r="N2912">
        <v>4</v>
      </c>
    </row>
    <row r="2913" spans="1:14" x14ac:dyDescent="0.25">
      <c r="A2913">
        <v>3912</v>
      </c>
      <c r="B2913" s="1">
        <v>45725</v>
      </c>
      <c r="C2913" s="4">
        <f>MONTH(datos_ventas[[#This Row],[Fecha]])</f>
        <v>3</v>
      </c>
      <c r="D2913" s="4">
        <f>WEEKNUM(datos_ventas[[#This Row],[Fecha]],2)</f>
        <v>10</v>
      </c>
      <c r="E2913" t="s">
        <v>20</v>
      </c>
      <c r="F2913" t="s">
        <v>21</v>
      </c>
      <c r="G2913">
        <v>4</v>
      </c>
      <c r="H2913">
        <v>27668</v>
      </c>
      <c r="I2913">
        <v>283</v>
      </c>
      <c r="J2913" t="s">
        <v>31</v>
      </c>
      <c r="K2913" t="str">
        <f>_xlfn.XLOOKUP(datos_ventas[[#This Row],[Ciudad]],Tabla2[Ciudades],Tabla2[Provincias],"no se encuentra")</f>
        <v>Vizcaya</v>
      </c>
      <c r="L2913" t="str">
        <f>_xlfn.XLOOKUP(datos_ventas[[#This Row],[Provincia]],Tabla2[Provincias],Tabla2[Comunidades],"no se encuentra")</f>
        <v>País Vasco</v>
      </c>
      <c r="M2913" t="s">
        <v>28</v>
      </c>
      <c r="N2913">
        <v>1</v>
      </c>
    </row>
    <row r="2914" spans="1:14" x14ac:dyDescent="0.25">
      <c r="A2914">
        <v>3913</v>
      </c>
      <c r="B2914" s="1">
        <v>45863</v>
      </c>
      <c r="C2914" s="4">
        <f>MONTH(datos_ventas[[#This Row],[Fecha]])</f>
        <v>7</v>
      </c>
      <c r="D2914" s="4">
        <f>WEEKNUM(datos_ventas[[#This Row],[Fecha]],2)</f>
        <v>30</v>
      </c>
      <c r="E2914" t="s">
        <v>20</v>
      </c>
      <c r="F2914" t="s">
        <v>21</v>
      </c>
      <c r="G2914">
        <v>2</v>
      </c>
      <c r="H2914">
        <v>53006</v>
      </c>
      <c r="I2914">
        <v>3655</v>
      </c>
      <c r="J2914" t="s">
        <v>22</v>
      </c>
      <c r="K2914" t="str">
        <f>_xlfn.XLOOKUP(datos_ventas[[#This Row],[Ciudad]],Tabla2[Ciudades],Tabla2[Provincias],"no se encuentra")</f>
        <v>Valencia</v>
      </c>
      <c r="L2914" t="str">
        <f>_xlfn.XLOOKUP(datos_ventas[[#This Row],[Provincia]],Tabla2[Provincias],Tabla2[Comunidades],"no se encuentra")</f>
        <v>Comunidad Valenciana</v>
      </c>
      <c r="M2914" t="s">
        <v>15</v>
      </c>
      <c r="N2914">
        <v>3</v>
      </c>
    </row>
    <row r="2915" spans="1:14" x14ac:dyDescent="0.25">
      <c r="A2915">
        <v>3914</v>
      </c>
      <c r="B2915" s="1">
        <v>45901</v>
      </c>
      <c r="C2915" s="4">
        <f>MONTH(datos_ventas[[#This Row],[Fecha]])</f>
        <v>9</v>
      </c>
      <c r="D2915" s="4">
        <f>WEEKNUM(datos_ventas[[#This Row],[Fecha]],2)</f>
        <v>36</v>
      </c>
      <c r="E2915" t="s">
        <v>29</v>
      </c>
      <c r="F2915" t="s">
        <v>30</v>
      </c>
      <c r="G2915">
        <v>3</v>
      </c>
      <c r="H2915">
        <v>64589</v>
      </c>
      <c r="I2915">
        <v>4406</v>
      </c>
      <c r="J2915" t="s">
        <v>14</v>
      </c>
      <c r="K2915" t="str">
        <f>_xlfn.XLOOKUP(datos_ventas[[#This Row],[Ciudad]],Tabla2[Ciudades],Tabla2[Provincias],"no se encuentra")</f>
        <v>Madrid</v>
      </c>
      <c r="L2915" t="str">
        <f>_xlfn.XLOOKUP(datos_ventas[[#This Row],[Provincia]],Tabla2[Provincias],Tabla2[Comunidades],"no se encuentra")</f>
        <v>Comunidad de Madrid</v>
      </c>
      <c r="M2915" t="s">
        <v>28</v>
      </c>
      <c r="N2915">
        <v>2</v>
      </c>
    </row>
    <row r="2916" spans="1:14" x14ac:dyDescent="0.25">
      <c r="A2916">
        <v>3915</v>
      </c>
      <c r="B2916" s="1">
        <v>45885</v>
      </c>
      <c r="C2916" s="4">
        <f>MONTH(datos_ventas[[#This Row],[Fecha]])</f>
        <v>8</v>
      </c>
      <c r="D2916" s="4">
        <f>WEEKNUM(datos_ventas[[#This Row],[Fecha]],2)</f>
        <v>33</v>
      </c>
      <c r="E2916" t="s">
        <v>16</v>
      </c>
      <c r="F2916" t="s">
        <v>11</v>
      </c>
      <c r="G2916">
        <v>3</v>
      </c>
      <c r="H2916">
        <v>56825</v>
      </c>
      <c r="I2916">
        <v>3924</v>
      </c>
      <c r="J2916" t="s">
        <v>31</v>
      </c>
      <c r="K2916" t="str">
        <f>_xlfn.XLOOKUP(datos_ventas[[#This Row],[Ciudad]],Tabla2[Ciudades],Tabla2[Provincias],"no se encuentra")</f>
        <v>Vizcaya</v>
      </c>
      <c r="L2916" t="str">
        <f>_xlfn.XLOOKUP(datos_ventas[[#This Row],[Provincia]],Tabla2[Provincias],Tabla2[Comunidades],"no se encuentra")</f>
        <v>País Vasco</v>
      </c>
      <c r="M2916" t="s">
        <v>19</v>
      </c>
      <c r="N2916">
        <v>2</v>
      </c>
    </row>
    <row r="2917" spans="1:14" x14ac:dyDescent="0.25">
      <c r="A2917">
        <v>3916</v>
      </c>
      <c r="B2917" s="1">
        <v>46006</v>
      </c>
      <c r="C2917" s="4">
        <f>MONTH(datos_ventas[[#This Row],[Fecha]])</f>
        <v>12</v>
      </c>
      <c r="D2917" s="4">
        <f>WEEKNUM(datos_ventas[[#This Row],[Fecha]],2)</f>
        <v>51</v>
      </c>
      <c r="E2917" t="s">
        <v>17</v>
      </c>
      <c r="F2917" t="s">
        <v>18</v>
      </c>
      <c r="G2917">
        <v>4</v>
      </c>
      <c r="H2917">
        <v>47923</v>
      </c>
      <c r="I2917">
        <v>577</v>
      </c>
      <c r="J2917" t="s">
        <v>22</v>
      </c>
      <c r="K2917" t="str">
        <f>_xlfn.XLOOKUP(datos_ventas[[#This Row],[Ciudad]],Tabla2[Ciudades],Tabla2[Provincias],"no se encuentra")</f>
        <v>Valencia</v>
      </c>
      <c r="L2917" t="str">
        <f>_xlfn.XLOOKUP(datos_ventas[[#This Row],[Provincia]],Tabla2[Provincias],Tabla2[Comunidades],"no se encuentra")</f>
        <v>Comunidad Valenciana</v>
      </c>
      <c r="M2917" t="s">
        <v>15</v>
      </c>
      <c r="N2917">
        <v>1</v>
      </c>
    </row>
    <row r="2918" spans="1:14" x14ac:dyDescent="0.25">
      <c r="A2918">
        <v>3917</v>
      </c>
      <c r="B2918" s="1">
        <v>45723</v>
      </c>
      <c r="C2918" s="4">
        <f>MONTH(datos_ventas[[#This Row],[Fecha]])</f>
        <v>3</v>
      </c>
      <c r="D2918" s="4">
        <f>WEEKNUM(datos_ventas[[#This Row],[Fecha]],2)</f>
        <v>10</v>
      </c>
      <c r="E2918" t="s">
        <v>17</v>
      </c>
      <c r="F2918" t="s">
        <v>18</v>
      </c>
      <c r="G2918">
        <v>3</v>
      </c>
      <c r="H2918">
        <v>69502</v>
      </c>
      <c r="I2918">
        <v>3041</v>
      </c>
      <c r="J2918" t="s">
        <v>32</v>
      </c>
      <c r="K2918" t="str">
        <f>_xlfn.XLOOKUP(datos_ventas[[#This Row],[Ciudad]],Tabla2[Ciudades],Tabla2[Provincias],"no se encuentra")</f>
        <v>Barcelona</v>
      </c>
      <c r="L2918" t="str">
        <f>_xlfn.XLOOKUP(datos_ventas[[#This Row],[Provincia]],Tabla2[Provincias],Tabla2[Comunidades],"no se encuentra")</f>
        <v>Cataluña</v>
      </c>
      <c r="M2918" t="s">
        <v>13</v>
      </c>
      <c r="N2918">
        <v>4</v>
      </c>
    </row>
    <row r="2919" spans="1:14" x14ac:dyDescent="0.25">
      <c r="A2919">
        <v>3918</v>
      </c>
      <c r="B2919" s="1">
        <v>45909</v>
      </c>
      <c r="C2919" s="4">
        <f>MONTH(datos_ventas[[#This Row],[Fecha]])</f>
        <v>9</v>
      </c>
      <c r="D2919" s="4">
        <f>WEEKNUM(datos_ventas[[#This Row],[Fecha]],2)</f>
        <v>37</v>
      </c>
      <c r="E2919" t="s">
        <v>20</v>
      </c>
      <c r="F2919" t="s">
        <v>21</v>
      </c>
      <c r="G2919">
        <v>5</v>
      </c>
      <c r="H2919">
        <v>60167</v>
      </c>
      <c r="I2919">
        <v>440</v>
      </c>
      <c r="J2919" t="s">
        <v>32</v>
      </c>
      <c r="K2919" t="str">
        <f>_xlfn.XLOOKUP(datos_ventas[[#This Row],[Ciudad]],Tabla2[Ciudades],Tabla2[Provincias],"no se encuentra")</f>
        <v>Barcelona</v>
      </c>
      <c r="L2919" t="str">
        <f>_xlfn.XLOOKUP(datos_ventas[[#This Row],[Provincia]],Tabla2[Provincias],Tabla2[Comunidades],"no se encuentra")</f>
        <v>Cataluña</v>
      </c>
      <c r="M2919" t="s">
        <v>19</v>
      </c>
      <c r="N2919">
        <v>3</v>
      </c>
    </row>
    <row r="2920" spans="1:14" x14ac:dyDescent="0.25">
      <c r="A2920">
        <v>3919</v>
      </c>
      <c r="B2920" s="1">
        <v>45834</v>
      </c>
      <c r="C2920" s="4">
        <f>MONTH(datos_ventas[[#This Row],[Fecha]])</f>
        <v>6</v>
      </c>
      <c r="D2920" s="4">
        <f>WEEKNUM(datos_ventas[[#This Row],[Fecha]],2)</f>
        <v>26</v>
      </c>
      <c r="E2920" t="s">
        <v>16</v>
      </c>
      <c r="F2920" t="s">
        <v>11</v>
      </c>
      <c r="G2920">
        <v>2</v>
      </c>
      <c r="H2920">
        <v>110824</v>
      </c>
      <c r="I2920">
        <v>2335</v>
      </c>
      <c r="J2920" t="s">
        <v>32</v>
      </c>
      <c r="K2920" t="str">
        <f>_xlfn.XLOOKUP(datos_ventas[[#This Row],[Ciudad]],Tabla2[Ciudades],Tabla2[Provincias],"no se encuentra")</f>
        <v>Barcelona</v>
      </c>
      <c r="L2920" t="str">
        <f>_xlfn.XLOOKUP(datos_ventas[[#This Row],[Provincia]],Tabla2[Provincias],Tabla2[Comunidades],"no se encuentra")</f>
        <v>Cataluña</v>
      </c>
      <c r="M2920" t="s">
        <v>15</v>
      </c>
      <c r="N2920">
        <v>3</v>
      </c>
    </row>
    <row r="2921" spans="1:14" x14ac:dyDescent="0.25">
      <c r="A2921">
        <v>3920</v>
      </c>
      <c r="B2921" s="1">
        <v>45764</v>
      </c>
      <c r="C2921" s="4">
        <f>MONTH(datos_ventas[[#This Row],[Fecha]])</f>
        <v>4</v>
      </c>
      <c r="D2921" s="4">
        <f>WEEKNUM(datos_ventas[[#This Row],[Fecha]],2)</f>
        <v>16</v>
      </c>
      <c r="E2921" t="s">
        <v>29</v>
      </c>
      <c r="F2921" t="s">
        <v>30</v>
      </c>
      <c r="G2921">
        <v>2</v>
      </c>
      <c r="H2921">
        <v>91965</v>
      </c>
      <c r="I2921">
        <v>2059</v>
      </c>
      <c r="J2921" t="s">
        <v>22</v>
      </c>
      <c r="K2921" t="str">
        <f>_xlfn.XLOOKUP(datos_ventas[[#This Row],[Ciudad]],Tabla2[Ciudades],Tabla2[Provincias],"no se encuentra")</f>
        <v>Valencia</v>
      </c>
      <c r="L2921" t="str">
        <f>_xlfn.XLOOKUP(datos_ventas[[#This Row],[Provincia]],Tabla2[Provincias],Tabla2[Comunidades],"no se encuentra")</f>
        <v>Comunidad Valenciana</v>
      </c>
      <c r="M2921" t="s">
        <v>13</v>
      </c>
      <c r="N2921">
        <v>3</v>
      </c>
    </row>
    <row r="2922" spans="1:14" x14ac:dyDescent="0.25">
      <c r="A2922">
        <v>3921</v>
      </c>
      <c r="B2922" s="1">
        <v>45894</v>
      </c>
      <c r="C2922" s="4">
        <f>MONTH(datos_ventas[[#This Row],[Fecha]])</f>
        <v>8</v>
      </c>
      <c r="D2922" s="4">
        <f>WEEKNUM(datos_ventas[[#This Row],[Fecha]],2)</f>
        <v>35</v>
      </c>
      <c r="E2922" t="s">
        <v>24</v>
      </c>
      <c r="F2922" t="s">
        <v>25</v>
      </c>
      <c r="G2922">
        <v>1</v>
      </c>
      <c r="H2922">
        <v>37752</v>
      </c>
      <c r="I2922">
        <v>872</v>
      </c>
      <c r="J2922" t="s">
        <v>31</v>
      </c>
      <c r="K2922" t="str">
        <f>_xlfn.XLOOKUP(datos_ventas[[#This Row],[Ciudad]],Tabla2[Ciudades],Tabla2[Provincias],"no se encuentra")</f>
        <v>Vizcaya</v>
      </c>
      <c r="L2922" t="str">
        <f>_xlfn.XLOOKUP(datos_ventas[[#This Row],[Provincia]],Tabla2[Provincias],Tabla2[Comunidades],"no se encuentra")</f>
        <v>País Vasco</v>
      </c>
      <c r="M2922" t="s">
        <v>28</v>
      </c>
      <c r="N2922">
        <v>3</v>
      </c>
    </row>
    <row r="2923" spans="1:14" x14ac:dyDescent="0.25">
      <c r="A2923">
        <v>3922</v>
      </c>
      <c r="B2923" s="1">
        <v>45824</v>
      </c>
      <c r="C2923" s="4">
        <f>MONTH(datos_ventas[[#This Row],[Fecha]])</f>
        <v>6</v>
      </c>
      <c r="D2923" s="4">
        <f>WEEKNUM(datos_ventas[[#This Row],[Fecha]],2)</f>
        <v>25</v>
      </c>
      <c r="E2923" t="s">
        <v>23</v>
      </c>
      <c r="F2923" t="s">
        <v>18</v>
      </c>
      <c r="G2923">
        <v>4</v>
      </c>
      <c r="H2923">
        <v>9712</v>
      </c>
      <c r="I2923">
        <v>111</v>
      </c>
      <c r="J2923" t="s">
        <v>27</v>
      </c>
      <c r="K2923" t="str">
        <f>_xlfn.XLOOKUP(datos_ventas[[#This Row],[Ciudad]],Tabla2[Ciudades],Tabla2[Provincias],"no se encuentra")</f>
        <v>Sevilla</v>
      </c>
      <c r="L2923" t="str">
        <f>_xlfn.XLOOKUP(datos_ventas[[#This Row],[Provincia]],Tabla2[Provincias],Tabla2[Comunidades],"no se encuentra")</f>
        <v>Andalucía</v>
      </c>
      <c r="M2923" t="s">
        <v>13</v>
      </c>
      <c r="N2923">
        <v>2</v>
      </c>
    </row>
    <row r="2924" spans="1:14" x14ac:dyDescent="0.25">
      <c r="A2924">
        <v>3923</v>
      </c>
      <c r="B2924" s="1">
        <v>45931</v>
      </c>
      <c r="C2924" s="4">
        <f>MONTH(datos_ventas[[#This Row],[Fecha]])</f>
        <v>10</v>
      </c>
      <c r="D2924" s="4">
        <f>WEEKNUM(datos_ventas[[#This Row],[Fecha]],2)</f>
        <v>40</v>
      </c>
      <c r="E2924" t="s">
        <v>20</v>
      </c>
      <c r="F2924" t="s">
        <v>21</v>
      </c>
      <c r="G2924">
        <v>1</v>
      </c>
      <c r="H2924">
        <v>69803</v>
      </c>
      <c r="I2924">
        <v>3531</v>
      </c>
      <c r="J2924" t="s">
        <v>31</v>
      </c>
      <c r="K2924" t="str">
        <f>_xlfn.XLOOKUP(datos_ventas[[#This Row],[Ciudad]],Tabla2[Ciudades],Tabla2[Provincias],"no se encuentra")</f>
        <v>Vizcaya</v>
      </c>
      <c r="L2924" t="str">
        <f>_xlfn.XLOOKUP(datos_ventas[[#This Row],[Provincia]],Tabla2[Provincias],Tabla2[Comunidades],"no se encuentra")</f>
        <v>País Vasco</v>
      </c>
      <c r="M2924" t="s">
        <v>19</v>
      </c>
      <c r="N2924">
        <v>3</v>
      </c>
    </row>
    <row r="2925" spans="1:14" x14ac:dyDescent="0.25">
      <c r="A2925">
        <v>3924</v>
      </c>
      <c r="B2925" s="1">
        <v>45825</v>
      </c>
      <c r="C2925" s="4">
        <f>MONTH(datos_ventas[[#This Row],[Fecha]])</f>
        <v>6</v>
      </c>
      <c r="D2925" s="4">
        <f>WEEKNUM(datos_ventas[[#This Row],[Fecha]],2)</f>
        <v>25</v>
      </c>
      <c r="E2925" t="s">
        <v>20</v>
      </c>
      <c r="F2925" t="s">
        <v>21</v>
      </c>
      <c r="G2925">
        <v>5</v>
      </c>
      <c r="H2925">
        <v>55805</v>
      </c>
      <c r="I2925">
        <v>4015</v>
      </c>
      <c r="J2925" t="s">
        <v>31</v>
      </c>
      <c r="K2925" t="str">
        <f>_xlfn.XLOOKUP(datos_ventas[[#This Row],[Ciudad]],Tabla2[Ciudades],Tabla2[Provincias],"no se encuentra")</f>
        <v>Vizcaya</v>
      </c>
      <c r="L2925" t="str">
        <f>_xlfn.XLOOKUP(datos_ventas[[#This Row],[Provincia]],Tabla2[Provincias],Tabla2[Comunidades],"no se encuentra")</f>
        <v>País Vasco</v>
      </c>
      <c r="M2925" t="s">
        <v>15</v>
      </c>
      <c r="N2925">
        <v>4</v>
      </c>
    </row>
    <row r="2926" spans="1:14" x14ac:dyDescent="0.25">
      <c r="A2926">
        <v>3925</v>
      </c>
      <c r="B2926" s="1">
        <v>45763</v>
      </c>
      <c r="C2926" s="4">
        <f>MONTH(datos_ventas[[#This Row],[Fecha]])</f>
        <v>4</v>
      </c>
      <c r="D2926" s="4">
        <f>WEEKNUM(datos_ventas[[#This Row],[Fecha]],2)</f>
        <v>16</v>
      </c>
      <c r="E2926" t="s">
        <v>20</v>
      </c>
      <c r="F2926" t="s">
        <v>21</v>
      </c>
      <c r="G2926">
        <v>2</v>
      </c>
      <c r="H2926">
        <v>87503</v>
      </c>
      <c r="I2926">
        <v>3427</v>
      </c>
      <c r="J2926" t="s">
        <v>31</v>
      </c>
      <c r="K2926" t="str">
        <f>_xlfn.XLOOKUP(datos_ventas[[#This Row],[Ciudad]],Tabla2[Ciudades],Tabla2[Provincias],"no se encuentra")</f>
        <v>Vizcaya</v>
      </c>
      <c r="L2926" t="str">
        <f>_xlfn.XLOOKUP(datos_ventas[[#This Row],[Provincia]],Tabla2[Provincias],Tabla2[Comunidades],"no se encuentra")</f>
        <v>País Vasco</v>
      </c>
      <c r="M2926" t="s">
        <v>19</v>
      </c>
      <c r="N2926">
        <v>2</v>
      </c>
    </row>
    <row r="2927" spans="1:14" x14ac:dyDescent="0.25">
      <c r="A2927">
        <v>3926</v>
      </c>
      <c r="B2927" s="1">
        <v>45803</v>
      </c>
      <c r="C2927" s="4">
        <f>MONTH(datos_ventas[[#This Row],[Fecha]])</f>
        <v>5</v>
      </c>
      <c r="D2927" s="4">
        <f>WEEKNUM(datos_ventas[[#This Row],[Fecha]],2)</f>
        <v>22</v>
      </c>
      <c r="E2927" t="s">
        <v>29</v>
      </c>
      <c r="F2927" t="s">
        <v>30</v>
      </c>
      <c r="G2927">
        <v>4</v>
      </c>
      <c r="H2927">
        <v>76072</v>
      </c>
      <c r="I2927">
        <v>184</v>
      </c>
      <c r="J2927" t="s">
        <v>14</v>
      </c>
      <c r="K2927" t="str">
        <f>_xlfn.XLOOKUP(datos_ventas[[#This Row],[Ciudad]],Tabla2[Ciudades],Tabla2[Provincias],"no se encuentra")</f>
        <v>Madrid</v>
      </c>
      <c r="L2927" t="str">
        <f>_xlfn.XLOOKUP(datos_ventas[[#This Row],[Provincia]],Tabla2[Provincias],Tabla2[Comunidades],"no se encuentra")</f>
        <v>Comunidad de Madrid</v>
      </c>
      <c r="M2927" t="s">
        <v>28</v>
      </c>
      <c r="N2927">
        <v>5</v>
      </c>
    </row>
    <row r="2928" spans="1:14" x14ac:dyDescent="0.25">
      <c r="A2928">
        <v>3927</v>
      </c>
      <c r="B2928" s="1">
        <v>45737</v>
      </c>
      <c r="C2928" s="4">
        <f>MONTH(datos_ventas[[#This Row],[Fecha]])</f>
        <v>3</v>
      </c>
      <c r="D2928" s="4">
        <f>WEEKNUM(datos_ventas[[#This Row],[Fecha]],2)</f>
        <v>12</v>
      </c>
      <c r="E2928" t="s">
        <v>23</v>
      </c>
      <c r="F2928" t="s">
        <v>18</v>
      </c>
      <c r="G2928">
        <v>3</v>
      </c>
      <c r="H2928">
        <v>115323</v>
      </c>
      <c r="I2928">
        <v>2905</v>
      </c>
      <c r="J2928" t="s">
        <v>12</v>
      </c>
      <c r="K2928" t="str">
        <f>_xlfn.XLOOKUP(datos_ventas[[#This Row],[Ciudad]],Tabla2[Ciudades],Tabla2[Provincias],"no se encuentra")</f>
        <v>Málaga</v>
      </c>
      <c r="L2928" t="str">
        <f>_xlfn.XLOOKUP(datos_ventas[[#This Row],[Provincia]],Tabla2[Provincias],Tabla2[Comunidades],"no se encuentra")</f>
        <v>Andalucía</v>
      </c>
      <c r="M2928" t="s">
        <v>19</v>
      </c>
      <c r="N2928">
        <v>4</v>
      </c>
    </row>
    <row r="2929" spans="1:14" x14ac:dyDescent="0.25">
      <c r="A2929">
        <v>3928</v>
      </c>
      <c r="B2929" s="1">
        <v>45748</v>
      </c>
      <c r="C2929" s="4">
        <f>MONTH(datos_ventas[[#This Row],[Fecha]])</f>
        <v>4</v>
      </c>
      <c r="D2929" s="4">
        <f>WEEKNUM(datos_ventas[[#This Row],[Fecha]],2)</f>
        <v>14</v>
      </c>
      <c r="E2929" t="s">
        <v>29</v>
      </c>
      <c r="F2929" t="s">
        <v>30</v>
      </c>
      <c r="G2929">
        <v>4</v>
      </c>
      <c r="H2929">
        <v>81878</v>
      </c>
      <c r="I2929">
        <v>2242</v>
      </c>
      <c r="J2929" t="s">
        <v>22</v>
      </c>
      <c r="K2929" t="str">
        <f>_xlfn.XLOOKUP(datos_ventas[[#This Row],[Ciudad]],Tabla2[Ciudades],Tabla2[Provincias],"no se encuentra")</f>
        <v>Valencia</v>
      </c>
      <c r="L2929" t="str">
        <f>_xlfn.XLOOKUP(datos_ventas[[#This Row],[Provincia]],Tabla2[Provincias],Tabla2[Comunidades],"no se encuentra")</f>
        <v>Comunidad Valenciana</v>
      </c>
      <c r="M2929" t="s">
        <v>28</v>
      </c>
      <c r="N2929">
        <v>4</v>
      </c>
    </row>
    <row r="2930" spans="1:14" x14ac:dyDescent="0.25">
      <c r="A2930">
        <v>3929</v>
      </c>
      <c r="B2930" s="1">
        <v>45770</v>
      </c>
      <c r="C2930" s="4">
        <f>MONTH(datos_ventas[[#This Row],[Fecha]])</f>
        <v>4</v>
      </c>
      <c r="D2930" s="4">
        <f>WEEKNUM(datos_ventas[[#This Row],[Fecha]],2)</f>
        <v>17</v>
      </c>
      <c r="E2930" t="s">
        <v>24</v>
      </c>
      <c r="F2930" t="s">
        <v>25</v>
      </c>
      <c r="G2930">
        <v>5</v>
      </c>
      <c r="H2930">
        <v>10451</v>
      </c>
      <c r="I2930">
        <v>1279</v>
      </c>
      <c r="J2930" t="s">
        <v>14</v>
      </c>
      <c r="K2930" t="str">
        <f>_xlfn.XLOOKUP(datos_ventas[[#This Row],[Ciudad]],Tabla2[Ciudades],Tabla2[Provincias],"no se encuentra")</f>
        <v>Madrid</v>
      </c>
      <c r="L2930" t="str">
        <f>_xlfn.XLOOKUP(datos_ventas[[#This Row],[Provincia]],Tabla2[Provincias],Tabla2[Comunidades],"no se encuentra")</f>
        <v>Comunidad de Madrid</v>
      </c>
      <c r="M2930" t="s">
        <v>15</v>
      </c>
      <c r="N2930">
        <v>3</v>
      </c>
    </row>
    <row r="2931" spans="1:14" x14ac:dyDescent="0.25">
      <c r="A2931">
        <v>3930</v>
      </c>
      <c r="B2931" s="1">
        <v>45691</v>
      </c>
      <c r="C2931" s="4">
        <f>MONTH(datos_ventas[[#This Row],[Fecha]])</f>
        <v>2</v>
      </c>
      <c r="D2931" s="4">
        <f>WEEKNUM(datos_ventas[[#This Row],[Fecha]],2)</f>
        <v>6</v>
      </c>
      <c r="E2931" t="s">
        <v>17</v>
      </c>
      <c r="F2931" t="s">
        <v>18</v>
      </c>
      <c r="G2931">
        <v>2</v>
      </c>
      <c r="H2931">
        <v>41085</v>
      </c>
      <c r="I2931">
        <v>2891</v>
      </c>
      <c r="J2931" t="s">
        <v>14</v>
      </c>
      <c r="K2931" t="str">
        <f>_xlfn.XLOOKUP(datos_ventas[[#This Row],[Ciudad]],Tabla2[Ciudades],Tabla2[Provincias],"no se encuentra")</f>
        <v>Madrid</v>
      </c>
      <c r="L2931" t="str">
        <f>_xlfn.XLOOKUP(datos_ventas[[#This Row],[Provincia]],Tabla2[Provincias],Tabla2[Comunidades],"no se encuentra")</f>
        <v>Comunidad de Madrid</v>
      </c>
      <c r="M2931" t="s">
        <v>13</v>
      </c>
      <c r="N2931">
        <v>4</v>
      </c>
    </row>
    <row r="2932" spans="1:14" x14ac:dyDescent="0.25">
      <c r="A2932">
        <v>3931</v>
      </c>
      <c r="B2932" s="1">
        <v>45761</v>
      </c>
      <c r="C2932" s="4">
        <f>MONTH(datos_ventas[[#This Row],[Fecha]])</f>
        <v>4</v>
      </c>
      <c r="D2932" s="4">
        <f>WEEKNUM(datos_ventas[[#This Row],[Fecha]],2)</f>
        <v>16</v>
      </c>
      <c r="E2932" t="s">
        <v>20</v>
      </c>
      <c r="F2932" t="s">
        <v>21</v>
      </c>
      <c r="G2932">
        <v>5</v>
      </c>
      <c r="H2932">
        <v>82479</v>
      </c>
      <c r="I2932">
        <v>2899</v>
      </c>
      <c r="J2932" t="s">
        <v>27</v>
      </c>
      <c r="K2932" t="str">
        <f>_xlfn.XLOOKUP(datos_ventas[[#This Row],[Ciudad]],Tabla2[Ciudades],Tabla2[Provincias],"no se encuentra")</f>
        <v>Sevilla</v>
      </c>
      <c r="L2932" t="str">
        <f>_xlfn.XLOOKUP(datos_ventas[[#This Row],[Provincia]],Tabla2[Provincias],Tabla2[Comunidades],"no se encuentra")</f>
        <v>Andalucía</v>
      </c>
      <c r="M2932" t="s">
        <v>28</v>
      </c>
      <c r="N2932">
        <v>4</v>
      </c>
    </row>
    <row r="2933" spans="1:14" x14ac:dyDescent="0.25">
      <c r="A2933">
        <v>3932</v>
      </c>
      <c r="B2933" s="1">
        <v>45810</v>
      </c>
      <c r="C2933" s="4">
        <f>MONTH(datos_ventas[[#This Row],[Fecha]])</f>
        <v>6</v>
      </c>
      <c r="D2933" s="4">
        <f>WEEKNUM(datos_ventas[[#This Row],[Fecha]],2)</f>
        <v>23</v>
      </c>
      <c r="E2933" t="s">
        <v>17</v>
      </c>
      <c r="F2933" t="s">
        <v>18</v>
      </c>
      <c r="G2933">
        <v>2</v>
      </c>
      <c r="H2933">
        <v>105155</v>
      </c>
      <c r="I2933">
        <v>3013</v>
      </c>
      <c r="J2933" t="s">
        <v>22</v>
      </c>
      <c r="K2933" t="str">
        <f>_xlfn.XLOOKUP(datos_ventas[[#This Row],[Ciudad]],Tabla2[Ciudades],Tabla2[Provincias],"no se encuentra")</f>
        <v>Valencia</v>
      </c>
      <c r="L2933" t="str">
        <f>_xlfn.XLOOKUP(datos_ventas[[#This Row],[Provincia]],Tabla2[Provincias],Tabla2[Comunidades],"no se encuentra")</f>
        <v>Comunidad Valenciana</v>
      </c>
      <c r="M2933" t="s">
        <v>19</v>
      </c>
      <c r="N2933">
        <v>1</v>
      </c>
    </row>
    <row r="2934" spans="1:14" x14ac:dyDescent="0.25">
      <c r="A2934">
        <v>3933</v>
      </c>
      <c r="B2934" s="1">
        <v>45798</v>
      </c>
      <c r="C2934" s="4">
        <f>MONTH(datos_ventas[[#This Row],[Fecha]])</f>
        <v>5</v>
      </c>
      <c r="D2934" s="4">
        <f>WEEKNUM(datos_ventas[[#This Row],[Fecha]],2)</f>
        <v>21</v>
      </c>
      <c r="E2934" t="s">
        <v>16</v>
      </c>
      <c r="F2934" t="s">
        <v>11</v>
      </c>
      <c r="G2934">
        <v>5</v>
      </c>
      <c r="H2934">
        <v>31421</v>
      </c>
      <c r="I2934">
        <v>2026</v>
      </c>
      <c r="J2934" t="s">
        <v>14</v>
      </c>
      <c r="K2934" t="str">
        <f>_xlfn.XLOOKUP(datos_ventas[[#This Row],[Ciudad]],Tabla2[Ciudades],Tabla2[Provincias],"no se encuentra")</f>
        <v>Madrid</v>
      </c>
      <c r="L2934" t="str">
        <f>_xlfn.XLOOKUP(datos_ventas[[#This Row],[Provincia]],Tabla2[Provincias],Tabla2[Comunidades],"no se encuentra")</f>
        <v>Comunidad de Madrid</v>
      </c>
      <c r="M2934" t="s">
        <v>28</v>
      </c>
      <c r="N2934">
        <v>2</v>
      </c>
    </row>
    <row r="2935" spans="1:14" x14ac:dyDescent="0.25">
      <c r="A2935">
        <v>3934</v>
      </c>
      <c r="B2935" s="1">
        <v>45997</v>
      </c>
      <c r="C2935" s="4">
        <f>MONTH(datos_ventas[[#This Row],[Fecha]])</f>
        <v>12</v>
      </c>
      <c r="D2935" s="4">
        <f>WEEKNUM(datos_ventas[[#This Row],[Fecha]],2)</f>
        <v>49</v>
      </c>
      <c r="E2935" t="s">
        <v>10</v>
      </c>
      <c r="F2935" t="s">
        <v>11</v>
      </c>
      <c r="G2935">
        <v>5</v>
      </c>
      <c r="H2935">
        <v>103125</v>
      </c>
      <c r="I2935">
        <v>364</v>
      </c>
      <c r="J2935" t="s">
        <v>22</v>
      </c>
      <c r="K2935" t="str">
        <f>_xlfn.XLOOKUP(datos_ventas[[#This Row],[Ciudad]],Tabla2[Ciudades],Tabla2[Provincias],"no se encuentra")</f>
        <v>Valencia</v>
      </c>
      <c r="L2935" t="str">
        <f>_xlfn.XLOOKUP(datos_ventas[[#This Row],[Provincia]],Tabla2[Provincias],Tabla2[Comunidades],"no se encuentra")</f>
        <v>Comunidad Valenciana</v>
      </c>
      <c r="M2935" t="s">
        <v>13</v>
      </c>
      <c r="N2935">
        <v>1</v>
      </c>
    </row>
    <row r="2936" spans="1:14" x14ac:dyDescent="0.25">
      <c r="A2936">
        <v>3935</v>
      </c>
      <c r="B2936" s="1">
        <v>45746</v>
      </c>
      <c r="C2936" s="4">
        <f>MONTH(datos_ventas[[#This Row],[Fecha]])</f>
        <v>3</v>
      </c>
      <c r="D2936" s="4">
        <f>WEEKNUM(datos_ventas[[#This Row],[Fecha]],2)</f>
        <v>13</v>
      </c>
      <c r="E2936" t="s">
        <v>16</v>
      </c>
      <c r="F2936" t="s">
        <v>11</v>
      </c>
      <c r="G2936">
        <v>1</v>
      </c>
      <c r="H2936">
        <v>7129</v>
      </c>
      <c r="I2936">
        <v>1548</v>
      </c>
      <c r="J2936" t="s">
        <v>31</v>
      </c>
      <c r="K2936" t="str">
        <f>_xlfn.XLOOKUP(datos_ventas[[#This Row],[Ciudad]],Tabla2[Ciudades],Tabla2[Provincias],"no se encuentra")</f>
        <v>Vizcaya</v>
      </c>
      <c r="L2936" t="str">
        <f>_xlfn.XLOOKUP(datos_ventas[[#This Row],[Provincia]],Tabla2[Provincias],Tabla2[Comunidades],"no se encuentra")</f>
        <v>País Vasco</v>
      </c>
      <c r="M2936" t="s">
        <v>15</v>
      </c>
      <c r="N2936">
        <v>3</v>
      </c>
    </row>
    <row r="2937" spans="1:14" x14ac:dyDescent="0.25">
      <c r="A2937">
        <v>3936</v>
      </c>
      <c r="B2937" s="1">
        <v>46005</v>
      </c>
      <c r="C2937" s="4">
        <f>MONTH(datos_ventas[[#This Row],[Fecha]])</f>
        <v>12</v>
      </c>
      <c r="D2937" s="4">
        <f>WEEKNUM(datos_ventas[[#This Row],[Fecha]],2)</f>
        <v>50</v>
      </c>
      <c r="E2937" t="s">
        <v>10</v>
      </c>
      <c r="F2937" t="s">
        <v>11</v>
      </c>
      <c r="G2937">
        <v>2</v>
      </c>
      <c r="H2937">
        <v>109803</v>
      </c>
      <c r="I2937">
        <v>3106</v>
      </c>
      <c r="J2937" t="s">
        <v>31</v>
      </c>
      <c r="K2937" t="str">
        <f>_xlfn.XLOOKUP(datos_ventas[[#This Row],[Ciudad]],Tabla2[Ciudades],Tabla2[Provincias],"no se encuentra")</f>
        <v>Vizcaya</v>
      </c>
      <c r="L2937" t="str">
        <f>_xlfn.XLOOKUP(datos_ventas[[#This Row],[Provincia]],Tabla2[Provincias],Tabla2[Comunidades],"no se encuentra")</f>
        <v>País Vasco</v>
      </c>
      <c r="M2937" t="s">
        <v>15</v>
      </c>
      <c r="N2937">
        <v>5</v>
      </c>
    </row>
    <row r="2938" spans="1:14" x14ac:dyDescent="0.25">
      <c r="A2938">
        <v>3937</v>
      </c>
      <c r="B2938" s="1">
        <v>45883</v>
      </c>
      <c r="C2938" s="4">
        <f>MONTH(datos_ventas[[#This Row],[Fecha]])</f>
        <v>8</v>
      </c>
      <c r="D2938" s="4">
        <f>WEEKNUM(datos_ventas[[#This Row],[Fecha]],2)</f>
        <v>33</v>
      </c>
      <c r="E2938" t="s">
        <v>29</v>
      </c>
      <c r="F2938" t="s">
        <v>30</v>
      </c>
      <c r="G2938">
        <v>2</v>
      </c>
      <c r="H2938">
        <v>1019</v>
      </c>
      <c r="I2938">
        <v>3889</v>
      </c>
      <c r="J2938" t="s">
        <v>22</v>
      </c>
      <c r="K2938" t="str">
        <f>_xlfn.XLOOKUP(datos_ventas[[#This Row],[Ciudad]],Tabla2[Ciudades],Tabla2[Provincias],"no se encuentra")</f>
        <v>Valencia</v>
      </c>
      <c r="L2938" t="str">
        <f>_xlfn.XLOOKUP(datos_ventas[[#This Row],[Provincia]],Tabla2[Provincias],Tabla2[Comunidades],"no se encuentra")</f>
        <v>Comunidad Valenciana</v>
      </c>
      <c r="M2938" t="s">
        <v>13</v>
      </c>
      <c r="N2938">
        <v>5</v>
      </c>
    </row>
    <row r="2939" spans="1:14" x14ac:dyDescent="0.25">
      <c r="A2939">
        <v>3938</v>
      </c>
      <c r="B2939" s="1">
        <v>45703</v>
      </c>
      <c r="C2939" s="4">
        <f>MONTH(datos_ventas[[#This Row],[Fecha]])</f>
        <v>2</v>
      </c>
      <c r="D2939" s="4">
        <f>WEEKNUM(datos_ventas[[#This Row],[Fecha]],2)</f>
        <v>7</v>
      </c>
      <c r="E2939" t="s">
        <v>17</v>
      </c>
      <c r="F2939" t="s">
        <v>18</v>
      </c>
      <c r="G2939">
        <v>2</v>
      </c>
      <c r="H2939">
        <v>54854</v>
      </c>
      <c r="I2939">
        <v>2405</v>
      </c>
      <c r="J2939" t="s">
        <v>22</v>
      </c>
      <c r="K2939" t="str">
        <f>_xlfn.XLOOKUP(datos_ventas[[#This Row],[Ciudad]],Tabla2[Ciudades],Tabla2[Provincias],"no se encuentra")</f>
        <v>Valencia</v>
      </c>
      <c r="L2939" t="str">
        <f>_xlfn.XLOOKUP(datos_ventas[[#This Row],[Provincia]],Tabla2[Provincias],Tabla2[Comunidades],"no se encuentra")</f>
        <v>Comunidad Valenciana</v>
      </c>
      <c r="M2939" t="s">
        <v>15</v>
      </c>
      <c r="N2939">
        <v>2</v>
      </c>
    </row>
    <row r="2940" spans="1:14" x14ac:dyDescent="0.25">
      <c r="A2940">
        <v>3939</v>
      </c>
      <c r="B2940" s="1">
        <v>45737</v>
      </c>
      <c r="C2940" s="4">
        <f>MONTH(datos_ventas[[#This Row],[Fecha]])</f>
        <v>3</v>
      </c>
      <c r="D2940" s="4">
        <f>WEEKNUM(datos_ventas[[#This Row],[Fecha]],2)</f>
        <v>12</v>
      </c>
      <c r="E2940" t="s">
        <v>10</v>
      </c>
      <c r="F2940" t="s">
        <v>11</v>
      </c>
      <c r="G2940">
        <v>4</v>
      </c>
      <c r="H2940">
        <v>23931</v>
      </c>
      <c r="I2940">
        <v>1171</v>
      </c>
      <c r="J2940" t="s">
        <v>14</v>
      </c>
      <c r="K2940" t="str">
        <f>_xlfn.XLOOKUP(datos_ventas[[#This Row],[Ciudad]],Tabla2[Ciudades],Tabla2[Provincias],"no se encuentra")</f>
        <v>Madrid</v>
      </c>
      <c r="L2940" t="str">
        <f>_xlfn.XLOOKUP(datos_ventas[[#This Row],[Provincia]],Tabla2[Provincias],Tabla2[Comunidades],"no se encuentra")</f>
        <v>Comunidad de Madrid</v>
      </c>
      <c r="M2940" t="s">
        <v>15</v>
      </c>
      <c r="N2940">
        <v>5</v>
      </c>
    </row>
    <row r="2941" spans="1:14" x14ac:dyDescent="0.25">
      <c r="A2941">
        <v>3940</v>
      </c>
      <c r="B2941" s="1">
        <v>45713</v>
      </c>
      <c r="C2941" s="4">
        <f>MONTH(datos_ventas[[#This Row],[Fecha]])</f>
        <v>2</v>
      </c>
      <c r="D2941" s="4">
        <f>WEEKNUM(datos_ventas[[#This Row],[Fecha]],2)</f>
        <v>9</v>
      </c>
      <c r="E2941" t="s">
        <v>17</v>
      </c>
      <c r="F2941" t="s">
        <v>18</v>
      </c>
      <c r="G2941">
        <v>4</v>
      </c>
      <c r="H2941">
        <v>44389</v>
      </c>
      <c r="I2941">
        <v>1333</v>
      </c>
      <c r="J2941" t="s">
        <v>27</v>
      </c>
      <c r="K2941" t="str">
        <f>_xlfn.XLOOKUP(datos_ventas[[#This Row],[Ciudad]],Tabla2[Ciudades],Tabla2[Provincias],"no se encuentra")</f>
        <v>Sevilla</v>
      </c>
      <c r="L2941" t="str">
        <f>_xlfn.XLOOKUP(datos_ventas[[#This Row],[Provincia]],Tabla2[Provincias],Tabla2[Comunidades],"no se encuentra")</f>
        <v>Andalucía</v>
      </c>
      <c r="M2941" t="s">
        <v>19</v>
      </c>
      <c r="N2941">
        <v>2</v>
      </c>
    </row>
    <row r="2942" spans="1:14" x14ac:dyDescent="0.25">
      <c r="A2942">
        <v>3941</v>
      </c>
      <c r="B2942" s="1">
        <v>45856</v>
      </c>
      <c r="C2942" s="4">
        <f>MONTH(datos_ventas[[#This Row],[Fecha]])</f>
        <v>7</v>
      </c>
      <c r="D2942" s="4">
        <f>WEEKNUM(datos_ventas[[#This Row],[Fecha]],2)</f>
        <v>29</v>
      </c>
      <c r="E2942" t="s">
        <v>24</v>
      </c>
      <c r="F2942" t="s">
        <v>25</v>
      </c>
      <c r="G2942">
        <v>5</v>
      </c>
      <c r="H2942">
        <v>44551</v>
      </c>
      <c r="I2942">
        <v>1578</v>
      </c>
      <c r="J2942" t="s">
        <v>12</v>
      </c>
      <c r="K2942" t="str">
        <f>_xlfn.XLOOKUP(datos_ventas[[#This Row],[Ciudad]],Tabla2[Ciudades],Tabla2[Provincias],"no se encuentra")</f>
        <v>Málaga</v>
      </c>
      <c r="L2942" t="str">
        <f>_xlfn.XLOOKUP(datos_ventas[[#This Row],[Provincia]],Tabla2[Provincias],Tabla2[Comunidades],"no se encuentra")</f>
        <v>Andalucía</v>
      </c>
      <c r="M2942" t="s">
        <v>15</v>
      </c>
      <c r="N2942">
        <v>2</v>
      </c>
    </row>
    <row r="2943" spans="1:14" x14ac:dyDescent="0.25">
      <c r="A2943">
        <v>3942</v>
      </c>
      <c r="B2943" s="1">
        <v>45707</v>
      </c>
      <c r="C2943" s="4">
        <f>MONTH(datos_ventas[[#This Row],[Fecha]])</f>
        <v>2</v>
      </c>
      <c r="D2943" s="4">
        <f>WEEKNUM(datos_ventas[[#This Row],[Fecha]],2)</f>
        <v>8</v>
      </c>
      <c r="E2943" t="s">
        <v>24</v>
      </c>
      <c r="F2943" t="s">
        <v>25</v>
      </c>
      <c r="G2943">
        <v>1</v>
      </c>
      <c r="H2943">
        <v>9537</v>
      </c>
      <c r="I2943">
        <v>230</v>
      </c>
      <c r="J2943" t="s">
        <v>32</v>
      </c>
      <c r="K2943" t="str">
        <f>_xlfn.XLOOKUP(datos_ventas[[#This Row],[Ciudad]],Tabla2[Ciudades],Tabla2[Provincias],"no se encuentra")</f>
        <v>Barcelona</v>
      </c>
      <c r="L2943" t="str">
        <f>_xlfn.XLOOKUP(datos_ventas[[#This Row],[Provincia]],Tabla2[Provincias],Tabla2[Comunidades],"no se encuentra")</f>
        <v>Cataluña</v>
      </c>
      <c r="M2943" t="s">
        <v>19</v>
      </c>
      <c r="N2943">
        <v>3</v>
      </c>
    </row>
    <row r="2944" spans="1:14" x14ac:dyDescent="0.25">
      <c r="A2944">
        <v>3943</v>
      </c>
      <c r="B2944" s="1">
        <v>45738</v>
      </c>
      <c r="C2944" s="4">
        <f>MONTH(datos_ventas[[#This Row],[Fecha]])</f>
        <v>3</v>
      </c>
      <c r="D2944" s="4">
        <f>WEEKNUM(datos_ventas[[#This Row],[Fecha]],2)</f>
        <v>12</v>
      </c>
      <c r="E2944" t="s">
        <v>10</v>
      </c>
      <c r="F2944" t="s">
        <v>11</v>
      </c>
      <c r="G2944">
        <v>1</v>
      </c>
      <c r="H2944">
        <v>63721</v>
      </c>
      <c r="I2944">
        <v>107</v>
      </c>
      <c r="J2944" t="s">
        <v>14</v>
      </c>
      <c r="K2944" t="str">
        <f>_xlfn.XLOOKUP(datos_ventas[[#This Row],[Ciudad]],Tabla2[Ciudades],Tabla2[Provincias],"no se encuentra")</f>
        <v>Madrid</v>
      </c>
      <c r="L2944" t="str">
        <f>_xlfn.XLOOKUP(datos_ventas[[#This Row],[Provincia]],Tabla2[Provincias],Tabla2[Comunidades],"no se encuentra")</f>
        <v>Comunidad de Madrid</v>
      </c>
      <c r="M2944" t="s">
        <v>15</v>
      </c>
      <c r="N2944">
        <v>2</v>
      </c>
    </row>
    <row r="2945" spans="1:14" x14ac:dyDescent="0.25">
      <c r="A2945">
        <v>3944</v>
      </c>
      <c r="B2945" s="1">
        <v>45821</v>
      </c>
      <c r="C2945" s="4">
        <f>MONTH(datos_ventas[[#This Row],[Fecha]])</f>
        <v>6</v>
      </c>
      <c r="D2945" s="4">
        <f>WEEKNUM(datos_ventas[[#This Row],[Fecha]],2)</f>
        <v>24</v>
      </c>
      <c r="E2945" t="s">
        <v>20</v>
      </c>
      <c r="F2945" t="s">
        <v>21</v>
      </c>
      <c r="G2945">
        <v>4</v>
      </c>
      <c r="H2945">
        <v>31228</v>
      </c>
      <c r="I2945">
        <v>2863</v>
      </c>
      <c r="J2945" t="s">
        <v>22</v>
      </c>
      <c r="K2945" t="str">
        <f>_xlfn.XLOOKUP(datos_ventas[[#This Row],[Ciudad]],Tabla2[Ciudades],Tabla2[Provincias],"no se encuentra")</f>
        <v>Valencia</v>
      </c>
      <c r="L2945" t="str">
        <f>_xlfn.XLOOKUP(datos_ventas[[#This Row],[Provincia]],Tabla2[Provincias],Tabla2[Comunidades],"no se encuentra")</f>
        <v>Comunidad Valenciana</v>
      </c>
      <c r="M2945" t="s">
        <v>19</v>
      </c>
      <c r="N2945">
        <v>4</v>
      </c>
    </row>
    <row r="2946" spans="1:14" x14ac:dyDescent="0.25">
      <c r="A2946">
        <v>3945</v>
      </c>
      <c r="B2946" s="1">
        <v>45828</v>
      </c>
      <c r="C2946" s="4">
        <f>MONTH(datos_ventas[[#This Row],[Fecha]])</f>
        <v>6</v>
      </c>
      <c r="D2946" s="4">
        <f>WEEKNUM(datos_ventas[[#This Row],[Fecha]],2)</f>
        <v>25</v>
      </c>
      <c r="E2946" t="s">
        <v>17</v>
      </c>
      <c r="F2946" t="s">
        <v>18</v>
      </c>
      <c r="G2946">
        <v>1</v>
      </c>
      <c r="H2946">
        <v>8630</v>
      </c>
      <c r="I2946">
        <v>1607</v>
      </c>
      <c r="J2946" t="s">
        <v>12</v>
      </c>
      <c r="K2946" t="str">
        <f>_xlfn.XLOOKUP(datos_ventas[[#This Row],[Ciudad]],Tabla2[Ciudades],Tabla2[Provincias],"no se encuentra")</f>
        <v>Málaga</v>
      </c>
      <c r="L2946" t="str">
        <f>_xlfn.XLOOKUP(datos_ventas[[#This Row],[Provincia]],Tabla2[Provincias],Tabla2[Comunidades],"no se encuentra")</f>
        <v>Andalucía</v>
      </c>
      <c r="M2946" t="s">
        <v>13</v>
      </c>
      <c r="N2946">
        <v>4</v>
      </c>
    </row>
    <row r="2947" spans="1:14" x14ac:dyDescent="0.25">
      <c r="A2947">
        <v>3946</v>
      </c>
      <c r="B2947" s="1">
        <v>45924</v>
      </c>
      <c r="C2947" s="4">
        <f>MONTH(datos_ventas[[#This Row],[Fecha]])</f>
        <v>9</v>
      </c>
      <c r="D2947" s="4">
        <f>WEEKNUM(datos_ventas[[#This Row],[Fecha]],2)</f>
        <v>39</v>
      </c>
      <c r="E2947" t="s">
        <v>10</v>
      </c>
      <c r="F2947" t="s">
        <v>11</v>
      </c>
      <c r="G2947">
        <v>4</v>
      </c>
      <c r="H2947">
        <v>91716</v>
      </c>
      <c r="I2947">
        <v>1274</v>
      </c>
      <c r="J2947" t="s">
        <v>27</v>
      </c>
      <c r="K2947" t="str">
        <f>_xlfn.XLOOKUP(datos_ventas[[#This Row],[Ciudad]],Tabla2[Ciudades],Tabla2[Provincias],"no se encuentra")</f>
        <v>Sevilla</v>
      </c>
      <c r="L2947" t="str">
        <f>_xlfn.XLOOKUP(datos_ventas[[#This Row],[Provincia]],Tabla2[Provincias],Tabla2[Comunidades],"no se encuentra")</f>
        <v>Andalucía</v>
      </c>
      <c r="M2947" t="s">
        <v>13</v>
      </c>
      <c r="N2947">
        <v>3</v>
      </c>
    </row>
    <row r="2948" spans="1:14" x14ac:dyDescent="0.25">
      <c r="A2948">
        <v>3947</v>
      </c>
      <c r="B2948" s="1">
        <v>45688</v>
      </c>
      <c r="C2948" s="4">
        <f>MONTH(datos_ventas[[#This Row],[Fecha]])</f>
        <v>1</v>
      </c>
      <c r="D2948" s="4">
        <f>WEEKNUM(datos_ventas[[#This Row],[Fecha]],2)</f>
        <v>5</v>
      </c>
      <c r="E2948" t="s">
        <v>23</v>
      </c>
      <c r="F2948" t="s">
        <v>18</v>
      </c>
      <c r="G2948">
        <v>3</v>
      </c>
      <c r="H2948">
        <v>78536</v>
      </c>
      <c r="I2948">
        <v>194</v>
      </c>
      <c r="J2948" t="s">
        <v>12</v>
      </c>
      <c r="K2948" t="str">
        <f>_xlfn.XLOOKUP(datos_ventas[[#This Row],[Ciudad]],Tabla2[Ciudades],Tabla2[Provincias],"no se encuentra")</f>
        <v>Málaga</v>
      </c>
      <c r="L2948" t="str">
        <f>_xlfn.XLOOKUP(datos_ventas[[#This Row],[Provincia]],Tabla2[Provincias],Tabla2[Comunidades],"no se encuentra")</f>
        <v>Andalucía</v>
      </c>
      <c r="M2948" t="s">
        <v>13</v>
      </c>
      <c r="N2948">
        <v>4</v>
      </c>
    </row>
    <row r="2949" spans="1:14" x14ac:dyDescent="0.25">
      <c r="A2949">
        <v>3948</v>
      </c>
      <c r="B2949" s="1">
        <v>45964</v>
      </c>
      <c r="C2949" s="4">
        <f>MONTH(datos_ventas[[#This Row],[Fecha]])</f>
        <v>11</v>
      </c>
      <c r="D2949" s="4">
        <f>WEEKNUM(datos_ventas[[#This Row],[Fecha]],2)</f>
        <v>45</v>
      </c>
      <c r="E2949" t="s">
        <v>10</v>
      </c>
      <c r="F2949" t="s">
        <v>11</v>
      </c>
      <c r="G2949">
        <v>3</v>
      </c>
      <c r="H2949">
        <v>5959</v>
      </c>
      <c r="I2949">
        <v>1525</v>
      </c>
      <c r="J2949" t="s">
        <v>32</v>
      </c>
      <c r="K2949" t="str">
        <f>_xlfn.XLOOKUP(datos_ventas[[#This Row],[Ciudad]],Tabla2[Ciudades],Tabla2[Provincias],"no se encuentra")</f>
        <v>Barcelona</v>
      </c>
      <c r="L2949" t="str">
        <f>_xlfn.XLOOKUP(datos_ventas[[#This Row],[Provincia]],Tabla2[Provincias],Tabla2[Comunidades],"no se encuentra")</f>
        <v>Cataluña</v>
      </c>
      <c r="M2949" t="s">
        <v>15</v>
      </c>
      <c r="N2949">
        <v>2</v>
      </c>
    </row>
    <row r="2950" spans="1:14" x14ac:dyDescent="0.25">
      <c r="A2950">
        <v>3949</v>
      </c>
      <c r="B2950" s="1">
        <v>45855</v>
      </c>
      <c r="C2950" s="4">
        <f>MONTH(datos_ventas[[#This Row],[Fecha]])</f>
        <v>7</v>
      </c>
      <c r="D2950" s="4">
        <f>WEEKNUM(datos_ventas[[#This Row],[Fecha]],2)</f>
        <v>29</v>
      </c>
      <c r="E2950" t="s">
        <v>29</v>
      </c>
      <c r="F2950" t="s">
        <v>30</v>
      </c>
      <c r="G2950">
        <v>2</v>
      </c>
      <c r="H2950">
        <v>40205</v>
      </c>
      <c r="I2950">
        <v>2639</v>
      </c>
      <c r="J2950" t="s">
        <v>22</v>
      </c>
      <c r="K2950" t="str">
        <f>_xlfn.XLOOKUP(datos_ventas[[#This Row],[Ciudad]],Tabla2[Ciudades],Tabla2[Provincias],"no se encuentra")</f>
        <v>Valencia</v>
      </c>
      <c r="L2950" t="str">
        <f>_xlfn.XLOOKUP(datos_ventas[[#This Row],[Provincia]],Tabla2[Provincias],Tabla2[Comunidades],"no se encuentra")</f>
        <v>Comunidad Valenciana</v>
      </c>
      <c r="M2950" t="s">
        <v>19</v>
      </c>
      <c r="N2950">
        <v>2</v>
      </c>
    </row>
    <row r="2951" spans="1:14" x14ac:dyDescent="0.25">
      <c r="A2951">
        <v>3950</v>
      </c>
      <c r="B2951" s="1">
        <v>45812</v>
      </c>
      <c r="C2951" s="4">
        <f>MONTH(datos_ventas[[#This Row],[Fecha]])</f>
        <v>6</v>
      </c>
      <c r="D2951" s="4">
        <f>WEEKNUM(datos_ventas[[#This Row],[Fecha]],2)</f>
        <v>23</v>
      </c>
      <c r="E2951" t="s">
        <v>26</v>
      </c>
      <c r="F2951" t="s">
        <v>18</v>
      </c>
      <c r="G2951">
        <v>4</v>
      </c>
      <c r="H2951">
        <v>2287</v>
      </c>
      <c r="I2951">
        <v>4366</v>
      </c>
      <c r="J2951" t="s">
        <v>31</v>
      </c>
      <c r="K2951" t="str">
        <f>_xlfn.XLOOKUP(datos_ventas[[#This Row],[Ciudad]],Tabla2[Ciudades],Tabla2[Provincias],"no se encuentra")</f>
        <v>Vizcaya</v>
      </c>
      <c r="L2951" t="str">
        <f>_xlfn.XLOOKUP(datos_ventas[[#This Row],[Provincia]],Tabla2[Provincias],Tabla2[Comunidades],"no se encuentra")</f>
        <v>País Vasco</v>
      </c>
      <c r="M2951" t="s">
        <v>15</v>
      </c>
      <c r="N2951">
        <v>1</v>
      </c>
    </row>
    <row r="2952" spans="1:14" x14ac:dyDescent="0.25">
      <c r="A2952">
        <v>3951</v>
      </c>
      <c r="B2952" s="1">
        <v>45806</v>
      </c>
      <c r="C2952" s="4">
        <f>MONTH(datos_ventas[[#This Row],[Fecha]])</f>
        <v>5</v>
      </c>
      <c r="D2952" s="4">
        <f>WEEKNUM(datos_ventas[[#This Row],[Fecha]],2)</f>
        <v>22</v>
      </c>
      <c r="E2952" t="s">
        <v>17</v>
      </c>
      <c r="F2952" t="s">
        <v>18</v>
      </c>
      <c r="G2952">
        <v>3</v>
      </c>
      <c r="H2952">
        <v>113677</v>
      </c>
      <c r="I2952">
        <v>1105</v>
      </c>
      <c r="J2952" t="s">
        <v>32</v>
      </c>
      <c r="K2952" t="str">
        <f>_xlfn.XLOOKUP(datos_ventas[[#This Row],[Ciudad]],Tabla2[Ciudades],Tabla2[Provincias],"no se encuentra")</f>
        <v>Barcelona</v>
      </c>
      <c r="L2952" t="str">
        <f>_xlfn.XLOOKUP(datos_ventas[[#This Row],[Provincia]],Tabla2[Provincias],Tabla2[Comunidades],"no se encuentra")</f>
        <v>Cataluña</v>
      </c>
      <c r="M2952" t="s">
        <v>19</v>
      </c>
      <c r="N2952">
        <v>5</v>
      </c>
    </row>
    <row r="2953" spans="1:14" x14ac:dyDescent="0.25">
      <c r="A2953">
        <v>3952</v>
      </c>
      <c r="B2953" s="1">
        <v>45904</v>
      </c>
      <c r="C2953" s="4">
        <f>MONTH(datos_ventas[[#This Row],[Fecha]])</f>
        <v>9</v>
      </c>
      <c r="D2953" s="4">
        <f>WEEKNUM(datos_ventas[[#This Row],[Fecha]],2)</f>
        <v>36</v>
      </c>
      <c r="E2953" t="s">
        <v>20</v>
      </c>
      <c r="F2953" t="s">
        <v>21</v>
      </c>
      <c r="G2953">
        <v>1</v>
      </c>
      <c r="H2953">
        <v>61496</v>
      </c>
      <c r="I2953">
        <v>755</v>
      </c>
      <c r="J2953" t="s">
        <v>12</v>
      </c>
      <c r="K2953" t="str">
        <f>_xlfn.XLOOKUP(datos_ventas[[#This Row],[Ciudad]],Tabla2[Ciudades],Tabla2[Provincias],"no se encuentra")</f>
        <v>Málaga</v>
      </c>
      <c r="L2953" t="str">
        <f>_xlfn.XLOOKUP(datos_ventas[[#This Row],[Provincia]],Tabla2[Provincias],Tabla2[Comunidades],"no se encuentra")</f>
        <v>Andalucía</v>
      </c>
      <c r="M2953" t="s">
        <v>19</v>
      </c>
      <c r="N2953">
        <v>4</v>
      </c>
    </row>
    <row r="2954" spans="1:14" x14ac:dyDescent="0.25">
      <c r="A2954">
        <v>3953</v>
      </c>
      <c r="B2954" s="1">
        <v>45774</v>
      </c>
      <c r="C2954" s="4">
        <f>MONTH(datos_ventas[[#This Row],[Fecha]])</f>
        <v>4</v>
      </c>
      <c r="D2954" s="4">
        <f>WEEKNUM(datos_ventas[[#This Row],[Fecha]],2)</f>
        <v>17</v>
      </c>
      <c r="E2954" t="s">
        <v>10</v>
      </c>
      <c r="F2954" t="s">
        <v>11</v>
      </c>
      <c r="G2954">
        <v>3</v>
      </c>
      <c r="H2954">
        <v>62453</v>
      </c>
      <c r="I2954">
        <v>4178</v>
      </c>
      <c r="J2954" t="s">
        <v>32</v>
      </c>
      <c r="K2954" t="str">
        <f>_xlfn.XLOOKUP(datos_ventas[[#This Row],[Ciudad]],Tabla2[Ciudades],Tabla2[Provincias],"no se encuentra")</f>
        <v>Barcelona</v>
      </c>
      <c r="L2954" t="str">
        <f>_xlfn.XLOOKUP(datos_ventas[[#This Row],[Provincia]],Tabla2[Provincias],Tabla2[Comunidades],"no se encuentra")</f>
        <v>Cataluña</v>
      </c>
      <c r="M2954" t="s">
        <v>28</v>
      </c>
      <c r="N2954">
        <v>4</v>
      </c>
    </row>
    <row r="2955" spans="1:14" x14ac:dyDescent="0.25">
      <c r="A2955">
        <v>3954</v>
      </c>
      <c r="B2955" s="1">
        <v>45684</v>
      </c>
      <c r="C2955" s="4">
        <f>MONTH(datos_ventas[[#This Row],[Fecha]])</f>
        <v>1</v>
      </c>
      <c r="D2955" s="4">
        <f>WEEKNUM(datos_ventas[[#This Row],[Fecha]],2)</f>
        <v>5</v>
      </c>
      <c r="E2955" t="s">
        <v>17</v>
      </c>
      <c r="F2955" t="s">
        <v>18</v>
      </c>
      <c r="G2955">
        <v>3</v>
      </c>
      <c r="H2955">
        <v>84171</v>
      </c>
      <c r="I2955">
        <v>3891</v>
      </c>
      <c r="J2955" t="s">
        <v>12</v>
      </c>
      <c r="K2955" t="str">
        <f>_xlfn.XLOOKUP(datos_ventas[[#This Row],[Ciudad]],Tabla2[Ciudades],Tabla2[Provincias],"no se encuentra")</f>
        <v>Málaga</v>
      </c>
      <c r="L2955" t="str">
        <f>_xlfn.XLOOKUP(datos_ventas[[#This Row],[Provincia]],Tabla2[Provincias],Tabla2[Comunidades],"no se encuentra")</f>
        <v>Andalucía</v>
      </c>
      <c r="M2955" t="s">
        <v>19</v>
      </c>
      <c r="N2955">
        <v>5</v>
      </c>
    </row>
    <row r="2956" spans="1:14" x14ac:dyDescent="0.25">
      <c r="A2956">
        <v>3955</v>
      </c>
      <c r="B2956" s="1">
        <v>45664</v>
      </c>
      <c r="C2956" s="4">
        <f>MONTH(datos_ventas[[#This Row],[Fecha]])</f>
        <v>1</v>
      </c>
      <c r="D2956" s="4">
        <f>WEEKNUM(datos_ventas[[#This Row],[Fecha]],2)</f>
        <v>2</v>
      </c>
      <c r="E2956" t="s">
        <v>29</v>
      </c>
      <c r="F2956" t="s">
        <v>30</v>
      </c>
      <c r="G2956">
        <v>2</v>
      </c>
      <c r="H2956">
        <v>7120</v>
      </c>
      <c r="I2956">
        <v>3226</v>
      </c>
      <c r="J2956" t="s">
        <v>14</v>
      </c>
      <c r="K2956" t="str">
        <f>_xlfn.XLOOKUP(datos_ventas[[#This Row],[Ciudad]],Tabla2[Ciudades],Tabla2[Provincias],"no se encuentra")</f>
        <v>Madrid</v>
      </c>
      <c r="L2956" t="str">
        <f>_xlfn.XLOOKUP(datos_ventas[[#This Row],[Provincia]],Tabla2[Provincias],Tabla2[Comunidades],"no se encuentra")</f>
        <v>Comunidad de Madrid</v>
      </c>
      <c r="M2956" t="s">
        <v>13</v>
      </c>
      <c r="N2956">
        <v>3</v>
      </c>
    </row>
    <row r="2957" spans="1:14" x14ac:dyDescent="0.25">
      <c r="A2957">
        <v>3956</v>
      </c>
      <c r="B2957" s="1">
        <v>45953</v>
      </c>
      <c r="C2957" s="4">
        <f>MONTH(datos_ventas[[#This Row],[Fecha]])</f>
        <v>10</v>
      </c>
      <c r="D2957" s="4">
        <f>WEEKNUM(datos_ventas[[#This Row],[Fecha]],2)</f>
        <v>43</v>
      </c>
      <c r="E2957" t="s">
        <v>20</v>
      </c>
      <c r="F2957" t="s">
        <v>21</v>
      </c>
      <c r="G2957">
        <v>5</v>
      </c>
      <c r="H2957">
        <v>46942</v>
      </c>
      <c r="I2957">
        <v>1192</v>
      </c>
      <c r="J2957" t="s">
        <v>31</v>
      </c>
      <c r="K2957" t="str">
        <f>_xlfn.XLOOKUP(datos_ventas[[#This Row],[Ciudad]],Tabla2[Ciudades],Tabla2[Provincias],"no se encuentra")</f>
        <v>Vizcaya</v>
      </c>
      <c r="L2957" t="str">
        <f>_xlfn.XLOOKUP(datos_ventas[[#This Row],[Provincia]],Tabla2[Provincias],Tabla2[Comunidades],"no se encuentra")</f>
        <v>País Vasco</v>
      </c>
      <c r="M2957" t="s">
        <v>19</v>
      </c>
      <c r="N2957">
        <v>1</v>
      </c>
    </row>
    <row r="2958" spans="1:14" x14ac:dyDescent="0.25">
      <c r="A2958">
        <v>3957</v>
      </c>
      <c r="B2958" s="1">
        <v>45973</v>
      </c>
      <c r="C2958" s="4">
        <f>MONTH(datos_ventas[[#This Row],[Fecha]])</f>
        <v>11</v>
      </c>
      <c r="D2958" s="4">
        <f>WEEKNUM(datos_ventas[[#This Row],[Fecha]],2)</f>
        <v>46</v>
      </c>
      <c r="E2958" t="s">
        <v>16</v>
      </c>
      <c r="F2958" t="s">
        <v>11</v>
      </c>
      <c r="G2958">
        <v>3</v>
      </c>
      <c r="H2958">
        <v>3559</v>
      </c>
      <c r="I2958">
        <v>1298</v>
      </c>
      <c r="J2958" t="s">
        <v>32</v>
      </c>
      <c r="K2958" t="str">
        <f>_xlfn.XLOOKUP(datos_ventas[[#This Row],[Ciudad]],Tabla2[Ciudades],Tabla2[Provincias],"no se encuentra")</f>
        <v>Barcelona</v>
      </c>
      <c r="L2958" t="str">
        <f>_xlfn.XLOOKUP(datos_ventas[[#This Row],[Provincia]],Tabla2[Provincias],Tabla2[Comunidades],"no se encuentra")</f>
        <v>Cataluña</v>
      </c>
      <c r="M2958" t="s">
        <v>28</v>
      </c>
      <c r="N2958">
        <v>4</v>
      </c>
    </row>
    <row r="2959" spans="1:14" x14ac:dyDescent="0.25">
      <c r="A2959">
        <v>3958</v>
      </c>
      <c r="B2959" s="1">
        <v>45867</v>
      </c>
      <c r="C2959" s="4">
        <f>MONTH(datos_ventas[[#This Row],[Fecha]])</f>
        <v>7</v>
      </c>
      <c r="D2959" s="4">
        <f>WEEKNUM(datos_ventas[[#This Row],[Fecha]],2)</f>
        <v>31</v>
      </c>
      <c r="E2959" t="s">
        <v>23</v>
      </c>
      <c r="F2959" t="s">
        <v>18</v>
      </c>
      <c r="G2959">
        <v>2</v>
      </c>
      <c r="H2959">
        <v>55309</v>
      </c>
      <c r="I2959">
        <v>3472</v>
      </c>
      <c r="J2959" t="s">
        <v>14</v>
      </c>
      <c r="K2959" t="str">
        <f>_xlfn.XLOOKUP(datos_ventas[[#This Row],[Ciudad]],Tabla2[Ciudades],Tabla2[Provincias],"no se encuentra")</f>
        <v>Madrid</v>
      </c>
      <c r="L2959" t="str">
        <f>_xlfn.XLOOKUP(datos_ventas[[#This Row],[Provincia]],Tabla2[Provincias],Tabla2[Comunidades],"no se encuentra")</f>
        <v>Comunidad de Madrid</v>
      </c>
      <c r="M2959" t="s">
        <v>15</v>
      </c>
      <c r="N2959">
        <v>4</v>
      </c>
    </row>
    <row r="2960" spans="1:14" x14ac:dyDescent="0.25">
      <c r="A2960">
        <v>3959</v>
      </c>
      <c r="B2960" s="1">
        <v>45717</v>
      </c>
      <c r="C2960" s="4">
        <f>MONTH(datos_ventas[[#This Row],[Fecha]])</f>
        <v>3</v>
      </c>
      <c r="D2960" s="4">
        <f>WEEKNUM(datos_ventas[[#This Row],[Fecha]],2)</f>
        <v>9</v>
      </c>
      <c r="E2960" t="s">
        <v>20</v>
      </c>
      <c r="F2960" t="s">
        <v>21</v>
      </c>
      <c r="G2960">
        <v>4</v>
      </c>
      <c r="H2960">
        <v>14588</v>
      </c>
      <c r="I2960">
        <v>3086</v>
      </c>
      <c r="J2960" t="s">
        <v>27</v>
      </c>
      <c r="K2960" t="str">
        <f>_xlfn.XLOOKUP(datos_ventas[[#This Row],[Ciudad]],Tabla2[Ciudades],Tabla2[Provincias],"no se encuentra")</f>
        <v>Sevilla</v>
      </c>
      <c r="L2960" t="str">
        <f>_xlfn.XLOOKUP(datos_ventas[[#This Row],[Provincia]],Tabla2[Provincias],Tabla2[Comunidades],"no se encuentra")</f>
        <v>Andalucía</v>
      </c>
      <c r="M2960" t="s">
        <v>15</v>
      </c>
      <c r="N2960">
        <v>1</v>
      </c>
    </row>
    <row r="2961" spans="1:14" x14ac:dyDescent="0.25">
      <c r="A2961">
        <v>3960</v>
      </c>
      <c r="B2961" s="1">
        <v>45846</v>
      </c>
      <c r="C2961" s="4">
        <f>MONTH(datos_ventas[[#This Row],[Fecha]])</f>
        <v>7</v>
      </c>
      <c r="D2961" s="4">
        <f>WEEKNUM(datos_ventas[[#This Row],[Fecha]],2)</f>
        <v>28</v>
      </c>
      <c r="E2961" t="s">
        <v>29</v>
      </c>
      <c r="F2961" t="s">
        <v>30</v>
      </c>
      <c r="G2961">
        <v>1</v>
      </c>
      <c r="H2961">
        <v>53504</v>
      </c>
      <c r="I2961">
        <v>3399</v>
      </c>
      <c r="J2961" t="s">
        <v>32</v>
      </c>
      <c r="K2961" t="str">
        <f>_xlfn.XLOOKUP(datos_ventas[[#This Row],[Ciudad]],Tabla2[Ciudades],Tabla2[Provincias],"no se encuentra")</f>
        <v>Barcelona</v>
      </c>
      <c r="L2961" t="str">
        <f>_xlfn.XLOOKUP(datos_ventas[[#This Row],[Provincia]],Tabla2[Provincias],Tabla2[Comunidades],"no se encuentra")</f>
        <v>Cataluña</v>
      </c>
      <c r="M2961" t="s">
        <v>28</v>
      </c>
      <c r="N2961">
        <v>4</v>
      </c>
    </row>
    <row r="2962" spans="1:14" x14ac:dyDescent="0.25">
      <c r="A2962">
        <v>3961</v>
      </c>
      <c r="B2962" s="1">
        <v>45711</v>
      </c>
      <c r="C2962" s="4">
        <f>MONTH(datos_ventas[[#This Row],[Fecha]])</f>
        <v>2</v>
      </c>
      <c r="D2962" s="4">
        <f>WEEKNUM(datos_ventas[[#This Row],[Fecha]],2)</f>
        <v>8</v>
      </c>
      <c r="E2962" t="s">
        <v>23</v>
      </c>
      <c r="F2962" t="s">
        <v>18</v>
      </c>
      <c r="G2962">
        <v>4</v>
      </c>
      <c r="H2962">
        <v>101394</v>
      </c>
      <c r="I2962">
        <v>4832</v>
      </c>
      <c r="J2962" t="s">
        <v>12</v>
      </c>
      <c r="K2962" t="str">
        <f>_xlfn.XLOOKUP(datos_ventas[[#This Row],[Ciudad]],Tabla2[Ciudades],Tabla2[Provincias],"no se encuentra")</f>
        <v>Málaga</v>
      </c>
      <c r="L2962" t="str">
        <f>_xlfn.XLOOKUP(datos_ventas[[#This Row],[Provincia]],Tabla2[Provincias],Tabla2[Comunidades],"no se encuentra")</f>
        <v>Andalucía</v>
      </c>
      <c r="M2962" t="s">
        <v>15</v>
      </c>
      <c r="N2962">
        <v>4</v>
      </c>
    </row>
    <row r="2963" spans="1:14" x14ac:dyDescent="0.25">
      <c r="A2963">
        <v>3962</v>
      </c>
      <c r="B2963" s="1">
        <v>45793</v>
      </c>
      <c r="C2963" s="4">
        <f>MONTH(datos_ventas[[#This Row],[Fecha]])</f>
        <v>5</v>
      </c>
      <c r="D2963" s="4">
        <f>WEEKNUM(datos_ventas[[#This Row],[Fecha]],2)</f>
        <v>20</v>
      </c>
      <c r="E2963" t="s">
        <v>10</v>
      </c>
      <c r="F2963" t="s">
        <v>11</v>
      </c>
      <c r="G2963">
        <v>1</v>
      </c>
      <c r="H2963">
        <v>39379</v>
      </c>
      <c r="I2963">
        <v>388</v>
      </c>
      <c r="J2963" t="s">
        <v>27</v>
      </c>
      <c r="K2963" t="str">
        <f>_xlfn.XLOOKUP(datos_ventas[[#This Row],[Ciudad]],Tabla2[Ciudades],Tabla2[Provincias],"no se encuentra")</f>
        <v>Sevilla</v>
      </c>
      <c r="L2963" t="str">
        <f>_xlfn.XLOOKUP(datos_ventas[[#This Row],[Provincia]],Tabla2[Provincias],Tabla2[Comunidades],"no se encuentra")</f>
        <v>Andalucía</v>
      </c>
      <c r="M2963" t="s">
        <v>15</v>
      </c>
      <c r="N2963">
        <v>3</v>
      </c>
    </row>
    <row r="2964" spans="1:14" x14ac:dyDescent="0.25">
      <c r="A2964">
        <v>3963</v>
      </c>
      <c r="B2964" s="1">
        <v>45934</v>
      </c>
      <c r="C2964" s="4">
        <f>MONTH(datos_ventas[[#This Row],[Fecha]])</f>
        <v>10</v>
      </c>
      <c r="D2964" s="4">
        <f>WEEKNUM(datos_ventas[[#This Row],[Fecha]],2)</f>
        <v>40</v>
      </c>
      <c r="E2964" t="s">
        <v>26</v>
      </c>
      <c r="F2964" t="s">
        <v>18</v>
      </c>
      <c r="G2964">
        <v>2</v>
      </c>
      <c r="H2964">
        <v>43349</v>
      </c>
      <c r="I2964">
        <v>4096</v>
      </c>
      <c r="J2964" t="s">
        <v>22</v>
      </c>
      <c r="K2964" t="str">
        <f>_xlfn.XLOOKUP(datos_ventas[[#This Row],[Ciudad]],Tabla2[Ciudades],Tabla2[Provincias],"no se encuentra")</f>
        <v>Valencia</v>
      </c>
      <c r="L2964" t="str">
        <f>_xlfn.XLOOKUP(datos_ventas[[#This Row],[Provincia]],Tabla2[Provincias],Tabla2[Comunidades],"no se encuentra")</f>
        <v>Comunidad Valenciana</v>
      </c>
      <c r="M2964" t="s">
        <v>15</v>
      </c>
      <c r="N2964">
        <v>2</v>
      </c>
    </row>
    <row r="2965" spans="1:14" x14ac:dyDescent="0.25">
      <c r="A2965">
        <v>3964</v>
      </c>
      <c r="B2965" s="1">
        <v>45912</v>
      </c>
      <c r="C2965" s="4">
        <f>MONTH(datos_ventas[[#This Row],[Fecha]])</f>
        <v>9</v>
      </c>
      <c r="D2965" s="4">
        <f>WEEKNUM(datos_ventas[[#This Row],[Fecha]],2)</f>
        <v>37</v>
      </c>
      <c r="E2965" t="s">
        <v>17</v>
      </c>
      <c r="F2965" t="s">
        <v>18</v>
      </c>
      <c r="G2965">
        <v>5</v>
      </c>
      <c r="H2965">
        <v>113464</v>
      </c>
      <c r="I2965">
        <v>1665</v>
      </c>
      <c r="J2965" t="s">
        <v>12</v>
      </c>
      <c r="K2965" t="str">
        <f>_xlfn.XLOOKUP(datos_ventas[[#This Row],[Ciudad]],Tabla2[Ciudades],Tabla2[Provincias],"no se encuentra")</f>
        <v>Málaga</v>
      </c>
      <c r="L2965" t="str">
        <f>_xlfn.XLOOKUP(datos_ventas[[#This Row],[Provincia]],Tabla2[Provincias],Tabla2[Comunidades],"no se encuentra")</f>
        <v>Andalucía</v>
      </c>
      <c r="M2965" t="s">
        <v>19</v>
      </c>
      <c r="N2965">
        <v>3</v>
      </c>
    </row>
    <row r="2966" spans="1:14" x14ac:dyDescent="0.25">
      <c r="A2966">
        <v>3965</v>
      </c>
      <c r="B2966" s="1">
        <v>45971</v>
      </c>
      <c r="C2966" s="4">
        <f>MONTH(datos_ventas[[#This Row],[Fecha]])</f>
        <v>11</v>
      </c>
      <c r="D2966" s="4">
        <f>WEEKNUM(datos_ventas[[#This Row],[Fecha]],2)</f>
        <v>46</v>
      </c>
      <c r="E2966" t="s">
        <v>23</v>
      </c>
      <c r="F2966" t="s">
        <v>18</v>
      </c>
      <c r="G2966">
        <v>5</v>
      </c>
      <c r="H2966">
        <v>95661</v>
      </c>
      <c r="I2966">
        <v>4025</v>
      </c>
      <c r="J2966" t="s">
        <v>32</v>
      </c>
      <c r="K2966" t="str">
        <f>_xlfn.XLOOKUP(datos_ventas[[#This Row],[Ciudad]],Tabla2[Ciudades],Tabla2[Provincias],"no se encuentra")</f>
        <v>Barcelona</v>
      </c>
      <c r="L2966" t="str">
        <f>_xlfn.XLOOKUP(datos_ventas[[#This Row],[Provincia]],Tabla2[Provincias],Tabla2[Comunidades],"no se encuentra")</f>
        <v>Cataluña</v>
      </c>
      <c r="M2966" t="s">
        <v>28</v>
      </c>
      <c r="N2966">
        <v>1</v>
      </c>
    </row>
    <row r="2967" spans="1:14" x14ac:dyDescent="0.25">
      <c r="A2967">
        <v>3966</v>
      </c>
      <c r="B2967" s="1">
        <v>45794</v>
      </c>
      <c r="C2967" s="4">
        <f>MONTH(datos_ventas[[#This Row],[Fecha]])</f>
        <v>5</v>
      </c>
      <c r="D2967" s="4">
        <f>WEEKNUM(datos_ventas[[#This Row],[Fecha]],2)</f>
        <v>20</v>
      </c>
      <c r="E2967" t="s">
        <v>17</v>
      </c>
      <c r="F2967" t="s">
        <v>18</v>
      </c>
      <c r="G2967">
        <v>3</v>
      </c>
      <c r="H2967">
        <v>38825</v>
      </c>
      <c r="I2967">
        <v>2065</v>
      </c>
      <c r="J2967" t="s">
        <v>12</v>
      </c>
      <c r="K2967" t="str">
        <f>_xlfn.XLOOKUP(datos_ventas[[#This Row],[Ciudad]],Tabla2[Ciudades],Tabla2[Provincias],"no se encuentra")</f>
        <v>Málaga</v>
      </c>
      <c r="L2967" t="str">
        <f>_xlfn.XLOOKUP(datos_ventas[[#This Row],[Provincia]],Tabla2[Provincias],Tabla2[Comunidades],"no se encuentra")</f>
        <v>Andalucía</v>
      </c>
      <c r="M2967" t="s">
        <v>15</v>
      </c>
      <c r="N2967">
        <v>3</v>
      </c>
    </row>
    <row r="2968" spans="1:14" x14ac:dyDescent="0.25">
      <c r="A2968">
        <v>3967</v>
      </c>
      <c r="B2968" s="1">
        <v>45821</v>
      </c>
      <c r="C2968" s="4">
        <f>MONTH(datos_ventas[[#This Row],[Fecha]])</f>
        <v>6</v>
      </c>
      <c r="D2968" s="4">
        <f>WEEKNUM(datos_ventas[[#This Row],[Fecha]],2)</f>
        <v>24</v>
      </c>
      <c r="E2968" t="s">
        <v>29</v>
      </c>
      <c r="F2968" t="s">
        <v>30</v>
      </c>
      <c r="G2968">
        <v>4</v>
      </c>
      <c r="H2968">
        <v>32692</v>
      </c>
      <c r="I2968">
        <v>1204</v>
      </c>
      <c r="J2968" t="s">
        <v>14</v>
      </c>
      <c r="K2968" t="str">
        <f>_xlfn.XLOOKUP(datos_ventas[[#This Row],[Ciudad]],Tabla2[Ciudades],Tabla2[Provincias],"no se encuentra")</f>
        <v>Madrid</v>
      </c>
      <c r="L2968" t="str">
        <f>_xlfn.XLOOKUP(datos_ventas[[#This Row],[Provincia]],Tabla2[Provincias],Tabla2[Comunidades],"no se encuentra")</f>
        <v>Comunidad de Madrid</v>
      </c>
      <c r="M2968" t="s">
        <v>28</v>
      </c>
      <c r="N2968">
        <v>3</v>
      </c>
    </row>
    <row r="2969" spans="1:14" x14ac:dyDescent="0.25">
      <c r="A2969">
        <v>3968</v>
      </c>
      <c r="B2969" s="1">
        <v>45659</v>
      </c>
      <c r="C2969" s="4">
        <f>MONTH(datos_ventas[[#This Row],[Fecha]])</f>
        <v>1</v>
      </c>
      <c r="D2969" s="4">
        <f>WEEKNUM(datos_ventas[[#This Row],[Fecha]],2)</f>
        <v>1</v>
      </c>
      <c r="E2969" t="s">
        <v>10</v>
      </c>
      <c r="F2969" t="s">
        <v>11</v>
      </c>
      <c r="G2969">
        <v>5</v>
      </c>
      <c r="H2969">
        <v>56464</v>
      </c>
      <c r="I2969">
        <v>4235</v>
      </c>
      <c r="J2969" t="s">
        <v>22</v>
      </c>
      <c r="K2969" t="str">
        <f>_xlfn.XLOOKUP(datos_ventas[[#This Row],[Ciudad]],Tabla2[Ciudades],Tabla2[Provincias],"no se encuentra")</f>
        <v>Valencia</v>
      </c>
      <c r="L2969" t="str">
        <f>_xlfn.XLOOKUP(datos_ventas[[#This Row],[Provincia]],Tabla2[Provincias],Tabla2[Comunidades],"no se encuentra")</f>
        <v>Comunidad Valenciana</v>
      </c>
      <c r="M2969" t="s">
        <v>15</v>
      </c>
      <c r="N2969">
        <v>5</v>
      </c>
    </row>
    <row r="2970" spans="1:14" x14ac:dyDescent="0.25">
      <c r="A2970">
        <v>3969</v>
      </c>
      <c r="B2970" s="1">
        <v>45990</v>
      </c>
      <c r="C2970" s="4">
        <f>MONTH(datos_ventas[[#This Row],[Fecha]])</f>
        <v>11</v>
      </c>
      <c r="D2970" s="4">
        <f>WEEKNUM(datos_ventas[[#This Row],[Fecha]],2)</f>
        <v>48</v>
      </c>
      <c r="E2970" t="s">
        <v>10</v>
      </c>
      <c r="F2970" t="s">
        <v>11</v>
      </c>
      <c r="G2970">
        <v>3</v>
      </c>
      <c r="H2970">
        <v>72316</v>
      </c>
      <c r="I2970">
        <v>614</v>
      </c>
      <c r="J2970" t="s">
        <v>22</v>
      </c>
      <c r="K2970" t="str">
        <f>_xlfn.XLOOKUP(datos_ventas[[#This Row],[Ciudad]],Tabla2[Ciudades],Tabla2[Provincias],"no se encuentra")</f>
        <v>Valencia</v>
      </c>
      <c r="L2970" t="str">
        <f>_xlfn.XLOOKUP(datos_ventas[[#This Row],[Provincia]],Tabla2[Provincias],Tabla2[Comunidades],"no se encuentra")</f>
        <v>Comunidad Valenciana</v>
      </c>
      <c r="M2970" t="s">
        <v>15</v>
      </c>
      <c r="N2970">
        <v>5</v>
      </c>
    </row>
    <row r="2971" spans="1:14" x14ac:dyDescent="0.25">
      <c r="A2971">
        <v>3970</v>
      </c>
      <c r="B2971" s="1">
        <v>45701</v>
      </c>
      <c r="C2971" s="4">
        <f>MONTH(datos_ventas[[#This Row],[Fecha]])</f>
        <v>2</v>
      </c>
      <c r="D2971" s="4">
        <f>WEEKNUM(datos_ventas[[#This Row],[Fecha]],2)</f>
        <v>7</v>
      </c>
      <c r="E2971" t="s">
        <v>24</v>
      </c>
      <c r="F2971" t="s">
        <v>25</v>
      </c>
      <c r="G2971">
        <v>1</v>
      </c>
      <c r="H2971">
        <v>66407</v>
      </c>
      <c r="I2971">
        <v>997</v>
      </c>
      <c r="J2971" t="s">
        <v>22</v>
      </c>
      <c r="K2971" t="str">
        <f>_xlfn.XLOOKUP(datos_ventas[[#This Row],[Ciudad]],Tabla2[Ciudades],Tabla2[Provincias],"no se encuentra")</f>
        <v>Valencia</v>
      </c>
      <c r="L2971" t="str">
        <f>_xlfn.XLOOKUP(datos_ventas[[#This Row],[Provincia]],Tabla2[Provincias],Tabla2[Comunidades],"no se encuentra")</f>
        <v>Comunidad Valenciana</v>
      </c>
      <c r="M2971" t="s">
        <v>28</v>
      </c>
      <c r="N2971">
        <v>2</v>
      </c>
    </row>
    <row r="2972" spans="1:14" x14ac:dyDescent="0.25">
      <c r="A2972">
        <v>3971</v>
      </c>
      <c r="B2972" s="1">
        <v>45853</v>
      </c>
      <c r="C2972" s="4">
        <f>MONTH(datos_ventas[[#This Row],[Fecha]])</f>
        <v>7</v>
      </c>
      <c r="D2972" s="4">
        <f>WEEKNUM(datos_ventas[[#This Row],[Fecha]],2)</f>
        <v>29</v>
      </c>
      <c r="E2972" t="s">
        <v>10</v>
      </c>
      <c r="F2972" t="s">
        <v>11</v>
      </c>
      <c r="G2972">
        <v>1</v>
      </c>
      <c r="H2972">
        <v>33271</v>
      </c>
      <c r="I2972">
        <v>3288</v>
      </c>
      <c r="J2972" t="s">
        <v>22</v>
      </c>
      <c r="K2972" t="str">
        <f>_xlfn.XLOOKUP(datos_ventas[[#This Row],[Ciudad]],Tabla2[Ciudades],Tabla2[Provincias],"no se encuentra")</f>
        <v>Valencia</v>
      </c>
      <c r="L2972" t="str">
        <f>_xlfn.XLOOKUP(datos_ventas[[#This Row],[Provincia]],Tabla2[Provincias],Tabla2[Comunidades],"no se encuentra")</f>
        <v>Comunidad Valenciana</v>
      </c>
      <c r="M2972" t="s">
        <v>19</v>
      </c>
      <c r="N2972">
        <v>4</v>
      </c>
    </row>
    <row r="2973" spans="1:14" x14ac:dyDescent="0.25">
      <c r="A2973">
        <v>3972</v>
      </c>
      <c r="B2973" s="1">
        <v>45952</v>
      </c>
      <c r="C2973" s="4">
        <f>MONTH(datos_ventas[[#This Row],[Fecha]])</f>
        <v>10</v>
      </c>
      <c r="D2973" s="4">
        <f>WEEKNUM(datos_ventas[[#This Row],[Fecha]],2)</f>
        <v>43</v>
      </c>
      <c r="E2973" t="s">
        <v>20</v>
      </c>
      <c r="F2973" t="s">
        <v>21</v>
      </c>
      <c r="G2973">
        <v>2</v>
      </c>
      <c r="H2973">
        <v>46044</v>
      </c>
      <c r="I2973">
        <v>2819</v>
      </c>
      <c r="J2973" t="s">
        <v>27</v>
      </c>
      <c r="K2973" t="str">
        <f>_xlfn.XLOOKUP(datos_ventas[[#This Row],[Ciudad]],Tabla2[Ciudades],Tabla2[Provincias],"no se encuentra")</f>
        <v>Sevilla</v>
      </c>
      <c r="L2973" t="str">
        <f>_xlfn.XLOOKUP(datos_ventas[[#This Row],[Provincia]],Tabla2[Provincias],Tabla2[Comunidades],"no se encuentra")</f>
        <v>Andalucía</v>
      </c>
      <c r="M2973" t="s">
        <v>13</v>
      </c>
      <c r="N2973">
        <v>2</v>
      </c>
    </row>
    <row r="2974" spans="1:14" x14ac:dyDescent="0.25">
      <c r="A2974">
        <v>3973</v>
      </c>
      <c r="B2974" s="1">
        <v>45979</v>
      </c>
      <c r="C2974" s="4">
        <f>MONTH(datos_ventas[[#This Row],[Fecha]])</f>
        <v>11</v>
      </c>
      <c r="D2974" s="4">
        <f>WEEKNUM(datos_ventas[[#This Row],[Fecha]],2)</f>
        <v>47</v>
      </c>
      <c r="E2974" t="s">
        <v>23</v>
      </c>
      <c r="F2974" t="s">
        <v>18</v>
      </c>
      <c r="G2974">
        <v>1</v>
      </c>
      <c r="H2974">
        <v>9972</v>
      </c>
      <c r="I2974">
        <v>3305</v>
      </c>
      <c r="J2974" t="s">
        <v>32</v>
      </c>
      <c r="K2974" t="str">
        <f>_xlfn.XLOOKUP(datos_ventas[[#This Row],[Ciudad]],Tabla2[Ciudades],Tabla2[Provincias],"no se encuentra")</f>
        <v>Barcelona</v>
      </c>
      <c r="L2974" t="str">
        <f>_xlfn.XLOOKUP(datos_ventas[[#This Row],[Provincia]],Tabla2[Provincias],Tabla2[Comunidades],"no se encuentra")</f>
        <v>Cataluña</v>
      </c>
      <c r="M2974" t="s">
        <v>15</v>
      </c>
      <c r="N2974">
        <v>5</v>
      </c>
    </row>
    <row r="2975" spans="1:14" x14ac:dyDescent="0.25">
      <c r="A2975">
        <v>3974</v>
      </c>
      <c r="B2975" s="1">
        <v>45857</v>
      </c>
      <c r="C2975" s="4">
        <f>MONTH(datos_ventas[[#This Row],[Fecha]])</f>
        <v>7</v>
      </c>
      <c r="D2975" s="4">
        <f>WEEKNUM(datos_ventas[[#This Row],[Fecha]],2)</f>
        <v>29</v>
      </c>
      <c r="E2975" t="s">
        <v>20</v>
      </c>
      <c r="F2975" t="s">
        <v>21</v>
      </c>
      <c r="G2975">
        <v>2</v>
      </c>
      <c r="H2975">
        <v>114408</v>
      </c>
      <c r="I2975">
        <v>1497</v>
      </c>
      <c r="J2975" t="s">
        <v>14</v>
      </c>
      <c r="K2975" t="str">
        <f>_xlfn.XLOOKUP(datos_ventas[[#This Row],[Ciudad]],Tabla2[Ciudades],Tabla2[Provincias],"no se encuentra")</f>
        <v>Madrid</v>
      </c>
      <c r="L2975" t="str">
        <f>_xlfn.XLOOKUP(datos_ventas[[#This Row],[Provincia]],Tabla2[Provincias],Tabla2[Comunidades],"no se encuentra")</f>
        <v>Comunidad de Madrid</v>
      </c>
      <c r="M2975" t="s">
        <v>13</v>
      </c>
      <c r="N2975">
        <v>1</v>
      </c>
    </row>
    <row r="2976" spans="1:14" x14ac:dyDescent="0.25">
      <c r="A2976">
        <v>3975</v>
      </c>
      <c r="B2976" s="1">
        <v>45848</v>
      </c>
      <c r="C2976" s="4">
        <f>MONTH(datos_ventas[[#This Row],[Fecha]])</f>
        <v>7</v>
      </c>
      <c r="D2976" s="4">
        <f>WEEKNUM(datos_ventas[[#This Row],[Fecha]],2)</f>
        <v>28</v>
      </c>
      <c r="E2976" t="s">
        <v>24</v>
      </c>
      <c r="F2976" t="s">
        <v>25</v>
      </c>
      <c r="G2976">
        <v>3</v>
      </c>
      <c r="H2976">
        <v>18854</v>
      </c>
      <c r="I2976">
        <v>2219</v>
      </c>
      <c r="J2976" t="s">
        <v>12</v>
      </c>
      <c r="K2976" t="str">
        <f>_xlfn.XLOOKUP(datos_ventas[[#This Row],[Ciudad]],Tabla2[Ciudades],Tabla2[Provincias],"no se encuentra")</f>
        <v>Málaga</v>
      </c>
      <c r="L2976" t="str">
        <f>_xlfn.XLOOKUP(datos_ventas[[#This Row],[Provincia]],Tabla2[Provincias],Tabla2[Comunidades],"no se encuentra")</f>
        <v>Andalucía</v>
      </c>
      <c r="M2976" t="s">
        <v>13</v>
      </c>
      <c r="N2976">
        <v>5</v>
      </c>
    </row>
    <row r="2977" spans="1:14" x14ac:dyDescent="0.25">
      <c r="A2977">
        <v>3976</v>
      </c>
      <c r="B2977" s="1">
        <v>45687</v>
      </c>
      <c r="C2977" s="4">
        <f>MONTH(datos_ventas[[#This Row],[Fecha]])</f>
        <v>1</v>
      </c>
      <c r="D2977" s="4">
        <f>WEEKNUM(datos_ventas[[#This Row],[Fecha]],2)</f>
        <v>5</v>
      </c>
      <c r="E2977" t="s">
        <v>16</v>
      </c>
      <c r="F2977" t="s">
        <v>11</v>
      </c>
      <c r="G2977">
        <v>5</v>
      </c>
      <c r="H2977">
        <v>15737</v>
      </c>
      <c r="I2977">
        <v>2219</v>
      </c>
      <c r="J2977" t="s">
        <v>27</v>
      </c>
      <c r="K2977" t="str">
        <f>_xlfn.XLOOKUP(datos_ventas[[#This Row],[Ciudad]],Tabla2[Ciudades],Tabla2[Provincias],"no se encuentra")</f>
        <v>Sevilla</v>
      </c>
      <c r="L2977" t="str">
        <f>_xlfn.XLOOKUP(datos_ventas[[#This Row],[Provincia]],Tabla2[Provincias],Tabla2[Comunidades],"no se encuentra")</f>
        <v>Andalucía</v>
      </c>
      <c r="M2977" t="s">
        <v>28</v>
      </c>
      <c r="N2977">
        <v>1</v>
      </c>
    </row>
    <row r="2978" spans="1:14" x14ac:dyDescent="0.25">
      <c r="A2978">
        <v>3977</v>
      </c>
      <c r="B2978" s="1">
        <v>45717</v>
      </c>
      <c r="C2978" s="4">
        <f>MONTH(datos_ventas[[#This Row],[Fecha]])</f>
        <v>3</v>
      </c>
      <c r="D2978" s="4">
        <f>WEEKNUM(datos_ventas[[#This Row],[Fecha]],2)</f>
        <v>9</v>
      </c>
      <c r="E2978" t="s">
        <v>17</v>
      </c>
      <c r="F2978" t="s">
        <v>18</v>
      </c>
      <c r="G2978">
        <v>3</v>
      </c>
      <c r="H2978">
        <v>33579</v>
      </c>
      <c r="I2978">
        <v>551</v>
      </c>
      <c r="J2978" t="s">
        <v>14</v>
      </c>
      <c r="K2978" t="str">
        <f>_xlfn.XLOOKUP(datos_ventas[[#This Row],[Ciudad]],Tabla2[Ciudades],Tabla2[Provincias],"no se encuentra")</f>
        <v>Madrid</v>
      </c>
      <c r="L2978" t="str">
        <f>_xlfn.XLOOKUP(datos_ventas[[#This Row],[Provincia]],Tabla2[Provincias],Tabla2[Comunidades],"no se encuentra")</f>
        <v>Comunidad de Madrid</v>
      </c>
      <c r="M2978" t="s">
        <v>15</v>
      </c>
      <c r="N2978">
        <v>1</v>
      </c>
    </row>
    <row r="2979" spans="1:14" x14ac:dyDescent="0.25">
      <c r="A2979">
        <v>3978</v>
      </c>
      <c r="B2979" s="1">
        <v>45885</v>
      </c>
      <c r="C2979" s="4">
        <f>MONTH(datos_ventas[[#This Row],[Fecha]])</f>
        <v>8</v>
      </c>
      <c r="D2979" s="4">
        <f>WEEKNUM(datos_ventas[[#This Row],[Fecha]],2)</f>
        <v>33</v>
      </c>
      <c r="E2979" t="s">
        <v>23</v>
      </c>
      <c r="F2979" t="s">
        <v>18</v>
      </c>
      <c r="G2979">
        <v>4</v>
      </c>
      <c r="H2979">
        <v>117615</v>
      </c>
      <c r="I2979">
        <v>3796</v>
      </c>
      <c r="J2979" t="s">
        <v>22</v>
      </c>
      <c r="K2979" t="str">
        <f>_xlfn.XLOOKUP(datos_ventas[[#This Row],[Ciudad]],Tabla2[Ciudades],Tabla2[Provincias],"no se encuentra")</f>
        <v>Valencia</v>
      </c>
      <c r="L2979" t="str">
        <f>_xlfn.XLOOKUP(datos_ventas[[#This Row],[Provincia]],Tabla2[Provincias],Tabla2[Comunidades],"no se encuentra")</f>
        <v>Comunidad Valenciana</v>
      </c>
      <c r="M2979" t="s">
        <v>28</v>
      </c>
      <c r="N2979">
        <v>3</v>
      </c>
    </row>
    <row r="2980" spans="1:14" x14ac:dyDescent="0.25">
      <c r="A2980">
        <v>3979</v>
      </c>
      <c r="B2980" s="1">
        <v>45763</v>
      </c>
      <c r="C2980" s="4">
        <f>MONTH(datos_ventas[[#This Row],[Fecha]])</f>
        <v>4</v>
      </c>
      <c r="D2980" s="4">
        <f>WEEKNUM(datos_ventas[[#This Row],[Fecha]],2)</f>
        <v>16</v>
      </c>
      <c r="E2980" t="s">
        <v>16</v>
      </c>
      <c r="F2980" t="s">
        <v>11</v>
      </c>
      <c r="G2980">
        <v>3</v>
      </c>
      <c r="H2980">
        <v>26425</v>
      </c>
      <c r="I2980">
        <v>2224</v>
      </c>
      <c r="J2980" t="s">
        <v>14</v>
      </c>
      <c r="K2980" t="str">
        <f>_xlfn.XLOOKUP(datos_ventas[[#This Row],[Ciudad]],Tabla2[Ciudades],Tabla2[Provincias],"no se encuentra")</f>
        <v>Madrid</v>
      </c>
      <c r="L2980" t="str">
        <f>_xlfn.XLOOKUP(datos_ventas[[#This Row],[Provincia]],Tabla2[Provincias],Tabla2[Comunidades],"no se encuentra")</f>
        <v>Comunidad de Madrid</v>
      </c>
      <c r="M2980" t="s">
        <v>13</v>
      </c>
      <c r="N2980">
        <v>4</v>
      </c>
    </row>
    <row r="2981" spans="1:14" x14ac:dyDescent="0.25">
      <c r="A2981">
        <v>3980</v>
      </c>
      <c r="B2981" s="1">
        <v>45918</v>
      </c>
      <c r="C2981" s="4">
        <f>MONTH(datos_ventas[[#This Row],[Fecha]])</f>
        <v>9</v>
      </c>
      <c r="D2981" s="4">
        <f>WEEKNUM(datos_ventas[[#This Row],[Fecha]],2)</f>
        <v>38</v>
      </c>
      <c r="E2981" t="s">
        <v>17</v>
      </c>
      <c r="F2981" t="s">
        <v>18</v>
      </c>
      <c r="G2981">
        <v>3</v>
      </c>
      <c r="H2981">
        <v>6859</v>
      </c>
      <c r="I2981">
        <v>2421</v>
      </c>
      <c r="J2981" t="s">
        <v>31</v>
      </c>
      <c r="K2981" t="str">
        <f>_xlfn.XLOOKUP(datos_ventas[[#This Row],[Ciudad]],Tabla2[Ciudades],Tabla2[Provincias],"no se encuentra")</f>
        <v>Vizcaya</v>
      </c>
      <c r="L2981" t="str">
        <f>_xlfn.XLOOKUP(datos_ventas[[#This Row],[Provincia]],Tabla2[Provincias],Tabla2[Comunidades],"no se encuentra")</f>
        <v>País Vasco</v>
      </c>
      <c r="M2981" t="s">
        <v>28</v>
      </c>
      <c r="N2981">
        <v>3</v>
      </c>
    </row>
    <row r="2982" spans="1:14" x14ac:dyDescent="0.25">
      <c r="A2982">
        <v>3981</v>
      </c>
      <c r="B2982" s="1">
        <v>45750</v>
      </c>
      <c r="C2982" s="4">
        <f>MONTH(datos_ventas[[#This Row],[Fecha]])</f>
        <v>4</v>
      </c>
      <c r="D2982" s="4">
        <f>WEEKNUM(datos_ventas[[#This Row],[Fecha]],2)</f>
        <v>14</v>
      </c>
      <c r="E2982" t="s">
        <v>29</v>
      </c>
      <c r="F2982" t="s">
        <v>30</v>
      </c>
      <c r="G2982">
        <v>3</v>
      </c>
      <c r="H2982">
        <v>43402</v>
      </c>
      <c r="I2982">
        <v>3223</v>
      </c>
      <c r="J2982" t="s">
        <v>22</v>
      </c>
      <c r="K2982" t="str">
        <f>_xlfn.XLOOKUP(datos_ventas[[#This Row],[Ciudad]],Tabla2[Ciudades],Tabla2[Provincias],"no se encuentra")</f>
        <v>Valencia</v>
      </c>
      <c r="L2982" t="str">
        <f>_xlfn.XLOOKUP(datos_ventas[[#This Row],[Provincia]],Tabla2[Provincias],Tabla2[Comunidades],"no se encuentra")</f>
        <v>Comunidad Valenciana</v>
      </c>
      <c r="M2982" t="s">
        <v>13</v>
      </c>
      <c r="N2982">
        <v>1</v>
      </c>
    </row>
    <row r="2983" spans="1:14" x14ac:dyDescent="0.25">
      <c r="A2983">
        <v>3982</v>
      </c>
      <c r="B2983" s="1">
        <v>45704</v>
      </c>
      <c r="C2983" s="4">
        <f>MONTH(datos_ventas[[#This Row],[Fecha]])</f>
        <v>2</v>
      </c>
      <c r="D2983" s="4">
        <f>WEEKNUM(datos_ventas[[#This Row],[Fecha]],2)</f>
        <v>7</v>
      </c>
      <c r="E2983" t="s">
        <v>17</v>
      </c>
      <c r="F2983" t="s">
        <v>18</v>
      </c>
      <c r="G2983">
        <v>4</v>
      </c>
      <c r="H2983">
        <v>119592</v>
      </c>
      <c r="I2983">
        <v>4618</v>
      </c>
      <c r="J2983" t="s">
        <v>32</v>
      </c>
      <c r="K2983" t="str">
        <f>_xlfn.XLOOKUP(datos_ventas[[#This Row],[Ciudad]],Tabla2[Ciudades],Tabla2[Provincias],"no se encuentra")</f>
        <v>Barcelona</v>
      </c>
      <c r="L2983" t="str">
        <f>_xlfn.XLOOKUP(datos_ventas[[#This Row],[Provincia]],Tabla2[Provincias],Tabla2[Comunidades],"no se encuentra")</f>
        <v>Cataluña</v>
      </c>
      <c r="M2983" t="s">
        <v>28</v>
      </c>
      <c r="N2983">
        <v>2</v>
      </c>
    </row>
    <row r="2984" spans="1:14" x14ac:dyDescent="0.25">
      <c r="A2984">
        <v>3983</v>
      </c>
      <c r="B2984" s="1">
        <v>45705</v>
      </c>
      <c r="C2984" s="4">
        <f>MONTH(datos_ventas[[#This Row],[Fecha]])</f>
        <v>2</v>
      </c>
      <c r="D2984" s="4">
        <f>WEEKNUM(datos_ventas[[#This Row],[Fecha]],2)</f>
        <v>8</v>
      </c>
      <c r="E2984" t="s">
        <v>29</v>
      </c>
      <c r="F2984" t="s">
        <v>30</v>
      </c>
      <c r="G2984">
        <v>4</v>
      </c>
      <c r="H2984">
        <v>106524</v>
      </c>
      <c r="I2984">
        <v>712</v>
      </c>
      <c r="J2984" t="s">
        <v>22</v>
      </c>
      <c r="K2984" t="str">
        <f>_xlfn.XLOOKUP(datos_ventas[[#This Row],[Ciudad]],Tabla2[Ciudades],Tabla2[Provincias],"no se encuentra")</f>
        <v>Valencia</v>
      </c>
      <c r="L2984" t="str">
        <f>_xlfn.XLOOKUP(datos_ventas[[#This Row],[Provincia]],Tabla2[Provincias],Tabla2[Comunidades],"no se encuentra")</f>
        <v>Comunidad Valenciana</v>
      </c>
      <c r="M2984" t="s">
        <v>19</v>
      </c>
      <c r="N2984">
        <v>5</v>
      </c>
    </row>
    <row r="2985" spans="1:14" x14ac:dyDescent="0.25">
      <c r="A2985">
        <v>3984</v>
      </c>
      <c r="B2985" s="1">
        <v>46022</v>
      </c>
      <c r="C2985" s="4">
        <f>MONTH(datos_ventas[[#This Row],[Fecha]])</f>
        <v>12</v>
      </c>
      <c r="D2985" s="4">
        <f>WEEKNUM(datos_ventas[[#This Row],[Fecha]],2)</f>
        <v>53</v>
      </c>
      <c r="E2985" t="s">
        <v>10</v>
      </c>
      <c r="F2985" t="s">
        <v>11</v>
      </c>
      <c r="G2985">
        <v>3</v>
      </c>
      <c r="H2985">
        <v>105398</v>
      </c>
      <c r="I2985">
        <v>1716</v>
      </c>
      <c r="J2985" t="s">
        <v>31</v>
      </c>
      <c r="K2985" t="str">
        <f>_xlfn.XLOOKUP(datos_ventas[[#This Row],[Ciudad]],Tabla2[Ciudades],Tabla2[Provincias],"no se encuentra")</f>
        <v>Vizcaya</v>
      </c>
      <c r="L2985" t="str">
        <f>_xlfn.XLOOKUP(datos_ventas[[#This Row],[Provincia]],Tabla2[Provincias],Tabla2[Comunidades],"no se encuentra")</f>
        <v>País Vasco</v>
      </c>
      <c r="M2985" t="s">
        <v>13</v>
      </c>
      <c r="N2985">
        <v>2</v>
      </c>
    </row>
    <row r="2986" spans="1:14" x14ac:dyDescent="0.25">
      <c r="A2986">
        <v>3985</v>
      </c>
      <c r="B2986" s="1">
        <v>45979</v>
      </c>
      <c r="C2986" s="4">
        <f>MONTH(datos_ventas[[#This Row],[Fecha]])</f>
        <v>11</v>
      </c>
      <c r="D2986" s="4">
        <f>WEEKNUM(datos_ventas[[#This Row],[Fecha]],2)</f>
        <v>47</v>
      </c>
      <c r="E2986" t="s">
        <v>24</v>
      </c>
      <c r="F2986" t="s">
        <v>25</v>
      </c>
      <c r="G2986">
        <v>1</v>
      </c>
      <c r="H2986">
        <v>20887</v>
      </c>
      <c r="I2986">
        <v>2158</v>
      </c>
      <c r="J2986" t="s">
        <v>14</v>
      </c>
      <c r="K2986" t="str">
        <f>_xlfn.XLOOKUP(datos_ventas[[#This Row],[Ciudad]],Tabla2[Ciudades],Tabla2[Provincias],"no se encuentra")</f>
        <v>Madrid</v>
      </c>
      <c r="L2986" t="str">
        <f>_xlfn.XLOOKUP(datos_ventas[[#This Row],[Provincia]],Tabla2[Provincias],Tabla2[Comunidades],"no se encuentra")</f>
        <v>Comunidad de Madrid</v>
      </c>
      <c r="M2986" t="s">
        <v>28</v>
      </c>
      <c r="N2986">
        <v>1</v>
      </c>
    </row>
    <row r="2987" spans="1:14" x14ac:dyDescent="0.25">
      <c r="A2987">
        <v>3986</v>
      </c>
      <c r="B2987" s="1">
        <v>45765</v>
      </c>
      <c r="C2987" s="4">
        <f>MONTH(datos_ventas[[#This Row],[Fecha]])</f>
        <v>4</v>
      </c>
      <c r="D2987" s="4">
        <f>WEEKNUM(datos_ventas[[#This Row],[Fecha]],2)</f>
        <v>16</v>
      </c>
      <c r="E2987" t="s">
        <v>16</v>
      </c>
      <c r="F2987" t="s">
        <v>11</v>
      </c>
      <c r="G2987">
        <v>2</v>
      </c>
      <c r="H2987">
        <v>23924</v>
      </c>
      <c r="I2987">
        <v>2651</v>
      </c>
      <c r="J2987" t="s">
        <v>32</v>
      </c>
      <c r="K2987" t="str">
        <f>_xlfn.XLOOKUP(datos_ventas[[#This Row],[Ciudad]],Tabla2[Ciudades],Tabla2[Provincias],"no se encuentra")</f>
        <v>Barcelona</v>
      </c>
      <c r="L2987" t="str">
        <f>_xlfn.XLOOKUP(datos_ventas[[#This Row],[Provincia]],Tabla2[Provincias],Tabla2[Comunidades],"no se encuentra")</f>
        <v>Cataluña</v>
      </c>
      <c r="M2987" t="s">
        <v>28</v>
      </c>
      <c r="N2987">
        <v>4</v>
      </c>
    </row>
    <row r="2988" spans="1:14" x14ac:dyDescent="0.25">
      <c r="A2988">
        <v>3987</v>
      </c>
      <c r="B2988" s="1">
        <v>45937</v>
      </c>
      <c r="C2988" s="4">
        <f>MONTH(datos_ventas[[#This Row],[Fecha]])</f>
        <v>10</v>
      </c>
      <c r="D2988" s="4">
        <f>WEEKNUM(datos_ventas[[#This Row],[Fecha]],2)</f>
        <v>41</v>
      </c>
      <c r="E2988" t="s">
        <v>26</v>
      </c>
      <c r="F2988" t="s">
        <v>18</v>
      </c>
      <c r="G2988">
        <v>4</v>
      </c>
      <c r="H2988">
        <v>72352</v>
      </c>
      <c r="I2988">
        <v>699</v>
      </c>
      <c r="J2988" t="s">
        <v>22</v>
      </c>
      <c r="K2988" t="str">
        <f>_xlfn.XLOOKUP(datos_ventas[[#This Row],[Ciudad]],Tabla2[Ciudades],Tabla2[Provincias],"no se encuentra")</f>
        <v>Valencia</v>
      </c>
      <c r="L2988" t="str">
        <f>_xlfn.XLOOKUP(datos_ventas[[#This Row],[Provincia]],Tabla2[Provincias],Tabla2[Comunidades],"no se encuentra")</f>
        <v>Comunidad Valenciana</v>
      </c>
      <c r="M2988" t="s">
        <v>15</v>
      </c>
      <c r="N2988">
        <v>1</v>
      </c>
    </row>
    <row r="2989" spans="1:14" x14ac:dyDescent="0.25">
      <c r="A2989">
        <v>3988</v>
      </c>
      <c r="B2989" s="1">
        <v>45739</v>
      </c>
      <c r="C2989" s="4">
        <f>MONTH(datos_ventas[[#This Row],[Fecha]])</f>
        <v>3</v>
      </c>
      <c r="D2989" s="4">
        <f>WEEKNUM(datos_ventas[[#This Row],[Fecha]],2)</f>
        <v>12</v>
      </c>
      <c r="E2989" t="s">
        <v>23</v>
      </c>
      <c r="F2989" t="s">
        <v>18</v>
      </c>
      <c r="G2989">
        <v>2</v>
      </c>
      <c r="H2989">
        <v>628</v>
      </c>
      <c r="I2989">
        <v>1391</v>
      </c>
      <c r="J2989" t="s">
        <v>32</v>
      </c>
      <c r="K2989" t="str">
        <f>_xlfn.XLOOKUP(datos_ventas[[#This Row],[Ciudad]],Tabla2[Ciudades],Tabla2[Provincias],"no se encuentra")</f>
        <v>Barcelona</v>
      </c>
      <c r="L2989" t="str">
        <f>_xlfn.XLOOKUP(datos_ventas[[#This Row],[Provincia]],Tabla2[Provincias],Tabla2[Comunidades],"no se encuentra")</f>
        <v>Cataluña</v>
      </c>
      <c r="M2989" t="s">
        <v>15</v>
      </c>
      <c r="N2989">
        <v>3</v>
      </c>
    </row>
    <row r="2990" spans="1:14" x14ac:dyDescent="0.25">
      <c r="A2990">
        <v>3989</v>
      </c>
      <c r="B2990" s="1">
        <v>45984</v>
      </c>
      <c r="C2990" s="4">
        <f>MONTH(datos_ventas[[#This Row],[Fecha]])</f>
        <v>11</v>
      </c>
      <c r="D2990" s="4">
        <f>WEEKNUM(datos_ventas[[#This Row],[Fecha]],2)</f>
        <v>47</v>
      </c>
      <c r="E2990" t="s">
        <v>16</v>
      </c>
      <c r="F2990" t="s">
        <v>11</v>
      </c>
      <c r="G2990">
        <v>4</v>
      </c>
      <c r="H2990">
        <v>14411</v>
      </c>
      <c r="I2990">
        <v>4835</v>
      </c>
      <c r="J2990" t="s">
        <v>22</v>
      </c>
      <c r="K2990" t="str">
        <f>_xlfn.XLOOKUP(datos_ventas[[#This Row],[Ciudad]],Tabla2[Ciudades],Tabla2[Provincias],"no se encuentra")</f>
        <v>Valencia</v>
      </c>
      <c r="L2990" t="str">
        <f>_xlfn.XLOOKUP(datos_ventas[[#This Row],[Provincia]],Tabla2[Provincias],Tabla2[Comunidades],"no se encuentra")</f>
        <v>Comunidad Valenciana</v>
      </c>
      <c r="M2990" t="s">
        <v>28</v>
      </c>
      <c r="N2990">
        <v>1</v>
      </c>
    </row>
    <row r="2991" spans="1:14" x14ac:dyDescent="0.25">
      <c r="A2991">
        <v>3990</v>
      </c>
      <c r="B2991" s="1">
        <v>46002</v>
      </c>
      <c r="C2991" s="4">
        <f>MONTH(datos_ventas[[#This Row],[Fecha]])</f>
        <v>12</v>
      </c>
      <c r="D2991" s="4">
        <f>WEEKNUM(datos_ventas[[#This Row],[Fecha]],2)</f>
        <v>50</v>
      </c>
      <c r="E2991" t="s">
        <v>29</v>
      </c>
      <c r="F2991" t="s">
        <v>30</v>
      </c>
      <c r="G2991">
        <v>1</v>
      </c>
      <c r="H2991">
        <v>3833</v>
      </c>
      <c r="I2991">
        <v>1218</v>
      </c>
      <c r="J2991" t="s">
        <v>27</v>
      </c>
      <c r="K2991" t="str">
        <f>_xlfn.XLOOKUP(datos_ventas[[#This Row],[Ciudad]],Tabla2[Ciudades],Tabla2[Provincias],"no se encuentra")</f>
        <v>Sevilla</v>
      </c>
      <c r="L2991" t="str">
        <f>_xlfn.XLOOKUP(datos_ventas[[#This Row],[Provincia]],Tabla2[Provincias],Tabla2[Comunidades],"no se encuentra")</f>
        <v>Andalucía</v>
      </c>
      <c r="M2991" t="s">
        <v>13</v>
      </c>
      <c r="N2991">
        <v>2</v>
      </c>
    </row>
    <row r="2992" spans="1:14" x14ac:dyDescent="0.25">
      <c r="A2992">
        <v>3991</v>
      </c>
      <c r="B2992" s="1">
        <v>45871</v>
      </c>
      <c r="C2992" s="4">
        <f>MONTH(datos_ventas[[#This Row],[Fecha]])</f>
        <v>8</v>
      </c>
      <c r="D2992" s="4">
        <f>WEEKNUM(datos_ventas[[#This Row],[Fecha]],2)</f>
        <v>31</v>
      </c>
      <c r="E2992" t="s">
        <v>23</v>
      </c>
      <c r="F2992" t="s">
        <v>18</v>
      </c>
      <c r="G2992">
        <v>2</v>
      </c>
      <c r="H2992">
        <v>118177</v>
      </c>
      <c r="I2992">
        <v>559</v>
      </c>
      <c r="J2992" t="s">
        <v>31</v>
      </c>
      <c r="K2992" t="str">
        <f>_xlfn.XLOOKUP(datos_ventas[[#This Row],[Ciudad]],Tabla2[Ciudades],Tabla2[Provincias],"no se encuentra")</f>
        <v>Vizcaya</v>
      </c>
      <c r="L2992" t="str">
        <f>_xlfn.XLOOKUP(datos_ventas[[#This Row],[Provincia]],Tabla2[Provincias],Tabla2[Comunidades],"no se encuentra")</f>
        <v>País Vasco</v>
      </c>
      <c r="M2992" t="s">
        <v>15</v>
      </c>
      <c r="N2992">
        <v>5</v>
      </c>
    </row>
    <row r="2993" spans="1:14" x14ac:dyDescent="0.25">
      <c r="A2993">
        <v>3992</v>
      </c>
      <c r="B2993" s="1">
        <v>45896</v>
      </c>
      <c r="C2993" s="4">
        <f>MONTH(datos_ventas[[#This Row],[Fecha]])</f>
        <v>8</v>
      </c>
      <c r="D2993" s="4">
        <f>WEEKNUM(datos_ventas[[#This Row],[Fecha]],2)</f>
        <v>35</v>
      </c>
      <c r="E2993" t="s">
        <v>26</v>
      </c>
      <c r="F2993" t="s">
        <v>18</v>
      </c>
      <c r="G2993">
        <v>5</v>
      </c>
      <c r="H2993">
        <v>10525</v>
      </c>
      <c r="I2993">
        <v>3834</v>
      </c>
      <c r="J2993" t="s">
        <v>12</v>
      </c>
      <c r="K2993" t="str">
        <f>_xlfn.XLOOKUP(datos_ventas[[#This Row],[Ciudad]],Tabla2[Ciudades],Tabla2[Provincias],"no se encuentra")</f>
        <v>Málaga</v>
      </c>
      <c r="L2993" t="str">
        <f>_xlfn.XLOOKUP(datos_ventas[[#This Row],[Provincia]],Tabla2[Provincias],Tabla2[Comunidades],"no se encuentra")</f>
        <v>Andalucía</v>
      </c>
      <c r="M2993" t="s">
        <v>15</v>
      </c>
      <c r="N2993">
        <v>1</v>
      </c>
    </row>
    <row r="2994" spans="1:14" x14ac:dyDescent="0.25">
      <c r="A2994">
        <v>3993</v>
      </c>
      <c r="B2994" s="1">
        <v>45874</v>
      </c>
      <c r="C2994" s="4">
        <f>MONTH(datos_ventas[[#This Row],[Fecha]])</f>
        <v>8</v>
      </c>
      <c r="D2994" s="4">
        <f>WEEKNUM(datos_ventas[[#This Row],[Fecha]],2)</f>
        <v>32</v>
      </c>
      <c r="E2994" t="s">
        <v>16</v>
      </c>
      <c r="F2994" t="s">
        <v>11</v>
      </c>
      <c r="G2994">
        <v>5</v>
      </c>
      <c r="H2994">
        <v>30219</v>
      </c>
      <c r="I2994">
        <v>1077</v>
      </c>
      <c r="J2994" t="s">
        <v>14</v>
      </c>
      <c r="K2994" t="str">
        <f>_xlfn.XLOOKUP(datos_ventas[[#This Row],[Ciudad]],Tabla2[Ciudades],Tabla2[Provincias],"no se encuentra")</f>
        <v>Madrid</v>
      </c>
      <c r="L2994" t="str">
        <f>_xlfn.XLOOKUP(datos_ventas[[#This Row],[Provincia]],Tabla2[Provincias],Tabla2[Comunidades],"no se encuentra")</f>
        <v>Comunidad de Madrid</v>
      </c>
      <c r="M2994" t="s">
        <v>13</v>
      </c>
      <c r="N2994">
        <v>5</v>
      </c>
    </row>
    <row r="2995" spans="1:14" x14ac:dyDescent="0.25">
      <c r="A2995">
        <v>3994</v>
      </c>
      <c r="B2995" s="1">
        <v>45958</v>
      </c>
      <c r="C2995" s="4">
        <f>MONTH(datos_ventas[[#This Row],[Fecha]])</f>
        <v>10</v>
      </c>
      <c r="D2995" s="4">
        <f>WEEKNUM(datos_ventas[[#This Row],[Fecha]],2)</f>
        <v>44</v>
      </c>
      <c r="E2995" t="s">
        <v>17</v>
      </c>
      <c r="F2995" t="s">
        <v>18</v>
      </c>
      <c r="G2995">
        <v>1</v>
      </c>
      <c r="H2995">
        <v>3529</v>
      </c>
      <c r="I2995">
        <v>3457</v>
      </c>
      <c r="J2995" t="s">
        <v>22</v>
      </c>
      <c r="K2995" t="str">
        <f>_xlfn.XLOOKUP(datos_ventas[[#This Row],[Ciudad]],Tabla2[Ciudades],Tabla2[Provincias],"no se encuentra")</f>
        <v>Valencia</v>
      </c>
      <c r="L2995" t="str">
        <f>_xlfn.XLOOKUP(datos_ventas[[#This Row],[Provincia]],Tabla2[Provincias],Tabla2[Comunidades],"no se encuentra")</f>
        <v>Comunidad Valenciana</v>
      </c>
      <c r="M2995" t="s">
        <v>15</v>
      </c>
      <c r="N2995">
        <v>4</v>
      </c>
    </row>
    <row r="2996" spans="1:14" x14ac:dyDescent="0.25">
      <c r="A2996">
        <v>3995</v>
      </c>
      <c r="B2996" s="1">
        <v>45892</v>
      </c>
      <c r="C2996" s="4">
        <f>MONTH(datos_ventas[[#This Row],[Fecha]])</f>
        <v>8</v>
      </c>
      <c r="D2996" s="4">
        <f>WEEKNUM(datos_ventas[[#This Row],[Fecha]],2)</f>
        <v>34</v>
      </c>
      <c r="E2996" t="s">
        <v>24</v>
      </c>
      <c r="F2996" t="s">
        <v>25</v>
      </c>
      <c r="G2996">
        <v>5</v>
      </c>
      <c r="H2996">
        <v>89218</v>
      </c>
      <c r="I2996">
        <v>719</v>
      </c>
      <c r="J2996" t="s">
        <v>22</v>
      </c>
      <c r="K2996" t="str">
        <f>_xlfn.XLOOKUP(datos_ventas[[#This Row],[Ciudad]],Tabla2[Ciudades],Tabla2[Provincias],"no se encuentra")</f>
        <v>Valencia</v>
      </c>
      <c r="L2996" t="str">
        <f>_xlfn.XLOOKUP(datos_ventas[[#This Row],[Provincia]],Tabla2[Provincias],Tabla2[Comunidades],"no se encuentra")</f>
        <v>Comunidad Valenciana</v>
      </c>
      <c r="M2996" t="s">
        <v>15</v>
      </c>
      <c r="N2996">
        <v>3</v>
      </c>
    </row>
    <row r="2997" spans="1:14" x14ac:dyDescent="0.25">
      <c r="A2997">
        <v>3996</v>
      </c>
      <c r="B2997" s="1">
        <v>45832</v>
      </c>
      <c r="C2997" s="4">
        <f>MONTH(datos_ventas[[#This Row],[Fecha]])</f>
        <v>6</v>
      </c>
      <c r="D2997" s="4">
        <f>WEEKNUM(datos_ventas[[#This Row],[Fecha]],2)</f>
        <v>26</v>
      </c>
      <c r="E2997" t="s">
        <v>17</v>
      </c>
      <c r="F2997" t="s">
        <v>18</v>
      </c>
      <c r="G2997">
        <v>3</v>
      </c>
      <c r="H2997">
        <v>17276</v>
      </c>
      <c r="I2997">
        <v>2444</v>
      </c>
      <c r="J2997" t="s">
        <v>31</v>
      </c>
      <c r="K2997" t="str">
        <f>_xlfn.XLOOKUP(datos_ventas[[#This Row],[Ciudad]],Tabla2[Ciudades],Tabla2[Provincias],"no se encuentra")</f>
        <v>Vizcaya</v>
      </c>
      <c r="L2997" t="str">
        <f>_xlfn.XLOOKUP(datos_ventas[[#This Row],[Provincia]],Tabla2[Provincias],Tabla2[Comunidades],"no se encuentra")</f>
        <v>País Vasco</v>
      </c>
      <c r="M2997" t="s">
        <v>28</v>
      </c>
      <c r="N2997">
        <v>3</v>
      </c>
    </row>
    <row r="2998" spans="1:14" x14ac:dyDescent="0.25">
      <c r="A2998">
        <v>3997</v>
      </c>
      <c r="B2998" s="1">
        <v>45966</v>
      </c>
      <c r="C2998" s="4">
        <f>MONTH(datos_ventas[[#This Row],[Fecha]])</f>
        <v>11</v>
      </c>
      <c r="D2998" s="4">
        <f>WEEKNUM(datos_ventas[[#This Row],[Fecha]],2)</f>
        <v>45</v>
      </c>
      <c r="E2998" t="s">
        <v>24</v>
      </c>
      <c r="F2998" t="s">
        <v>25</v>
      </c>
      <c r="G2998">
        <v>2</v>
      </c>
      <c r="H2998">
        <v>99251</v>
      </c>
      <c r="I2998">
        <v>3464</v>
      </c>
      <c r="J2998" t="s">
        <v>32</v>
      </c>
      <c r="K2998" t="str">
        <f>_xlfn.XLOOKUP(datos_ventas[[#This Row],[Ciudad]],Tabla2[Ciudades],Tabla2[Provincias],"no se encuentra")</f>
        <v>Barcelona</v>
      </c>
      <c r="L2998" t="str">
        <f>_xlfn.XLOOKUP(datos_ventas[[#This Row],[Provincia]],Tabla2[Provincias],Tabla2[Comunidades],"no se encuentra")</f>
        <v>Cataluña</v>
      </c>
      <c r="M2998" t="s">
        <v>13</v>
      </c>
      <c r="N2998">
        <v>3</v>
      </c>
    </row>
    <row r="2999" spans="1:14" x14ac:dyDescent="0.25">
      <c r="A2999">
        <v>3998</v>
      </c>
      <c r="B2999" s="1">
        <v>45967</v>
      </c>
      <c r="C2999" s="4">
        <f>MONTH(datos_ventas[[#This Row],[Fecha]])</f>
        <v>11</v>
      </c>
      <c r="D2999" s="4">
        <f>WEEKNUM(datos_ventas[[#This Row],[Fecha]],2)</f>
        <v>45</v>
      </c>
      <c r="E2999" t="s">
        <v>10</v>
      </c>
      <c r="F2999" t="s">
        <v>11</v>
      </c>
      <c r="G2999">
        <v>1</v>
      </c>
      <c r="H2999">
        <v>41467</v>
      </c>
      <c r="I2999">
        <v>3319</v>
      </c>
      <c r="J2999" t="s">
        <v>32</v>
      </c>
      <c r="K2999" t="str">
        <f>_xlfn.XLOOKUP(datos_ventas[[#This Row],[Ciudad]],Tabla2[Ciudades],Tabla2[Provincias],"no se encuentra")</f>
        <v>Barcelona</v>
      </c>
      <c r="L2999" t="str">
        <f>_xlfn.XLOOKUP(datos_ventas[[#This Row],[Provincia]],Tabla2[Provincias],Tabla2[Comunidades],"no se encuentra")</f>
        <v>Cataluña</v>
      </c>
      <c r="M2999" t="s">
        <v>28</v>
      </c>
      <c r="N2999">
        <v>2</v>
      </c>
    </row>
    <row r="3000" spans="1:14" x14ac:dyDescent="0.25">
      <c r="A3000">
        <v>3999</v>
      </c>
      <c r="B3000" s="1">
        <v>45937</v>
      </c>
      <c r="C3000" s="4">
        <f>MONTH(datos_ventas[[#This Row],[Fecha]])</f>
        <v>10</v>
      </c>
      <c r="D3000" s="4">
        <f>WEEKNUM(datos_ventas[[#This Row],[Fecha]],2)</f>
        <v>41</v>
      </c>
      <c r="E3000" t="s">
        <v>17</v>
      </c>
      <c r="F3000" t="s">
        <v>18</v>
      </c>
      <c r="G3000">
        <v>3</v>
      </c>
      <c r="H3000">
        <v>54492</v>
      </c>
      <c r="I3000">
        <v>3291</v>
      </c>
      <c r="J3000" t="s">
        <v>27</v>
      </c>
      <c r="K3000" t="str">
        <f>_xlfn.XLOOKUP(datos_ventas[[#This Row],[Ciudad]],Tabla2[Ciudades],Tabla2[Provincias],"no se encuentra")</f>
        <v>Sevilla</v>
      </c>
      <c r="L3000" t="str">
        <f>_xlfn.XLOOKUP(datos_ventas[[#This Row],[Provincia]],Tabla2[Provincias],Tabla2[Comunidades],"no se encuentra")</f>
        <v>Andalucía</v>
      </c>
      <c r="M3000" t="s">
        <v>13</v>
      </c>
      <c r="N3000">
        <v>4</v>
      </c>
    </row>
    <row r="3001" spans="1:14" x14ac:dyDescent="0.25">
      <c r="A3001">
        <v>4000</v>
      </c>
      <c r="B3001" s="1">
        <v>45796</v>
      </c>
      <c r="C3001" s="4">
        <f>MONTH(datos_ventas[[#This Row],[Fecha]])</f>
        <v>5</v>
      </c>
      <c r="D3001" s="4">
        <f>WEEKNUM(datos_ventas[[#This Row],[Fecha]],2)</f>
        <v>21</v>
      </c>
      <c r="E3001" t="s">
        <v>23</v>
      </c>
      <c r="F3001" t="s">
        <v>18</v>
      </c>
      <c r="G3001">
        <v>2</v>
      </c>
      <c r="H3001">
        <v>2378</v>
      </c>
      <c r="I3001">
        <v>215</v>
      </c>
      <c r="J3001" t="s">
        <v>27</v>
      </c>
      <c r="K3001" t="str">
        <f>_xlfn.XLOOKUP(datos_ventas[[#This Row],[Ciudad]],Tabla2[Ciudades],Tabla2[Provincias],"no se encuentra")</f>
        <v>Sevilla</v>
      </c>
      <c r="L3001" t="str">
        <f>_xlfn.XLOOKUP(datos_ventas[[#This Row],[Provincia]],Tabla2[Provincias],Tabla2[Comunidades],"no se encuentra")</f>
        <v>Andalucía</v>
      </c>
      <c r="M3001" t="s">
        <v>28</v>
      </c>
      <c r="N3001">
        <v>4</v>
      </c>
    </row>
    <row r="3002" spans="1:14" x14ac:dyDescent="0.25">
      <c r="A3002">
        <v>4001</v>
      </c>
      <c r="B3002" s="1">
        <v>46009</v>
      </c>
      <c r="C3002" s="4">
        <f>MONTH(datos_ventas[[#This Row],[Fecha]])</f>
        <v>12</v>
      </c>
      <c r="D3002" s="4">
        <f>WEEKNUM(datos_ventas[[#This Row],[Fecha]],2)</f>
        <v>51</v>
      </c>
      <c r="E3002" t="s">
        <v>24</v>
      </c>
      <c r="F3002" t="s">
        <v>25</v>
      </c>
      <c r="G3002">
        <v>5</v>
      </c>
      <c r="H3002">
        <v>25005</v>
      </c>
      <c r="I3002">
        <v>410</v>
      </c>
      <c r="J3002" t="s">
        <v>31</v>
      </c>
      <c r="K3002" t="str">
        <f>_xlfn.XLOOKUP(datos_ventas[[#This Row],[Ciudad]],Tabla2[Ciudades],Tabla2[Provincias],"no se encuentra")</f>
        <v>Vizcaya</v>
      </c>
      <c r="L3002" t="str">
        <f>_xlfn.XLOOKUP(datos_ventas[[#This Row],[Provincia]],Tabla2[Provincias],Tabla2[Comunidades],"no se encuentra")</f>
        <v>País Vasco</v>
      </c>
      <c r="M3002" t="s">
        <v>19</v>
      </c>
      <c r="N3002">
        <v>1</v>
      </c>
    </row>
    <row r="3003" spans="1:14" x14ac:dyDescent="0.25">
      <c r="A3003">
        <v>4002</v>
      </c>
      <c r="B3003" s="1">
        <v>45795</v>
      </c>
      <c r="C3003" s="4">
        <f>MONTH(datos_ventas[[#This Row],[Fecha]])</f>
        <v>5</v>
      </c>
      <c r="D3003" s="4">
        <f>WEEKNUM(datos_ventas[[#This Row],[Fecha]],2)</f>
        <v>20</v>
      </c>
      <c r="E3003" t="s">
        <v>29</v>
      </c>
      <c r="F3003" t="s">
        <v>30</v>
      </c>
      <c r="G3003">
        <v>4</v>
      </c>
      <c r="H3003">
        <v>45795</v>
      </c>
      <c r="I3003">
        <v>210</v>
      </c>
      <c r="J3003" t="s">
        <v>31</v>
      </c>
      <c r="K3003" t="str">
        <f>_xlfn.XLOOKUP(datos_ventas[[#This Row],[Ciudad]],Tabla2[Ciudades],Tabla2[Provincias],"no se encuentra")</f>
        <v>Vizcaya</v>
      </c>
      <c r="L3003" t="str">
        <f>_xlfn.XLOOKUP(datos_ventas[[#This Row],[Provincia]],Tabla2[Provincias],Tabla2[Comunidades],"no se encuentra")</f>
        <v>País Vasco</v>
      </c>
      <c r="M3003" t="s">
        <v>15</v>
      </c>
      <c r="N3003">
        <v>3</v>
      </c>
    </row>
    <row r="3004" spans="1:14" x14ac:dyDescent="0.25">
      <c r="A3004">
        <v>4003</v>
      </c>
      <c r="B3004" s="1">
        <v>45951</v>
      </c>
      <c r="C3004" s="4">
        <f>MONTH(datos_ventas[[#This Row],[Fecha]])</f>
        <v>10</v>
      </c>
      <c r="D3004" s="4">
        <f>WEEKNUM(datos_ventas[[#This Row],[Fecha]],2)</f>
        <v>43</v>
      </c>
      <c r="E3004" t="s">
        <v>23</v>
      </c>
      <c r="F3004" t="s">
        <v>18</v>
      </c>
      <c r="G3004">
        <v>3</v>
      </c>
      <c r="H3004">
        <v>89264</v>
      </c>
      <c r="I3004">
        <v>2166</v>
      </c>
      <c r="J3004" t="s">
        <v>32</v>
      </c>
      <c r="K3004" t="str">
        <f>_xlfn.XLOOKUP(datos_ventas[[#This Row],[Ciudad]],Tabla2[Ciudades],Tabla2[Provincias],"no se encuentra")</f>
        <v>Barcelona</v>
      </c>
      <c r="L3004" t="str">
        <f>_xlfn.XLOOKUP(datos_ventas[[#This Row],[Provincia]],Tabla2[Provincias],Tabla2[Comunidades],"no se encuentra")</f>
        <v>Cataluña</v>
      </c>
      <c r="M3004" t="s">
        <v>28</v>
      </c>
      <c r="N3004">
        <v>4</v>
      </c>
    </row>
    <row r="3005" spans="1:14" x14ac:dyDescent="0.25">
      <c r="A3005">
        <v>4004</v>
      </c>
      <c r="B3005" s="1">
        <v>45866</v>
      </c>
      <c r="C3005" s="4">
        <f>MONTH(datos_ventas[[#This Row],[Fecha]])</f>
        <v>7</v>
      </c>
      <c r="D3005" s="4">
        <f>WEEKNUM(datos_ventas[[#This Row],[Fecha]],2)</f>
        <v>31</v>
      </c>
      <c r="E3005" t="s">
        <v>23</v>
      </c>
      <c r="F3005" t="s">
        <v>18</v>
      </c>
      <c r="G3005">
        <v>1</v>
      </c>
      <c r="H3005">
        <v>66883</v>
      </c>
      <c r="I3005">
        <v>1814</v>
      </c>
      <c r="J3005" t="s">
        <v>32</v>
      </c>
      <c r="K3005" t="str">
        <f>_xlfn.XLOOKUP(datos_ventas[[#This Row],[Ciudad]],Tabla2[Ciudades],Tabla2[Provincias],"no se encuentra")</f>
        <v>Barcelona</v>
      </c>
      <c r="L3005" t="str">
        <f>_xlfn.XLOOKUP(datos_ventas[[#This Row],[Provincia]],Tabla2[Provincias],Tabla2[Comunidades],"no se encuentra")</f>
        <v>Cataluña</v>
      </c>
      <c r="M3005" t="s">
        <v>13</v>
      </c>
      <c r="N3005">
        <v>3</v>
      </c>
    </row>
    <row r="3006" spans="1:14" x14ac:dyDescent="0.25">
      <c r="A3006">
        <v>4005</v>
      </c>
      <c r="B3006" s="1">
        <v>45672</v>
      </c>
      <c r="C3006" s="4">
        <f>MONTH(datos_ventas[[#This Row],[Fecha]])</f>
        <v>1</v>
      </c>
      <c r="D3006" s="4">
        <f>WEEKNUM(datos_ventas[[#This Row],[Fecha]],2)</f>
        <v>3</v>
      </c>
      <c r="E3006" t="s">
        <v>26</v>
      </c>
      <c r="F3006" t="s">
        <v>18</v>
      </c>
      <c r="G3006">
        <v>4</v>
      </c>
      <c r="H3006">
        <v>65299</v>
      </c>
      <c r="I3006">
        <v>2856</v>
      </c>
      <c r="J3006" t="s">
        <v>27</v>
      </c>
      <c r="K3006" t="str">
        <f>_xlfn.XLOOKUP(datos_ventas[[#This Row],[Ciudad]],Tabla2[Ciudades],Tabla2[Provincias],"no se encuentra")</f>
        <v>Sevilla</v>
      </c>
      <c r="L3006" t="str">
        <f>_xlfn.XLOOKUP(datos_ventas[[#This Row],[Provincia]],Tabla2[Provincias],Tabla2[Comunidades],"no se encuentra")</f>
        <v>Andalucía</v>
      </c>
      <c r="M3006" t="s">
        <v>19</v>
      </c>
      <c r="N3006">
        <v>5</v>
      </c>
    </row>
    <row r="3007" spans="1:14" x14ac:dyDescent="0.25">
      <c r="A3007">
        <v>4006</v>
      </c>
      <c r="B3007" s="1">
        <v>45827</v>
      </c>
      <c r="C3007" s="4">
        <f>MONTH(datos_ventas[[#This Row],[Fecha]])</f>
        <v>6</v>
      </c>
      <c r="D3007" s="4">
        <f>WEEKNUM(datos_ventas[[#This Row],[Fecha]],2)</f>
        <v>25</v>
      </c>
      <c r="E3007" t="s">
        <v>29</v>
      </c>
      <c r="F3007" t="s">
        <v>30</v>
      </c>
      <c r="G3007">
        <v>2</v>
      </c>
      <c r="H3007">
        <v>16754</v>
      </c>
      <c r="I3007">
        <v>4029</v>
      </c>
      <c r="J3007" t="s">
        <v>22</v>
      </c>
      <c r="K3007" t="str">
        <f>_xlfn.XLOOKUP(datos_ventas[[#This Row],[Ciudad]],Tabla2[Ciudades],Tabla2[Provincias],"no se encuentra")</f>
        <v>Valencia</v>
      </c>
      <c r="L3007" t="str">
        <f>_xlfn.XLOOKUP(datos_ventas[[#This Row],[Provincia]],Tabla2[Provincias],Tabla2[Comunidades],"no se encuentra")</f>
        <v>Comunidad Valenciana</v>
      </c>
      <c r="M3007" t="s">
        <v>13</v>
      </c>
      <c r="N3007">
        <v>1</v>
      </c>
    </row>
    <row r="3008" spans="1:14" x14ac:dyDescent="0.25">
      <c r="A3008">
        <v>4007</v>
      </c>
      <c r="B3008" s="1">
        <v>45694</v>
      </c>
      <c r="C3008" s="4">
        <f>MONTH(datos_ventas[[#This Row],[Fecha]])</f>
        <v>2</v>
      </c>
      <c r="D3008" s="4">
        <f>WEEKNUM(datos_ventas[[#This Row],[Fecha]],2)</f>
        <v>6</v>
      </c>
      <c r="E3008" t="s">
        <v>20</v>
      </c>
      <c r="F3008" t="s">
        <v>21</v>
      </c>
      <c r="G3008">
        <v>1</v>
      </c>
      <c r="H3008">
        <v>39903</v>
      </c>
      <c r="I3008">
        <v>1426</v>
      </c>
      <c r="J3008" t="s">
        <v>31</v>
      </c>
      <c r="K3008" t="str">
        <f>_xlfn.XLOOKUP(datos_ventas[[#This Row],[Ciudad]],Tabla2[Ciudades],Tabla2[Provincias],"no se encuentra")</f>
        <v>Vizcaya</v>
      </c>
      <c r="L3008" t="str">
        <f>_xlfn.XLOOKUP(datos_ventas[[#This Row],[Provincia]],Tabla2[Provincias],Tabla2[Comunidades],"no se encuentra")</f>
        <v>País Vasco</v>
      </c>
      <c r="M3008" t="s">
        <v>15</v>
      </c>
      <c r="N3008">
        <v>4</v>
      </c>
    </row>
    <row r="3009" spans="1:14" x14ac:dyDescent="0.25">
      <c r="A3009">
        <v>4008</v>
      </c>
      <c r="B3009" s="1">
        <v>46006</v>
      </c>
      <c r="C3009" s="4">
        <f>MONTH(datos_ventas[[#This Row],[Fecha]])</f>
        <v>12</v>
      </c>
      <c r="D3009" s="4">
        <f>WEEKNUM(datos_ventas[[#This Row],[Fecha]],2)</f>
        <v>51</v>
      </c>
      <c r="E3009" t="s">
        <v>24</v>
      </c>
      <c r="F3009" t="s">
        <v>25</v>
      </c>
      <c r="G3009">
        <v>4</v>
      </c>
      <c r="H3009">
        <v>73428</v>
      </c>
      <c r="I3009">
        <v>955</v>
      </c>
      <c r="J3009" t="s">
        <v>32</v>
      </c>
      <c r="K3009" t="str">
        <f>_xlfn.XLOOKUP(datos_ventas[[#This Row],[Ciudad]],Tabla2[Ciudades],Tabla2[Provincias],"no se encuentra")</f>
        <v>Barcelona</v>
      </c>
      <c r="L3009" t="str">
        <f>_xlfn.XLOOKUP(datos_ventas[[#This Row],[Provincia]],Tabla2[Provincias],Tabla2[Comunidades],"no se encuentra")</f>
        <v>Cataluña</v>
      </c>
      <c r="M3009" t="s">
        <v>13</v>
      </c>
      <c r="N3009">
        <v>3</v>
      </c>
    </row>
    <row r="3010" spans="1:14" x14ac:dyDescent="0.25">
      <c r="A3010">
        <v>4009</v>
      </c>
      <c r="B3010" s="1">
        <v>45997</v>
      </c>
      <c r="C3010" s="4">
        <f>MONTH(datos_ventas[[#This Row],[Fecha]])</f>
        <v>12</v>
      </c>
      <c r="D3010" s="4">
        <f>WEEKNUM(datos_ventas[[#This Row],[Fecha]],2)</f>
        <v>49</v>
      </c>
      <c r="E3010" t="s">
        <v>23</v>
      </c>
      <c r="F3010" t="s">
        <v>18</v>
      </c>
      <c r="G3010">
        <v>4</v>
      </c>
      <c r="H3010">
        <v>104106</v>
      </c>
      <c r="I3010">
        <v>2433</v>
      </c>
      <c r="J3010" t="s">
        <v>31</v>
      </c>
      <c r="K3010" t="str">
        <f>_xlfn.XLOOKUP(datos_ventas[[#This Row],[Ciudad]],Tabla2[Ciudades],Tabla2[Provincias],"no se encuentra")</f>
        <v>Vizcaya</v>
      </c>
      <c r="L3010" t="str">
        <f>_xlfn.XLOOKUP(datos_ventas[[#This Row],[Provincia]],Tabla2[Provincias],Tabla2[Comunidades],"no se encuentra")</f>
        <v>País Vasco</v>
      </c>
      <c r="M3010" t="s">
        <v>15</v>
      </c>
      <c r="N3010">
        <v>5</v>
      </c>
    </row>
    <row r="3011" spans="1:14" x14ac:dyDescent="0.25">
      <c r="A3011">
        <v>4010</v>
      </c>
      <c r="B3011" s="1">
        <v>45734</v>
      </c>
      <c r="C3011" s="4">
        <f>MONTH(datos_ventas[[#This Row],[Fecha]])</f>
        <v>3</v>
      </c>
      <c r="D3011" s="4">
        <f>WEEKNUM(datos_ventas[[#This Row],[Fecha]],2)</f>
        <v>12</v>
      </c>
      <c r="E3011" t="s">
        <v>26</v>
      </c>
      <c r="F3011" t="s">
        <v>18</v>
      </c>
      <c r="G3011">
        <v>4</v>
      </c>
      <c r="H3011">
        <v>114772</v>
      </c>
      <c r="I3011">
        <v>211</v>
      </c>
      <c r="J3011" t="s">
        <v>14</v>
      </c>
      <c r="K3011" t="str">
        <f>_xlfn.XLOOKUP(datos_ventas[[#This Row],[Ciudad]],Tabla2[Ciudades],Tabla2[Provincias],"no se encuentra")</f>
        <v>Madrid</v>
      </c>
      <c r="L3011" t="str">
        <f>_xlfn.XLOOKUP(datos_ventas[[#This Row],[Provincia]],Tabla2[Provincias],Tabla2[Comunidades],"no se encuentra")</f>
        <v>Comunidad de Madrid</v>
      </c>
      <c r="M3011" t="s">
        <v>19</v>
      </c>
      <c r="N3011">
        <v>4</v>
      </c>
    </row>
    <row r="3012" spans="1:14" x14ac:dyDescent="0.25">
      <c r="A3012">
        <v>4011</v>
      </c>
      <c r="B3012" s="1">
        <v>45691</v>
      </c>
      <c r="C3012" s="4">
        <f>MONTH(datos_ventas[[#This Row],[Fecha]])</f>
        <v>2</v>
      </c>
      <c r="D3012" s="4">
        <f>WEEKNUM(datos_ventas[[#This Row],[Fecha]],2)</f>
        <v>6</v>
      </c>
      <c r="E3012" t="s">
        <v>29</v>
      </c>
      <c r="F3012" t="s">
        <v>30</v>
      </c>
      <c r="G3012">
        <v>1</v>
      </c>
      <c r="H3012">
        <v>8578</v>
      </c>
      <c r="I3012">
        <v>4962</v>
      </c>
      <c r="J3012" t="s">
        <v>32</v>
      </c>
      <c r="K3012" t="str">
        <f>_xlfn.XLOOKUP(datos_ventas[[#This Row],[Ciudad]],Tabla2[Ciudades],Tabla2[Provincias],"no se encuentra")</f>
        <v>Barcelona</v>
      </c>
      <c r="L3012" t="str">
        <f>_xlfn.XLOOKUP(datos_ventas[[#This Row],[Provincia]],Tabla2[Provincias],Tabla2[Comunidades],"no se encuentra")</f>
        <v>Cataluña</v>
      </c>
      <c r="M3012" t="s">
        <v>13</v>
      </c>
      <c r="N3012">
        <v>3</v>
      </c>
    </row>
    <row r="3013" spans="1:14" x14ac:dyDescent="0.25">
      <c r="A3013">
        <v>4012</v>
      </c>
      <c r="B3013" s="1">
        <v>45663</v>
      </c>
      <c r="C3013" s="4">
        <f>MONTH(datos_ventas[[#This Row],[Fecha]])</f>
        <v>1</v>
      </c>
      <c r="D3013" s="4">
        <f>WEEKNUM(datos_ventas[[#This Row],[Fecha]],2)</f>
        <v>2</v>
      </c>
      <c r="E3013" t="s">
        <v>26</v>
      </c>
      <c r="F3013" t="s">
        <v>18</v>
      </c>
      <c r="G3013">
        <v>1</v>
      </c>
      <c r="H3013">
        <v>7583</v>
      </c>
      <c r="I3013">
        <v>2901</v>
      </c>
      <c r="J3013" t="s">
        <v>32</v>
      </c>
      <c r="K3013" t="str">
        <f>_xlfn.XLOOKUP(datos_ventas[[#This Row],[Ciudad]],Tabla2[Ciudades],Tabla2[Provincias],"no se encuentra")</f>
        <v>Barcelona</v>
      </c>
      <c r="L3013" t="str">
        <f>_xlfn.XLOOKUP(datos_ventas[[#This Row],[Provincia]],Tabla2[Provincias],Tabla2[Comunidades],"no se encuentra")</f>
        <v>Cataluña</v>
      </c>
      <c r="M3013" t="s">
        <v>15</v>
      </c>
      <c r="N3013">
        <v>2</v>
      </c>
    </row>
    <row r="3014" spans="1:14" x14ac:dyDescent="0.25">
      <c r="A3014">
        <v>4013</v>
      </c>
      <c r="B3014" s="1">
        <v>46009</v>
      </c>
      <c r="C3014" s="4">
        <f>MONTH(datos_ventas[[#This Row],[Fecha]])</f>
        <v>12</v>
      </c>
      <c r="D3014" s="4">
        <f>WEEKNUM(datos_ventas[[#This Row],[Fecha]],2)</f>
        <v>51</v>
      </c>
      <c r="E3014" t="s">
        <v>23</v>
      </c>
      <c r="F3014" t="s">
        <v>18</v>
      </c>
      <c r="G3014">
        <v>4</v>
      </c>
      <c r="H3014">
        <v>24514</v>
      </c>
      <c r="I3014">
        <v>1392</v>
      </c>
      <c r="J3014" t="s">
        <v>27</v>
      </c>
      <c r="K3014" t="str">
        <f>_xlfn.XLOOKUP(datos_ventas[[#This Row],[Ciudad]],Tabla2[Ciudades],Tabla2[Provincias],"no se encuentra")</f>
        <v>Sevilla</v>
      </c>
      <c r="L3014" t="str">
        <f>_xlfn.XLOOKUP(datos_ventas[[#This Row],[Provincia]],Tabla2[Provincias],Tabla2[Comunidades],"no se encuentra")</f>
        <v>Andalucía</v>
      </c>
      <c r="M3014" t="s">
        <v>19</v>
      </c>
      <c r="N3014">
        <v>1</v>
      </c>
    </row>
    <row r="3015" spans="1:14" x14ac:dyDescent="0.25">
      <c r="A3015">
        <v>4014</v>
      </c>
      <c r="B3015" s="1">
        <v>45999</v>
      </c>
      <c r="C3015" s="4">
        <f>MONTH(datos_ventas[[#This Row],[Fecha]])</f>
        <v>12</v>
      </c>
      <c r="D3015" s="4">
        <f>WEEKNUM(datos_ventas[[#This Row],[Fecha]],2)</f>
        <v>50</v>
      </c>
      <c r="E3015" t="s">
        <v>23</v>
      </c>
      <c r="F3015" t="s">
        <v>18</v>
      </c>
      <c r="G3015">
        <v>5</v>
      </c>
      <c r="H3015">
        <v>105532</v>
      </c>
      <c r="I3015">
        <v>4592</v>
      </c>
      <c r="J3015" t="s">
        <v>22</v>
      </c>
      <c r="K3015" t="str">
        <f>_xlfn.XLOOKUP(datos_ventas[[#This Row],[Ciudad]],Tabla2[Ciudades],Tabla2[Provincias],"no se encuentra")</f>
        <v>Valencia</v>
      </c>
      <c r="L3015" t="str">
        <f>_xlfn.XLOOKUP(datos_ventas[[#This Row],[Provincia]],Tabla2[Provincias],Tabla2[Comunidades],"no se encuentra")</f>
        <v>Comunidad Valenciana</v>
      </c>
      <c r="M3015" t="s">
        <v>15</v>
      </c>
      <c r="N3015">
        <v>4</v>
      </c>
    </row>
    <row r="3016" spans="1:14" x14ac:dyDescent="0.25">
      <c r="A3016">
        <v>4015</v>
      </c>
      <c r="B3016" s="1">
        <v>45972</v>
      </c>
      <c r="C3016" s="4">
        <f>MONTH(datos_ventas[[#This Row],[Fecha]])</f>
        <v>11</v>
      </c>
      <c r="D3016" s="4">
        <f>WEEKNUM(datos_ventas[[#This Row],[Fecha]],2)</f>
        <v>46</v>
      </c>
      <c r="E3016" t="s">
        <v>17</v>
      </c>
      <c r="F3016" t="s">
        <v>18</v>
      </c>
      <c r="G3016">
        <v>1</v>
      </c>
      <c r="H3016">
        <v>94123</v>
      </c>
      <c r="I3016">
        <v>3644</v>
      </c>
      <c r="J3016" t="s">
        <v>32</v>
      </c>
      <c r="K3016" t="str">
        <f>_xlfn.XLOOKUP(datos_ventas[[#This Row],[Ciudad]],Tabla2[Ciudades],Tabla2[Provincias],"no se encuentra")</f>
        <v>Barcelona</v>
      </c>
      <c r="L3016" t="str">
        <f>_xlfn.XLOOKUP(datos_ventas[[#This Row],[Provincia]],Tabla2[Provincias],Tabla2[Comunidades],"no se encuentra")</f>
        <v>Cataluña</v>
      </c>
      <c r="M3016" t="s">
        <v>19</v>
      </c>
      <c r="N3016">
        <v>5</v>
      </c>
    </row>
    <row r="3017" spans="1:14" x14ac:dyDescent="0.25">
      <c r="A3017">
        <v>4016</v>
      </c>
      <c r="B3017" s="1">
        <v>45734</v>
      </c>
      <c r="C3017" s="4">
        <f>MONTH(datos_ventas[[#This Row],[Fecha]])</f>
        <v>3</v>
      </c>
      <c r="D3017" s="4">
        <f>WEEKNUM(datos_ventas[[#This Row],[Fecha]],2)</f>
        <v>12</v>
      </c>
      <c r="E3017" t="s">
        <v>10</v>
      </c>
      <c r="F3017" t="s">
        <v>11</v>
      </c>
      <c r="G3017">
        <v>3</v>
      </c>
      <c r="H3017">
        <v>29027</v>
      </c>
      <c r="I3017">
        <v>2404</v>
      </c>
      <c r="J3017" t="s">
        <v>27</v>
      </c>
      <c r="K3017" t="str">
        <f>_xlfn.XLOOKUP(datos_ventas[[#This Row],[Ciudad]],Tabla2[Ciudades],Tabla2[Provincias],"no se encuentra")</f>
        <v>Sevilla</v>
      </c>
      <c r="L3017" t="str">
        <f>_xlfn.XLOOKUP(datos_ventas[[#This Row],[Provincia]],Tabla2[Provincias],Tabla2[Comunidades],"no se encuentra")</f>
        <v>Andalucía</v>
      </c>
      <c r="M3017" t="s">
        <v>15</v>
      </c>
      <c r="N3017">
        <v>3</v>
      </c>
    </row>
    <row r="3018" spans="1:14" x14ac:dyDescent="0.25">
      <c r="A3018">
        <v>4017</v>
      </c>
      <c r="B3018" s="1">
        <v>45888</v>
      </c>
      <c r="C3018" s="4">
        <f>MONTH(datos_ventas[[#This Row],[Fecha]])</f>
        <v>8</v>
      </c>
      <c r="D3018" s="4">
        <f>WEEKNUM(datos_ventas[[#This Row],[Fecha]],2)</f>
        <v>34</v>
      </c>
      <c r="E3018" t="s">
        <v>29</v>
      </c>
      <c r="F3018" t="s">
        <v>30</v>
      </c>
      <c r="G3018">
        <v>1</v>
      </c>
      <c r="H3018">
        <v>72633</v>
      </c>
      <c r="I3018">
        <v>1697</v>
      </c>
      <c r="J3018" t="s">
        <v>32</v>
      </c>
      <c r="K3018" t="str">
        <f>_xlfn.XLOOKUP(datos_ventas[[#This Row],[Ciudad]],Tabla2[Ciudades],Tabla2[Provincias],"no se encuentra")</f>
        <v>Barcelona</v>
      </c>
      <c r="L3018" t="str">
        <f>_xlfn.XLOOKUP(datos_ventas[[#This Row],[Provincia]],Tabla2[Provincias],Tabla2[Comunidades],"no se encuentra")</f>
        <v>Cataluña</v>
      </c>
      <c r="M3018" t="s">
        <v>15</v>
      </c>
      <c r="N3018">
        <v>2</v>
      </c>
    </row>
    <row r="3019" spans="1:14" x14ac:dyDescent="0.25">
      <c r="A3019">
        <v>4018</v>
      </c>
      <c r="B3019" s="1">
        <v>45863</v>
      </c>
      <c r="C3019" s="4">
        <f>MONTH(datos_ventas[[#This Row],[Fecha]])</f>
        <v>7</v>
      </c>
      <c r="D3019" s="4">
        <f>WEEKNUM(datos_ventas[[#This Row],[Fecha]],2)</f>
        <v>30</v>
      </c>
      <c r="E3019" t="s">
        <v>26</v>
      </c>
      <c r="F3019" t="s">
        <v>18</v>
      </c>
      <c r="G3019">
        <v>2</v>
      </c>
      <c r="H3019">
        <v>35604</v>
      </c>
      <c r="I3019">
        <v>4534</v>
      </c>
      <c r="J3019" t="s">
        <v>27</v>
      </c>
      <c r="K3019" t="str">
        <f>_xlfn.XLOOKUP(datos_ventas[[#This Row],[Ciudad]],Tabla2[Ciudades],Tabla2[Provincias],"no se encuentra")</f>
        <v>Sevilla</v>
      </c>
      <c r="L3019" t="str">
        <f>_xlfn.XLOOKUP(datos_ventas[[#This Row],[Provincia]],Tabla2[Provincias],Tabla2[Comunidades],"no se encuentra")</f>
        <v>Andalucía</v>
      </c>
      <c r="M3019" t="s">
        <v>15</v>
      </c>
      <c r="N3019">
        <v>5</v>
      </c>
    </row>
    <row r="3020" spans="1:14" x14ac:dyDescent="0.25">
      <c r="A3020">
        <v>4019</v>
      </c>
      <c r="B3020" s="1">
        <v>45838</v>
      </c>
      <c r="C3020" s="4">
        <f>MONTH(datos_ventas[[#This Row],[Fecha]])</f>
        <v>6</v>
      </c>
      <c r="D3020" s="4">
        <f>WEEKNUM(datos_ventas[[#This Row],[Fecha]],2)</f>
        <v>27</v>
      </c>
      <c r="E3020" t="s">
        <v>26</v>
      </c>
      <c r="F3020" t="s">
        <v>18</v>
      </c>
      <c r="G3020">
        <v>3</v>
      </c>
      <c r="H3020">
        <v>75219</v>
      </c>
      <c r="I3020">
        <v>1704</v>
      </c>
      <c r="J3020" t="s">
        <v>31</v>
      </c>
      <c r="K3020" t="str">
        <f>_xlfn.XLOOKUP(datos_ventas[[#This Row],[Ciudad]],Tabla2[Ciudades],Tabla2[Provincias],"no se encuentra")</f>
        <v>Vizcaya</v>
      </c>
      <c r="L3020" t="str">
        <f>_xlfn.XLOOKUP(datos_ventas[[#This Row],[Provincia]],Tabla2[Provincias],Tabla2[Comunidades],"no se encuentra")</f>
        <v>País Vasco</v>
      </c>
      <c r="M3020" t="s">
        <v>28</v>
      </c>
      <c r="N3020">
        <v>5</v>
      </c>
    </row>
    <row r="3021" spans="1:14" x14ac:dyDescent="0.25">
      <c r="A3021">
        <v>4020</v>
      </c>
      <c r="B3021" s="1">
        <v>46008</v>
      </c>
      <c r="C3021" s="4">
        <f>MONTH(datos_ventas[[#This Row],[Fecha]])</f>
        <v>12</v>
      </c>
      <c r="D3021" s="4">
        <f>WEEKNUM(datos_ventas[[#This Row],[Fecha]],2)</f>
        <v>51</v>
      </c>
      <c r="E3021" t="s">
        <v>16</v>
      </c>
      <c r="F3021" t="s">
        <v>11</v>
      </c>
      <c r="G3021">
        <v>2</v>
      </c>
      <c r="H3021">
        <v>83264</v>
      </c>
      <c r="I3021">
        <v>3622</v>
      </c>
      <c r="J3021" t="s">
        <v>22</v>
      </c>
      <c r="K3021" t="str">
        <f>_xlfn.XLOOKUP(datos_ventas[[#This Row],[Ciudad]],Tabla2[Ciudades],Tabla2[Provincias],"no se encuentra")</f>
        <v>Valencia</v>
      </c>
      <c r="L3021" t="str">
        <f>_xlfn.XLOOKUP(datos_ventas[[#This Row],[Provincia]],Tabla2[Provincias],Tabla2[Comunidades],"no se encuentra")</f>
        <v>Comunidad Valenciana</v>
      </c>
      <c r="M3021" t="s">
        <v>13</v>
      </c>
      <c r="N3021">
        <v>3</v>
      </c>
    </row>
    <row r="3022" spans="1:14" x14ac:dyDescent="0.25">
      <c r="A3022">
        <v>4021</v>
      </c>
      <c r="B3022" s="1">
        <v>45839</v>
      </c>
      <c r="C3022" s="4">
        <f>MONTH(datos_ventas[[#This Row],[Fecha]])</f>
        <v>7</v>
      </c>
      <c r="D3022" s="4">
        <f>WEEKNUM(datos_ventas[[#This Row],[Fecha]],2)</f>
        <v>27</v>
      </c>
      <c r="E3022" t="s">
        <v>16</v>
      </c>
      <c r="F3022" t="s">
        <v>11</v>
      </c>
      <c r="G3022">
        <v>2</v>
      </c>
      <c r="H3022">
        <v>19629</v>
      </c>
      <c r="I3022">
        <v>1885</v>
      </c>
      <c r="J3022" t="s">
        <v>22</v>
      </c>
      <c r="K3022" t="str">
        <f>_xlfn.XLOOKUP(datos_ventas[[#This Row],[Ciudad]],Tabla2[Ciudades],Tabla2[Provincias],"no se encuentra")</f>
        <v>Valencia</v>
      </c>
      <c r="L3022" t="str">
        <f>_xlfn.XLOOKUP(datos_ventas[[#This Row],[Provincia]],Tabla2[Provincias],Tabla2[Comunidades],"no se encuentra")</f>
        <v>Comunidad Valenciana</v>
      </c>
      <c r="M3022" t="s">
        <v>15</v>
      </c>
      <c r="N3022">
        <v>5</v>
      </c>
    </row>
    <row r="3023" spans="1:14" x14ac:dyDescent="0.25">
      <c r="A3023">
        <v>4022</v>
      </c>
      <c r="B3023" s="1">
        <v>45999</v>
      </c>
      <c r="C3023" s="4">
        <f>MONTH(datos_ventas[[#This Row],[Fecha]])</f>
        <v>12</v>
      </c>
      <c r="D3023" s="4">
        <f>WEEKNUM(datos_ventas[[#This Row],[Fecha]],2)</f>
        <v>50</v>
      </c>
      <c r="E3023" t="s">
        <v>10</v>
      </c>
      <c r="F3023" t="s">
        <v>11</v>
      </c>
      <c r="G3023">
        <v>4</v>
      </c>
      <c r="H3023">
        <v>7577</v>
      </c>
      <c r="I3023">
        <v>2291</v>
      </c>
      <c r="J3023" t="s">
        <v>31</v>
      </c>
      <c r="K3023" t="str">
        <f>_xlfn.XLOOKUP(datos_ventas[[#This Row],[Ciudad]],Tabla2[Ciudades],Tabla2[Provincias],"no se encuentra")</f>
        <v>Vizcaya</v>
      </c>
      <c r="L3023" t="str">
        <f>_xlfn.XLOOKUP(datos_ventas[[#This Row],[Provincia]],Tabla2[Provincias],Tabla2[Comunidades],"no se encuentra")</f>
        <v>País Vasco</v>
      </c>
      <c r="M3023" t="s">
        <v>15</v>
      </c>
      <c r="N3023">
        <v>2</v>
      </c>
    </row>
    <row r="3024" spans="1:14" x14ac:dyDescent="0.25">
      <c r="A3024">
        <v>4023</v>
      </c>
      <c r="B3024" s="1">
        <v>45914</v>
      </c>
      <c r="C3024" s="4">
        <f>MONTH(datos_ventas[[#This Row],[Fecha]])</f>
        <v>9</v>
      </c>
      <c r="D3024" s="4">
        <f>WEEKNUM(datos_ventas[[#This Row],[Fecha]],2)</f>
        <v>37</v>
      </c>
      <c r="E3024" t="s">
        <v>20</v>
      </c>
      <c r="F3024" t="s">
        <v>21</v>
      </c>
      <c r="G3024">
        <v>2</v>
      </c>
      <c r="H3024">
        <v>13299</v>
      </c>
      <c r="I3024">
        <v>1038</v>
      </c>
      <c r="J3024" t="s">
        <v>14</v>
      </c>
      <c r="K3024" t="str">
        <f>_xlfn.XLOOKUP(datos_ventas[[#This Row],[Ciudad]],Tabla2[Ciudades],Tabla2[Provincias],"no se encuentra")</f>
        <v>Madrid</v>
      </c>
      <c r="L3024" t="str">
        <f>_xlfn.XLOOKUP(datos_ventas[[#This Row],[Provincia]],Tabla2[Provincias],Tabla2[Comunidades],"no se encuentra")</f>
        <v>Comunidad de Madrid</v>
      </c>
      <c r="M3024" t="s">
        <v>28</v>
      </c>
      <c r="N3024">
        <v>3</v>
      </c>
    </row>
    <row r="3025" spans="1:14" x14ac:dyDescent="0.25">
      <c r="A3025">
        <v>4024</v>
      </c>
      <c r="B3025" s="1">
        <v>45831</v>
      </c>
      <c r="C3025" s="4">
        <f>MONTH(datos_ventas[[#This Row],[Fecha]])</f>
        <v>6</v>
      </c>
      <c r="D3025" s="4">
        <f>WEEKNUM(datos_ventas[[#This Row],[Fecha]],2)</f>
        <v>26</v>
      </c>
      <c r="E3025" t="s">
        <v>24</v>
      </c>
      <c r="F3025" t="s">
        <v>25</v>
      </c>
      <c r="G3025">
        <v>5</v>
      </c>
      <c r="H3025">
        <v>67725</v>
      </c>
      <c r="I3025">
        <v>1362</v>
      </c>
      <c r="J3025" t="s">
        <v>14</v>
      </c>
      <c r="K3025" t="str">
        <f>_xlfn.XLOOKUP(datos_ventas[[#This Row],[Ciudad]],Tabla2[Ciudades],Tabla2[Provincias],"no se encuentra")</f>
        <v>Madrid</v>
      </c>
      <c r="L3025" t="str">
        <f>_xlfn.XLOOKUP(datos_ventas[[#This Row],[Provincia]],Tabla2[Provincias],Tabla2[Comunidades],"no se encuentra")</f>
        <v>Comunidad de Madrid</v>
      </c>
      <c r="M3025" t="s">
        <v>19</v>
      </c>
      <c r="N3025">
        <v>1</v>
      </c>
    </row>
    <row r="3026" spans="1:14" x14ac:dyDescent="0.25">
      <c r="A3026">
        <v>4025</v>
      </c>
      <c r="B3026" s="1">
        <v>45989</v>
      </c>
      <c r="C3026" s="4">
        <f>MONTH(datos_ventas[[#This Row],[Fecha]])</f>
        <v>11</v>
      </c>
      <c r="D3026" s="4">
        <f>WEEKNUM(datos_ventas[[#This Row],[Fecha]],2)</f>
        <v>48</v>
      </c>
      <c r="E3026" t="s">
        <v>29</v>
      </c>
      <c r="F3026" t="s">
        <v>30</v>
      </c>
      <c r="G3026">
        <v>1</v>
      </c>
      <c r="H3026">
        <v>57524</v>
      </c>
      <c r="I3026">
        <v>3631</v>
      </c>
      <c r="J3026" t="s">
        <v>32</v>
      </c>
      <c r="K3026" t="str">
        <f>_xlfn.XLOOKUP(datos_ventas[[#This Row],[Ciudad]],Tabla2[Ciudades],Tabla2[Provincias],"no se encuentra")</f>
        <v>Barcelona</v>
      </c>
      <c r="L3026" t="str">
        <f>_xlfn.XLOOKUP(datos_ventas[[#This Row],[Provincia]],Tabla2[Provincias],Tabla2[Comunidades],"no se encuentra")</f>
        <v>Cataluña</v>
      </c>
      <c r="M3026" t="s">
        <v>19</v>
      </c>
      <c r="N3026">
        <v>1</v>
      </c>
    </row>
    <row r="3027" spans="1:14" x14ac:dyDescent="0.25">
      <c r="A3027">
        <v>4026</v>
      </c>
      <c r="B3027" s="1">
        <v>45930</v>
      </c>
      <c r="C3027" s="4">
        <f>MONTH(datos_ventas[[#This Row],[Fecha]])</f>
        <v>9</v>
      </c>
      <c r="D3027" s="4">
        <f>WEEKNUM(datos_ventas[[#This Row],[Fecha]],2)</f>
        <v>40</v>
      </c>
      <c r="E3027" t="s">
        <v>26</v>
      </c>
      <c r="F3027" t="s">
        <v>18</v>
      </c>
      <c r="G3027">
        <v>3</v>
      </c>
      <c r="H3027">
        <v>58378</v>
      </c>
      <c r="I3027">
        <v>178</v>
      </c>
      <c r="J3027" t="s">
        <v>14</v>
      </c>
      <c r="K3027" t="str">
        <f>_xlfn.XLOOKUP(datos_ventas[[#This Row],[Ciudad]],Tabla2[Ciudades],Tabla2[Provincias],"no se encuentra")</f>
        <v>Madrid</v>
      </c>
      <c r="L3027" t="str">
        <f>_xlfn.XLOOKUP(datos_ventas[[#This Row],[Provincia]],Tabla2[Provincias],Tabla2[Comunidades],"no se encuentra")</f>
        <v>Comunidad de Madrid</v>
      </c>
      <c r="M3027" t="s">
        <v>13</v>
      </c>
      <c r="N3027">
        <v>4</v>
      </c>
    </row>
    <row r="3028" spans="1:14" x14ac:dyDescent="0.25">
      <c r="A3028">
        <v>4027</v>
      </c>
      <c r="B3028" s="1">
        <v>45966</v>
      </c>
      <c r="C3028" s="4">
        <f>MONTH(datos_ventas[[#This Row],[Fecha]])</f>
        <v>11</v>
      </c>
      <c r="D3028" s="4">
        <f>WEEKNUM(datos_ventas[[#This Row],[Fecha]],2)</f>
        <v>45</v>
      </c>
      <c r="E3028" t="s">
        <v>23</v>
      </c>
      <c r="F3028" t="s">
        <v>18</v>
      </c>
      <c r="G3028">
        <v>3</v>
      </c>
      <c r="H3028">
        <v>49421</v>
      </c>
      <c r="I3028">
        <v>1712</v>
      </c>
      <c r="J3028" t="s">
        <v>22</v>
      </c>
      <c r="K3028" t="str">
        <f>_xlfn.XLOOKUP(datos_ventas[[#This Row],[Ciudad]],Tabla2[Ciudades],Tabla2[Provincias],"no se encuentra")</f>
        <v>Valencia</v>
      </c>
      <c r="L3028" t="str">
        <f>_xlfn.XLOOKUP(datos_ventas[[#This Row],[Provincia]],Tabla2[Provincias],Tabla2[Comunidades],"no se encuentra")</f>
        <v>Comunidad Valenciana</v>
      </c>
      <c r="M3028" t="s">
        <v>13</v>
      </c>
      <c r="N3028">
        <v>1</v>
      </c>
    </row>
    <row r="3029" spans="1:14" x14ac:dyDescent="0.25">
      <c r="A3029">
        <v>4028</v>
      </c>
      <c r="B3029" s="1">
        <v>45771</v>
      </c>
      <c r="C3029" s="4">
        <f>MONTH(datos_ventas[[#This Row],[Fecha]])</f>
        <v>4</v>
      </c>
      <c r="D3029" s="4">
        <f>WEEKNUM(datos_ventas[[#This Row],[Fecha]],2)</f>
        <v>17</v>
      </c>
      <c r="E3029" t="s">
        <v>26</v>
      </c>
      <c r="F3029" t="s">
        <v>18</v>
      </c>
      <c r="G3029">
        <v>4</v>
      </c>
      <c r="H3029">
        <v>110522</v>
      </c>
      <c r="I3029">
        <v>4526</v>
      </c>
      <c r="J3029" t="s">
        <v>22</v>
      </c>
      <c r="K3029" t="str">
        <f>_xlfn.XLOOKUP(datos_ventas[[#This Row],[Ciudad]],Tabla2[Ciudades],Tabla2[Provincias],"no se encuentra")</f>
        <v>Valencia</v>
      </c>
      <c r="L3029" t="str">
        <f>_xlfn.XLOOKUP(datos_ventas[[#This Row],[Provincia]],Tabla2[Provincias],Tabla2[Comunidades],"no se encuentra")</f>
        <v>Comunidad Valenciana</v>
      </c>
      <c r="M3029" t="s">
        <v>13</v>
      </c>
      <c r="N3029">
        <v>1</v>
      </c>
    </row>
    <row r="3030" spans="1:14" x14ac:dyDescent="0.25">
      <c r="A3030">
        <v>4029</v>
      </c>
      <c r="B3030" s="1">
        <v>45884</v>
      </c>
      <c r="C3030" s="4">
        <f>MONTH(datos_ventas[[#This Row],[Fecha]])</f>
        <v>8</v>
      </c>
      <c r="D3030" s="4">
        <f>WEEKNUM(datos_ventas[[#This Row],[Fecha]],2)</f>
        <v>33</v>
      </c>
      <c r="E3030" t="s">
        <v>17</v>
      </c>
      <c r="F3030" t="s">
        <v>18</v>
      </c>
      <c r="G3030">
        <v>2</v>
      </c>
      <c r="H3030">
        <v>56771</v>
      </c>
      <c r="I3030">
        <v>1555</v>
      </c>
      <c r="J3030" t="s">
        <v>14</v>
      </c>
      <c r="K3030" t="str">
        <f>_xlfn.XLOOKUP(datos_ventas[[#This Row],[Ciudad]],Tabla2[Ciudades],Tabla2[Provincias],"no se encuentra")</f>
        <v>Madrid</v>
      </c>
      <c r="L3030" t="str">
        <f>_xlfn.XLOOKUP(datos_ventas[[#This Row],[Provincia]],Tabla2[Provincias],Tabla2[Comunidades],"no se encuentra")</f>
        <v>Comunidad de Madrid</v>
      </c>
      <c r="M3030" t="s">
        <v>13</v>
      </c>
      <c r="N3030">
        <v>2</v>
      </c>
    </row>
    <row r="3031" spans="1:14" x14ac:dyDescent="0.25">
      <c r="A3031">
        <v>4030</v>
      </c>
      <c r="B3031" s="1">
        <v>45974</v>
      </c>
      <c r="C3031" s="4">
        <f>MONTH(datos_ventas[[#This Row],[Fecha]])</f>
        <v>11</v>
      </c>
      <c r="D3031" s="4">
        <f>WEEKNUM(datos_ventas[[#This Row],[Fecha]],2)</f>
        <v>46</v>
      </c>
      <c r="E3031" t="s">
        <v>29</v>
      </c>
      <c r="F3031" t="s">
        <v>30</v>
      </c>
      <c r="G3031">
        <v>4</v>
      </c>
      <c r="H3031">
        <v>66455</v>
      </c>
      <c r="I3031">
        <v>762</v>
      </c>
      <c r="J3031" t="s">
        <v>22</v>
      </c>
      <c r="K3031" t="str">
        <f>_xlfn.XLOOKUP(datos_ventas[[#This Row],[Ciudad]],Tabla2[Ciudades],Tabla2[Provincias],"no se encuentra")</f>
        <v>Valencia</v>
      </c>
      <c r="L3031" t="str">
        <f>_xlfn.XLOOKUP(datos_ventas[[#This Row],[Provincia]],Tabla2[Provincias],Tabla2[Comunidades],"no se encuentra")</f>
        <v>Comunidad Valenciana</v>
      </c>
      <c r="M3031" t="s">
        <v>13</v>
      </c>
      <c r="N3031">
        <v>1</v>
      </c>
    </row>
    <row r="3032" spans="1:14" x14ac:dyDescent="0.25">
      <c r="A3032">
        <v>4031</v>
      </c>
      <c r="B3032" s="1">
        <v>45673</v>
      </c>
      <c r="C3032" s="4">
        <f>MONTH(datos_ventas[[#This Row],[Fecha]])</f>
        <v>1</v>
      </c>
      <c r="D3032" s="4">
        <f>WEEKNUM(datos_ventas[[#This Row],[Fecha]],2)</f>
        <v>3</v>
      </c>
      <c r="E3032" t="s">
        <v>26</v>
      </c>
      <c r="F3032" t="s">
        <v>18</v>
      </c>
      <c r="G3032">
        <v>1</v>
      </c>
      <c r="H3032">
        <v>22121</v>
      </c>
      <c r="I3032">
        <v>1757</v>
      </c>
      <c r="J3032" t="s">
        <v>12</v>
      </c>
      <c r="K3032" t="str">
        <f>_xlfn.XLOOKUP(datos_ventas[[#This Row],[Ciudad]],Tabla2[Ciudades],Tabla2[Provincias],"no se encuentra")</f>
        <v>Málaga</v>
      </c>
      <c r="L3032" t="str">
        <f>_xlfn.XLOOKUP(datos_ventas[[#This Row],[Provincia]],Tabla2[Provincias],Tabla2[Comunidades],"no se encuentra")</f>
        <v>Andalucía</v>
      </c>
      <c r="M3032" t="s">
        <v>13</v>
      </c>
      <c r="N3032">
        <v>1</v>
      </c>
    </row>
    <row r="3033" spans="1:14" x14ac:dyDescent="0.25">
      <c r="A3033">
        <v>4032</v>
      </c>
      <c r="B3033" s="1">
        <v>45966</v>
      </c>
      <c r="C3033" s="4">
        <f>MONTH(datos_ventas[[#This Row],[Fecha]])</f>
        <v>11</v>
      </c>
      <c r="D3033" s="4">
        <f>WEEKNUM(datos_ventas[[#This Row],[Fecha]],2)</f>
        <v>45</v>
      </c>
      <c r="E3033" t="s">
        <v>26</v>
      </c>
      <c r="F3033" t="s">
        <v>18</v>
      </c>
      <c r="G3033">
        <v>1</v>
      </c>
      <c r="H3033">
        <v>55272</v>
      </c>
      <c r="I3033">
        <v>2657</v>
      </c>
      <c r="J3033" t="s">
        <v>27</v>
      </c>
      <c r="K3033" t="str">
        <f>_xlfn.XLOOKUP(datos_ventas[[#This Row],[Ciudad]],Tabla2[Ciudades],Tabla2[Provincias],"no se encuentra")</f>
        <v>Sevilla</v>
      </c>
      <c r="L3033" t="str">
        <f>_xlfn.XLOOKUP(datos_ventas[[#This Row],[Provincia]],Tabla2[Provincias],Tabla2[Comunidades],"no se encuentra")</f>
        <v>Andalucía</v>
      </c>
      <c r="M3033" t="s">
        <v>28</v>
      </c>
      <c r="N3033">
        <v>1</v>
      </c>
    </row>
    <row r="3034" spans="1:14" x14ac:dyDescent="0.25">
      <c r="A3034">
        <v>4033</v>
      </c>
      <c r="B3034" s="1">
        <v>45948</v>
      </c>
      <c r="C3034" s="4">
        <f>MONTH(datos_ventas[[#This Row],[Fecha]])</f>
        <v>10</v>
      </c>
      <c r="D3034" s="4">
        <f>WEEKNUM(datos_ventas[[#This Row],[Fecha]],2)</f>
        <v>42</v>
      </c>
      <c r="E3034" t="s">
        <v>17</v>
      </c>
      <c r="F3034" t="s">
        <v>18</v>
      </c>
      <c r="G3034">
        <v>4</v>
      </c>
      <c r="H3034">
        <v>3549</v>
      </c>
      <c r="I3034">
        <v>568</v>
      </c>
      <c r="J3034" t="s">
        <v>22</v>
      </c>
      <c r="K3034" t="str">
        <f>_xlfn.XLOOKUP(datos_ventas[[#This Row],[Ciudad]],Tabla2[Ciudades],Tabla2[Provincias],"no se encuentra")</f>
        <v>Valencia</v>
      </c>
      <c r="L3034" t="str">
        <f>_xlfn.XLOOKUP(datos_ventas[[#This Row],[Provincia]],Tabla2[Provincias],Tabla2[Comunidades],"no se encuentra")</f>
        <v>Comunidad Valenciana</v>
      </c>
      <c r="M3034" t="s">
        <v>15</v>
      </c>
      <c r="N3034">
        <v>2</v>
      </c>
    </row>
    <row r="3035" spans="1:14" x14ac:dyDescent="0.25">
      <c r="A3035">
        <v>4034</v>
      </c>
      <c r="B3035" s="1">
        <v>45775</v>
      </c>
      <c r="C3035" s="4">
        <f>MONTH(datos_ventas[[#This Row],[Fecha]])</f>
        <v>4</v>
      </c>
      <c r="D3035" s="4">
        <f>WEEKNUM(datos_ventas[[#This Row],[Fecha]],2)</f>
        <v>18</v>
      </c>
      <c r="E3035" t="s">
        <v>17</v>
      </c>
      <c r="F3035" t="s">
        <v>18</v>
      </c>
      <c r="G3035">
        <v>5</v>
      </c>
      <c r="H3035">
        <v>41986</v>
      </c>
      <c r="I3035">
        <v>4051</v>
      </c>
      <c r="J3035" t="s">
        <v>22</v>
      </c>
      <c r="K3035" t="str">
        <f>_xlfn.XLOOKUP(datos_ventas[[#This Row],[Ciudad]],Tabla2[Ciudades],Tabla2[Provincias],"no se encuentra")</f>
        <v>Valencia</v>
      </c>
      <c r="L3035" t="str">
        <f>_xlfn.XLOOKUP(datos_ventas[[#This Row],[Provincia]],Tabla2[Provincias],Tabla2[Comunidades],"no se encuentra")</f>
        <v>Comunidad Valenciana</v>
      </c>
      <c r="M3035" t="s">
        <v>13</v>
      </c>
      <c r="N3035">
        <v>1</v>
      </c>
    </row>
    <row r="3036" spans="1:14" x14ac:dyDescent="0.25">
      <c r="A3036">
        <v>4035</v>
      </c>
      <c r="B3036" s="1">
        <v>45726</v>
      </c>
      <c r="C3036" s="4">
        <f>MONTH(datos_ventas[[#This Row],[Fecha]])</f>
        <v>3</v>
      </c>
      <c r="D3036" s="4">
        <f>WEEKNUM(datos_ventas[[#This Row],[Fecha]],2)</f>
        <v>11</v>
      </c>
      <c r="E3036" t="s">
        <v>10</v>
      </c>
      <c r="F3036" t="s">
        <v>11</v>
      </c>
      <c r="G3036">
        <v>4</v>
      </c>
      <c r="H3036">
        <v>40771</v>
      </c>
      <c r="I3036">
        <v>2126</v>
      </c>
      <c r="J3036" t="s">
        <v>12</v>
      </c>
      <c r="K3036" t="str">
        <f>_xlfn.XLOOKUP(datos_ventas[[#This Row],[Ciudad]],Tabla2[Ciudades],Tabla2[Provincias],"no se encuentra")</f>
        <v>Málaga</v>
      </c>
      <c r="L3036" t="str">
        <f>_xlfn.XLOOKUP(datos_ventas[[#This Row],[Provincia]],Tabla2[Provincias],Tabla2[Comunidades],"no se encuentra")</f>
        <v>Andalucía</v>
      </c>
      <c r="M3036" t="s">
        <v>28</v>
      </c>
      <c r="N3036">
        <v>2</v>
      </c>
    </row>
    <row r="3037" spans="1:14" x14ac:dyDescent="0.25">
      <c r="A3037">
        <v>4036</v>
      </c>
      <c r="B3037" s="1">
        <v>45661</v>
      </c>
      <c r="C3037" s="4">
        <f>MONTH(datos_ventas[[#This Row],[Fecha]])</f>
        <v>1</v>
      </c>
      <c r="D3037" s="4">
        <f>WEEKNUM(datos_ventas[[#This Row],[Fecha]],2)</f>
        <v>1</v>
      </c>
      <c r="E3037" t="s">
        <v>23</v>
      </c>
      <c r="F3037" t="s">
        <v>18</v>
      </c>
      <c r="G3037">
        <v>2</v>
      </c>
      <c r="H3037">
        <v>49687</v>
      </c>
      <c r="I3037">
        <v>3338</v>
      </c>
      <c r="J3037" t="s">
        <v>27</v>
      </c>
      <c r="K3037" t="str">
        <f>_xlfn.XLOOKUP(datos_ventas[[#This Row],[Ciudad]],Tabla2[Ciudades],Tabla2[Provincias],"no se encuentra")</f>
        <v>Sevilla</v>
      </c>
      <c r="L3037" t="str">
        <f>_xlfn.XLOOKUP(datos_ventas[[#This Row],[Provincia]],Tabla2[Provincias],Tabla2[Comunidades],"no se encuentra")</f>
        <v>Andalucía</v>
      </c>
      <c r="M3037" t="s">
        <v>28</v>
      </c>
      <c r="N3037">
        <v>3</v>
      </c>
    </row>
    <row r="3038" spans="1:14" x14ac:dyDescent="0.25">
      <c r="A3038">
        <v>4037</v>
      </c>
      <c r="B3038" s="1">
        <v>46006</v>
      </c>
      <c r="C3038" s="4">
        <f>MONTH(datos_ventas[[#This Row],[Fecha]])</f>
        <v>12</v>
      </c>
      <c r="D3038" s="4">
        <f>WEEKNUM(datos_ventas[[#This Row],[Fecha]],2)</f>
        <v>51</v>
      </c>
      <c r="E3038" t="s">
        <v>20</v>
      </c>
      <c r="F3038" t="s">
        <v>21</v>
      </c>
      <c r="G3038">
        <v>1</v>
      </c>
      <c r="H3038">
        <v>8111</v>
      </c>
      <c r="I3038">
        <v>779</v>
      </c>
      <c r="J3038" t="s">
        <v>12</v>
      </c>
      <c r="K3038" t="str">
        <f>_xlfn.XLOOKUP(datos_ventas[[#This Row],[Ciudad]],Tabla2[Ciudades],Tabla2[Provincias],"no se encuentra")</f>
        <v>Málaga</v>
      </c>
      <c r="L3038" t="str">
        <f>_xlfn.XLOOKUP(datos_ventas[[#This Row],[Provincia]],Tabla2[Provincias],Tabla2[Comunidades],"no se encuentra")</f>
        <v>Andalucía</v>
      </c>
      <c r="M3038" t="s">
        <v>15</v>
      </c>
      <c r="N3038">
        <v>2</v>
      </c>
    </row>
    <row r="3039" spans="1:14" x14ac:dyDescent="0.25">
      <c r="A3039">
        <v>4038</v>
      </c>
      <c r="B3039" s="1">
        <v>45997</v>
      </c>
      <c r="C3039" s="4">
        <f>MONTH(datos_ventas[[#This Row],[Fecha]])</f>
        <v>12</v>
      </c>
      <c r="D3039" s="4">
        <f>WEEKNUM(datos_ventas[[#This Row],[Fecha]],2)</f>
        <v>49</v>
      </c>
      <c r="E3039" t="s">
        <v>23</v>
      </c>
      <c r="F3039" t="s">
        <v>18</v>
      </c>
      <c r="G3039">
        <v>4</v>
      </c>
      <c r="H3039">
        <v>103738</v>
      </c>
      <c r="I3039">
        <v>3627</v>
      </c>
      <c r="J3039" t="s">
        <v>12</v>
      </c>
      <c r="K3039" t="str">
        <f>_xlfn.XLOOKUP(datos_ventas[[#This Row],[Ciudad]],Tabla2[Ciudades],Tabla2[Provincias],"no se encuentra")</f>
        <v>Málaga</v>
      </c>
      <c r="L3039" t="str">
        <f>_xlfn.XLOOKUP(datos_ventas[[#This Row],[Provincia]],Tabla2[Provincias],Tabla2[Comunidades],"no se encuentra")</f>
        <v>Andalucía</v>
      </c>
      <c r="M3039" t="s">
        <v>15</v>
      </c>
      <c r="N3039">
        <v>4</v>
      </c>
    </row>
    <row r="3040" spans="1:14" x14ac:dyDescent="0.25">
      <c r="A3040">
        <v>4039</v>
      </c>
      <c r="B3040" s="1">
        <v>45658</v>
      </c>
      <c r="C3040" s="4">
        <f>MONTH(datos_ventas[[#This Row],[Fecha]])</f>
        <v>1</v>
      </c>
      <c r="D3040" s="4">
        <f>WEEKNUM(datos_ventas[[#This Row],[Fecha]],2)</f>
        <v>1</v>
      </c>
      <c r="E3040" t="s">
        <v>10</v>
      </c>
      <c r="F3040" t="s">
        <v>11</v>
      </c>
      <c r="G3040">
        <v>1</v>
      </c>
      <c r="H3040">
        <v>27862</v>
      </c>
      <c r="I3040">
        <v>924</v>
      </c>
      <c r="J3040" t="s">
        <v>22</v>
      </c>
      <c r="K3040" t="str">
        <f>_xlfn.XLOOKUP(datos_ventas[[#This Row],[Ciudad]],Tabla2[Ciudades],Tabla2[Provincias],"no se encuentra")</f>
        <v>Valencia</v>
      </c>
      <c r="L3040" t="str">
        <f>_xlfn.XLOOKUP(datos_ventas[[#This Row],[Provincia]],Tabla2[Provincias],Tabla2[Comunidades],"no se encuentra")</f>
        <v>Comunidad Valenciana</v>
      </c>
      <c r="M3040" t="s">
        <v>13</v>
      </c>
      <c r="N3040">
        <v>4</v>
      </c>
    </row>
    <row r="3041" spans="1:14" x14ac:dyDescent="0.25">
      <c r="A3041">
        <v>4040</v>
      </c>
      <c r="B3041" s="1">
        <v>45732</v>
      </c>
      <c r="C3041" s="4">
        <f>MONTH(datos_ventas[[#This Row],[Fecha]])</f>
        <v>3</v>
      </c>
      <c r="D3041" s="4">
        <f>WEEKNUM(datos_ventas[[#This Row],[Fecha]],2)</f>
        <v>11</v>
      </c>
      <c r="E3041" t="s">
        <v>10</v>
      </c>
      <c r="F3041" t="s">
        <v>11</v>
      </c>
      <c r="G3041">
        <v>2</v>
      </c>
      <c r="H3041">
        <v>117525</v>
      </c>
      <c r="I3041">
        <v>1295</v>
      </c>
      <c r="J3041" t="s">
        <v>22</v>
      </c>
      <c r="K3041" t="str">
        <f>_xlfn.XLOOKUP(datos_ventas[[#This Row],[Ciudad]],Tabla2[Ciudades],Tabla2[Provincias],"no se encuentra")</f>
        <v>Valencia</v>
      </c>
      <c r="L3041" t="str">
        <f>_xlfn.XLOOKUP(datos_ventas[[#This Row],[Provincia]],Tabla2[Provincias],Tabla2[Comunidades],"no se encuentra")</f>
        <v>Comunidad Valenciana</v>
      </c>
      <c r="M3041" t="s">
        <v>28</v>
      </c>
      <c r="N3041">
        <v>1</v>
      </c>
    </row>
    <row r="3042" spans="1:14" x14ac:dyDescent="0.25">
      <c r="A3042">
        <v>4041</v>
      </c>
      <c r="B3042" s="1">
        <v>45776</v>
      </c>
      <c r="C3042" s="4">
        <f>MONTH(datos_ventas[[#This Row],[Fecha]])</f>
        <v>4</v>
      </c>
      <c r="D3042" s="4">
        <f>WEEKNUM(datos_ventas[[#This Row],[Fecha]],2)</f>
        <v>18</v>
      </c>
      <c r="E3042" t="s">
        <v>20</v>
      </c>
      <c r="F3042" t="s">
        <v>21</v>
      </c>
      <c r="G3042">
        <v>1</v>
      </c>
      <c r="H3042">
        <v>117138</v>
      </c>
      <c r="I3042">
        <v>965</v>
      </c>
      <c r="J3042" t="s">
        <v>22</v>
      </c>
      <c r="K3042" t="str">
        <f>_xlfn.XLOOKUP(datos_ventas[[#This Row],[Ciudad]],Tabla2[Ciudades],Tabla2[Provincias],"no se encuentra")</f>
        <v>Valencia</v>
      </c>
      <c r="L3042" t="str">
        <f>_xlfn.XLOOKUP(datos_ventas[[#This Row],[Provincia]],Tabla2[Provincias],Tabla2[Comunidades],"no se encuentra")</f>
        <v>Comunidad Valenciana</v>
      </c>
      <c r="M3042" t="s">
        <v>19</v>
      </c>
      <c r="N3042">
        <v>3</v>
      </c>
    </row>
    <row r="3043" spans="1:14" x14ac:dyDescent="0.25">
      <c r="A3043">
        <v>4042</v>
      </c>
      <c r="B3043" s="1">
        <v>46014</v>
      </c>
      <c r="C3043" s="4">
        <f>MONTH(datos_ventas[[#This Row],[Fecha]])</f>
        <v>12</v>
      </c>
      <c r="D3043" s="4">
        <f>WEEKNUM(datos_ventas[[#This Row],[Fecha]],2)</f>
        <v>52</v>
      </c>
      <c r="E3043" t="s">
        <v>29</v>
      </c>
      <c r="F3043" t="s">
        <v>30</v>
      </c>
      <c r="G3043">
        <v>5</v>
      </c>
      <c r="H3043">
        <v>105972</v>
      </c>
      <c r="I3043">
        <v>120</v>
      </c>
      <c r="J3043" t="s">
        <v>32</v>
      </c>
      <c r="K3043" t="str">
        <f>_xlfn.XLOOKUP(datos_ventas[[#This Row],[Ciudad]],Tabla2[Ciudades],Tabla2[Provincias],"no se encuentra")</f>
        <v>Barcelona</v>
      </c>
      <c r="L3043" t="str">
        <f>_xlfn.XLOOKUP(datos_ventas[[#This Row],[Provincia]],Tabla2[Provincias],Tabla2[Comunidades],"no se encuentra")</f>
        <v>Cataluña</v>
      </c>
      <c r="M3043" t="s">
        <v>15</v>
      </c>
      <c r="N3043">
        <v>5</v>
      </c>
    </row>
    <row r="3044" spans="1:14" x14ac:dyDescent="0.25">
      <c r="A3044">
        <v>4043</v>
      </c>
      <c r="B3044" s="1">
        <v>45706</v>
      </c>
      <c r="C3044" s="4">
        <f>MONTH(datos_ventas[[#This Row],[Fecha]])</f>
        <v>2</v>
      </c>
      <c r="D3044" s="4">
        <f>WEEKNUM(datos_ventas[[#This Row],[Fecha]],2)</f>
        <v>8</v>
      </c>
      <c r="E3044" t="s">
        <v>10</v>
      </c>
      <c r="F3044" t="s">
        <v>11</v>
      </c>
      <c r="G3044">
        <v>2</v>
      </c>
      <c r="H3044">
        <v>119048</v>
      </c>
      <c r="I3044">
        <v>1257</v>
      </c>
      <c r="J3044" t="s">
        <v>22</v>
      </c>
      <c r="K3044" t="str">
        <f>_xlfn.XLOOKUP(datos_ventas[[#This Row],[Ciudad]],Tabla2[Ciudades],Tabla2[Provincias],"no se encuentra")</f>
        <v>Valencia</v>
      </c>
      <c r="L3044" t="str">
        <f>_xlfn.XLOOKUP(datos_ventas[[#This Row],[Provincia]],Tabla2[Provincias],Tabla2[Comunidades],"no se encuentra")</f>
        <v>Comunidad Valenciana</v>
      </c>
      <c r="M3044" t="s">
        <v>15</v>
      </c>
      <c r="N3044">
        <v>5</v>
      </c>
    </row>
    <row r="3045" spans="1:14" x14ac:dyDescent="0.25">
      <c r="A3045">
        <v>4044</v>
      </c>
      <c r="B3045" s="1">
        <v>45915</v>
      </c>
      <c r="C3045" s="4">
        <f>MONTH(datos_ventas[[#This Row],[Fecha]])</f>
        <v>9</v>
      </c>
      <c r="D3045" s="4">
        <f>WEEKNUM(datos_ventas[[#This Row],[Fecha]],2)</f>
        <v>38</v>
      </c>
      <c r="E3045" t="s">
        <v>17</v>
      </c>
      <c r="F3045" t="s">
        <v>18</v>
      </c>
      <c r="G3045">
        <v>3</v>
      </c>
      <c r="H3045">
        <v>43862</v>
      </c>
      <c r="I3045">
        <v>4723</v>
      </c>
      <c r="J3045" t="s">
        <v>32</v>
      </c>
      <c r="K3045" t="str">
        <f>_xlfn.XLOOKUP(datos_ventas[[#This Row],[Ciudad]],Tabla2[Ciudades],Tabla2[Provincias],"no se encuentra")</f>
        <v>Barcelona</v>
      </c>
      <c r="L3045" t="str">
        <f>_xlfn.XLOOKUP(datos_ventas[[#This Row],[Provincia]],Tabla2[Provincias],Tabla2[Comunidades],"no se encuentra")</f>
        <v>Cataluña</v>
      </c>
      <c r="M3045" t="s">
        <v>15</v>
      </c>
      <c r="N3045">
        <v>4</v>
      </c>
    </row>
    <row r="3046" spans="1:14" x14ac:dyDescent="0.25">
      <c r="A3046">
        <v>4045</v>
      </c>
      <c r="B3046" s="1">
        <v>45874</v>
      </c>
      <c r="C3046" s="4">
        <f>MONTH(datos_ventas[[#This Row],[Fecha]])</f>
        <v>8</v>
      </c>
      <c r="D3046" s="4">
        <f>WEEKNUM(datos_ventas[[#This Row],[Fecha]],2)</f>
        <v>32</v>
      </c>
      <c r="E3046" t="s">
        <v>29</v>
      </c>
      <c r="F3046" t="s">
        <v>30</v>
      </c>
      <c r="G3046">
        <v>4</v>
      </c>
      <c r="H3046">
        <v>14003</v>
      </c>
      <c r="I3046">
        <v>3597</v>
      </c>
      <c r="J3046" t="s">
        <v>12</v>
      </c>
      <c r="K3046" t="str">
        <f>_xlfn.XLOOKUP(datos_ventas[[#This Row],[Ciudad]],Tabla2[Ciudades],Tabla2[Provincias],"no se encuentra")</f>
        <v>Málaga</v>
      </c>
      <c r="L3046" t="str">
        <f>_xlfn.XLOOKUP(datos_ventas[[#This Row],[Provincia]],Tabla2[Provincias],Tabla2[Comunidades],"no se encuentra")</f>
        <v>Andalucía</v>
      </c>
      <c r="M3046" t="s">
        <v>15</v>
      </c>
      <c r="N3046">
        <v>4</v>
      </c>
    </row>
    <row r="3047" spans="1:14" x14ac:dyDescent="0.25">
      <c r="A3047">
        <v>4046</v>
      </c>
      <c r="B3047" s="1">
        <v>45750</v>
      </c>
      <c r="C3047" s="4">
        <f>MONTH(datos_ventas[[#This Row],[Fecha]])</f>
        <v>4</v>
      </c>
      <c r="D3047" s="4">
        <f>WEEKNUM(datos_ventas[[#This Row],[Fecha]],2)</f>
        <v>14</v>
      </c>
      <c r="E3047" t="s">
        <v>29</v>
      </c>
      <c r="F3047" t="s">
        <v>30</v>
      </c>
      <c r="G3047">
        <v>2</v>
      </c>
      <c r="H3047">
        <v>65562</v>
      </c>
      <c r="I3047">
        <v>4218</v>
      </c>
      <c r="J3047" t="s">
        <v>27</v>
      </c>
      <c r="K3047" t="str">
        <f>_xlfn.XLOOKUP(datos_ventas[[#This Row],[Ciudad]],Tabla2[Ciudades],Tabla2[Provincias],"no se encuentra")</f>
        <v>Sevilla</v>
      </c>
      <c r="L3047" t="str">
        <f>_xlfn.XLOOKUP(datos_ventas[[#This Row],[Provincia]],Tabla2[Provincias],Tabla2[Comunidades],"no se encuentra")</f>
        <v>Andalucía</v>
      </c>
      <c r="M3047" t="s">
        <v>28</v>
      </c>
      <c r="N3047">
        <v>4</v>
      </c>
    </row>
    <row r="3048" spans="1:14" x14ac:dyDescent="0.25">
      <c r="A3048">
        <v>4047</v>
      </c>
      <c r="B3048" s="1">
        <v>45838</v>
      </c>
      <c r="C3048" s="4">
        <f>MONTH(datos_ventas[[#This Row],[Fecha]])</f>
        <v>6</v>
      </c>
      <c r="D3048" s="4">
        <f>WEEKNUM(datos_ventas[[#This Row],[Fecha]],2)</f>
        <v>27</v>
      </c>
      <c r="E3048" t="s">
        <v>17</v>
      </c>
      <c r="F3048" t="s">
        <v>18</v>
      </c>
      <c r="G3048">
        <v>5</v>
      </c>
      <c r="H3048">
        <v>113252</v>
      </c>
      <c r="I3048">
        <v>2947</v>
      </c>
      <c r="J3048" t="s">
        <v>22</v>
      </c>
      <c r="K3048" t="str">
        <f>_xlfn.XLOOKUP(datos_ventas[[#This Row],[Ciudad]],Tabla2[Ciudades],Tabla2[Provincias],"no se encuentra")</f>
        <v>Valencia</v>
      </c>
      <c r="L3048" t="str">
        <f>_xlfn.XLOOKUP(datos_ventas[[#This Row],[Provincia]],Tabla2[Provincias],Tabla2[Comunidades],"no se encuentra")</f>
        <v>Comunidad Valenciana</v>
      </c>
      <c r="M3048" t="s">
        <v>13</v>
      </c>
      <c r="N3048">
        <v>4</v>
      </c>
    </row>
    <row r="3049" spans="1:14" x14ac:dyDescent="0.25">
      <c r="A3049">
        <v>4048</v>
      </c>
      <c r="B3049" s="1">
        <v>45976</v>
      </c>
      <c r="C3049" s="4">
        <f>MONTH(datos_ventas[[#This Row],[Fecha]])</f>
        <v>11</v>
      </c>
      <c r="D3049" s="4">
        <f>WEEKNUM(datos_ventas[[#This Row],[Fecha]],2)</f>
        <v>46</v>
      </c>
      <c r="E3049" t="s">
        <v>24</v>
      </c>
      <c r="F3049" t="s">
        <v>25</v>
      </c>
      <c r="G3049">
        <v>3</v>
      </c>
      <c r="H3049">
        <v>32326</v>
      </c>
      <c r="I3049">
        <v>3351</v>
      </c>
      <c r="J3049" t="s">
        <v>32</v>
      </c>
      <c r="K3049" t="str">
        <f>_xlfn.XLOOKUP(datos_ventas[[#This Row],[Ciudad]],Tabla2[Ciudades],Tabla2[Provincias],"no se encuentra")</f>
        <v>Barcelona</v>
      </c>
      <c r="L3049" t="str">
        <f>_xlfn.XLOOKUP(datos_ventas[[#This Row],[Provincia]],Tabla2[Provincias],Tabla2[Comunidades],"no se encuentra")</f>
        <v>Cataluña</v>
      </c>
      <c r="M3049" t="s">
        <v>19</v>
      </c>
      <c r="N3049">
        <v>1</v>
      </c>
    </row>
    <row r="3050" spans="1:14" x14ac:dyDescent="0.25">
      <c r="A3050">
        <v>4049</v>
      </c>
      <c r="B3050" s="1">
        <v>45991</v>
      </c>
      <c r="C3050" s="4">
        <f>MONTH(datos_ventas[[#This Row],[Fecha]])</f>
        <v>11</v>
      </c>
      <c r="D3050" s="4">
        <f>WEEKNUM(datos_ventas[[#This Row],[Fecha]],2)</f>
        <v>48</v>
      </c>
      <c r="E3050" t="s">
        <v>24</v>
      </c>
      <c r="F3050" t="s">
        <v>25</v>
      </c>
      <c r="G3050">
        <v>1</v>
      </c>
      <c r="H3050">
        <v>105781</v>
      </c>
      <c r="I3050">
        <v>3565</v>
      </c>
      <c r="J3050" t="s">
        <v>27</v>
      </c>
      <c r="K3050" t="str">
        <f>_xlfn.XLOOKUP(datos_ventas[[#This Row],[Ciudad]],Tabla2[Ciudades],Tabla2[Provincias],"no se encuentra")</f>
        <v>Sevilla</v>
      </c>
      <c r="L3050" t="str">
        <f>_xlfn.XLOOKUP(datos_ventas[[#This Row],[Provincia]],Tabla2[Provincias],Tabla2[Comunidades],"no se encuentra")</f>
        <v>Andalucía</v>
      </c>
      <c r="M3050" t="s">
        <v>15</v>
      </c>
      <c r="N3050">
        <v>2</v>
      </c>
    </row>
    <row r="3051" spans="1:14" x14ac:dyDescent="0.25">
      <c r="A3051">
        <v>4050</v>
      </c>
      <c r="B3051" s="1">
        <v>45863</v>
      </c>
      <c r="C3051" s="4">
        <f>MONTH(datos_ventas[[#This Row],[Fecha]])</f>
        <v>7</v>
      </c>
      <c r="D3051" s="4">
        <f>WEEKNUM(datos_ventas[[#This Row],[Fecha]],2)</f>
        <v>30</v>
      </c>
      <c r="E3051" t="s">
        <v>16</v>
      </c>
      <c r="F3051" t="s">
        <v>11</v>
      </c>
      <c r="G3051">
        <v>5</v>
      </c>
      <c r="H3051">
        <v>9217</v>
      </c>
      <c r="I3051">
        <v>225</v>
      </c>
      <c r="J3051" t="s">
        <v>32</v>
      </c>
      <c r="K3051" t="str">
        <f>_xlfn.XLOOKUP(datos_ventas[[#This Row],[Ciudad]],Tabla2[Ciudades],Tabla2[Provincias],"no se encuentra")</f>
        <v>Barcelona</v>
      </c>
      <c r="L3051" t="str">
        <f>_xlfn.XLOOKUP(datos_ventas[[#This Row],[Provincia]],Tabla2[Provincias],Tabla2[Comunidades],"no se encuentra")</f>
        <v>Cataluña</v>
      </c>
      <c r="M3051" t="s">
        <v>15</v>
      </c>
      <c r="N3051">
        <v>1</v>
      </c>
    </row>
    <row r="3052" spans="1:14" x14ac:dyDescent="0.25">
      <c r="A3052">
        <v>4051</v>
      </c>
      <c r="B3052" s="1">
        <v>45887</v>
      </c>
      <c r="C3052" s="4">
        <f>MONTH(datos_ventas[[#This Row],[Fecha]])</f>
        <v>8</v>
      </c>
      <c r="D3052" s="4">
        <f>WEEKNUM(datos_ventas[[#This Row],[Fecha]],2)</f>
        <v>34</v>
      </c>
      <c r="E3052" t="s">
        <v>17</v>
      </c>
      <c r="F3052" t="s">
        <v>18</v>
      </c>
      <c r="G3052">
        <v>5</v>
      </c>
      <c r="H3052">
        <v>1553</v>
      </c>
      <c r="I3052">
        <v>4688</v>
      </c>
      <c r="J3052" t="s">
        <v>27</v>
      </c>
      <c r="K3052" t="str">
        <f>_xlfn.XLOOKUP(datos_ventas[[#This Row],[Ciudad]],Tabla2[Ciudades],Tabla2[Provincias],"no se encuentra")</f>
        <v>Sevilla</v>
      </c>
      <c r="L3052" t="str">
        <f>_xlfn.XLOOKUP(datos_ventas[[#This Row],[Provincia]],Tabla2[Provincias],Tabla2[Comunidades],"no se encuentra")</f>
        <v>Andalucía</v>
      </c>
      <c r="M3052" t="s">
        <v>19</v>
      </c>
      <c r="N3052">
        <v>1</v>
      </c>
    </row>
    <row r="3053" spans="1:14" x14ac:dyDescent="0.25">
      <c r="A3053">
        <v>4052</v>
      </c>
      <c r="B3053" s="1">
        <v>46001</v>
      </c>
      <c r="C3053" s="4">
        <f>MONTH(datos_ventas[[#This Row],[Fecha]])</f>
        <v>12</v>
      </c>
      <c r="D3053" s="4">
        <f>WEEKNUM(datos_ventas[[#This Row],[Fecha]],2)</f>
        <v>50</v>
      </c>
      <c r="E3053" t="s">
        <v>23</v>
      </c>
      <c r="F3053" t="s">
        <v>18</v>
      </c>
      <c r="G3053">
        <v>2</v>
      </c>
      <c r="H3053">
        <v>5542</v>
      </c>
      <c r="I3053">
        <v>225</v>
      </c>
      <c r="J3053" t="s">
        <v>32</v>
      </c>
      <c r="K3053" t="str">
        <f>_xlfn.XLOOKUP(datos_ventas[[#This Row],[Ciudad]],Tabla2[Ciudades],Tabla2[Provincias],"no se encuentra")</f>
        <v>Barcelona</v>
      </c>
      <c r="L3053" t="str">
        <f>_xlfn.XLOOKUP(datos_ventas[[#This Row],[Provincia]],Tabla2[Provincias],Tabla2[Comunidades],"no se encuentra")</f>
        <v>Cataluña</v>
      </c>
      <c r="M3053" t="s">
        <v>19</v>
      </c>
      <c r="N3053">
        <v>1</v>
      </c>
    </row>
    <row r="3054" spans="1:14" x14ac:dyDescent="0.25">
      <c r="A3054">
        <v>4053</v>
      </c>
      <c r="B3054" s="1">
        <v>45744</v>
      </c>
      <c r="C3054" s="4">
        <f>MONTH(datos_ventas[[#This Row],[Fecha]])</f>
        <v>3</v>
      </c>
      <c r="D3054" s="4">
        <f>WEEKNUM(datos_ventas[[#This Row],[Fecha]],2)</f>
        <v>13</v>
      </c>
      <c r="E3054" t="s">
        <v>16</v>
      </c>
      <c r="F3054" t="s">
        <v>11</v>
      </c>
      <c r="G3054">
        <v>2</v>
      </c>
      <c r="H3054">
        <v>53651</v>
      </c>
      <c r="I3054">
        <v>4209</v>
      </c>
      <c r="J3054" t="s">
        <v>31</v>
      </c>
      <c r="K3054" t="str">
        <f>_xlfn.XLOOKUP(datos_ventas[[#This Row],[Ciudad]],Tabla2[Ciudades],Tabla2[Provincias],"no se encuentra")</f>
        <v>Vizcaya</v>
      </c>
      <c r="L3054" t="str">
        <f>_xlfn.XLOOKUP(datos_ventas[[#This Row],[Provincia]],Tabla2[Provincias],Tabla2[Comunidades],"no se encuentra")</f>
        <v>País Vasco</v>
      </c>
      <c r="M3054" t="s">
        <v>19</v>
      </c>
      <c r="N3054">
        <v>2</v>
      </c>
    </row>
    <row r="3055" spans="1:14" x14ac:dyDescent="0.25">
      <c r="A3055">
        <v>4054</v>
      </c>
      <c r="B3055" s="1">
        <v>45962</v>
      </c>
      <c r="C3055" s="4">
        <f>MONTH(datos_ventas[[#This Row],[Fecha]])</f>
        <v>11</v>
      </c>
      <c r="D3055" s="4">
        <f>WEEKNUM(datos_ventas[[#This Row],[Fecha]],2)</f>
        <v>44</v>
      </c>
      <c r="E3055" t="s">
        <v>17</v>
      </c>
      <c r="F3055" t="s">
        <v>18</v>
      </c>
      <c r="G3055">
        <v>1</v>
      </c>
      <c r="H3055">
        <v>14128</v>
      </c>
      <c r="I3055">
        <v>3548</v>
      </c>
      <c r="J3055" t="s">
        <v>31</v>
      </c>
      <c r="K3055" t="str">
        <f>_xlfn.XLOOKUP(datos_ventas[[#This Row],[Ciudad]],Tabla2[Ciudades],Tabla2[Provincias],"no se encuentra")</f>
        <v>Vizcaya</v>
      </c>
      <c r="L3055" t="str">
        <f>_xlfn.XLOOKUP(datos_ventas[[#This Row],[Provincia]],Tabla2[Provincias],Tabla2[Comunidades],"no se encuentra")</f>
        <v>País Vasco</v>
      </c>
      <c r="M3055" t="s">
        <v>19</v>
      </c>
      <c r="N3055">
        <v>5</v>
      </c>
    </row>
    <row r="3056" spans="1:14" x14ac:dyDescent="0.25">
      <c r="A3056">
        <v>4055</v>
      </c>
      <c r="B3056" s="1">
        <v>45718</v>
      </c>
      <c r="C3056" s="4">
        <f>MONTH(datos_ventas[[#This Row],[Fecha]])</f>
        <v>3</v>
      </c>
      <c r="D3056" s="4">
        <f>WEEKNUM(datos_ventas[[#This Row],[Fecha]],2)</f>
        <v>9</v>
      </c>
      <c r="E3056" t="s">
        <v>26</v>
      </c>
      <c r="F3056" t="s">
        <v>18</v>
      </c>
      <c r="G3056">
        <v>4</v>
      </c>
      <c r="H3056">
        <v>117941</v>
      </c>
      <c r="I3056">
        <v>3969</v>
      </c>
      <c r="J3056" t="s">
        <v>14</v>
      </c>
      <c r="K3056" t="str">
        <f>_xlfn.XLOOKUP(datos_ventas[[#This Row],[Ciudad]],Tabla2[Ciudades],Tabla2[Provincias],"no se encuentra")</f>
        <v>Madrid</v>
      </c>
      <c r="L3056" t="str">
        <f>_xlfn.XLOOKUP(datos_ventas[[#This Row],[Provincia]],Tabla2[Provincias],Tabla2[Comunidades],"no se encuentra")</f>
        <v>Comunidad de Madrid</v>
      </c>
      <c r="M3056" t="s">
        <v>15</v>
      </c>
      <c r="N3056">
        <v>5</v>
      </c>
    </row>
    <row r="3057" spans="1:14" x14ac:dyDescent="0.25">
      <c r="A3057">
        <v>4056</v>
      </c>
      <c r="B3057" s="1">
        <v>46003</v>
      </c>
      <c r="C3057" s="4">
        <f>MONTH(datos_ventas[[#This Row],[Fecha]])</f>
        <v>12</v>
      </c>
      <c r="D3057" s="4">
        <f>WEEKNUM(datos_ventas[[#This Row],[Fecha]],2)</f>
        <v>50</v>
      </c>
      <c r="E3057" t="s">
        <v>24</v>
      </c>
      <c r="F3057" t="s">
        <v>25</v>
      </c>
      <c r="G3057">
        <v>4</v>
      </c>
      <c r="H3057">
        <v>47479</v>
      </c>
      <c r="I3057">
        <v>921</v>
      </c>
      <c r="J3057" t="s">
        <v>27</v>
      </c>
      <c r="K3057" t="str">
        <f>_xlfn.XLOOKUP(datos_ventas[[#This Row],[Ciudad]],Tabla2[Ciudades],Tabla2[Provincias],"no se encuentra")</f>
        <v>Sevilla</v>
      </c>
      <c r="L3057" t="str">
        <f>_xlfn.XLOOKUP(datos_ventas[[#This Row],[Provincia]],Tabla2[Provincias],Tabla2[Comunidades],"no se encuentra")</f>
        <v>Andalucía</v>
      </c>
      <c r="M3057" t="s">
        <v>13</v>
      </c>
      <c r="N3057">
        <v>3</v>
      </c>
    </row>
    <row r="3058" spans="1:14" x14ac:dyDescent="0.25">
      <c r="A3058">
        <v>4057</v>
      </c>
      <c r="B3058" s="1">
        <v>45780</v>
      </c>
      <c r="C3058" s="4">
        <f>MONTH(datos_ventas[[#This Row],[Fecha]])</f>
        <v>5</v>
      </c>
      <c r="D3058" s="4">
        <f>WEEKNUM(datos_ventas[[#This Row],[Fecha]],2)</f>
        <v>18</v>
      </c>
      <c r="E3058" t="s">
        <v>17</v>
      </c>
      <c r="F3058" t="s">
        <v>18</v>
      </c>
      <c r="G3058">
        <v>5</v>
      </c>
      <c r="H3058">
        <v>96553</v>
      </c>
      <c r="I3058">
        <v>3007</v>
      </c>
      <c r="J3058" t="s">
        <v>22</v>
      </c>
      <c r="K3058" t="str">
        <f>_xlfn.XLOOKUP(datos_ventas[[#This Row],[Ciudad]],Tabla2[Ciudades],Tabla2[Provincias],"no se encuentra")</f>
        <v>Valencia</v>
      </c>
      <c r="L3058" t="str">
        <f>_xlfn.XLOOKUP(datos_ventas[[#This Row],[Provincia]],Tabla2[Provincias],Tabla2[Comunidades],"no se encuentra")</f>
        <v>Comunidad Valenciana</v>
      </c>
      <c r="M3058" t="s">
        <v>19</v>
      </c>
      <c r="N3058">
        <v>5</v>
      </c>
    </row>
    <row r="3059" spans="1:14" x14ac:dyDescent="0.25">
      <c r="A3059">
        <v>4058</v>
      </c>
      <c r="B3059" s="1">
        <v>45993</v>
      </c>
      <c r="C3059" s="4">
        <f>MONTH(datos_ventas[[#This Row],[Fecha]])</f>
        <v>12</v>
      </c>
      <c r="D3059" s="4">
        <f>WEEKNUM(datos_ventas[[#This Row],[Fecha]],2)</f>
        <v>49</v>
      </c>
      <c r="E3059" t="s">
        <v>20</v>
      </c>
      <c r="F3059" t="s">
        <v>21</v>
      </c>
      <c r="G3059">
        <v>3</v>
      </c>
      <c r="H3059">
        <v>47352</v>
      </c>
      <c r="I3059">
        <v>1477</v>
      </c>
      <c r="J3059" t="s">
        <v>12</v>
      </c>
      <c r="K3059" t="str">
        <f>_xlfn.XLOOKUP(datos_ventas[[#This Row],[Ciudad]],Tabla2[Ciudades],Tabla2[Provincias],"no se encuentra")</f>
        <v>Málaga</v>
      </c>
      <c r="L3059" t="str">
        <f>_xlfn.XLOOKUP(datos_ventas[[#This Row],[Provincia]],Tabla2[Provincias],Tabla2[Comunidades],"no se encuentra")</f>
        <v>Andalucía</v>
      </c>
      <c r="M3059" t="s">
        <v>19</v>
      </c>
      <c r="N3059">
        <v>5</v>
      </c>
    </row>
    <row r="3060" spans="1:14" x14ac:dyDescent="0.25">
      <c r="A3060">
        <v>4059</v>
      </c>
      <c r="B3060" s="1">
        <v>45846</v>
      </c>
      <c r="C3060" s="4">
        <f>MONTH(datos_ventas[[#This Row],[Fecha]])</f>
        <v>7</v>
      </c>
      <c r="D3060" s="4">
        <f>WEEKNUM(datos_ventas[[#This Row],[Fecha]],2)</f>
        <v>28</v>
      </c>
      <c r="E3060" t="s">
        <v>17</v>
      </c>
      <c r="F3060" t="s">
        <v>18</v>
      </c>
      <c r="G3060">
        <v>3</v>
      </c>
      <c r="H3060">
        <v>35621</v>
      </c>
      <c r="I3060">
        <v>4683</v>
      </c>
      <c r="J3060" t="s">
        <v>22</v>
      </c>
      <c r="K3060" t="str">
        <f>_xlfn.XLOOKUP(datos_ventas[[#This Row],[Ciudad]],Tabla2[Ciudades],Tabla2[Provincias],"no se encuentra")</f>
        <v>Valencia</v>
      </c>
      <c r="L3060" t="str">
        <f>_xlfn.XLOOKUP(datos_ventas[[#This Row],[Provincia]],Tabla2[Provincias],Tabla2[Comunidades],"no se encuentra")</f>
        <v>Comunidad Valenciana</v>
      </c>
      <c r="M3060" t="s">
        <v>28</v>
      </c>
      <c r="N3060">
        <v>1</v>
      </c>
    </row>
    <row r="3061" spans="1:14" x14ac:dyDescent="0.25">
      <c r="A3061">
        <v>4060</v>
      </c>
      <c r="B3061" s="1">
        <v>45955</v>
      </c>
      <c r="C3061" s="4">
        <f>MONTH(datos_ventas[[#This Row],[Fecha]])</f>
        <v>10</v>
      </c>
      <c r="D3061" s="4">
        <f>WEEKNUM(datos_ventas[[#This Row],[Fecha]],2)</f>
        <v>43</v>
      </c>
      <c r="E3061" t="s">
        <v>17</v>
      </c>
      <c r="F3061" t="s">
        <v>18</v>
      </c>
      <c r="G3061">
        <v>3</v>
      </c>
      <c r="H3061">
        <v>19226</v>
      </c>
      <c r="I3061">
        <v>3063</v>
      </c>
      <c r="J3061" t="s">
        <v>14</v>
      </c>
      <c r="K3061" t="str">
        <f>_xlfn.XLOOKUP(datos_ventas[[#This Row],[Ciudad]],Tabla2[Ciudades],Tabla2[Provincias],"no se encuentra")</f>
        <v>Madrid</v>
      </c>
      <c r="L3061" t="str">
        <f>_xlfn.XLOOKUP(datos_ventas[[#This Row],[Provincia]],Tabla2[Provincias],Tabla2[Comunidades],"no se encuentra")</f>
        <v>Comunidad de Madrid</v>
      </c>
      <c r="M3061" t="s">
        <v>28</v>
      </c>
      <c r="N3061">
        <v>4</v>
      </c>
    </row>
    <row r="3062" spans="1:14" x14ac:dyDescent="0.25">
      <c r="A3062">
        <v>4061</v>
      </c>
      <c r="B3062" s="1">
        <v>45996</v>
      </c>
      <c r="C3062" s="4">
        <f>MONTH(datos_ventas[[#This Row],[Fecha]])</f>
        <v>12</v>
      </c>
      <c r="D3062" s="4">
        <f>WEEKNUM(datos_ventas[[#This Row],[Fecha]],2)</f>
        <v>49</v>
      </c>
      <c r="E3062" t="s">
        <v>24</v>
      </c>
      <c r="F3062" t="s">
        <v>25</v>
      </c>
      <c r="G3062">
        <v>3</v>
      </c>
      <c r="H3062">
        <v>9701</v>
      </c>
      <c r="I3062">
        <v>1648</v>
      </c>
      <c r="J3062" t="s">
        <v>32</v>
      </c>
      <c r="K3062" t="str">
        <f>_xlfn.XLOOKUP(datos_ventas[[#This Row],[Ciudad]],Tabla2[Ciudades],Tabla2[Provincias],"no se encuentra")</f>
        <v>Barcelona</v>
      </c>
      <c r="L3062" t="str">
        <f>_xlfn.XLOOKUP(datos_ventas[[#This Row],[Provincia]],Tabla2[Provincias],Tabla2[Comunidades],"no se encuentra")</f>
        <v>Cataluña</v>
      </c>
      <c r="M3062" t="s">
        <v>28</v>
      </c>
      <c r="N3062">
        <v>2</v>
      </c>
    </row>
    <row r="3063" spans="1:14" x14ac:dyDescent="0.25">
      <c r="A3063">
        <v>4062</v>
      </c>
      <c r="B3063" s="1">
        <v>46012</v>
      </c>
      <c r="C3063" s="4">
        <f>MONTH(datos_ventas[[#This Row],[Fecha]])</f>
        <v>12</v>
      </c>
      <c r="D3063" s="4">
        <f>WEEKNUM(datos_ventas[[#This Row],[Fecha]],2)</f>
        <v>51</v>
      </c>
      <c r="E3063" t="s">
        <v>16</v>
      </c>
      <c r="F3063" t="s">
        <v>11</v>
      </c>
      <c r="G3063">
        <v>1</v>
      </c>
      <c r="H3063">
        <v>6399</v>
      </c>
      <c r="I3063">
        <v>1225</v>
      </c>
      <c r="J3063" t="s">
        <v>27</v>
      </c>
      <c r="K3063" t="str">
        <f>_xlfn.XLOOKUP(datos_ventas[[#This Row],[Ciudad]],Tabla2[Ciudades],Tabla2[Provincias],"no se encuentra")</f>
        <v>Sevilla</v>
      </c>
      <c r="L3063" t="str">
        <f>_xlfn.XLOOKUP(datos_ventas[[#This Row],[Provincia]],Tabla2[Provincias],Tabla2[Comunidades],"no se encuentra")</f>
        <v>Andalucía</v>
      </c>
      <c r="M3063" t="s">
        <v>15</v>
      </c>
      <c r="N3063">
        <v>3</v>
      </c>
    </row>
    <row r="3064" spans="1:14" x14ac:dyDescent="0.25">
      <c r="A3064">
        <v>4063</v>
      </c>
      <c r="B3064" s="1">
        <v>45906</v>
      </c>
      <c r="C3064" s="4">
        <f>MONTH(datos_ventas[[#This Row],[Fecha]])</f>
        <v>9</v>
      </c>
      <c r="D3064" s="4">
        <f>WEEKNUM(datos_ventas[[#This Row],[Fecha]],2)</f>
        <v>36</v>
      </c>
      <c r="E3064" t="s">
        <v>24</v>
      </c>
      <c r="F3064" t="s">
        <v>25</v>
      </c>
      <c r="G3064">
        <v>1</v>
      </c>
      <c r="H3064">
        <v>16516</v>
      </c>
      <c r="I3064">
        <v>3159</v>
      </c>
      <c r="J3064" t="s">
        <v>14</v>
      </c>
      <c r="K3064" t="str">
        <f>_xlfn.XLOOKUP(datos_ventas[[#This Row],[Ciudad]],Tabla2[Ciudades],Tabla2[Provincias],"no se encuentra")</f>
        <v>Madrid</v>
      </c>
      <c r="L3064" t="str">
        <f>_xlfn.XLOOKUP(datos_ventas[[#This Row],[Provincia]],Tabla2[Provincias],Tabla2[Comunidades],"no se encuentra")</f>
        <v>Comunidad de Madrid</v>
      </c>
      <c r="M3064" t="s">
        <v>15</v>
      </c>
      <c r="N3064">
        <v>3</v>
      </c>
    </row>
    <row r="3065" spans="1:14" x14ac:dyDescent="0.25">
      <c r="A3065">
        <v>4064</v>
      </c>
      <c r="B3065" s="1">
        <v>45966</v>
      </c>
      <c r="C3065" s="4">
        <f>MONTH(datos_ventas[[#This Row],[Fecha]])</f>
        <v>11</v>
      </c>
      <c r="D3065" s="4">
        <f>WEEKNUM(datos_ventas[[#This Row],[Fecha]],2)</f>
        <v>45</v>
      </c>
      <c r="E3065" t="s">
        <v>16</v>
      </c>
      <c r="F3065" t="s">
        <v>11</v>
      </c>
      <c r="G3065">
        <v>4</v>
      </c>
      <c r="H3065">
        <v>64692</v>
      </c>
      <c r="I3065">
        <v>4136</v>
      </c>
      <c r="J3065" t="s">
        <v>14</v>
      </c>
      <c r="K3065" t="str">
        <f>_xlfn.XLOOKUP(datos_ventas[[#This Row],[Ciudad]],Tabla2[Ciudades],Tabla2[Provincias],"no se encuentra")</f>
        <v>Madrid</v>
      </c>
      <c r="L3065" t="str">
        <f>_xlfn.XLOOKUP(datos_ventas[[#This Row],[Provincia]],Tabla2[Provincias],Tabla2[Comunidades],"no se encuentra")</f>
        <v>Comunidad de Madrid</v>
      </c>
      <c r="M3065" t="s">
        <v>28</v>
      </c>
      <c r="N3065">
        <v>3</v>
      </c>
    </row>
    <row r="3066" spans="1:14" x14ac:dyDescent="0.25">
      <c r="A3066">
        <v>4065</v>
      </c>
      <c r="B3066" s="1">
        <v>45665</v>
      </c>
      <c r="C3066" s="4">
        <f>MONTH(datos_ventas[[#This Row],[Fecha]])</f>
        <v>1</v>
      </c>
      <c r="D3066" s="4">
        <f>WEEKNUM(datos_ventas[[#This Row],[Fecha]],2)</f>
        <v>2</v>
      </c>
      <c r="E3066" t="s">
        <v>24</v>
      </c>
      <c r="F3066" t="s">
        <v>25</v>
      </c>
      <c r="G3066">
        <v>1</v>
      </c>
      <c r="H3066">
        <v>20781</v>
      </c>
      <c r="I3066">
        <v>4106</v>
      </c>
      <c r="J3066" t="s">
        <v>27</v>
      </c>
      <c r="K3066" t="str">
        <f>_xlfn.XLOOKUP(datos_ventas[[#This Row],[Ciudad]],Tabla2[Ciudades],Tabla2[Provincias],"no se encuentra")</f>
        <v>Sevilla</v>
      </c>
      <c r="L3066" t="str">
        <f>_xlfn.XLOOKUP(datos_ventas[[#This Row],[Provincia]],Tabla2[Provincias],Tabla2[Comunidades],"no se encuentra")</f>
        <v>Andalucía</v>
      </c>
      <c r="M3066" t="s">
        <v>19</v>
      </c>
      <c r="N3066">
        <v>4</v>
      </c>
    </row>
    <row r="3067" spans="1:14" x14ac:dyDescent="0.25">
      <c r="A3067">
        <v>4066</v>
      </c>
      <c r="B3067" s="1">
        <v>46010</v>
      </c>
      <c r="C3067" s="4">
        <f>MONTH(datos_ventas[[#This Row],[Fecha]])</f>
        <v>12</v>
      </c>
      <c r="D3067" s="4">
        <f>WEEKNUM(datos_ventas[[#This Row],[Fecha]],2)</f>
        <v>51</v>
      </c>
      <c r="E3067" t="s">
        <v>24</v>
      </c>
      <c r="F3067" t="s">
        <v>25</v>
      </c>
      <c r="G3067">
        <v>2</v>
      </c>
      <c r="H3067">
        <v>38831</v>
      </c>
      <c r="I3067">
        <v>1734</v>
      </c>
      <c r="J3067" t="s">
        <v>12</v>
      </c>
      <c r="K3067" t="str">
        <f>_xlfn.XLOOKUP(datos_ventas[[#This Row],[Ciudad]],Tabla2[Ciudades],Tabla2[Provincias],"no se encuentra")</f>
        <v>Málaga</v>
      </c>
      <c r="L3067" t="str">
        <f>_xlfn.XLOOKUP(datos_ventas[[#This Row],[Provincia]],Tabla2[Provincias],Tabla2[Comunidades],"no se encuentra")</f>
        <v>Andalucía</v>
      </c>
      <c r="M3067" t="s">
        <v>28</v>
      </c>
      <c r="N3067">
        <v>5</v>
      </c>
    </row>
    <row r="3068" spans="1:14" x14ac:dyDescent="0.25">
      <c r="A3068">
        <v>4067</v>
      </c>
      <c r="B3068" s="1">
        <v>45796</v>
      </c>
      <c r="C3068" s="4">
        <f>MONTH(datos_ventas[[#This Row],[Fecha]])</f>
        <v>5</v>
      </c>
      <c r="D3068" s="4">
        <f>WEEKNUM(datos_ventas[[#This Row],[Fecha]],2)</f>
        <v>21</v>
      </c>
      <c r="E3068" t="s">
        <v>24</v>
      </c>
      <c r="F3068" t="s">
        <v>25</v>
      </c>
      <c r="G3068">
        <v>1</v>
      </c>
      <c r="H3068">
        <v>99031</v>
      </c>
      <c r="I3068">
        <v>3484</v>
      </c>
      <c r="J3068" t="s">
        <v>31</v>
      </c>
      <c r="K3068" t="str">
        <f>_xlfn.XLOOKUP(datos_ventas[[#This Row],[Ciudad]],Tabla2[Ciudades],Tabla2[Provincias],"no se encuentra")</f>
        <v>Vizcaya</v>
      </c>
      <c r="L3068" t="str">
        <f>_xlfn.XLOOKUP(datos_ventas[[#This Row],[Provincia]],Tabla2[Provincias],Tabla2[Comunidades],"no se encuentra")</f>
        <v>País Vasco</v>
      </c>
      <c r="M3068" t="s">
        <v>15</v>
      </c>
      <c r="N3068">
        <v>2</v>
      </c>
    </row>
    <row r="3069" spans="1:14" x14ac:dyDescent="0.25">
      <c r="A3069">
        <v>4068</v>
      </c>
      <c r="B3069" s="1">
        <v>46000</v>
      </c>
      <c r="C3069" s="4">
        <f>MONTH(datos_ventas[[#This Row],[Fecha]])</f>
        <v>12</v>
      </c>
      <c r="D3069" s="4">
        <f>WEEKNUM(datos_ventas[[#This Row],[Fecha]],2)</f>
        <v>50</v>
      </c>
      <c r="E3069" t="s">
        <v>17</v>
      </c>
      <c r="F3069" t="s">
        <v>18</v>
      </c>
      <c r="G3069">
        <v>4</v>
      </c>
      <c r="H3069">
        <v>98636</v>
      </c>
      <c r="I3069">
        <v>3228</v>
      </c>
      <c r="J3069" t="s">
        <v>14</v>
      </c>
      <c r="K3069" t="str">
        <f>_xlfn.XLOOKUP(datos_ventas[[#This Row],[Ciudad]],Tabla2[Ciudades],Tabla2[Provincias],"no se encuentra")</f>
        <v>Madrid</v>
      </c>
      <c r="L3069" t="str">
        <f>_xlfn.XLOOKUP(datos_ventas[[#This Row],[Provincia]],Tabla2[Provincias],Tabla2[Comunidades],"no se encuentra")</f>
        <v>Comunidad de Madrid</v>
      </c>
      <c r="M3069" t="s">
        <v>13</v>
      </c>
      <c r="N3069">
        <v>3</v>
      </c>
    </row>
    <row r="3070" spans="1:14" x14ac:dyDescent="0.25">
      <c r="A3070">
        <v>4069</v>
      </c>
      <c r="B3070" s="1">
        <v>45671</v>
      </c>
      <c r="C3070" s="4">
        <f>MONTH(datos_ventas[[#This Row],[Fecha]])</f>
        <v>1</v>
      </c>
      <c r="D3070" s="4">
        <f>WEEKNUM(datos_ventas[[#This Row],[Fecha]],2)</f>
        <v>3</v>
      </c>
      <c r="E3070" t="s">
        <v>23</v>
      </c>
      <c r="F3070" t="s">
        <v>18</v>
      </c>
      <c r="G3070">
        <v>2</v>
      </c>
      <c r="H3070">
        <v>28709</v>
      </c>
      <c r="I3070">
        <v>304</v>
      </c>
      <c r="J3070" t="s">
        <v>32</v>
      </c>
      <c r="K3070" t="str">
        <f>_xlfn.XLOOKUP(datos_ventas[[#This Row],[Ciudad]],Tabla2[Ciudades],Tabla2[Provincias],"no se encuentra")</f>
        <v>Barcelona</v>
      </c>
      <c r="L3070" t="str">
        <f>_xlfn.XLOOKUP(datos_ventas[[#This Row],[Provincia]],Tabla2[Provincias],Tabla2[Comunidades],"no se encuentra")</f>
        <v>Cataluña</v>
      </c>
      <c r="M3070" t="s">
        <v>13</v>
      </c>
      <c r="N3070">
        <v>3</v>
      </c>
    </row>
    <row r="3071" spans="1:14" x14ac:dyDescent="0.25">
      <c r="A3071">
        <v>4070</v>
      </c>
      <c r="B3071" s="1">
        <v>45817</v>
      </c>
      <c r="C3071" s="4">
        <f>MONTH(datos_ventas[[#This Row],[Fecha]])</f>
        <v>6</v>
      </c>
      <c r="D3071" s="4">
        <f>WEEKNUM(datos_ventas[[#This Row],[Fecha]],2)</f>
        <v>24</v>
      </c>
      <c r="E3071" t="s">
        <v>10</v>
      </c>
      <c r="F3071" t="s">
        <v>11</v>
      </c>
      <c r="G3071">
        <v>1</v>
      </c>
      <c r="H3071">
        <v>96852</v>
      </c>
      <c r="I3071">
        <v>2609</v>
      </c>
      <c r="J3071" t="s">
        <v>12</v>
      </c>
      <c r="K3071" t="str">
        <f>_xlfn.XLOOKUP(datos_ventas[[#This Row],[Ciudad]],Tabla2[Ciudades],Tabla2[Provincias],"no se encuentra")</f>
        <v>Málaga</v>
      </c>
      <c r="L3071" t="str">
        <f>_xlfn.XLOOKUP(datos_ventas[[#This Row],[Provincia]],Tabla2[Provincias],Tabla2[Comunidades],"no se encuentra")</f>
        <v>Andalucía</v>
      </c>
      <c r="M3071" t="s">
        <v>19</v>
      </c>
      <c r="N3071">
        <v>1</v>
      </c>
    </row>
    <row r="3072" spans="1:14" x14ac:dyDescent="0.25">
      <c r="A3072">
        <v>4071</v>
      </c>
      <c r="B3072" s="1">
        <v>45883</v>
      </c>
      <c r="C3072" s="4">
        <f>MONTH(datos_ventas[[#This Row],[Fecha]])</f>
        <v>8</v>
      </c>
      <c r="D3072" s="4">
        <f>WEEKNUM(datos_ventas[[#This Row],[Fecha]],2)</f>
        <v>33</v>
      </c>
      <c r="E3072" t="s">
        <v>20</v>
      </c>
      <c r="F3072" t="s">
        <v>21</v>
      </c>
      <c r="G3072">
        <v>1</v>
      </c>
      <c r="H3072">
        <v>31901</v>
      </c>
      <c r="I3072">
        <v>1362</v>
      </c>
      <c r="J3072" t="s">
        <v>27</v>
      </c>
      <c r="K3072" t="str">
        <f>_xlfn.XLOOKUP(datos_ventas[[#This Row],[Ciudad]],Tabla2[Ciudades],Tabla2[Provincias],"no se encuentra")</f>
        <v>Sevilla</v>
      </c>
      <c r="L3072" t="str">
        <f>_xlfn.XLOOKUP(datos_ventas[[#This Row],[Provincia]],Tabla2[Provincias],Tabla2[Comunidades],"no se encuentra")</f>
        <v>Andalucía</v>
      </c>
      <c r="M3072" t="s">
        <v>28</v>
      </c>
      <c r="N3072">
        <v>5</v>
      </c>
    </row>
    <row r="3073" spans="1:14" x14ac:dyDescent="0.25">
      <c r="A3073">
        <v>4072</v>
      </c>
      <c r="B3073" s="1">
        <v>45791</v>
      </c>
      <c r="C3073" s="4">
        <f>MONTH(datos_ventas[[#This Row],[Fecha]])</f>
        <v>5</v>
      </c>
      <c r="D3073" s="4">
        <f>WEEKNUM(datos_ventas[[#This Row],[Fecha]],2)</f>
        <v>20</v>
      </c>
      <c r="E3073" t="s">
        <v>20</v>
      </c>
      <c r="F3073" t="s">
        <v>21</v>
      </c>
      <c r="G3073">
        <v>2</v>
      </c>
      <c r="H3073">
        <v>20794</v>
      </c>
      <c r="I3073">
        <v>2681</v>
      </c>
      <c r="J3073" t="s">
        <v>27</v>
      </c>
      <c r="K3073" t="str">
        <f>_xlfn.XLOOKUP(datos_ventas[[#This Row],[Ciudad]],Tabla2[Ciudades],Tabla2[Provincias],"no se encuentra")</f>
        <v>Sevilla</v>
      </c>
      <c r="L3073" t="str">
        <f>_xlfn.XLOOKUP(datos_ventas[[#This Row],[Provincia]],Tabla2[Provincias],Tabla2[Comunidades],"no se encuentra")</f>
        <v>Andalucía</v>
      </c>
      <c r="M3073" t="s">
        <v>19</v>
      </c>
      <c r="N3073">
        <v>4</v>
      </c>
    </row>
    <row r="3074" spans="1:14" x14ac:dyDescent="0.25">
      <c r="A3074">
        <v>4073</v>
      </c>
      <c r="B3074" s="1">
        <v>45946</v>
      </c>
      <c r="C3074" s="4">
        <f>MONTH(datos_ventas[[#This Row],[Fecha]])</f>
        <v>10</v>
      </c>
      <c r="D3074" s="4">
        <f>WEEKNUM(datos_ventas[[#This Row],[Fecha]],2)</f>
        <v>42</v>
      </c>
      <c r="E3074" t="s">
        <v>20</v>
      </c>
      <c r="F3074" t="s">
        <v>21</v>
      </c>
      <c r="G3074">
        <v>4</v>
      </c>
      <c r="H3074">
        <v>9822</v>
      </c>
      <c r="I3074">
        <v>1368</v>
      </c>
      <c r="J3074" t="s">
        <v>14</v>
      </c>
      <c r="K3074" t="str">
        <f>_xlfn.XLOOKUP(datos_ventas[[#This Row],[Ciudad]],Tabla2[Ciudades],Tabla2[Provincias],"no se encuentra")</f>
        <v>Madrid</v>
      </c>
      <c r="L3074" t="str">
        <f>_xlfn.XLOOKUP(datos_ventas[[#This Row],[Provincia]],Tabla2[Provincias],Tabla2[Comunidades],"no se encuentra")</f>
        <v>Comunidad de Madrid</v>
      </c>
      <c r="M3074" t="s">
        <v>13</v>
      </c>
      <c r="N3074">
        <v>4</v>
      </c>
    </row>
    <row r="3075" spans="1:14" x14ac:dyDescent="0.25">
      <c r="A3075">
        <v>4074</v>
      </c>
      <c r="B3075" s="1">
        <v>45766</v>
      </c>
      <c r="C3075" s="4">
        <f>MONTH(datos_ventas[[#This Row],[Fecha]])</f>
        <v>4</v>
      </c>
      <c r="D3075" s="4">
        <f>WEEKNUM(datos_ventas[[#This Row],[Fecha]],2)</f>
        <v>16</v>
      </c>
      <c r="E3075" t="s">
        <v>26</v>
      </c>
      <c r="F3075" t="s">
        <v>18</v>
      </c>
      <c r="G3075">
        <v>3</v>
      </c>
      <c r="H3075">
        <v>74761</v>
      </c>
      <c r="I3075">
        <v>3525</v>
      </c>
      <c r="J3075" t="s">
        <v>14</v>
      </c>
      <c r="K3075" t="str">
        <f>_xlfn.XLOOKUP(datos_ventas[[#This Row],[Ciudad]],Tabla2[Ciudades],Tabla2[Provincias],"no se encuentra")</f>
        <v>Madrid</v>
      </c>
      <c r="L3075" t="str">
        <f>_xlfn.XLOOKUP(datos_ventas[[#This Row],[Provincia]],Tabla2[Provincias],Tabla2[Comunidades],"no se encuentra")</f>
        <v>Comunidad de Madrid</v>
      </c>
      <c r="M3075" t="s">
        <v>28</v>
      </c>
      <c r="N3075">
        <v>4</v>
      </c>
    </row>
    <row r="3076" spans="1:14" x14ac:dyDescent="0.25">
      <c r="A3076">
        <v>4075</v>
      </c>
      <c r="B3076" s="1">
        <v>45675</v>
      </c>
      <c r="C3076" s="4">
        <f>MONTH(datos_ventas[[#This Row],[Fecha]])</f>
        <v>1</v>
      </c>
      <c r="D3076" s="4">
        <f>WEEKNUM(datos_ventas[[#This Row],[Fecha]],2)</f>
        <v>3</v>
      </c>
      <c r="E3076" t="s">
        <v>20</v>
      </c>
      <c r="F3076" t="s">
        <v>21</v>
      </c>
      <c r="G3076">
        <v>1</v>
      </c>
      <c r="H3076">
        <v>10668</v>
      </c>
      <c r="I3076">
        <v>431</v>
      </c>
      <c r="J3076" t="s">
        <v>27</v>
      </c>
      <c r="K3076" t="str">
        <f>_xlfn.XLOOKUP(datos_ventas[[#This Row],[Ciudad]],Tabla2[Ciudades],Tabla2[Provincias],"no se encuentra")</f>
        <v>Sevilla</v>
      </c>
      <c r="L3076" t="str">
        <f>_xlfn.XLOOKUP(datos_ventas[[#This Row],[Provincia]],Tabla2[Provincias],Tabla2[Comunidades],"no se encuentra")</f>
        <v>Andalucía</v>
      </c>
      <c r="M3076" t="s">
        <v>13</v>
      </c>
      <c r="N3076">
        <v>3</v>
      </c>
    </row>
    <row r="3077" spans="1:14" x14ac:dyDescent="0.25">
      <c r="A3077">
        <v>4076</v>
      </c>
      <c r="B3077" s="1">
        <v>45910</v>
      </c>
      <c r="C3077" s="4">
        <f>MONTH(datos_ventas[[#This Row],[Fecha]])</f>
        <v>9</v>
      </c>
      <c r="D3077" s="4">
        <f>WEEKNUM(datos_ventas[[#This Row],[Fecha]],2)</f>
        <v>37</v>
      </c>
      <c r="E3077" t="s">
        <v>17</v>
      </c>
      <c r="F3077" t="s">
        <v>18</v>
      </c>
      <c r="G3077">
        <v>2</v>
      </c>
      <c r="H3077">
        <v>9952</v>
      </c>
      <c r="I3077">
        <v>2134</v>
      </c>
      <c r="J3077" t="s">
        <v>32</v>
      </c>
      <c r="K3077" t="str">
        <f>_xlfn.XLOOKUP(datos_ventas[[#This Row],[Ciudad]],Tabla2[Ciudades],Tabla2[Provincias],"no se encuentra")</f>
        <v>Barcelona</v>
      </c>
      <c r="L3077" t="str">
        <f>_xlfn.XLOOKUP(datos_ventas[[#This Row],[Provincia]],Tabla2[Provincias],Tabla2[Comunidades],"no se encuentra")</f>
        <v>Cataluña</v>
      </c>
      <c r="M3077" t="s">
        <v>15</v>
      </c>
      <c r="N3077">
        <v>4</v>
      </c>
    </row>
    <row r="3078" spans="1:14" x14ac:dyDescent="0.25">
      <c r="A3078">
        <v>4077</v>
      </c>
      <c r="B3078" s="1">
        <v>45932</v>
      </c>
      <c r="C3078" s="4">
        <f>MONTH(datos_ventas[[#This Row],[Fecha]])</f>
        <v>10</v>
      </c>
      <c r="D3078" s="4">
        <f>WEEKNUM(datos_ventas[[#This Row],[Fecha]],2)</f>
        <v>40</v>
      </c>
      <c r="E3078" t="s">
        <v>16</v>
      </c>
      <c r="F3078" t="s">
        <v>11</v>
      </c>
      <c r="G3078">
        <v>4</v>
      </c>
      <c r="H3078">
        <v>8566</v>
      </c>
      <c r="I3078">
        <v>786</v>
      </c>
      <c r="J3078" t="s">
        <v>14</v>
      </c>
      <c r="K3078" t="str">
        <f>_xlfn.XLOOKUP(datos_ventas[[#This Row],[Ciudad]],Tabla2[Ciudades],Tabla2[Provincias],"no se encuentra")</f>
        <v>Madrid</v>
      </c>
      <c r="L3078" t="str">
        <f>_xlfn.XLOOKUP(datos_ventas[[#This Row],[Provincia]],Tabla2[Provincias],Tabla2[Comunidades],"no se encuentra")</f>
        <v>Comunidad de Madrid</v>
      </c>
      <c r="M3078" t="s">
        <v>13</v>
      </c>
      <c r="N3078">
        <v>4</v>
      </c>
    </row>
    <row r="3079" spans="1:14" x14ac:dyDescent="0.25">
      <c r="A3079">
        <v>4078</v>
      </c>
      <c r="B3079" s="1">
        <v>45800</v>
      </c>
      <c r="C3079" s="4">
        <f>MONTH(datos_ventas[[#This Row],[Fecha]])</f>
        <v>5</v>
      </c>
      <c r="D3079" s="4">
        <f>WEEKNUM(datos_ventas[[#This Row],[Fecha]],2)</f>
        <v>21</v>
      </c>
      <c r="E3079" t="s">
        <v>24</v>
      </c>
      <c r="F3079" t="s">
        <v>25</v>
      </c>
      <c r="G3079">
        <v>1</v>
      </c>
      <c r="H3079">
        <v>2377</v>
      </c>
      <c r="I3079">
        <v>1776</v>
      </c>
      <c r="J3079" t="s">
        <v>27</v>
      </c>
      <c r="K3079" t="str">
        <f>_xlfn.XLOOKUP(datos_ventas[[#This Row],[Ciudad]],Tabla2[Ciudades],Tabla2[Provincias],"no se encuentra")</f>
        <v>Sevilla</v>
      </c>
      <c r="L3079" t="str">
        <f>_xlfn.XLOOKUP(datos_ventas[[#This Row],[Provincia]],Tabla2[Provincias],Tabla2[Comunidades],"no se encuentra")</f>
        <v>Andalucía</v>
      </c>
      <c r="M3079" t="s">
        <v>13</v>
      </c>
      <c r="N3079">
        <v>2</v>
      </c>
    </row>
    <row r="3080" spans="1:14" x14ac:dyDescent="0.25">
      <c r="A3080">
        <v>4079</v>
      </c>
      <c r="B3080" s="1">
        <v>45936</v>
      </c>
      <c r="C3080" s="4">
        <f>MONTH(datos_ventas[[#This Row],[Fecha]])</f>
        <v>10</v>
      </c>
      <c r="D3080" s="4">
        <f>WEEKNUM(datos_ventas[[#This Row],[Fecha]],2)</f>
        <v>41</v>
      </c>
      <c r="E3080" t="s">
        <v>23</v>
      </c>
      <c r="F3080" t="s">
        <v>18</v>
      </c>
      <c r="G3080">
        <v>3</v>
      </c>
      <c r="H3080">
        <v>62083</v>
      </c>
      <c r="I3080">
        <v>4426</v>
      </c>
      <c r="J3080" t="s">
        <v>12</v>
      </c>
      <c r="K3080" t="str">
        <f>_xlfn.XLOOKUP(datos_ventas[[#This Row],[Ciudad]],Tabla2[Ciudades],Tabla2[Provincias],"no se encuentra")</f>
        <v>Málaga</v>
      </c>
      <c r="L3080" t="str">
        <f>_xlfn.XLOOKUP(datos_ventas[[#This Row],[Provincia]],Tabla2[Provincias],Tabla2[Comunidades],"no se encuentra")</f>
        <v>Andalucía</v>
      </c>
      <c r="M3080" t="s">
        <v>28</v>
      </c>
      <c r="N3080">
        <v>4</v>
      </c>
    </row>
    <row r="3081" spans="1:14" x14ac:dyDescent="0.25">
      <c r="A3081">
        <v>4080</v>
      </c>
      <c r="B3081" s="1">
        <v>45726</v>
      </c>
      <c r="C3081" s="4">
        <f>MONTH(datos_ventas[[#This Row],[Fecha]])</f>
        <v>3</v>
      </c>
      <c r="D3081" s="4">
        <f>WEEKNUM(datos_ventas[[#This Row],[Fecha]],2)</f>
        <v>11</v>
      </c>
      <c r="E3081" t="s">
        <v>20</v>
      </c>
      <c r="F3081" t="s">
        <v>21</v>
      </c>
      <c r="G3081">
        <v>5</v>
      </c>
      <c r="H3081">
        <v>117314</v>
      </c>
      <c r="I3081">
        <v>2385</v>
      </c>
      <c r="J3081" t="s">
        <v>27</v>
      </c>
      <c r="K3081" t="str">
        <f>_xlfn.XLOOKUP(datos_ventas[[#This Row],[Ciudad]],Tabla2[Ciudades],Tabla2[Provincias],"no se encuentra")</f>
        <v>Sevilla</v>
      </c>
      <c r="L3081" t="str">
        <f>_xlfn.XLOOKUP(datos_ventas[[#This Row],[Provincia]],Tabla2[Provincias],Tabla2[Comunidades],"no se encuentra")</f>
        <v>Andalucía</v>
      </c>
      <c r="M3081" t="s">
        <v>15</v>
      </c>
      <c r="N3081">
        <v>4</v>
      </c>
    </row>
    <row r="3082" spans="1:14" x14ac:dyDescent="0.25">
      <c r="A3082">
        <v>4081</v>
      </c>
      <c r="B3082" s="1">
        <v>45816</v>
      </c>
      <c r="C3082" s="4">
        <f>MONTH(datos_ventas[[#This Row],[Fecha]])</f>
        <v>6</v>
      </c>
      <c r="D3082" s="4">
        <f>WEEKNUM(datos_ventas[[#This Row],[Fecha]],2)</f>
        <v>23</v>
      </c>
      <c r="E3082" t="s">
        <v>17</v>
      </c>
      <c r="F3082" t="s">
        <v>18</v>
      </c>
      <c r="G3082">
        <v>4</v>
      </c>
      <c r="H3082">
        <v>109128</v>
      </c>
      <c r="I3082">
        <v>788</v>
      </c>
      <c r="J3082" t="s">
        <v>27</v>
      </c>
      <c r="K3082" t="str">
        <f>_xlfn.XLOOKUP(datos_ventas[[#This Row],[Ciudad]],Tabla2[Ciudades],Tabla2[Provincias],"no se encuentra")</f>
        <v>Sevilla</v>
      </c>
      <c r="L3082" t="str">
        <f>_xlfn.XLOOKUP(datos_ventas[[#This Row],[Provincia]],Tabla2[Provincias],Tabla2[Comunidades],"no se encuentra")</f>
        <v>Andalucía</v>
      </c>
      <c r="M3082" t="s">
        <v>28</v>
      </c>
      <c r="N3082">
        <v>3</v>
      </c>
    </row>
    <row r="3083" spans="1:14" x14ac:dyDescent="0.25">
      <c r="A3083">
        <v>4082</v>
      </c>
      <c r="B3083" s="1">
        <v>45981</v>
      </c>
      <c r="C3083" s="4">
        <f>MONTH(datos_ventas[[#This Row],[Fecha]])</f>
        <v>11</v>
      </c>
      <c r="D3083" s="4">
        <f>WEEKNUM(datos_ventas[[#This Row],[Fecha]],2)</f>
        <v>47</v>
      </c>
      <c r="E3083" t="s">
        <v>10</v>
      </c>
      <c r="F3083" t="s">
        <v>11</v>
      </c>
      <c r="G3083">
        <v>4</v>
      </c>
      <c r="H3083">
        <v>117499</v>
      </c>
      <c r="I3083">
        <v>4683</v>
      </c>
      <c r="J3083" t="s">
        <v>22</v>
      </c>
      <c r="K3083" t="str">
        <f>_xlfn.XLOOKUP(datos_ventas[[#This Row],[Ciudad]],Tabla2[Ciudades],Tabla2[Provincias],"no se encuentra")</f>
        <v>Valencia</v>
      </c>
      <c r="L3083" t="str">
        <f>_xlfn.XLOOKUP(datos_ventas[[#This Row],[Provincia]],Tabla2[Provincias],Tabla2[Comunidades],"no se encuentra")</f>
        <v>Comunidad Valenciana</v>
      </c>
      <c r="M3083" t="s">
        <v>13</v>
      </c>
      <c r="N3083">
        <v>1</v>
      </c>
    </row>
    <row r="3084" spans="1:14" x14ac:dyDescent="0.25">
      <c r="A3084">
        <v>4083</v>
      </c>
      <c r="B3084" s="1">
        <v>46018</v>
      </c>
      <c r="C3084" s="4">
        <f>MONTH(datos_ventas[[#This Row],[Fecha]])</f>
        <v>12</v>
      </c>
      <c r="D3084" s="4">
        <f>WEEKNUM(datos_ventas[[#This Row],[Fecha]],2)</f>
        <v>52</v>
      </c>
      <c r="E3084" t="s">
        <v>26</v>
      </c>
      <c r="F3084" t="s">
        <v>18</v>
      </c>
      <c r="G3084">
        <v>2</v>
      </c>
      <c r="H3084">
        <v>40816</v>
      </c>
      <c r="I3084">
        <v>1535</v>
      </c>
      <c r="J3084" t="s">
        <v>12</v>
      </c>
      <c r="K3084" t="str">
        <f>_xlfn.XLOOKUP(datos_ventas[[#This Row],[Ciudad]],Tabla2[Ciudades],Tabla2[Provincias],"no se encuentra")</f>
        <v>Málaga</v>
      </c>
      <c r="L3084" t="str">
        <f>_xlfn.XLOOKUP(datos_ventas[[#This Row],[Provincia]],Tabla2[Provincias],Tabla2[Comunidades],"no se encuentra")</f>
        <v>Andalucía</v>
      </c>
      <c r="M3084" t="s">
        <v>19</v>
      </c>
      <c r="N3084">
        <v>4</v>
      </c>
    </row>
    <row r="3085" spans="1:14" x14ac:dyDescent="0.25">
      <c r="A3085">
        <v>4084</v>
      </c>
      <c r="B3085" s="1">
        <v>45748</v>
      </c>
      <c r="C3085" s="4">
        <f>MONTH(datos_ventas[[#This Row],[Fecha]])</f>
        <v>4</v>
      </c>
      <c r="D3085" s="4">
        <f>WEEKNUM(datos_ventas[[#This Row],[Fecha]],2)</f>
        <v>14</v>
      </c>
      <c r="E3085" t="s">
        <v>29</v>
      </c>
      <c r="F3085" t="s">
        <v>30</v>
      </c>
      <c r="G3085">
        <v>2</v>
      </c>
      <c r="H3085">
        <v>67381</v>
      </c>
      <c r="I3085">
        <v>4055</v>
      </c>
      <c r="J3085" t="s">
        <v>31</v>
      </c>
      <c r="K3085" t="str">
        <f>_xlfn.XLOOKUP(datos_ventas[[#This Row],[Ciudad]],Tabla2[Ciudades],Tabla2[Provincias],"no se encuentra")</f>
        <v>Vizcaya</v>
      </c>
      <c r="L3085" t="str">
        <f>_xlfn.XLOOKUP(datos_ventas[[#This Row],[Provincia]],Tabla2[Provincias],Tabla2[Comunidades],"no se encuentra")</f>
        <v>País Vasco</v>
      </c>
      <c r="M3085" t="s">
        <v>19</v>
      </c>
      <c r="N3085">
        <v>2</v>
      </c>
    </row>
    <row r="3086" spans="1:14" x14ac:dyDescent="0.25">
      <c r="A3086">
        <v>4085</v>
      </c>
      <c r="B3086" s="1">
        <v>45870</v>
      </c>
      <c r="C3086" s="4">
        <f>MONTH(datos_ventas[[#This Row],[Fecha]])</f>
        <v>8</v>
      </c>
      <c r="D3086" s="4">
        <f>WEEKNUM(datos_ventas[[#This Row],[Fecha]],2)</f>
        <v>31</v>
      </c>
      <c r="E3086" t="s">
        <v>16</v>
      </c>
      <c r="F3086" t="s">
        <v>11</v>
      </c>
      <c r="G3086">
        <v>4</v>
      </c>
      <c r="H3086">
        <v>56419</v>
      </c>
      <c r="I3086">
        <v>342</v>
      </c>
      <c r="J3086" t="s">
        <v>12</v>
      </c>
      <c r="K3086" t="str">
        <f>_xlfn.XLOOKUP(datos_ventas[[#This Row],[Ciudad]],Tabla2[Ciudades],Tabla2[Provincias],"no se encuentra")</f>
        <v>Málaga</v>
      </c>
      <c r="L3086" t="str">
        <f>_xlfn.XLOOKUP(datos_ventas[[#This Row],[Provincia]],Tabla2[Provincias],Tabla2[Comunidades],"no se encuentra")</f>
        <v>Andalucía</v>
      </c>
      <c r="M3086" t="s">
        <v>15</v>
      </c>
      <c r="N3086">
        <v>1</v>
      </c>
    </row>
    <row r="3087" spans="1:14" x14ac:dyDescent="0.25">
      <c r="A3087">
        <v>4086</v>
      </c>
      <c r="B3087" s="1">
        <v>45902</v>
      </c>
      <c r="C3087" s="4">
        <f>MONTH(datos_ventas[[#This Row],[Fecha]])</f>
        <v>9</v>
      </c>
      <c r="D3087" s="4">
        <f>WEEKNUM(datos_ventas[[#This Row],[Fecha]],2)</f>
        <v>36</v>
      </c>
      <c r="E3087" t="s">
        <v>16</v>
      </c>
      <c r="F3087" t="s">
        <v>11</v>
      </c>
      <c r="G3087">
        <v>2</v>
      </c>
      <c r="H3087">
        <v>24845</v>
      </c>
      <c r="I3087">
        <v>2532</v>
      </c>
      <c r="J3087" t="s">
        <v>27</v>
      </c>
      <c r="K3087" t="str">
        <f>_xlfn.XLOOKUP(datos_ventas[[#This Row],[Ciudad]],Tabla2[Ciudades],Tabla2[Provincias],"no se encuentra")</f>
        <v>Sevilla</v>
      </c>
      <c r="L3087" t="str">
        <f>_xlfn.XLOOKUP(datos_ventas[[#This Row],[Provincia]],Tabla2[Provincias],Tabla2[Comunidades],"no se encuentra")</f>
        <v>Andalucía</v>
      </c>
      <c r="M3087" t="s">
        <v>15</v>
      </c>
      <c r="N3087">
        <v>4</v>
      </c>
    </row>
    <row r="3088" spans="1:14" x14ac:dyDescent="0.25">
      <c r="A3088">
        <v>4087</v>
      </c>
      <c r="B3088" s="1">
        <v>45678</v>
      </c>
      <c r="C3088" s="4">
        <f>MONTH(datos_ventas[[#This Row],[Fecha]])</f>
        <v>1</v>
      </c>
      <c r="D3088" s="4">
        <f>WEEKNUM(datos_ventas[[#This Row],[Fecha]],2)</f>
        <v>4</v>
      </c>
      <c r="E3088" t="s">
        <v>17</v>
      </c>
      <c r="F3088" t="s">
        <v>18</v>
      </c>
      <c r="G3088">
        <v>3</v>
      </c>
      <c r="H3088">
        <v>81869</v>
      </c>
      <c r="I3088">
        <v>1925</v>
      </c>
      <c r="J3088" t="s">
        <v>31</v>
      </c>
      <c r="K3088" t="str">
        <f>_xlfn.XLOOKUP(datos_ventas[[#This Row],[Ciudad]],Tabla2[Ciudades],Tabla2[Provincias],"no se encuentra")</f>
        <v>Vizcaya</v>
      </c>
      <c r="L3088" t="str">
        <f>_xlfn.XLOOKUP(datos_ventas[[#This Row],[Provincia]],Tabla2[Provincias],Tabla2[Comunidades],"no se encuentra")</f>
        <v>País Vasco</v>
      </c>
      <c r="M3088" t="s">
        <v>13</v>
      </c>
      <c r="N3088">
        <v>1</v>
      </c>
    </row>
    <row r="3089" spans="1:14" x14ac:dyDescent="0.25">
      <c r="A3089">
        <v>4088</v>
      </c>
      <c r="B3089" s="1">
        <v>45907</v>
      </c>
      <c r="C3089" s="4">
        <f>MONTH(datos_ventas[[#This Row],[Fecha]])</f>
        <v>9</v>
      </c>
      <c r="D3089" s="4">
        <f>WEEKNUM(datos_ventas[[#This Row],[Fecha]],2)</f>
        <v>36</v>
      </c>
      <c r="E3089" t="s">
        <v>20</v>
      </c>
      <c r="F3089" t="s">
        <v>21</v>
      </c>
      <c r="G3089">
        <v>1</v>
      </c>
      <c r="H3089">
        <v>104635</v>
      </c>
      <c r="I3089">
        <v>669</v>
      </c>
      <c r="J3089" t="s">
        <v>12</v>
      </c>
      <c r="K3089" t="str">
        <f>_xlfn.XLOOKUP(datos_ventas[[#This Row],[Ciudad]],Tabla2[Ciudades],Tabla2[Provincias],"no se encuentra")</f>
        <v>Málaga</v>
      </c>
      <c r="L3089" t="str">
        <f>_xlfn.XLOOKUP(datos_ventas[[#This Row],[Provincia]],Tabla2[Provincias],Tabla2[Comunidades],"no se encuentra")</f>
        <v>Andalucía</v>
      </c>
      <c r="M3089" t="s">
        <v>13</v>
      </c>
      <c r="N3089">
        <v>5</v>
      </c>
    </row>
    <row r="3090" spans="1:14" x14ac:dyDescent="0.25">
      <c r="A3090">
        <v>4089</v>
      </c>
      <c r="B3090" s="1">
        <v>45711</v>
      </c>
      <c r="C3090" s="4">
        <f>MONTH(datos_ventas[[#This Row],[Fecha]])</f>
        <v>2</v>
      </c>
      <c r="D3090" s="4">
        <f>WEEKNUM(datos_ventas[[#This Row],[Fecha]],2)</f>
        <v>8</v>
      </c>
      <c r="E3090" t="s">
        <v>20</v>
      </c>
      <c r="F3090" t="s">
        <v>21</v>
      </c>
      <c r="G3090">
        <v>5</v>
      </c>
      <c r="H3090">
        <v>52344</v>
      </c>
      <c r="I3090">
        <v>199</v>
      </c>
      <c r="J3090" t="s">
        <v>12</v>
      </c>
      <c r="K3090" t="str">
        <f>_xlfn.XLOOKUP(datos_ventas[[#This Row],[Ciudad]],Tabla2[Ciudades],Tabla2[Provincias],"no se encuentra")</f>
        <v>Málaga</v>
      </c>
      <c r="L3090" t="str">
        <f>_xlfn.XLOOKUP(datos_ventas[[#This Row],[Provincia]],Tabla2[Provincias],Tabla2[Comunidades],"no se encuentra")</f>
        <v>Andalucía</v>
      </c>
      <c r="M3090" t="s">
        <v>15</v>
      </c>
      <c r="N3090">
        <v>5</v>
      </c>
    </row>
    <row r="3091" spans="1:14" x14ac:dyDescent="0.25">
      <c r="A3091">
        <v>4090</v>
      </c>
      <c r="B3091" s="1">
        <v>45801</v>
      </c>
      <c r="C3091" s="4">
        <f>MONTH(datos_ventas[[#This Row],[Fecha]])</f>
        <v>5</v>
      </c>
      <c r="D3091" s="4">
        <f>WEEKNUM(datos_ventas[[#This Row],[Fecha]],2)</f>
        <v>21</v>
      </c>
      <c r="E3091" t="s">
        <v>26</v>
      </c>
      <c r="F3091" t="s">
        <v>18</v>
      </c>
      <c r="G3091">
        <v>2</v>
      </c>
      <c r="H3091">
        <v>112128</v>
      </c>
      <c r="I3091">
        <v>2831</v>
      </c>
      <c r="J3091" t="s">
        <v>14</v>
      </c>
      <c r="K3091" t="str">
        <f>_xlfn.XLOOKUP(datos_ventas[[#This Row],[Ciudad]],Tabla2[Ciudades],Tabla2[Provincias],"no se encuentra")</f>
        <v>Madrid</v>
      </c>
      <c r="L3091" t="str">
        <f>_xlfn.XLOOKUP(datos_ventas[[#This Row],[Provincia]],Tabla2[Provincias],Tabla2[Comunidades],"no se encuentra")</f>
        <v>Comunidad de Madrid</v>
      </c>
      <c r="M3091" t="s">
        <v>28</v>
      </c>
      <c r="N3091">
        <v>5</v>
      </c>
    </row>
    <row r="3092" spans="1:14" x14ac:dyDescent="0.25">
      <c r="A3092">
        <v>4091</v>
      </c>
      <c r="B3092" s="1">
        <v>45840</v>
      </c>
      <c r="C3092" s="4">
        <f>MONTH(datos_ventas[[#This Row],[Fecha]])</f>
        <v>7</v>
      </c>
      <c r="D3092" s="4">
        <f>WEEKNUM(datos_ventas[[#This Row],[Fecha]],2)</f>
        <v>27</v>
      </c>
      <c r="E3092" t="s">
        <v>20</v>
      </c>
      <c r="F3092" t="s">
        <v>21</v>
      </c>
      <c r="G3092">
        <v>2</v>
      </c>
      <c r="H3092">
        <v>23805</v>
      </c>
      <c r="I3092">
        <v>1285</v>
      </c>
      <c r="J3092" t="s">
        <v>27</v>
      </c>
      <c r="K3092" t="str">
        <f>_xlfn.XLOOKUP(datos_ventas[[#This Row],[Ciudad]],Tabla2[Ciudades],Tabla2[Provincias],"no se encuentra")</f>
        <v>Sevilla</v>
      </c>
      <c r="L3092" t="str">
        <f>_xlfn.XLOOKUP(datos_ventas[[#This Row],[Provincia]],Tabla2[Provincias],Tabla2[Comunidades],"no se encuentra")</f>
        <v>Andalucía</v>
      </c>
      <c r="M3092" t="s">
        <v>19</v>
      </c>
      <c r="N3092">
        <v>2</v>
      </c>
    </row>
    <row r="3093" spans="1:14" x14ac:dyDescent="0.25">
      <c r="A3093">
        <v>4092</v>
      </c>
      <c r="B3093" s="1">
        <v>45923</v>
      </c>
      <c r="C3093" s="4">
        <f>MONTH(datos_ventas[[#This Row],[Fecha]])</f>
        <v>9</v>
      </c>
      <c r="D3093" s="4">
        <f>WEEKNUM(datos_ventas[[#This Row],[Fecha]],2)</f>
        <v>39</v>
      </c>
      <c r="E3093" t="s">
        <v>26</v>
      </c>
      <c r="F3093" t="s">
        <v>18</v>
      </c>
      <c r="G3093">
        <v>4</v>
      </c>
      <c r="H3093">
        <v>80254</v>
      </c>
      <c r="I3093">
        <v>1654</v>
      </c>
      <c r="J3093" t="s">
        <v>12</v>
      </c>
      <c r="K3093" t="str">
        <f>_xlfn.XLOOKUP(datos_ventas[[#This Row],[Ciudad]],Tabla2[Ciudades],Tabla2[Provincias],"no se encuentra")</f>
        <v>Málaga</v>
      </c>
      <c r="L3093" t="str">
        <f>_xlfn.XLOOKUP(datos_ventas[[#This Row],[Provincia]],Tabla2[Provincias],Tabla2[Comunidades],"no se encuentra")</f>
        <v>Andalucía</v>
      </c>
      <c r="M3093" t="s">
        <v>28</v>
      </c>
      <c r="N3093">
        <v>1</v>
      </c>
    </row>
    <row r="3094" spans="1:14" x14ac:dyDescent="0.25">
      <c r="A3094">
        <v>4093</v>
      </c>
      <c r="B3094" s="1">
        <v>45762</v>
      </c>
      <c r="C3094" s="4">
        <f>MONTH(datos_ventas[[#This Row],[Fecha]])</f>
        <v>4</v>
      </c>
      <c r="D3094" s="4">
        <f>WEEKNUM(datos_ventas[[#This Row],[Fecha]],2)</f>
        <v>16</v>
      </c>
      <c r="E3094" t="s">
        <v>20</v>
      </c>
      <c r="F3094" t="s">
        <v>21</v>
      </c>
      <c r="G3094">
        <v>5</v>
      </c>
      <c r="H3094">
        <v>41702</v>
      </c>
      <c r="I3094">
        <v>3633</v>
      </c>
      <c r="J3094" t="s">
        <v>31</v>
      </c>
      <c r="K3094" t="str">
        <f>_xlfn.XLOOKUP(datos_ventas[[#This Row],[Ciudad]],Tabla2[Ciudades],Tabla2[Provincias],"no se encuentra")</f>
        <v>Vizcaya</v>
      </c>
      <c r="L3094" t="str">
        <f>_xlfn.XLOOKUP(datos_ventas[[#This Row],[Provincia]],Tabla2[Provincias],Tabla2[Comunidades],"no se encuentra")</f>
        <v>País Vasco</v>
      </c>
      <c r="M3094" t="s">
        <v>15</v>
      </c>
      <c r="N3094">
        <v>2</v>
      </c>
    </row>
    <row r="3095" spans="1:14" x14ac:dyDescent="0.25">
      <c r="A3095">
        <v>4094</v>
      </c>
      <c r="B3095" s="1">
        <v>45926</v>
      </c>
      <c r="C3095" s="4">
        <f>MONTH(datos_ventas[[#This Row],[Fecha]])</f>
        <v>9</v>
      </c>
      <c r="D3095" s="4">
        <f>WEEKNUM(datos_ventas[[#This Row],[Fecha]],2)</f>
        <v>39</v>
      </c>
      <c r="E3095" t="s">
        <v>29</v>
      </c>
      <c r="F3095" t="s">
        <v>30</v>
      </c>
      <c r="G3095">
        <v>1</v>
      </c>
      <c r="H3095">
        <v>30924</v>
      </c>
      <c r="I3095">
        <v>4805</v>
      </c>
      <c r="J3095" t="s">
        <v>31</v>
      </c>
      <c r="K3095" t="str">
        <f>_xlfn.XLOOKUP(datos_ventas[[#This Row],[Ciudad]],Tabla2[Ciudades],Tabla2[Provincias],"no se encuentra")</f>
        <v>Vizcaya</v>
      </c>
      <c r="L3095" t="str">
        <f>_xlfn.XLOOKUP(datos_ventas[[#This Row],[Provincia]],Tabla2[Provincias],Tabla2[Comunidades],"no se encuentra")</f>
        <v>País Vasco</v>
      </c>
      <c r="M3095" t="s">
        <v>15</v>
      </c>
      <c r="N3095">
        <v>3</v>
      </c>
    </row>
    <row r="3096" spans="1:14" x14ac:dyDescent="0.25">
      <c r="A3096">
        <v>4095</v>
      </c>
      <c r="B3096" s="1">
        <v>45857</v>
      </c>
      <c r="C3096" s="4">
        <f>MONTH(datos_ventas[[#This Row],[Fecha]])</f>
        <v>7</v>
      </c>
      <c r="D3096" s="4">
        <f>WEEKNUM(datos_ventas[[#This Row],[Fecha]],2)</f>
        <v>29</v>
      </c>
      <c r="E3096" t="s">
        <v>16</v>
      </c>
      <c r="F3096" t="s">
        <v>11</v>
      </c>
      <c r="G3096">
        <v>1</v>
      </c>
      <c r="H3096">
        <v>66201</v>
      </c>
      <c r="I3096">
        <v>4369</v>
      </c>
      <c r="J3096" t="s">
        <v>22</v>
      </c>
      <c r="K3096" t="str">
        <f>_xlfn.XLOOKUP(datos_ventas[[#This Row],[Ciudad]],Tabla2[Ciudades],Tabla2[Provincias],"no se encuentra")</f>
        <v>Valencia</v>
      </c>
      <c r="L3096" t="str">
        <f>_xlfn.XLOOKUP(datos_ventas[[#This Row],[Provincia]],Tabla2[Provincias],Tabla2[Comunidades],"no se encuentra")</f>
        <v>Comunidad Valenciana</v>
      </c>
      <c r="M3096" t="s">
        <v>13</v>
      </c>
      <c r="N3096">
        <v>3</v>
      </c>
    </row>
    <row r="3097" spans="1:14" x14ac:dyDescent="0.25">
      <c r="A3097">
        <v>4096</v>
      </c>
      <c r="B3097" s="1">
        <v>45900</v>
      </c>
      <c r="C3097" s="4">
        <f>MONTH(datos_ventas[[#This Row],[Fecha]])</f>
        <v>8</v>
      </c>
      <c r="D3097" s="4">
        <f>WEEKNUM(datos_ventas[[#This Row],[Fecha]],2)</f>
        <v>35</v>
      </c>
      <c r="E3097" t="s">
        <v>10</v>
      </c>
      <c r="F3097" t="s">
        <v>11</v>
      </c>
      <c r="G3097">
        <v>5</v>
      </c>
      <c r="H3097">
        <v>67214</v>
      </c>
      <c r="I3097">
        <v>3885</v>
      </c>
      <c r="J3097" t="s">
        <v>32</v>
      </c>
      <c r="K3097" t="str">
        <f>_xlfn.XLOOKUP(datos_ventas[[#This Row],[Ciudad]],Tabla2[Ciudades],Tabla2[Provincias],"no se encuentra")</f>
        <v>Barcelona</v>
      </c>
      <c r="L3097" t="str">
        <f>_xlfn.XLOOKUP(datos_ventas[[#This Row],[Provincia]],Tabla2[Provincias],Tabla2[Comunidades],"no se encuentra")</f>
        <v>Cataluña</v>
      </c>
      <c r="M3097" t="s">
        <v>28</v>
      </c>
      <c r="N3097">
        <v>3</v>
      </c>
    </row>
    <row r="3098" spans="1:14" x14ac:dyDescent="0.25">
      <c r="A3098">
        <v>4097</v>
      </c>
      <c r="B3098" s="1">
        <v>45739</v>
      </c>
      <c r="C3098" s="4">
        <f>MONTH(datos_ventas[[#This Row],[Fecha]])</f>
        <v>3</v>
      </c>
      <c r="D3098" s="4">
        <f>WEEKNUM(datos_ventas[[#This Row],[Fecha]],2)</f>
        <v>12</v>
      </c>
      <c r="E3098" t="s">
        <v>16</v>
      </c>
      <c r="F3098" t="s">
        <v>11</v>
      </c>
      <c r="G3098">
        <v>4</v>
      </c>
      <c r="H3098">
        <v>97582</v>
      </c>
      <c r="I3098">
        <v>3355</v>
      </c>
      <c r="J3098" t="s">
        <v>22</v>
      </c>
      <c r="K3098" t="str">
        <f>_xlfn.XLOOKUP(datos_ventas[[#This Row],[Ciudad]],Tabla2[Ciudades],Tabla2[Provincias],"no se encuentra")</f>
        <v>Valencia</v>
      </c>
      <c r="L3098" t="str">
        <f>_xlfn.XLOOKUP(datos_ventas[[#This Row],[Provincia]],Tabla2[Provincias],Tabla2[Comunidades],"no se encuentra")</f>
        <v>Comunidad Valenciana</v>
      </c>
      <c r="M3098" t="s">
        <v>19</v>
      </c>
      <c r="N3098">
        <v>2</v>
      </c>
    </row>
    <row r="3099" spans="1:14" x14ac:dyDescent="0.25">
      <c r="A3099">
        <v>4098</v>
      </c>
      <c r="B3099" s="1">
        <v>45962</v>
      </c>
      <c r="C3099" s="4">
        <f>MONTH(datos_ventas[[#This Row],[Fecha]])</f>
        <v>11</v>
      </c>
      <c r="D3099" s="4">
        <f>WEEKNUM(datos_ventas[[#This Row],[Fecha]],2)</f>
        <v>44</v>
      </c>
      <c r="E3099" t="s">
        <v>20</v>
      </c>
      <c r="F3099" t="s">
        <v>21</v>
      </c>
      <c r="G3099">
        <v>3</v>
      </c>
      <c r="H3099">
        <v>87568</v>
      </c>
      <c r="I3099">
        <v>1814</v>
      </c>
      <c r="J3099" t="s">
        <v>31</v>
      </c>
      <c r="K3099" t="str">
        <f>_xlfn.XLOOKUP(datos_ventas[[#This Row],[Ciudad]],Tabla2[Ciudades],Tabla2[Provincias],"no se encuentra")</f>
        <v>Vizcaya</v>
      </c>
      <c r="L3099" t="str">
        <f>_xlfn.XLOOKUP(datos_ventas[[#This Row],[Provincia]],Tabla2[Provincias],Tabla2[Comunidades],"no se encuentra")</f>
        <v>País Vasco</v>
      </c>
      <c r="M3099" t="s">
        <v>28</v>
      </c>
      <c r="N3099">
        <v>2</v>
      </c>
    </row>
    <row r="3100" spans="1:14" x14ac:dyDescent="0.25">
      <c r="A3100">
        <v>4099</v>
      </c>
      <c r="B3100" s="1">
        <v>45764</v>
      </c>
      <c r="C3100" s="4">
        <f>MONTH(datos_ventas[[#This Row],[Fecha]])</f>
        <v>4</v>
      </c>
      <c r="D3100" s="4">
        <f>WEEKNUM(datos_ventas[[#This Row],[Fecha]],2)</f>
        <v>16</v>
      </c>
      <c r="E3100" t="s">
        <v>20</v>
      </c>
      <c r="F3100" t="s">
        <v>21</v>
      </c>
      <c r="G3100">
        <v>5</v>
      </c>
      <c r="H3100">
        <v>62365</v>
      </c>
      <c r="I3100">
        <v>2039</v>
      </c>
      <c r="J3100" t="s">
        <v>31</v>
      </c>
      <c r="K3100" t="str">
        <f>_xlfn.XLOOKUP(datos_ventas[[#This Row],[Ciudad]],Tabla2[Ciudades],Tabla2[Provincias],"no se encuentra")</f>
        <v>Vizcaya</v>
      </c>
      <c r="L3100" t="str">
        <f>_xlfn.XLOOKUP(datos_ventas[[#This Row],[Provincia]],Tabla2[Provincias],Tabla2[Comunidades],"no se encuentra")</f>
        <v>País Vasco</v>
      </c>
      <c r="M3100" t="s">
        <v>28</v>
      </c>
      <c r="N3100">
        <v>3</v>
      </c>
    </row>
    <row r="3101" spans="1:14" x14ac:dyDescent="0.25">
      <c r="A3101">
        <v>4100</v>
      </c>
      <c r="B3101" s="1">
        <v>45923</v>
      </c>
      <c r="C3101" s="4">
        <f>MONTH(datos_ventas[[#This Row],[Fecha]])</f>
        <v>9</v>
      </c>
      <c r="D3101" s="4">
        <f>WEEKNUM(datos_ventas[[#This Row],[Fecha]],2)</f>
        <v>39</v>
      </c>
      <c r="E3101" t="s">
        <v>23</v>
      </c>
      <c r="F3101" t="s">
        <v>18</v>
      </c>
      <c r="G3101">
        <v>4</v>
      </c>
      <c r="H3101">
        <v>99329</v>
      </c>
      <c r="I3101">
        <v>3667</v>
      </c>
      <c r="J3101" t="s">
        <v>27</v>
      </c>
      <c r="K3101" t="str">
        <f>_xlfn.XLOOKUP(datos_ventas[[#This Row],[Ciudad]],Tabla2[Ciudades],Tabla2[Provincias],"no se encuentra")</f>
        <v>Sevilla</v>
      </c>
      <c r="L3101" t="str">
        <f>_xlfn.XLOOKUP(datos_ventas[[#This Row],[Provincia]],Tabla2[Provincias],Tabla2[Comunidades],"no se encuentra")</f>
        <v>Andalucía</v>
      </c>
      <c r="M3101" t="s">
        <v>15</v>
      </c>
      <c r="N3101">
        <v>1</v>
      </c>
    </row>
    <row r="3102" spans="1:14" x14ac:dyDescent="0.25">
      <c r="A3102">
        <v>4101</v>
      </c>
      <c r="B3102" s="1">
        <v>45767</v>
      </c>
      <c r="C3102" s="4">
        <f>MONTH(datos_ventas[[#This Row],[Fecha]])</f>
        <v>4</v>
      </c>
      <c r="D3102" s="4">
        <f>WEEKNUM(datos_ventas[[#This Row],[Fecha]],2)</f>
        <v>16</v>
      </c>
      <c r="E3102" t="s">
        <v>16</v>
      </c>
      <c r="F3102" t="s">
        <v>11</v>
      </c>
      <c r="G3102">
        <v>1</v>
      </c>
      <c r="H3102">
        <v>38727</v>
      </c>
      <c r="I3102">
        <v>904</v>
      </c>
      <c r="J3102" t="s">
        <v>27</v>
      </c>
      <c r="K3102" t="str">
        <f>_xlfn.XLOOKUP(datos_ventas[[#This Row],[Ciudad]],Tabla2[Ciudades],Tabla2[Provincias],"no se encuentra")</f>
        <v>Sevilla</v>
      </c>
      <c r="L3102" t="str">
        <f>_xlfn.XLOOKUP(datos_ventas[[#This Row],[Provincia]],Tabla2[Provincias],Tabla2[Comunidades],"no se encuentra")</f>
        <v>Andalucía</v>
      </c>
      <c r="M3102" t="s">
        <v>13</v>
      </c>
      <c r="N3102">
        <v>2</v>
      </c>
    </row>
    <row r="3103" spans="1:14" x14ac:dyDescent="0.25">
      <c r="A3103">
        <v>4102</v>
      </c>
      <c r="B3103" s="1">
        <v>45753</v>
      </c>
      <c r="C3103" s="4">
        <f>MONTH(datos_ventas[[#This Row],[Fecha]])</f>
        <v>4</v>
      </c>
      <c r="D3103" s="4">
        <f>WEEKNUM(datos_ventas[[#This Row],[Fecha]],2)</f>
        <v>14</v>
      </c>
      <c r="E3103" t="s">
        <v>10</v>
      </c>
      <c r="F3103" t="s">
        <v>11</v>
      </c>
      <c r="G3103">
        <v>4</v>
      </c>
      <c r="H3103">
        <v>67596</v>
      </c>
      <c r="I3103">
        <v>3071</v>
      </c>
      <c r="J3103" t="s">
        <v>32</v>
      </c>
      <c r="K3103" t="str">
        <f>_xlfn.XLOOKUP(datos_ventas[[#This Row],[Ciudad]],Tabla2[Ciudades],Tabla2[Provincias],"no se encuentra")</f>
        <v>Barcelona</v>
      </c>
      <c r="L3103" t="str">
        <f>_xlfn.XLOOKUP(datos_ventas[[#This Row],[Provincia]],Tabla2[Provincias],Tabla2[Comunidades],"no se encuentra")</f>
        <v>Cataluña</v>
      </c>
      <c r="M3103" t="s">
        <v>19</v>
      </c>
      <c r="N3103">
        <v>1</v>
      </c>
    </row>
    <row r="3104" spans="1:14" x14ac:dyDescent="0.25">
      <c r="A3104">
        <v>4103</v>
      </c>
      <c r="B3104" s="1">
        <v>45688</v>
      </c>
      <c r="C3104" s="4">
        <f>MONTH(datos_ventas[[#This Row],[Fecha]])</f>
        <v>1</v>
      </c>
      <c r="D3104" s="4">
        <f>WEEKNUM(datos_ventas[[#This Row],[Fecha]],2)</f>
        <v>5</v>
      </c>
      <c r="E3104" t="s">
        <v>26</v>
      </c>
      <c r="F3104" t="s">
        <v>18</v>
      </c>
      <c r="G3104">
        <v>1</v>
      </c>
      <c r="H3104">
        <v>58793</v>
      </c>
      <c r="I3104">
        <v>3836</v>
      </c>
      <c r="J3104" t="s">
        <v>14</v>
      </c>
      <c r="K3104" t="str">
        <f>_xlfn.XLOOKUP(datos_ventas[[#This Row],[Ciudad]],Tabla2[Ciudades],Tabla2[Provincias],"no se encuentra")</f>
        <v>Madrid</v>
      </c>
      <c r="L3104" t="str">
        <f>_xlfn.XLOOKUP(datos_ventas[[#This Row],[Provincia]],Tabla2[Provincias],Tabla2[Comunidades],"no se encuentra")</f>
        <v>Comunidad de Madrid</v>
      </c>
      <c r="M3104" t="s">
        <v>19</v>
      </c>
      <c r="N3104">
        <v>3</v>
      </c>
    </row>
    <row r="3105" spans="1:14" x14ac:dyDescent="0.25">
      <c r="A3105">
        <v>4104</v>
      </c>
      <c r="B3105" s="1">
        <v>45825</v>
      </c>
      <c r="C3105" s="4">
        <f>MONTH(datos_ventas[[#This Row],[Fecha]])</f>
        <v>6</v>
      </c>
      <c r="D3105" s="4">
        <f>WEEKNUM(datos_ventas[[#This Row],[Fecha]],2)</f>
        <v>25</v>
      </c>
      <c r="E3105" t="s">
        <v>20</v>
      </c>
      <c r="F3105" t="s">
        <v>21</v>
      </c>
      <c r="G3105">
        <v>5</v>
      </c>
      <c r="H3105">
        <v>62918</v>
      </c>
      <c r="I3105">
        <v>3483</v>
      </c>
      <c r="J3105" t="s">
        <v>14</v>
      </c>
      <c r="K3105" t="str">
        <f>_xlfn.XLOOKUP(datos_ventas[[#This Row],[Ciudad]],Tabla2[Ciudades],Tabla2[Provincias],"no se encuentra")</f>
        <v>Madrid</v>
      </c>
      <c r="L3105" t="str">
        <f>_xlfn.XLOOKUP(datos_ventas[[#This Row],[Provincia]],Tabla2[Provincias],Tabla2[Comunidades],"no se encuentra")</f>
        <v>Comunidad de Madrid</v>
      </c>
      <c r="M3105" t="s">
        <v>13</v>
      </c>
      <c r="N3105">
        <v>5</v>
      </c>
    </row>
    <row r="3106" spans="1:14" x14ac:dyDescent="0.25">
      <c r="A3106">
        <v>4105</v>
      </c>
      <c r="B3106" s="1">
        <v>45919</v>
      </c>
      <c r="C3106" s="4">
        <f>MONTH(datos_ventas[[#This Row],[Fecha]])</f>
        <v>9</v>
      </c>
      <c r="D3106" s="4">
        <f>WEEKNUM(datos_ventas[[#This Row],[Fecha]],2)</f>
        <v>38</v>
      </c>
      <c r="E3106" t="s">
        <v>23</v>
      </c>
      <c r="F3106" t="s">
        <v>18</v>
      </c>
      <c r="G3106">
        <v>1</v>
      </c>
      <c r="H3106">
        <v>4379</v>
      </c>
      <c r="I3106">
        <v>1444</v>
      </c>
      <c r="J3106" t="s">
        <v>22</v>
      </c>
      <c r="K3106" t="str">
        <f>_xlfn.XLOOKUP(datos_ventas[[#This Row],[Ciudad]],Tabla2[Ciudades],Tabla2[Provincias],"no se encuentra")</f>
        <v>Valencia</v>
      </c>
      <c r="L3106" t="str">
        <f>_xlfn.XLOOKUP(datos_ventas[[#This Row],[Provincia]],Tabla2[Provincias],Tabla2[Comunidades],"no se encuentra")</f>
        <v>Comunidad Valenciana</v>
      </c>
      <c r="M3106" t="s">
        <v>13</v>
      </c>
      <c r="N3106">
        <v>5</v>
      </c>
    </row>
    <row r="3107" spans="1:14" x14ac:dyDescent="0.25">
      <c r="A3107">
        <v>4106</v>
      </c>
      <c r="B3107" s="1">
        <v>45846</v>
      </c>
      <c r="C3107" s="4">
        <f>MONTH(datos_ventas[[#This Row],[Fecha]])</f>
        <v>7</v>
      </c>
      <c r="D3107" s="4">
        <f>WEEKNUM(datos_ventas[[#This Row],[Fecha]],2)</f>
        <v>28</v>
      </c>
      <c r="E3107" t="s">
        <v>17</v>
      </c>
      <c r="F3107" t="s">
        <v>18</v>
      </c>
      <c r="G3107">
        <v>3</v>
      </c>
      <c r="H3107">
        <v>17331</v>
      </c>
      <c r="I3107">
        <v>3072</v>
      </c>
      <c r="J3107" t="s">
        <v>31</v>
      </c>
      <c r="K3107" t="str">
        <f>_xlfn.XLOOKUP(datos_ventas[[#This Row],[Ciudad]],Tabla2[Ciudades],Tabla2[Provincias],"no se encuentra")</f>
        <v>Vizcaya</v>
      </c>
      <c r="L3107" t="str">
        <f>_xlfn.XLOOKUP(datos_ventas[[#This Row],[Provincia]],Tabla2[Provincias],Tabla2[Comunidades],"no se encuentra")</f>
        <v>País Vasco</v>
      </c>
      <c r="M3107" t="s">
        <v>13</v>
      </c>
      <c r="N3107">
        <v>4</v>
      </c>
    </row>
    <row r="3108" spans="1:14" x14ac:dyDescent="0.25">
      <c r="A3108">
        <v>4107</v>
      </c>
      <c r="B3108" s="1">
        <v>45905</v>
      </c>
      <c r="C3108" s="4">
        <f>MONTH(datos_ventas[[#This Row],[Fecha]])</f>
        <v>9</v>
      </c>
      <c r="D3108" s="4">
        <f>WEEKNUM(datos_ventas[[#This Row],[Fecha]],2)</f>
        <v>36</v>
      </c>
      <c r="E3108" t="s">
        <v>23</v>
      </c>
      <c r="F3108" t="s">
        <v>18</v>
      </c>
      <c r="G3108">
        <v>2</v>
      </c>
      <c r="H3108">
        <v>72688</v>
      </c>
      <c r="I3108">
        <v>1484</v>
      </c>
      <c r="J3108" t="s">
        <v>32</v>
      </c>
      <c r="K3108" t="str">
        <f>_xlfn.XLOOKUP(datos_ventas[[#This Row],[Ciudad]],Tabla2[Ciudades],Tabla2[Provincias],"no se encuentra")</f>
        <v>Barcelona</v>
      </c>
      <c r="L3108" t="str">
        <f>_xlfn.XLOOKUP(datos_ventas[[#This Row],[Provincia]],Tabla2[Provincias],Tabla2[Comunidades],"no se encuentra")</f>
        <v>Cataluña</v>
      </c>
      <c r="M3108" t="s">
        <v>28</v>
      </c>
      <c r="N3108">
        <v>2</v>
      </c>
    </row>
    <row r="3109" spans="1:14" x14ac:dyDescent="0.25">
      <c r="A3109">
        <v>4108</v>
      </c>
      <c r="B3109" s="1">
        <v>45997</v>
      </c>
      <c r="C3109" s="4">
        <f>MONTH(datos_ventas[[#This Row],[Fecha]])</f>
        <v>12</v>
      </c>
      <c r="D3109" s="4">
        <f>WEEKNUM(datos_ventas[[#This Row],[Fecha]],2)</f>
        <v>49</v>
      </c>
      <c r="E3109" t="s">
        <v>23</v>
      </c>
      <c r="F3109" t="s">
        <v>18</v>
      </c>
      <c r="G3109">
        <v>1</v>
      </c>
      <c r="H3109">
        <v>38526</v>
      </c>
      <c r="I3109">
        <v>1623</v>
      </c>
      <c r="J3109" t="s">
        <v>31</v>
      </c>
      <c r="K3109" t="str">
        <f>_xlfn.XLOOKUP(datos_ventas[[#This Row],[Ciudad]],Tabla2[Ciudades],Tabla2[Provincias],"no se encuentra")</f>
        <v>Vizcaya</v>
      </c>
      <c r="L3109" t="str">
        <f>_xlfn.XLOOKUP(datos_ventas[[#This Row],[Provincia]],Tabla2[Provincias],Tabla2[Comunidades],"no se encuentra")</f>
        <v>País Vasco</v>
      </c>
      <c r="M3109" t="s">
        <v>13</v>
      </c>
      <c r="N3109">
        <v>5</v>
      </c>
    </row>
    <row r="3110" spans="1:14" x14ac:dyDescent="0.25">
      <c r="A3110">
        <v>4109</v>
      </c>
      <c r="B3110" s="1">
        <v>45962</v>
      </c>
      <c r="C3110" s="4">
        <f>MONTH(datos_ventas[[#This Row],[Fecha]])</f>
        <v>11</v>
      </c>
      <c r="D3110" s="4">
        <f>WEEKNUM(datos_ventas[[#This Row],[Fecha]],2)</f>
        <v>44</v>
      </c>
      <c r="E3110" t="s">
        <v>17</v>
      </c>
      <c r="F3110" t="s">
        <v>18</v>
      </c>
      <c r="G3110">
        <v>5</v>
      </c>
      <c r="H3110">
        <v>94367</v>
      </c>
      <c r="I3110">
        <v>273</v>
      </c>
      <c r="J3110" t="s">
        <v>31</v>
      </c>
      <c r="K3110" t="str">
        <f>_xlfn.XLOOKUP(datos_ventas[[#This Row],[Ciudad]],Tabla2[Ciudades],Tabla2[Provincias],"no se encuentra")</f>
        <v>Vizcaya</v>
      </c>
      <c r="L3110" t="str">
        <f>_xlfn.XLOOKUP(datos_ventas[[#This Row],[Provincia]],Tabla2[Provincias],Tabla2[Comunidades],"no se encuentra")</f>
        <v>País Vasco</v>
      </c>
      <c r="M3110" t="s">
        <v>19</v>
      </c>
      <c r="N3110">
        <v>2</v>
      </c>
    </row>
    <row r="3111" spans="1:14" x14ac:dyDescent="0.25">
      <c r="A3111">
        <v>4110</v>
      </c>
      <c r="B3111" s="1">
        <v>45838</v>
      </c>
      <c r="C3111" s="4">
        <f>MONTH(datos_ventas[[#This Row],[Fecha]])</f>
        <v>6</v>
      </c>
      <c r="D3111" s="4">
        <f>WEEKNUM(datos_ventas[[#This Row],[Fecha]],2)</f>
        <v>27</v>
      </c>
      <c r="E3111" t="s">
        <v>26</v>
      </c>
      <c r="F3111" t="s">
        <v>18</v>
      </c>
      <c r="G3111">
        <v>5</v>
      </c>
      <c r="H3111">
        <v>46442</v>
      </c>
      <c r="I3111">
        <v>1131</v>
      </c>
      <c r="J3111" t="s">
        <v>22</v>
      </c>
      <c r="K3111" t="str">
        <f>_xlfn.XLOOKUP(datos_ventas[[#This Row],[Ciudad]],Tabla2[Ciudades],Tabla2[Provincias],"no se encuentra")</f>
        <v>Valencia</v>
      </c>
      <c r="L3111" t="str">
        <f>_xlfn.XLOOKUP(datos_ventas[[#This Row],[Provincia]],Tabla2[Provincias],Tabla2[Comunidades],"no se encuentra")</f>
        <v>Comunidad Valenciana</v>
      </c>
      <c r="M3111" t="s">
        <v>15</v>
      </c>
      <c r="N3111">
        <v>2</v>
      </c>
    </row>
    <row r="3112" spans="1:14" x14ac:dyDescent="0.25">
      <c r="A3112">
        <v>4111</v>
      </c>
      <c r="B3112" s="1">
        <v>45962</v>
      </c>
      <c r="C3112" s="4">
        <f>MONTH(datos_ventas[[#This Row],[Fecha]])</f>
        <v>11</v>
      </c>
      <c r="D3112" s="4">
        <f>WEEKNUM(datos_ventas[[#This Row],[Fecha]],2)</f>
        <v>44</v>
      </c>
      <c r="E3112" t="s">
        <v>29</v>
      </c>
      <c r="F3112" t="s">
        <v>30</v>
      </c>
      <c r="G3112">
        <v>4</v>
      </c>
      <c r="H3112">
        <v>105168</v>
      </c>
      <c r="I3112">
        <v>2987</v>
      </c>
      <c r="J3112" t="s">
        <v>32</v>
      </c>
      <c r="K3112" t="str">
        <f>_xlfn.XLOOKUP(datos_ventas[[#This Row],[Ciudad]],Tabla2[Ciudades],Tabla2[Provincias],"no se encuentra")</f>
        <v>Barcelona</v>
      </c>
      <c r="L3112" t="str">
        <f>_xlfn.XLOOKUP(datos_ventas[[#This Row],[Provincia]],Tabla2[Provincias],Tabla2[Comunidades],"no se encuentra")</f>
        <v>Cataluña</v>
      </c>
      <c r="M3112" t="s">
        <v>28</v>
      </c>
      <c r="N3112">
        <v>4</v>
      </c>
    </row>
    <row r="3113" spans="1:14" x14ac:dyDescent="0.25">
      <c r="A3113">
        <v>4112</v>
      </c>
      <c r="B3113" s="1">
        <v>46017</v>
      </c>
      <c r="C3113" s="4">
        <f>MONTH(datos_ventas[[#This Row],[Fecha]])</f>
        <v>12</v>
      </c>
      <c r="D3113" s="4">
        <f>WEEKNUM(datos_ventas[[#This Row],[Fecha]],2)</f>
        <v>52</v>
      </c>
      <c r="E3113" t="s">
        <v>20</v>
      </c>
      <c r="F3113" t="s">
        <v>21</v>
      </c>
      <c r="G3113">
        <v>4</v>
      </c>
      <c r="H3113">
        <v>19296</v>
      </c>
      <c r="I3113">
        <v>4073</v>
      </c>
      <c r="J3113" t="s">
        <v>31</v>
      </c>
      <c r="K3113" t="str">
        <f>_xlfn.XLOOKUP(datos_ventas[[#This Row],[Ciudad]],Tabla2[Ciudades],Tabla2[Provincias],"no se encuentra")</f>
        <v>Vizcaya</v>
      </c>
      <c r="L3113" t="str">
        <f>_xlfn.XLOOKUP(datos_ventas[[#This Row],[Provincia]],Tabla2[Provincias],Tabla2[Comunidades],"no se encuentra")</f>
        <v>País Vasco</v>
      </c>
      <c r="M3113" t="s">
        <v>28</v>
      </c>
      <c r="N3113">
        <v>3</v>
      </c>
    </row>
    <row r="3114" spans="1:14" x14ac:dyDescent="0.25">
      <c r="A3114">
        <v>4113</v>
      </c>
      <c r="B3114" s="1">
        <v>45718</v>
      </c>
      <c r="C3114" s="4">
        <f>MONTH(datos_ventas[[#This Row],[Fecha]])</f>
        <v>3</v>
      </c>
      <c r="D3114" s="4">
        <f>WEEKNUM(datos_ventas[[#This Row],[Fecha]],2)</f>
        <v>9</v>
      </c>
      <c r="E3114" t="s">
        <v>16</v>
      </c>
      <c r="F3114" t="s">
        <v>11</v>
      </c>
      <c r="G3114">
        <v>5</v>
      </c>
      <c r="H3114">
        <v>39449</v>
      </c>
      <c r="I3114">
        <v>3449</v>
      </c>
      <c r="J3114" t="s">
        <v>31</v>
      </c>
      <c r="K3114" t="str">
        <f>_xlfn.XLOOKUP(datos_ventas[[#This Row],[Ciudad]],Tabla2[Ciudades],Tabla2[Provincias],"no se encuentra")</f>
        <v>Vizcaya</v>
      </c>
      <c r="L3114" t="str">
        <f>_xlfn.XLOOKUP(datos_ventas[[#This Row],[Provincia]],Tabla2[Provincias],Tabla2[Comunidades],"no se encuentra")</f>
        <v>País Vasco</v>
      </c>
      <c r="M3114" t="s">
        <v>28</v>
      </c>
      <c r="N3114">
        <v>2</v>
      </c>
    </row>
    <row r="3115" spans="1:14" x14ac:dyDescent="0.25">
      <c r="A3115">
        <v>4114</v>
      </c>
      <c r="B3115" s="1">
        <v>45745</v>
      </c>
      <c r="C3115" s="4">
        <f>MONTH(datos_ventas[[#This Row],[Fecha]])</f>
        <v>3</v>
      </c>
      <c r="D3115" s="4">
        <f>WEEKNUM(datos_ventas[[#This Row],[Fecha]],2)</f>
        <v>13</v>
      </c>
      <c r="E3115" t="s">
        <v>24</v>
      </c>
      <c r="F3115" t="s">
        <v>25</v>
      </c>
      <c r="G3115">
        <v>5</v>
      </c>
      <c r="H3115">
        <v>94239</v>
      </c>
      <c r="I3115">
        <v>3914</v>
      </c>
      <c r="J3115" t="s">
        <v>12</v>
      </c>
      <c r="K3115" t="str">
        <f>_xlfn.XLOOKUP(datos_ventas[[#This Row],[Ciudad]],Tabla2[Ciudades],Tabla2[Provincias],"no se encuentra")</f>
        <v>Málaga</v>
      </c>
      <c r="L3115" t="str">
        <f>_xlfn.XLOOKUP(datos_ventas[[#This Row],[Provincia]],Tabla2[Provincias],Tabla2[Comunidades],"no se encuentra")</f>
        <v>Andalucía</v>
      </c>
      <c r="M3115" t="s">
        <v>28</v>
      </c>
      <c r="N3115">
        <v>2</v>
      </c>
    </row>
    <row r="3116" spans="1:14" x14ac:dyDescent="0.25">
      <c r="A3116">
        <v>4115</v>
      </c>
      <c r="B3116" s="1">
        <v>45757</v>
      </c>
      <c r="C3116" s="4">
        <f>MONTH(datos_ventas[[#This Row],[Fecha]])</f>
        <v>4</v>
      </c>
      <c r="D3116" s="4">
        <f>WEEKNUM(datos_ventas[[#This Row],[Fecha]],2)</f>
        <v>15</v>
      </c>
      <c r="E3116" t="s">
        <v>17</v>
      </c>
      <c r="F3116" t="s">
        <v>18</v>
      </c>
      <c r="G3116">
        <v>3</v>
      </c>
      <c r="H3116">
        <v>64476</v>
      </c>
      <c r="I3116">
        <v>2514</v>
      </c>
      <c r="J3116" t="s">
        <v>27</v>
      </c>
      <c r="K3116" t="str">
        <f>_xlfn.XLOOKUP(datos_ventas[[#This Row],[Ciudad]],Tabla2[Ciudades],Tabla2[Provincias],"no se encuentra")</f>
        <v>Sevilla</v>
      </c>
      <c r="L3116" t="str">
        <f>_xlfn.XLOOKUP(datos_ventas[[#This Row],[Provincia]],Tabla2[Provincias],Tabla2[Comunidades],"no se encuentra")</f>
        <v>Andalucía</v>
      </c>
      <c r="M3116" t="s">
        <v>13</v>
      </c>
      <c r="N3116">
        <v>5</v>
      </c>
    </row>
    <row r="3117" spans="1:14" x14ac:dyDescent="0.25">
      <c r="A3117">
        <v>4116</v>
      </c>
      <c r="B3117" s="1">
        <v>45669</v>
      </c>
      <c r="C3117" s="4">
        <f>MONTH(datos_ventas[[#This Row],[Fecha]])</f>
        <v>1</v>
      </c>
      <c r="D3117" s="4">
        <f>WEEKNUM(datos_ventas[[#This Row],[Fecha]],2)</f>
        <v>2</v>
      </c>
      <c r="E3117" t="s">
        <v>10</v>
      </c>
      <c r="F3117" t="s">
        <v>11</v>
      </c>
      <c r="G3117">
        <v>3</v>
      </c>
      <c r="H3117">
        <v>112174</v>
      </c>
      <c r="I3117">
        <v>4987</v>
      </c>
      <c r="J3117" t="s">
        <v>31</v>
      </c>
      <c r="K3117" t="str">
        <f>_xlfn.XLOOKUP(datos_ventas[[#This Row],[Ciudad]],Tabla2[Ciudades],Tabla2[Provincias],"no se encuentra")</f>
        <v>Vizcaya</v>
      </c>
      <c r="L3117" t="str">
        <f>_xlfn.XLOOKUP(datos_ventas[[#This Row],[Provincia]],Tabla2[Provincias],Tabla2[Comunidades],"no se encuentra")</f>
        <v>País Vasco</v>
      </c>
      <c r="M3117" t="s">
        <v>13</v>
      </c>
      <c r="N3117">
        <v>1</v>
      </c>
    </row>
    <row r="3118" spans="1:14" x14ac:dyDescent="0.25">
      <c r="A3118">
        <v>4117</v>
      </c>
      <c r="B3118" s="1">
        <v>45704</v>
      </c>
      <c r="C3118" s="4">
        <f>MONTH(datos_ventas[[#This Row],[Fecha]])</f>
        <v>2</v>
      </c>
      <c r="D3118" s="4">
        <f>WEEKNUM(datos_ventas[[#This Row],[Fecha]],2)</f>
        <v>7</v>
      </c>
      <c r="E3118" t="s">
        <v>29</v>
      </c>
      <c r="F3118" t="s">
        <v>30</v>
      </c>
      <c r="G3118">
        <v>4</v>
      </c>
      <c r="H3118">
        <v>47131</v>
      </c>
      <c r="I3118">
        <v>1744</v>
      </c>
      <c r="J3118" t="s">
        <v>14</v>
      </c>
      <c r="K3118" t="str">
        <f>_xlfn.XLOOKUP(datos_ventas[[#This Row],[Ciudad]],Tabla2[Ciudades],Tabla2[Provincias],"no se encuentra")</f>
        <v>Madrid</v>
      </c>
      <c r="L3118" t="str">
        <f>_xlfn.XLOOKUP(datos_ventas[[#This Row],[Provincia]],Tabla2[Provincias],Tabla2[Comunidades],"no se encuentra")</f>
        <v>Comunidad de Madrid</v>
      </c>
      <c r="M3118" t="s">
        <v>28</v>
      </c>
      <c r="N3118">
        <v>5</v>
      </c>
    </row>
    <row r="3119" spans="1:14" x14ac:dyDescent="0.25">
      <c r="A3119">
        <v>4118</v>
      </c>
      <c r="B3119" s="1">
        <v>45669</v>
      </c>
      <c r="C3119" s="4">
        <f>MONTH(datos_ventas[[#This Row],[Fecha]])</f>
        <v>1</v>
      </c>
      <c r="D3119" s="4">
        <f>WEEKNUM(datos_ventas[[#This Row],[Fecha]],2)</f>
        <v>2</v>
      </c>
      <c r="E3119" t="s">
        <v>26</v>
      </c>
      <c r="F3119" t="s">
        <v>18</v>
      </c>
      <c r="G3119">
        <v>3</v>
      </c>
      <c r="H3119">
        <v>76109</v>
      </c>
      <c r="I3119">
        <v>564</v>
      </c>
      <c r="J3119" t="s">
        <v>27</v>
      </c>
      <c r="K3119" t="str">
        <f>_xlfn.XLOOKUP(datos_ventas[[#This Row],[Ciudad]],Tabla2[Ciudades],Tabla2[Provincias],"no se encuentra")</f>
        <v>Sevilla</v>
      </c>
      <c r="L3119" t="str">
        <f>_xlfn.XLOOKUP(datos_ventas[[#This Row],[Provincia]],Tabla2[Provincias],Tabla2[Comunidades],"no se encuentra")</f>
        <v>Andalucía</v>
      </c>
      <c r="M3119" t="s">
        <v>13</v>
      </c>
      <c r="N3119">
        <v>3</v>
      </c>
    </row>
    <row r="3120" spans="1:14" x14ac:dyDescent="0.25">
      <c r="A3120">
        <v>4119</v>
      </c>
      <c r="B3120" s="1">
        <v>45936</v>
      </c>
      <c r="C3120" s="4">
        <f>MONTH(datos_ventas[[#This Row],[Fecha]])</f>
        <v>10</v>
      </c>
      <c r="D3120" s="4">
        <f>WEEKNUM(datos_ventas[[#This Row],[Fecha]],2)</f>
        <v>41</v>
      </c>
      <c r="E3120" t="s">
        <v>23</v>
      </c>
      <c r="F3120" t="s">
        <v>18</v>
      </c>
      <c r="G3120">
        <v>3</v>
      </c>
      <c r="H3120">
        <v>18895</v>
      </c>
      <c r="I3120">
        <v>4636</v>
      </c>
      <c r="J3120" t="s">
        <v>27</v>
      </c>
      <c r="K3120" t="str">
        <f>_xlfn.XLOOKUP(datos_ventas[[#This Row],[Ciudad]],Tabla2[Ciudades],Tabla2[Provincias],"no se encuentra")</f>
        <v>Sevilla</v>
      </c>
      <c r="L3120" t="str">
        <f>_xlfn.XLOOKUP(datos_ventas[[#This Row],[Provincia]],Tabla2[Provincias],Tabla2[Comunidades],"no se encuentra")</f>
        <v>Andalucía</v>
      </c>
      <c r="M3120" t="s">
        <v>13</v>
      </c>
      <c r="N3120">
        <v>2</v>
      </c>
    </row>
    <row r="3121" spans="1:14" x14ac:dyDescent="0.25">
      <c r="A3121">
        <v>4120</v>
      </c>
      <c r="B3121" s="1">
        <v>45914</v>
      </c>
      <c r="C3121" s="4">
        <f>MONTH(datos_ventas[[#This Row],[Fecha]])</f>
        <v>9</v>
      </c>
      <c r="D3121" s="4">
        <f>WEEKNUM(datos_ventas[[#This Row],[Fecha]],2)</f>
        <v>37</v>
      </c>
      <c r="E3121" t="s">
        <v>20</v>
      </c>
      <c r="F3121" t="s">
        <v>21</v>
      </c>
      <c r="G3121">
        <v>2</v>
      </c>
      <c r="H3121">
        <v>40242</v>
      </c>
      <c r="I3121">
        <v>3397</v>
      </c>
      <c r="J3121" t="s">
        <v>22</v>
      </c>
      <c r="K3121" t="str">
        <f>_xlfn.XLOOKUP(datos_ventas[[#This Row],[Ciudad]],Tabla2[Ciudades],Tabla2[Provincias],"no se encuentra")</f>
        <v>Valencia</v>
      </c>
      <c r="L3121" t="str">
        <f>_xlfn.XLOOKUP(datos_ventas[[#This Row],[Provincia]],Tabla2[Provincias],Tabla2[Comunidades],"no se encuentra")</f>
        <v>Comunidad Valenciana</v>
      </c>
      <c r="M3121" t="s">
        <v>15</v>
      </c>
      <c r="N3121">
        <v>4</v>
      </c>
    </row>
    <row r="3122" spans="1:14" x14ac:dyDescent="0.25">
      <c r="A3122">
        <v>4121</v>
      </c>
      <c r="B3122" s="1">
        <v>45810</v>
      </c>
      <c r="C3122" s="4">
        <f>MONTH(datos_ventas[[#This Row],[Fecha]])</f>
        <v>6</v>
      </c>
      <c r="D3122" s="4">
        <f>WEEKNUM(datos_ventas[[#This Row],[Fecha]],2)</f>
        <v>23</v>
      </c>
      <c r="E3122" t="s">
        <v>26</v>
      </c>
      <c r="F3122" t="s">
        <v>18</v>
      </c>
      <c r="G3122">
        <v>4</v>
      </c>
      <c r="H3122">
        <v>40601</v>
      </c>
      <c r="I3122">
        <v>2627</v>
      </c>
      <c r="J3122" t="s">
        <v>27</v>
      </c>
      <c r="K3122" t="str">
        <f>_xlfn.XLOOKUP(datos_ventas[[#This Row],[Ciudad]],Tabla2[Ciudades],Tabla2[Provincias],"no se encuentra")</f>
        <v>Sevilla</v>
      </c>
      <c r="L3122" t="str">
        <f>_xlfn.XLOOKUP(datos_ventas[[#This Row],[Provincia]],Tabla2[Provincias],Tabla2[Comunidades],"no se encuentra")</f>
        <v>Andalucía</v>
      </c>
      <c r="M3122" t="s">
        <v>13</v>
      </c>
      <c r="N3122">
        <v>4</v>
      </c>
    </row>
    <row r="3123" spans="1:14" x14ac:dyDescent="0.25">
      <c r="A3123">
        <v>4122</v>
      </c>
      <c r="B3123" s="1">
        <v>45897</v>
      </c>
      <c r="C3123" s="4">
        <f>MONTH(datos_ventas[[#This Row],[Fecha]])</f>
        <v>8</v>
      </c>
      <c r="D3123" s="4">
        <f>WEEKNUM(datos_ventas[[#This Row],[Fecha]],2)</f>
        <v>35</v>
      </c>
      <c r="E3123" t="s">
        <v>20</v>
      </c>
      <c r="F3123" t="s">
        <v>21</v>
      </c>
      <c r="G3123">
        <v>2</v>
      </c>
      <c r="H3123">
        <v>59823</v>
      </c>
      <c r="I3123">
        <v>1061</v>
      </c>
      <c r="J3123" t="s">
        <v>22</v>
      </c>
      <c r="K3123" t="str">
        <f>_xlfn.XLOOKUP(datos_ventas[[#This Row],[Ciudad]],Tabla2[Ciudades],Tabla2[Provincias],"no se encuentra")</f>
        <v>Valencia</v>
      </c>
      <c r="L3123" t="str">
        <f>_xlfn.XLOOKUP(datos_ventas[[#This Row],[Provincia]],Tabla2[Provincias],Tabla2[Comunidades],"no se encuentra")</f>
        <v>Comunidad Valenciana</v>
      </c>
      <c r="M3123" t="s">
        <v>13</v>
      </c>
      <c r="N3123">
        <v>4</v>
      </c>
    </row>
    <row r="3124" spans="1:14" x14ac:dyDescent="0.25">
      <c r="A3124">
        <v>4123</v>
      </c>
      <c r="B3124" s="1">
        <v>45860</v>
      </c>
      <c r="C3124" s="4">
        <f>MONTH(datos_ventas[[#This Row],[Fecha]])</f>
        <v>7</v>
      </c>
      <c r="D3124" s="4">
        <f>WEEKNUM(datos_ventas[[#This Row],[Fecha]],2)</f>
        <v>30</v>
      </c>
      <c r="E3124" t="s">
        <v>23</v>
      </c>
      <c r="F3124" t="s">
        <v>18</v>
      </c>
      <c r="G3124">
        <v>1</v>
      </c>
      <c r="H3124">
        <v>88691</v>
      </c>
      <c r="I3124">
        <v>1873</v>
      </c>
      <c r="J3124" t="s">
        <v>27</v>
      </c>
      <c r="K3124" t="str">
        <f>_xlfn.XLOOKUP(datos_ventas[[#This Row],[Ciudad]],Tabla2[Ciudades],Tabla2[Provincias],"no se encuentra")</f>
        <v>Sevilla</v>
      </c>
      <c r="L3124" t="str">
        <f>_xlfn.XLOOKUP(datos_ventas[[#This Row],[Provincia]],Tabla2[Provincias],Tabla2[Comunidades],"no se encuentra")</f>
        <v>Andalucía</v>
      </c>
      <c r="M3124" t="s">
        <v>13</v>
      </c>
      <c r="N3124">
        <v>3</v>
      </c>
    </row>
    <row r="3125" spans="1:14" x14ac:dyDescent="0.25">
      <c r="A3125">
        <v>4124</v>
      </c>
      <c r="B3125" s="1">
        <v>45939</v>
      </c>
      <c r="C3125" s="4">
        <f>MONTH(datos_ventas[[#This Row],[Fecha]])</f>
        <v>10</v>
      </c>
      <c r="D3125" s="4">
        <f>WEEKNUM(datos_ventas[[#This Row],[Fecha]],2)</f>
        <v>41</v>
      </c>
      <c r="E3125" t="s">
        <v>10</v>
      </c>
      <c r="F3125" t="s">
        <v>11</v>
      </c>
      <c r="G3125">
        <v>1</v>
      </c>
      <c r="H3125">
        <v>103192</v>
      </c>
      <c r="I3125">
        <v>4958</v>
      </c>
      <c r="J3125" t="s">
        <v>22</v>
      </c>
      <c r="K3125" t="str">
        <f>_xlfn.XLOOKUP(datos_ventas[[#This Row],[Ciudad]],Tabla2[Ciudades],Tabla2[Provincias],"no se encuentra")</f>
        <v>Valencia</v>
      </c>
      <c r="L3125" t="str">
        <f>_xlfn.XLOOKUP(datos_ventas[[#This Row],[Provincia]],Tabla2[Provincias],Tabla2[Comunidades],"no se encuentra")</f>
        <v>Comunidad Valenciana</v>
      </c>
      <c r="M3125" t="s">
        <v>13</v>
      </c>
      <c r="N3125">
        <v>2</v>
      </c>
    </row>
    <row r="3126" spans="1:14" x14ac:dyDescent="0.25">
      <c r="A3126">
        <v>4125</v>
      </c>
      <c r="B3126" s="1">
        <v>45741</v>
      </c>
      <c r="C3126" s="4">
        <f>MONTH(datos_ventas[[#This Row],[Fecha]])</f>
        <v>3</v>
      </c>
      <c r="D3126" s="4">
        <f>WEEKNUM(datos_ventas[[#This Row],[Fecha]],2)</f>
        <v>13</v>
      </c>
      <c r="E3126" t="s">
        <v>20</v>
      </c>
      <c r="F3126" t="s">
        <v>21</v>
      </c>
      <c r="G3126">
        <v>2</v>
      </c>
      <c r="H3126">
        <v>100365</v>
      </c>
      <c r="I3126">
        <v>4643</v>
      </c>
      <c r="J3126" t="s">
        <v>12</v>
      </c>
      <c r="K3126" t="str">
        <f>_xlfn.XLOOKUP(datos_ventas[[#This Row],[Ciudad]],Tabla2[Ciudades],Tabla2[Provincias],"no se encuentra")</f>
        <v>Málaga</v>
      </c>
      <c r="L3126" t="str">
        <f>_xlfn.XLOOKUP(datos_ventas[[#This Row],[Provincia]],Tabla2[Provincias],Tabla2[Comunidades],"no se encuentra")</f>
        <v>Andalucía</v>
      </c>
      <c r="M3126" t="s">
        <v>19</v>
      </c>
      <c r="N3126">
        <v>5</v>
      </c>
    </row>
    <row r="3127" spans="1:14" x14ac:dyDescent="0.25">
      <c r="A3127">
        <v>4126</v>
      </c>
      <c r="B3127" s="1">
        <v>45946</v>
      </c>
      <c r="C3127" s="4">
        <f>MONTH(datos_ventas[[#This Row],[Fecha]])</f>
        <v>10</v>
      </c>
      <c r="D3127" s="4">
        <f>WEEKNUM(datos_ventas[[#This Row],[Fecha]],2)</f>
        <v>42</v>
      </c>
      <c r="E3127" t="s">
        <v>16</v>
      </c>
      <c r="F3127" t="s">
        <v>11</v>
      </c>
      <c r="G3127">
        <v>5</v>
      </c>
      <c r="H3127">
        <v>26234</v>
      </c>
      <c r="I3127">
        <v>1149</v>
      </c>
      <c r="J3127" t="s">
        <v>31</v>
      </c>
      <c r="K3127" t="str">
        <f>_xlfn.XLOOKUP(datos_ventas[[#This Row],[Ciudad]],Tabla2[Ciudades],Tabla2[Provincias],"no se encuentra")</f>
        <v>Vizcaya</v>
      </c>
      <c r="L3127" t="str">
        <f>_xlfn.XLOOKUP(datos_ventas[[#This Row],[Provincia]],Tabla2[Provincias],Tabla2[Comunidades],"no se encuentra")</f>
        <v>País Vasco</v>
      </c>
      <c r="M3127" t="s">
        <v>19</v>
      </c>
      <c r="N3127">
        <v>5</v>
      </c>
    </row>
    <row r="3128" spans="1:14" x14ac:dyDescent="0.25">
      <c r="A3128">
        <v>4127</v>
      </c>
      <c r="B3128" s="1">
        <v>45781</v>
      </c>
      <c r="C3128" s="4">
        <f>MONTH(datos_ventas[[#This Row],[Fecha]])</f>
        <v>5</v>
      </c>
      <c r="D3128" s="4">
        <f>WEEKNUM(datos_ventas[[#This Row],[Fecha]],2)</f>
        <v>18</v>
      </c>
      <c r="E3128" t="s">
        <v>24</v>
      </c>
      <c r="F3128" t="s">
        <v>25</v>
      </c>
      <c r="G3128">
        <v>5</v>
      </c>
      <c r="H3128">
        <v>53342</v>
      </c>
      <c r="I3128">
        <v>378</v>
      </c>
      <c r="J3128" t="s">
        <v>27</v>
      </c>
      <c r="K3128" t="str">
        <f>_xlfn.XLOOKUP(datos_ventas[[#This Row],[Ciudad]],Tabla2[Ciudades],Tabla2[Provincias],"no se encuentra")</f>
        <v>Sevilla</v>
      </c>
      <c r="L3128" t="str">
        <f>_xlfn.XLOOKUP(datos_ventas[[#This Row],[Provincia]],Tabla2[Provincias],Tabla2[Comunidades],"no se encuentra")</f>
        <v>Andalucía</v>
      </c>
      <c r="M3128" t="s">
        <v>15</v>
      </c>
      <c r="N3128">
        <v>1</v>
      </c>
    </row>
    <row r="3129" spans="1:14" x14ac:dyDescent="0.25">
      <c r="A3129">
        <v>4128</v>
      </c>
      <c r="B3129" s="1">
        <v>45783</v>
      </c>
      <c r="C3129" s="4">
        <f>MONTH(datos_ventas[[#This Row],[Fecha]])</f>
        <v>5</v>
      </c>
      <c r="D3129" s="4">
        <f>WEEKNUM(datos_ventas[[#This Row],[Fecha]],2)</f>
        <v>19</v>
      </c>
      <c r="E3129" t="s">
        <v>17</v>
      </c>
      <c r="F3129" t="s">
        <v>18</v>
      </c>
      <c r="G3129">
        <v>5</v>
      </c>
      <c r="H3129">
        <v>25987</v>
      </c>
      <c r="I3129">
        <v>866</v>
      </c>
      <c r="J3129" t="s">
        <v>22</v>
      </c>
      <c r="K3129" t="str">
        <f>_xlfn.XLOOKUP(datos_ventas[[#This Row],[Ciudad]],Tabla2[Ciudades],Tabla2[Provincias],"no se encuentra")</f>
        <v>Valencia</v>
      </c>
      <c r="L3129" t="str">
        <f>_xlfn.XLOOKUP(datos_ventas[[#This Row],[Provincia]],Tabla2[Provincias],Tabla2[Comunidades],"no se encuentra")</f>
        <v>Comunidad Valenciana</v>
      </c>
      <c r="M3129" t="s">
        <v>28</v>
      </c>
      <c r="N3129">
        <v>3</v>
      </c>
    </row>
    <row r="3130" spans="1:14" x14ac:dyDescent="0.25">
      <c r="A3130">
        <v>4129</v>
      </c>
      <c r="B3130" s="1">
        <v>45945</v>
      </c>
      <c r="C3130" s="4">
        <f>MONTH(datos_ventas[[#This Row],[Fecha]])</f>
        <v>10</v>
      </c>
      <c r="D3130" s="4">
        <f>WEEKNUM(datos_ventas[[#This Row],[Fecha]],2)</f>
        <v>42</v>
      </c>
      <c r="E3130" t="s">
        <v>16</v>
      </c>
      <c r="F3130" t="s">
        <v>11</v>
      </c>
      <c r="G3130">
        <v>1</v>
      </c>
      <c r="H3130">
        <v>31429</v>
      </c>
      <c r="I3130">
        <v>687</v>
      </c>
      <c r="J3130" t="s">
        <v>32</v>
      </c>
      <c r="K3130" t="str">
        <f>_xlfn.XLOOKUP(datos_ventas[[#This Row],[Ciudad]],Tabla2[Ciudades],Tabla2[Provincias],"no se encuentra")</f>
        <v>Barcelona</v>
      </c>
      <c r="L3130" t="str">
        <f>_xlfn.XLOOKUP(datos_ventas[[#This Row],[Provincia]],Tabla2[Provincias],Tabla2[Comunidades],"no se encuentra")</f>
        <v>Cataluña</v>
      </c>
      <c r="M3130" t="s">
        <v>13</v>
      </c>
      <c r="N3130">
        <v>2</v>
      </c>
    </row>
    <row r="3131" spans="1:14" x14ac:dyDescent="0.25">
      <c r="A3131">
        <v>4130</v>
      </c>
      <c r="B3131" s="1">
        <v>45915</v>
      </c>
      <c r="C3131" s="4">
        <f>MONTH(datos_ventas[[#This Row],[Fecha]])</f>
        <v>9</v>
      </c>
      <c r="D3131" s="4">
        <f>WEEKNUM(datos_ventas[[#This Row],[Fecha]],2)</f>
        <v>38</v>
      </c>
      <c r="E3131" t="s">
        <v>29</v>
      </c>
      <c r="F3131" t="s">
        <v>30</v>
      </c>
      <c r="G3131">
        <v>4</v>
      </c>
      <c r="H3131">
        <v>14982</v>
      </c>
      <c r="I3131">
        <v>4987</v>
      </c>
      <c r="J3131" t="s">
        <v>22</v>
      </c>
      <c r="K3131" t="str">
        <f>_xlfn.XLOOKUP(datos_ventas[[#This Row],[Ciudad]],Tabla2[Ciudades],Tabla2[Provincias],"no se encuentra")</f>
        <v>Valencia</v>
      </c>
      <c r="L3131" t="str">
        <f>_xlfn.XLOOKUP(datos_ventas[[#This Row],[Provincia]],Tabla2[Provincias],Tabla2[Comunidades],"no se encuentra")</f>
        <v>Comunidad Valenciana</v>
      </c>
      <c r="M3131" t="s">
        <v>28</v>
      </c>
      <c r="N3131">
        <v>4</v>
      </c>
    </row>
    <row r="3132" spans="1:14" x14ac:dyDescent="0.25">
      <c r="A3132">
        <v>4131</v>
      </c>
      <c r="B3132" s="1">
        <v>45792</v>
      </c>
      <c r="C3132" s="4">
        <f>MONTH(datos_ventas[[#This Row],[Fecha]])</f>
        <v>5</v>
      </c>
      <c r="D3132" s="4">
        <f>WEEKNUM(datos_ventas[[#This Row],[Fecha]],2)</f>
        <v>20</v>
      </c>
      <c r="E3132" t="s">
        <v>20</v>
      </c>
      <c r="F3132" t="s">
        <v>21</v>
      </c>
      <c r="G3132">
        <v>4</v>
      </c>
      <c r="H3132">
        <v>116796</v>
      </c>
      <c r="I3132">
        <v>4472</v>
      </c>
      <c r="J3132" t="s">
        <v>12</v>
      </c>
      <c r="K3132" t="str">
        <f>_xlfn.XLOOKUP(datos_ventas[[#This Row],[Ciudad]],Tabla2[Ciudades],Tabla2[Provincias],"no se encuentra")</f>
        <v>Málaga</v>
      </c>
      <c r="L3132" t="str">
        <f>_xlfn.XLOOKUP(datos_ventas[[#This Row],[Provincia]],Tabla2[Provincias],Tabla2[Comunidades],"no se encuentra")</f>
        <v>Andalucía</v>
      </c>
      <c r="M3132" t="s">
        <v>28</v>
      </c>
      <c r="N3132">
        <v>5</v>
      </c>
    </row>
    <row r="3133" spans="1:14" x14ac:dyDescent="0.25">
      <c r="A3133">
        <v>4132</v>
      </c>
      <c r="B3133" s="1">
        <v>45828</v>
      </c>
      <c r="C3133" s="4">
        <f>MONTH(datos_ventas[[#This Row],[Fecha]])</f>
        <v>6</v>
      </c>
      <c r="D3133" s="4">
        <f>WEEKNUM(datos_ventas[[#This Row],[Fecha]],2)</f>
        <v>25</v>
      </c>
      <c r="E3133" t="s">
        <v>16</v>
      </c>
      <c r="F3133" t="s">
        <v>11</v>
      </c>
      <c r="G3133">
        <v>3</v>
      </c>
      <c r="H3133">
        <v>91196</v>
      </c>
      <c r="I3133">
        <v>4898</v>
      </c>
      <c r="J3133" t="s">
        <v>32</v>
      </c>
      <c r="K3133" t="str">
        <f>_xlfn.XLOOKUP(datos_ventas[[#This Row],[Ciudad]],Tabla2[Ciudades],Tabla2[Provincias],"no se encuentra")</f>
        <v>Barcelona</v>
      </c>
      <c r="L3133" t="str">
        <f>_xlfn.XLOOKUP(datos_ventas[[#This Row],[Provincia]],Tabla2[Provincias],Tabla2[Comunidades],"no se encuentra")</f>
        <v>Cataluña</v>
      </c>
      <c r="M3133" t="s">
        <v>13</v>
      </c>
      <c r="N3133">
        <v>5</v>
      </c>
    </row>
    <row r="3134" spans="1:14" x14ac:dyDescent="0.25">
      <c r="A3134">
        <v>4133</v>
      </c>
      <c r="B3134" s="1">
        <v>45965</v>
      </c>
      <c r="C3134" s="4">
        <f>MONTH(datos_ventas[[#This Row],[Fecha]])</f>
        <v>11</v>
      </c>
      <c r="D3134" s="4">
        <f>WEEKNUM(datos_ventas[[#This Row],[Fecha]],2)</f>
        <v>45</v>
      </c>
      <c r="E3134" t="s">
        <v>26</v>
      </c>
      <c r="F3134" t="s">
        <v>18</v>
      </c>
      <c r="G3134">
        <v>2</v>
      </c>
      <c r="H3134">
        <v>4125</v>
      </c>
      <c r="I3134">
        <v>651</v>
      </c>
      <c r="J3134" t="s">
        <v>14</v>
      </c>
      <c r="K3134" t="str">
        <f>_xlfn.XLOOKUP(datos_ventas[[#This Row],[Ciudad]],Tabla2[Ciudades],Tabla2[Provincias],"no se encuentra")</f>
        <v>Madrid</v>
      </c>
      <c r="L3134" t="str">
        <f>_xlfn.XLOOKUP(datos_ventas[[#This Row],[Provincia]],Tabla2[Provincias],Tabla2[Comunidades],"no se encuentra")</f>
        <v>Comunidad de Madrid</v>
      </c>
      <c r="M3134" t="s">
        <v>13</v>
      </c>
      <c r="N3134">
        <v>3</v>
      </c>
    </row>
    <row r="3135" spans="1:14" x14ac:dyDescent="0.25">
      <c r="A3135">
        <v>4134</v>
      </c>
      <c r="B3135" s="1">
        <v>46012</v>
      </c>
      <c r="C3135" s="4">
        <f>MONTH(datos_ventas[[#This Row],[Fecha]])</f>
        <v>12</v>
      </c>
      <c r="D3135" s="4">
        <f>WEEKNUM(datos_ventas[[#This Row],[Fecha]],2)</f>
        <v>51</v>
      </c>
      <c r="E3135" t="s">
        <v>20</v>
      </c>
      <c r="F3135" t="s">
        <v>21</v>
      </c>
      <c r="G3135">
        <v>2</v>
      </c>
      <c r="H3135">
        <v>83483</v>
      </c>
      <c r="I3135">
        <v>4021</v>
      </c>
      <c r="J3135" t="s">
        <v>27</v>
      </c>
      <c r="K3135" t="str">
        <f>_xlfn.XLOOKUP(datos_ventas[[#This Row],[Ciudad]],Tabla2[Ciudades],Tabla2[Provincias],"no se encuentra")</f>
        <v>Sevilla</v>
      </c>
      <c r="L3135" t="str">
        <f>_xlfn.XLOOKUP(datos_ventas[[#This Row],[Provincia]],Tabla2[Provincias],Tabla2[Comunidades],"no se encuentra")</f>
        <v>Andalucía</v>
      </c>
      <c r="M3135" t="s">
        <v>13</v>
      </c>
      <c r="N3135">
        <v>4</v>
      </c>
    </row>
    <row r="3136" spans="1:14" x14ac:dyDescent="0.25">
      <c r="A3136">
        <v>4135</v>
      </c>
      <c r="B3136" s="1">
        <v>45778</v>
      </c>
      <c r="C3136" s="4">
        <f>MONTH(datos_ventas[[#This Row],[Fecha]])</f>
        <v>5</v>
      </c>
      <c r="D3136" s="4">
        <f>WEEKNUM(datos_ventas[[#This Row],[Fecha]],2)</f>
        <v>18</v>
      </c>
      <c r="E3136" t="s">
        <v>10</v>
      </c>
      <c r="F3136" t="s">
        <v>11</v>
      </c>
      <c r="G3136">
        <v>1</v>
      </c>
      <c r="H3136">
        <v>86491</v>
      </c>
      <c r="I3136">
        <v>249</v>
      </c>
      <c r="J3136" t="s">
        <v>12</v>
      </c>
      <c r="K3136" t="str">
        <f>_xlfn.XLOOKUP(datos_ventas[[#This Row],[Ciudad]],Tabla2[Ciudades],Tabla2[Provincias],"no se encuentra")</f>
        <v>Málaga</v>
      </c>
      <c r="L3136" t="str">
        <f>_xlfn.XLOOKUP(datos_ventas[[#This Row],[Provincia]],Tabla2[Provincias],Tabla2[Comunidades],"no se encuentra")</f>
        <v>Andalucía</v>
      </c>
      <c r="M3136" t="s">
        <v>19</v>
      </c>
      <c r="N3136">
        <v>1</v>
      </c>
    </row>
    <row r="3137" spans="1:14" x14ac:dyDescent="0.25">
      <c r="A3137">
        <v>4136</v>
      </c>
      <c r="B3137" s="1">
        <v>45747</v>
      </c>
      <c r="C3137" s="4">
        <f>MONTH(datos_ventas[[#This Row],[Fecha]])</f>
        <v>3</v>
      </c>
      <c r="D3137" s="4">
        <f>WEEKNUM(datos_ventas[[#This Row],[Fecha]],2)</f>
        <v>14</v>
      </c>
      <c r="E3137" t="s">
        <v>10</v>
      </c>
      <c r="F3137" t="s">
        <v>11</v>
      </c>
      <c r="G3137">
        <v>1</v>
      </c>
      <c r="H3137">
        <v>113496</v>
      </c>
      <c r="I3137">
        <v>4269</v>
      </c>
      <c r="J3137" t="s">
        <v>32</v>
      </c>
      <c r="K3137" t="str">
        <f>_xlfn.XLOOKUP(datos_ventas[[#This Row],[Ciudad]],Tabla2[Ciudades],Tabla2[Provincias],"no se encuentra")</f>
        <v>Barcelona</v>
      </c>
      <c r="L3137" t="str">
        <f>_xlfn.XLOOKUP(datos_ventas[[#This Row],[Provincia]],Tabla2[Provincias],Tabla2[Comunidades],"no se encuentra")</f>
        <v>Cataluña</v>
      </c>
      <c r="M3137" t="s">
        <v>13</v>
      </c>
      <c r="N3137">
        <v>4</v>
      </c>
    </row>
    <row r="3138" spans="1:14" x14ac:dyDescent="0.25">
      <c r="A3138">
        <v>4137</v>
      </c>
      <c r="B3138" s="1">
        <v>45961</v>
      </c>
      <c r="C3138" s="4">
        <f>MONTH(datos_ventas[[#This Row],[Fecha]])</f>
        <v>10</v>
      </c>
      <c r="D3138" s="4">
        <f>WEEKNUM(datos_ventas[[#This Row],[Fecha]],2)</f>
        <v>44</v>
      </c>
      <c r="E3138" t="s">
        <v>23</v>
      </c>
      <c r="F3138" t="s">
        <v>18</v>
      </c>
      <c r="G3138">
        <v>4</v>
      </c>
      <c r="H3138">
        <v>102041</v>
      </c>
      <c r="I3138">
        <v>1218</v>
      </c>
      <c r="J3138" t="s">
        <v>12</v>
      </c>
      <c r="K3138" t="str">
        <f>_xlfn.XLOOKUP(datos_ventas[[#This Row],[Ciudad]],Tabla2[Ciudades],Tabla2[Provincias],"no se encuentra")</f>
        <v>Málaga</v>
      </c>
      <c r="L3138" t="str">
        <f>_xlfn.XLOOKUP(datos_ventas[[#This Row],[Provincia]],Tabla2[Provincias],Tabla2[Comunidades],"no se encuentra")</f>
        <v>Andalucía</v>
      </c>
      <c r="M3138" t="s">
        <v>13</v>
      </c>
      <c r="N3138">
        <v>3</v>
      </c>
    </row>
    <row r="3139" spans="1:14" x14ac:dyDescent="0.25">
      <c r="A3139">
        <v>4138</v>
      </c>
      <c r="B3139" s="1">
        <v>45957</v>
      </c>
      <c r="C3139" s="4">
        <f>MONTH(datos_ventas[[#This Row],[Fecha]])</f>
        <v>10</v>
      </c>
      <c r="D3139" s="4">
        <f>WEEKNUM(datos_ventas[[#This Row],[Fecha]],2)</f>
        <v>44</v>
      </c>
      <c r="E3139" t="s">
        <v>24</v>
      </c>
      <c r="F3139" t="s">
        <v>25</v>
      </c>
      <c r="G3139">
        <v>5</v>
      </c>
      <c r="H3139">
        <v>107317</v>
      </c>
      <c r="I3139">
        <v>3139</v>
      </c>
      <c r="J3139" t="s">
        <v>22</v>
      </c>
      <c r="K3139" t="str">
        <f>_xlfn.XLOOKUP(datos_ventas[[#This Row],[Ciudad]],Tabla2[Ciudades],Tabla2[Provincias],"no se encuentra")</f>
        <v>Valencia</v>
      </c>
      <c r="L3139" t="str">
        <f>_xlfn.XLOOKUP(datos_ventas[[#This Row],[Provincia]],Tabla2[Provincias],Tabla2[Comunidades],"no se encuentra")</f>
        <v>Comunidad Valenciana</v>
      </c>
      <c r="M3139" t="s">
        <v>19</v>
      </c>
      <c r="N3139">
        <v>5</v>
      </c>
    </row>
    <row r="3140" spans="1:14" x14ac:dyDescent="0.25">
      <c r="A3140">
        <v>4139</v>
      </c>
      <c r="B3140" s="1">
        <v>45937</v>
      </c>
      <c r="C3140" s="4">
        <f>MONTH(datos_ventas[[#This Row],[Fecha]])</f>
        <v>10</v>
      </c>
      <c r="D3140" s="4">
        <f>WEEKNUM(datos_ventas[[#This Row],[Fecha]],2)</f>
        <v>41</v>
      </c>
      <c r="E3140" t="s">
        <v>29</v>
      </c>
      <c r="F3140" t="s">
        <v>30</v>
      </c>
      <c r="G3140">
        <v>5</v>
      </c>
      <c r="H3140">
        <v>23771</v>
      </c>
      <c r="I3140">
        <v>4822</v>
      </c>
      <c r="J3140" t="s">
        <v>27</v>
      </c>
      <c r="K3140" t="str">
        <f>_xlfn.XLOOKUP(datos_ventas[[#This Row],[Ciudad]],Tabla2[Ciudades],Tabla2[Provincias],"no se encuentra")</f>
        <v>Sevilla</v>
      </c>
      <c r="L3140" t="str">
        <f>_xlfn.XLOOKUP(datos_ventas[[#This Row],[Provincia]],Tabla2[Provincias],Tabla2[Comunidades],"no se encuentra")</f>
        <v>Andalucía</v>
      </c>
      <c r="M3140" t="s">
        <v>19</v>
      </c>
      <c r="N3140">
        <v>1</v>
      </c>
    </row>
    <row r="3141" spans="1:14" x14ac:dyDescent="0.25">
      <c r="A3141">
        <v>4140</v>
      </c>
      <c r="B3141" s="1">
        <v>45771</v>
      </c>
      <c r="C3141" s="4">
        <f>MONTH(datos_ventas[[#This Row],[Fecha]])</f>
        <v>4</v>
      </c>
      <c r="D3141" s="4">
        <f>WEEKNUM(datos_ventas[[#This Row],[Fecha]],2)</f>
        <v>17</v>
      </c>
      <c r="E3141" t="s">
        <v>24</v>
      </c>
      <c r="F3141" t="s">
        <v>25</v>
      </c>
      <c r="G3141">
        <v>2</v>
      </c>
      <c r="H3141">
        <v>13412</v>
      </c>
      <c r="I3141">
        <v>2665</v>
      </c>
      <c r="J3141" t="s">
        <v>27</v>
      </c>
      <c r="K3141" t="str">
        <f>_xlfn.XLOOKUP(datos_ventas[[#This Row],[Ciudad]],Tabla2[Ciudades],Tabla2[Provincias],"no se encuentra")</f>
        <v>Sevilla</v>
      </c>
      <c r="L3141" t="str">
        <f>_xlfn.XLOOKUP(datos_ventas[[#This Row],[Provincia]],Tabla2[Provincias],Tabla2[Comunidades],"no se encuentra")</f>
        <v>Andalucía</v>
      </c>
      <c r="M3141" t="s">
        <v>15</v>
      </c>
      <c r="N3141">
        <v>1</v>
      </c>
    </row>
    <row r="3142" spans="1:14" x14ac:dyDescent="0.25">
      <c r="A3142">
        <v>4141</v>
      </c>
      <c r="B3142" s="1">
        <v>45862</v>
      </c>
      <c r="C3142" s="4">
        <f>MONTH(datos_ventas[[#This Row],[Fecha]])</f>
        <v>7</v>
      </c>
      <c r="D3142" s="4">
        <f>WEEKNUM(datos_ventas[[#This Row],[Fecha]],2)</f>
        <v>30</v>
      </c>
      <c r="E3142" t="s">
        <v>23</v>
      </c>
      <c r="F3142" t="s">
        <v>18</v>
      </c>
      <c r="G3142">
        <v>3</v>
      </c>
      <c r="H3142">
        <v>110415</v>
      </c>
      <c r="I3142">
        <v>3534</v>
      </c>
      <c r="J3142" t="s">
        <v>12</v>
      </c>
      <c r="K3142" t="str">
        <f>_xlfn.XLOOKUP(datos_ventas[[#This Row],[Ciudad]],Tabla2[Ciudades],Tabla2[Provincias],"no se encuentra")</f>
        <v>Málaga</v>
      </c>
      <c r="L3142" t="str">
        <f>_xlfn.XLOOKUP(datos_ventas[[#This Row],[Provincia]],Tabla2[Provincias],Tabla2[Comunidades],"no se encuentra")</f>
        <v>Andalucía</v>
      </c>
      <c r="M3142" t="s">
        <v>28</v>
      </c>
      <c r="N3142">
        <v>2</v>
      </c>
    </row>
    <row r="3143" spans="1:14" x14ac:dyDescent="0.25">
      <c r="A3143">
        <v>4142</v>
      </c>
      <c r="B3143" s="1">
        <v>45701</v>
      </c>
      <c r="C3143" s="4">
        <f>MONTH(datos_ventas[[#This Row],[Fecha]])</f>
        <v>2</v>
      </c>
      <c r="D3143" s="4">
        <f>WEEKNUM(datos_ventas[[#This Row],[Fecha]],2)</f>
        <v>7</v>
      </c>
      <c r="E3143" t="s">
        <v>24</v>
      </c>
      <c r="F3143" t="s">
        <v>25</v>
      </c>
      <c r="G3143">
        <v>5</v>
      </c>
      <c r="H3143">
        <v>68719</v>
      </c>
      <c r="I3143">
        <v>3013</v>
      </c>
      <c r="J3143" t="s">
        <v>14</v>
      </c>
      <c r="K3143" t="str">
        <f>_xlfn.XLOOKUP(datos_ventas[[#This Row],[Ciudad]],Tabla2[Ciudades],Tabla2[Provincias],"no se encuentra")</f>
        <v>Madrid</v>
      </c>
      <c r="L3143" t="str">
        <f>_xlfn.XLOOKUP(datos_ventas[[#This Row],[Provincia]],Tabla2[Provincias],Tabla2[Comunidades],"no se encuentra")</f>
        <v>Comunidad de Madrid</v>
      </c>
      <c r="M3143" t="s">
        <v>15</v>
      </c>
      <c r="N3143">
        <v>1</v>
      </c>
    </row>
    <row r="3144" spans="1:14" x14ac:dyDescent="0.25">
      <c r="A3144">
        <v>4143</v>
      </c>
      <c r="B3144" s="1">
        <v>45815</v>
      </c>
      <c r="C3144" s="4">
        <f>MONTH(datos_ventas[[#This Row],[Fecha]])</f>
        <v>6</v>
      </c>
      <c r="D3144" s="4">
        <f>WEEKNUM(datos_ventas[[#This Row],[Fecha]],2)</f>
        <v>23</v>
      </c>
      <c r="E3144" t="s">
        <v>29</v>
      </c>
      <c r="F3144" t="s">
        <v>30</v>
      </c>
      <c r="G3144">
        <v>2</v>
      </c>
      <c r="H3144">
        <v>2575</v>
      </c>
      <c r="I3144">
        <v>2049</v>
      </c>
      <c r="J3144" t="s">
        <v>27</v>
      </c>
      <c r="K3144" t="str">
        <f>_xlfn.XLOOKUP(datos_ventas[[#This Row],[Ciudad]],Tabla2[Ciudades],Tabla2[Provincias],"no se encuentra")</f>
        <v>Sevilla</v>
      </c>
      <c r="L3144" t="str">
        <f>_xlfn.XLOOKUP(datos_ventas[[#This Row],[Provincia]],Tabla2[Provincias],Tabla2[Comunidades],"no se encuentra")</f>
        <v>Andalucía</v>
      </c>
      <c r="M3144" t="s">
        <v>19</v>
      </c>
      <c r="N3144">
        <v>1</v>
      </c>
    </row>
    <row r="3145" spans="1:14" x14ac:dyDescent="0.25">
      <c r="A3145">
        <v>4144</v>
      </c>
      <c r="B3145" s="1">
        <v>45901</v>
      </c>
      <c r="C3145" s="4">
        <f>MONTH(datos_ventas[[#This Row],[Fecha]])</f>
        <v>9</v>
      </c>
      <c r="D3145" s="4">
        <f>WEEKNUM(datos_ventas[[#This Row],[Fecha]],2)</f>
        <v>36</v>
      </c>
      <c r="E3145" t="s">
        <v>23</v>
      </c>
      <c r="F3145" t="s">
        <v>18</v>
      </c>
      <c r="G3145">
        <v>5</v>
      </c>
      <c r="H3145">
        <v>108536</v>
      </c>
      <c r="I3145">
        <v>1661</v>
      </c>
      <c r="J3145" t="s">
        <v>14</v>
      </c>
      <c r="K3145" t="str">
        <f>_xlfn.XLOOKUP(datos_ventas[[#This Row],[Ciudad]],Tabla2[Ciudades],Tabla2[Provincias],"no se encuentra")</f>
        <v>Madrid</v>
      </c>
      <c r="L3145" t="str">
        <f>_xlfn.XLOOKUP(datos_ventas[[#This Row],[Provincia]],Tabla2[Provincias],Tabla2[Comunidades],"no se encuentra")</f>
        <v>Comunidad de Madrid</v>
      </c>
      <c r="M3145" t="s">
        <v>13</v>
      </c>
      <c r="N3145">
        <v>1</v>
      </c>
    </row>
    <row r="3146" spans="1:14" x14ac:dyDescent="0.25">
      <c r="A3146">
        <v>4145</v>
      </c>
      <c r="B3146" s="1">
        <v>45892</v>
      </c>
      <c r="C3146" s="4">
        <f>MONTH(datos_ventas[[#This Row],[Fecha]])</f>
        <v>8</v>
      </c>
      <c r="D3146" s="4">
        <f>WEEKNUM(datos_ventas[[#This Row],[Fecha]],2)</f>
        <v>34</v>
      </c>
      <c r="E3146" t="s">
        <v>20</v>
      </c>
      <c r="F3146" t="s">
        <v>21</v>
      </c>
      <c r="G3146">
        <v>4</v>
      </c>
      <c r="H3146">
        <v>115546</v>
      </c>
      <c r="I3146">
        <v>1479</v>
      </c>
      <c r="J3146" t="s">
        <v>31</v>
      </c>
      <c r="K3146" t="str">
        <f>_xlfn.XLOOKUP(datos_ventas[[#This Row],[Ciudad]],Tabla2[Ciudades],Tabla2[Provincias],"no se encuentra")</f>
        <v>Vizcaya</v>
      </c>
      <c r="L3146" t="str">
        <f>_xlfn.XLOOKUP(datos_ventas[[#This Row],[Provincia]],Tabla2[Provincias],Tabla2[Comunidades],"no se encuentra")</f>
        <v>País Vasco</v>
      </c>
      <c r="M3146" t="s">
        <v>19</v>
      </c>
      <c r="N3146">
        <v>5</v>
      </c>
    </row>
    <row r="3147" spans="1:14" x14ac:dyDescent="0.25">
      <c r="A3147">
        <v>4146</v>
      </c>
      <c r="B3147" s="1">
        <v>45752</v>
      </c>
      <c r="C3147" s="4">
        <f>MONTH(datos_ventas[[#This Row],[Fecha]])</f>
        <v>4</v>
      </c>
      <c r="D3147" s="4">
        <f>WEEKNUM(datos_ventas[[#This Row],[Fecha]],2)</f>
        <v>14</v>
      </c>
      <c r="E3147" t="s">
        <v>26</v>
      </c>
      <c r="F3147" t="s">
        <v>18</v>
      </c>
      <c r="G3147">
        <v>1</v>
      </c>
      <c r="H3147">
        <v>40693</v>
      </c>
      <c r="I3147">
        <v>3625</v>
      </c>
      <c r="J3147" t="s">
        <v>12</v>
      </c>
      <c r="K3147" t="str">
        <f>_xlfn.XLOOKUP(datos_ventas[[#This Row],[Ciudad]],Tabla2[Ciudades],Tabla2[Provincias],"no se encuentra")</f>
        <v>Málaga</v>
      </c>
      <c r="L3147" t="str">
        <f>_xlfn.XLOOKUP(datos_ventas[[#This Row],[Provincia]],Tabla2[Provincias],Tabla2[Comunidades],"no se encuentra")</f>
        <v>Andalucía</v>
      </c>
      <c r="M3147" t="s">
        <v>28</v>
      </c>
      <c r="N3147">
        <v>4</v>
      </c>
    </row>
    <row r="3148" spans="1:14" x14ac:dyDescent="0.25">
      <c r="A3148">
        <v>4147</v>
      </c>
      <c r="B3148" s="1">
        <v>45792</v>
      </c>
      <c r="C3148" s="4">
        <f>MONTH(datos_ventas[[#This Row],[Fecha]])</f>
        <v>5</v>
      </c>
      <c r="D3148" s="4">
        <f>WEEKNUM(datos_ventas[[#This Row],[Fecha]],2)</f>
        <v>20</v>
      </c>
      <c r="E3148" t="s">
        <v>20</v>
      </c>
      <c r="F3148" t="s">
        <v>21</v>
      </c>
      <c r="G3148">
        <v>5</v>
      </c>
      <c r="H3148">
        <v>9210</v>
      </c>
      <c r="I3148">
        <v>2633</v>
      </c>
      <c r="J3148" t="s">
        <v>12</v>
      </c>
      <c r="K3148" t="str">
        <f>_xlfn.XLOOKUP(datos_ventas[[#This Row],[Ciudad]],Tabla2[Ciudades],Tabla2[Provincias],"no se encuentra")</f>
        <v>Málaga</v>
      </c>
      <c r="L3148" t="str">
        <f>_xlfn.XLOOKUP(datos_ventas[[#This Row],[Provincia]],Tabla2[Provincias],Tabla2[Comunidades],"no se encuentra")</f>
        <v>Andalucía</v>
      </c>
      <c r="M3148" t="s">
        <v>28</v>
      </c>
      <c r="N3148">
        <v>2</v>
      </c>
    </row>
    <row r="3149" spans="1:14" x14ac:dyDescent="0.25">
      <c r="A3149">
        <v>4148</v>
      </c>
      <c r="B3149" s="1">
        <v>45766</v>
      </c>
      <c r="C3149" s="4">
        <f>MONTH(datos_ventas[[#This Row],[Fecha]])</f>
        <v>4</v>
      </c>
      <c r="D3149" s="4">
        <f>WEEKNUM(datos_ventas[[#This Row],[Fecha]],2)</f>
        <v>16</v>
      </c>
      <c r="E3149" t="s">
        <v>26</v>
      </c>
      <c r="F3149" t="s">
        <v>18</v>
      </c>
      <c r="G3149">
        <v>5</v>
      </c>
      <c r="H3149">
        <v>15487</v>
      </c>
      <c r="I3149">
        <v>882</v>
      </c>
      <c r="J3149" t="s">
        <v>12</v>
      </c>
      <c r="K3149" t="str">
        <f>_xlfn.XLOOKUP(datos_ventas[[#This Row],[Ciudad]],Tabla2[Ciudades],Tabla2[Provincias],"no se encuentra")</f>
        <v>Málaga</v>
      </c>
      <c r="L3149" t="str">
        <f>_xlfn.XLOOKUP(datos_ventas[[#This Row],[Provincia]],Tabla2[Provincias],Tabla2[Comunidades],"no se encuentra")</f>
        <v>Andalucía</v>
      </c>
      <c r="M3149" t="s">
        <v>28</v>
      </c>
      <c r="N3149">
        <v>3</v>
      </c>
    </row>
    <row r="3150" spans="1:14" x14ac:dyDescent="0.25">
      <c r="A3150">
        <v>4149</v>
      </c>
      <c r="B3150" s="1">
        <v>45668</v>
      </c>
      <c r="C3150" s="4">
        <f>MONTH(datos_ventas[[#This Row],[Fecha]])</f>
        <v>1</v>
      </c>
      <c r="D3150" s="4">
        <f>WEEKNUM(datos_ventas[[#This Row],[Fecha]],2)</f>
        <v>2</v>
      </c>
      <c r="E3150" t="s">
        <v>26</v>
      </c>
      <c r="F3150" t="s">
        <v>18</v>
      </c>
      <c r="G3150">
        <v>3</v>
      </c>
      <c r="H3150">
        <v>68244</v>
      </c>
      <c r="I3150">
        <v>1183</v>
      </c>
      <c r="J3150" t="s">
        <v>27</v>
      </c>
      <c r="K3150" t="str">
        <f>_xlfn.XLOOKUP(datos_ventas[[#This Row],[Ciudad]],Tabla2[Ciudades],Tabla2[Provincias],"no se encuentra")</f>
        <v>Sevilla</v>
      </c>
      <c r="L3150" t="str">
        <f>_xlfn.XLOOKUP(datos_ventas[[#This Row],[Provincia]],Tabla2[Provincias],Tabla2[Comunidades],"no se encuentra")</f>
        <v>Andalucía</v>
      </c>
      <c r="M3150" t="s">
        <v>19</v>
      </c>
      <c r="N3150">
        <v>4</v>
      </c>
    </row>
    <row r="3151" spans="1:14" x14ac:dyDescent="0.25">
      <c r="A3151">
        <v>4150</v>
      </c>
      <c r="B3151" s="1">
        <v>45933</v>
      </c>
      <c r="C3151" s="4">
        <f>MONTH(datos_ventas[[#This Row],[Fecha]])</f>
        <v>10</v>
      </c>
      <c r="D3151" s="4">
        <f>WEEKNUM(datos_ventas[[#This Row],[Fecha]],2)</f>
        <v>40</v>
      </c>
      <c r="E3151" t="s">
        <v>26</v>
      </c>
      <c r="F3151" t="s">
        <v>18</v>
      </c>
      <c r="G3151">
        <v>1</v>
      </c>
      <c r="H3151">
        <v>112032</v>
      </c>
      <c r="I3151">
        <v>1835</v>
      </c>
      <c r="J3151" t="s">
        <v>32</v>
      </c>
      <c r="K3151" t="str">
        <f>_xlfn.XLOOKUP(datos_ventas[[#This Row],[Ciudad]],Tabla2[Ciudades],Tabla2[Provincias],"no se encuentra")</f>
        <v>Barcelona</v>
      </c>
      <c r="L3151" t="str">
        <f>_xlfn.XLOOKUP(datos_ventas[[#This Row],[Provincia]],Tabla2[Provincias],Tabla2[Comunidades],"no se encuentra")</f>
        <v>Cataluña</v>
      </c>
      <c r="M3151" t="s">
        <v>15</v>
      </c>
      <c r="N3151">
        <v>2</v>
      </c>
    </row>
    <row r="3152" spans="1:14" x14ac:dyDescent="0.25">
      <c r="A3152">
        <v>4151</v>
      </c>
      <c r="B3152" s="1">
        <v>45746</v>
      </c>
      <c r="C3152" s="4">
        <f>MONTH(datos_ventas[[#This Row],[Fecha]])</f>
        <v>3</v>
      </c>
      <c r="D3152" s="4">
        <f>WEEKNUM(datos_ventas[[#This Row],[Fecha]],2)</f>
        <v>13</v>
      </c>
      <c r="E3152" t="s">
        <v>29</v>
      </c>
      <c r="F3152" t="s">
        <v>30</v>
      </c>
      <c r="G3152">
        <v>4</v>
      </c>
      <c r="H3152">
        <v>47986</v>
      </c>
      <c r="I3152">
        <v>4888</v>
      </c>
      <c r="J3152" t="s">
        <v>22</v>
      </c>
      <c r="K3152" t="str">
        <f>_xlfn.XLOOKUP(datos_ventas[[#This Row],[Ciudad]],Tabla2[Ciudades],Tabla2[Provincias],"no se encuentra")</f>
        <v>Valencia</v>
      </c>
      <c r="L3152" t="str">
        <f>_xlfn.XLOOKUP(datos_ventas[[#This Row],[Provincia]],Tabla2[Provincias],Tabla2[Comunidades],"no se encuentra")</f>
        <v>Comunidad Valenciana</v>
      </c>
      <c r="M3152" t="s">
        <v>28</v>
      </c>
      <c r="N3152">
        <v>5</v>
      </c>
    </row>
    <row r="3153" spans="1:14" x14ac:dyDescent="0.25">
      <c r="A3153">
        <v>4152</v>
      </c>
      <c r="B3153" s="1">
        <v>45912</v>
      </c>
      <c r="C3153" s="4">
        <f>MONTH(datos_ventas[[#This Row],[Fecha]])</f>
        <v>9</v>
      </c>
      <c r="D3153" s="4">
        <f>WEEKNUM(datos_ventas[[#This Row],[Fecha]],2)</f>
        <v>37</v>
      </c>
      <c r="E3153" t="s">
        <v>26</v>
      </c>
      <c r="F3153" t="s">
        <v>18</v>
      </c>
      <c r="G3153">
        <v>1</v>
      </c>
      <c r="H3153">
        <v>34714</v>
      </c>
      <c r="I3153">
        <v>2719</v>
      </c>
      <c r="J3153" t="s">
        <v>22</v>
      </c>
      <c r="K3153" t="str">
        <f>_xlfn.XLOOKUP(datos_ventas[[#This Row],[Ciudad]],Tabla2[Ciudades],Tabla2[Provincias],"no se encuentra")</f>
        <v>Valencia</v>
      </c>
      <c r="L3153" t="str">
        <f>_xlfn.XLOOKUP(datos_ventas[[#This Row],[Provincia]],Tabla2[Provincias],Tabla2[Comunidades],"no se encuentra")</f>
        <v>Comunidad Valenciana</v>
      </c>
      <c r="M3153" t="s">
        <v>13</v>
      </c>
      <c r="N3153">
        <v>3</v>
      </c>
    </row>
    <row r="3154" spans="1:14" x14ac:dyDescent="0.25">
      <c r="A3154">
        <v>4153</v>
      </c>
      <c r="B3154" s="1">
        <v>45841</v>
      </c>
      <c r="C3154" s="4">
        <f>MONTH(datos_ventas[[#This Row],[Fecha]])</f>
        <v>7</v>
      </c>
      <c r="D3154" s="4">
        <f>WEEKNUM(datos_ventas[[#This Row],[Fecha]],2)</f>
        <v>27</v>
      </c>
      <c r="E3154" t="s">
        <v>16</v>
      </c>
      <c r="F3154" t="s">
        <v>11</v>
      </c>
      <c r="G3154">
        <v>2</v>
      </c>
      <c r="H3154">
        <v>21494</v>
      </c>
      <c r="I3154">
        <v>3641</v>
      </c>
      <c r="J3154" t="s">
        <v>12</v>
      </c>
      <c r="K3154" t="str">
        <f>_xlfn.XLOOKUP(datos_ventas[[#This Row],[Ciudad]],Tabla2[Ciudades],Tabla2[Provincias],"no se encuentra")</f>
        <v>Málaga</v>
      </c>
      <c r="L3154" t="str">
        <f>_xlfn.XLOOKUP(datos_ventas[[#This Row],[Provincia]],Tabla2[Provincias],Tabla2[Comunidades],"no se encuentra")</f>
        <v>Andalucía</v>
      </c>
      <c r="M3154" t="s">
        <v>13</v>
      </c>
      <c r="N3154">
        <v>3</v>
      </c>
    </row>
    <row r="3155" spans="1:14" x14ac:dyDescent="0.25">
      <c r="A3155">
        <v>4154</v>
      </c>
      <c r="B3155" s="1">
        <v>46000</v>
      </c>
      <c r="C3155" s="4">
        <f>MONTH(datos_ventas[[#This Row],[Fecha]])</f>
        <v>12</v>
      </c>
      <c r="D3155" s="4">
        <f>WEEKNUM(datos_ventas[[#This Row],[Fecha]],2)</f>
        <v>50</v>
      </c>
      <c r="E3155" t="s">
        <v>10</v>
      </c>
      <c r="F3155" t="s">
        <v>11</v>
      </c>
      <c r="G3155">
        <v>4</v>
      </c>
      <c r="H3155">
        <v>10702</v>
      </c>
      <c r="I3155">
        <v>4036</v>
      </c>
      <c r="J3155" t="s">
        <v>32</v>
      </c>
      <c r="K3155" t="str">
        <f>_xlfn.XLOOKUP(datos_ventas[[#This Row],[Ciudad]],Tabla2[Ciudades],Tabla2[Provincias],"no se encuentra")</f>
        <v>Barcelona</v>
      </c>
      <c r="L3155" t="str">
        <f>_xlfn.XLOOKUP(datos_ventas[[#This Row],[Provincia]],Tabla2[Provincias],Tabla2[Comunidades],"no se encuentra")</f>
        <v>Cataluña</v>
      </c>
      <c r="M3155" t="s">
        <v>19</v>
      </c>
      <c r="N3155">
        <v>3</v>
      </c>
    </row>
    <row r="3156" spans="1:14" x14ac:dyDescent="0.25">
      <c r="A3156">
        <v>4155</v>
      </c>
      <c r="B3156" s="1">
        <v>45966</v>
      </c>
      <c r="C3156" s="4">
        <f>MONTH(datos_ventas[[#This Row],[Fecha]])</f>
        <v>11</v>
      </c>
      <c r="D3156" s="4">
        <f>WEEKNUM(datos_ventas[[#This Row],[Fecha]],2)</f>
        <v>45</v>
      </c>
      <c r="E3156" t="s">
        <v>24</v>
      </c>
      <c r="F3156" t="s">
        <v>25</v>
      </c>
      <c r="G3156">
        <v>4</v>
      </c>
      <c r="H3156">
        <v>30258</v>
      </c>
      <c r="I3156">
        <v>2749</v>
      </c>
      <c r="J3156" t="s">
        <v>14</v>
      </c>
      <c r="K3156" t="str">
        <f>_xlfn.XLOOKUP(datos_ventas[[#This Row],[Ciudad]],Tabla2[Ciudades],Tabla2[Provincias],"no se encuentra")</f>
        <v>Madrid</v>
      </c>
      <c r="L3156" t="str">
        <f>_xlfn.XLOOKUP(datos_ventas[[#This Row],[Provincia]],Tabla2[Provincias],Tabla2[Comunidades],"no se encuentra")</f>
        <v>Comunidad de Madrid</v>
      </c>
      <c r="M3156" t="s">
        <v>13</v>
      </c>
      <c r="N3156">
        <v>4</v>
      </c>
    </row>
    <row r="3157" spans="1:14" x14ac:dyDescent="0.25">
      <c r="A3157">
        <v>4156</v>
      </c>
      <c r="B3157" s="1">
        <v>45826</v>
      </c>
      <c r="C3157" s="4">
        <f>MONTH(datos_ventas[[#This Row],[Fecha]])</f>
        <v>6</v>
      </c>
      <c r="D3157" s="4">
        <f>WEEKNUM(datos_ventas[[#This Row],[Fecha]],2)</f>
        <v>25</v>
      </c>
      <c r="E3157" t="s">
        <v>16</v>
      </c>
      <c r="F3157" t="s">
        <v>11</v>
      </c>
      <c r="G3157">
        <v>3</v>
      </c>
      <c r="H3157">
        <v>73675</v>
      </c>
      <c r="I3157">
        <v>3867</v>
      </c>
      <c r="J3157" t="s">
        <v>12</v>
      </c>
      <c r="K3157" t="str">
        <f>_xlfn.XLOOKUP(datos_ventas[[#This Row],[Ciudad]],Tabla2[Ciudades],Tabla2[Provincias],"no se encuentra")</f>
        <v>Málaga</v>
      </c>
      <c r="L3157" t="str">
        <f>_xlfn.XLOOKUP(datos_ventas[[#This Row],[Provincia]],Tabla2[Provincias],Tabla2[Comunidades],"no se encuentra")</f>
        <v>Andalucía</v>
      </c>
      <c r="M3157" t="s">
        <v>19</v>
      </c>
      <c r="N3157">
        <v>5</v>
      </c>
    </row>
    <row r="3158" spans="1:14" x14ac:dyDescent="0.25">
      <c r="A3158">
        <v>4157</v>
      </c>
      <c r="B3158" s="1">
        <v>45816</v>
      </c>
      <c r="C3158" s="4">
        <f>MONTH(datos_ventas[[#This Row],[Fecha]])</f>
        <v>6</v>
      </c>
      <c r="D3158" s="4">
        <f>WEEKNUM(datos_ventas[[#This Row],[Fecha]],2)</f>
        <v>23</v>
      </c>
      <c r="E3158" t="s">
        <v>20</v>
      </c>
      <c r="F3158" t="s">
        <v>21</v>
      </c>
      <c r="G3158">
        <v>4</v>
      </c>
      <c r="H3158">
        <v>58628</v>
      </c>
      <c r="I3158">
        <v>470</v>
      </c>
      <c r="J3158" t="s">
        <v>12</v>
      </c>
      <c r="K3158" t="str">
        <f>_xlfn.XLOOKUP(datos_ventas[[#This Row],[Ciudad]],Tabla2[Ciudades],Tabla2[Provincias],"no se encuentra")</f>
        <v>Málaga</v>
      </c>
      <c r="L3158" t="str">
        <f>_xlfn.XLOOKUP(datos_ventas[[#This Row],[Provincia]],Tabla2[Provincias],Tabla2[Comunidades],"no se encuentra")</f>
        <v>Andalucía</v>
      </c>
      <c r="M3158" t="s">
        <v>13</v>
      </c>
      <c r="N3158">
        <v>3</v>
      </c>
    </row>
    <row r="3159" spans="1:14" x14ac:dyDescent="0.25">
      <c r="A3159">
        <v>4158</v>
      </c>
      <c r="B3159" s="1">
        <v>45918</v>
      </c>
      <c r="C3159" s="4">
        <f>MONTH(datos_ventas[[#This Row],[Fecha]])</f>
        <v>9</v>
      </c>
      <c r="D3159" s="4">
        <f>WEEKNUM(datos_ventas[[#This Row],[Fecha]],2)</f>
        <v>38</v>
      </c>
      <c r="E3159" t="s">
        <v>24</v>
      </c>
      <c r="F3159" t="s">
        <v>25</v>
      </c>
      <c r="G3159">
        <v>5</v>
      </c>
      <c r="H3159">
        <v>103142</v>
      </c>
      <c r="I3159">
        <v>3513</v>
      </c>
      <c r="J3159" t="s">
        <v>14</v>
      </c>
      <c r="K3159" t="str">
        <f>_xlfn.XLOOKUP(datos_ventas[[#This Row],[Ciudad]],Tabla2[Ciudades],Tabla2[Provincias],"no se encuentra")</f>
        <v>Madrid</v>
      </c>
      <c r="L3159" t="str">
        <f>_xlfn.XLOOKUP(datos_ventas[[#This Row],[Provincia]],Tabla2[Provincias],Tabla2[Comunidades],"no se encuentra")</f>
        <v>Comunidad de Madrid</v>
      </c>
      <c r="M3159" t="s">
        <v>13</v>
      </c>
      <c r="N3159">
        <v>4</v>
      </c>
    </row>
    <row r="3160" spans="1:14" x14ac:dyDescent="0.25">
      <c r="A3160">
        <v>4159</v>
      </c>
      <c r="B3160" s="1">
        <v>45923</v>
      </c>
      <c r="C3160" s="4">
        <f>MONTH(datos_ventas[[#This Row],[Fecha]])</f>
        <v>9</v>
      </c>
      <c r="D3160" s="4">
        <f>WEEKNUM(datos_ventas[[#This Row],[Fecha]],2)</f>
        <v>39</v>
      </c>
      <c r="E3160" t="s">
        <v>29</v>
      </c>
      <c r="F3160" t="s">
        <v>30</v>
      </c>
      <c r="G3160">
        <v>2</v>
      </c>
      <c r="H3160">
        <v>14715</v>
      </c>
      <c r="I3160">
        <v>1946</v>
      </c>
      <c r="J3160" t="s">
        <v>22</v>
      </c>
      <c r="K3160" t="str">
        <f>_xlfn.XLOOKUP(datos_ventas[[#This Row],[Ciudad]],Tabla2[Ciudades],Tabla2[Provincias],"no se encuentra")</f>
        <v>Valencia</v>
      </c>
      <c r="L3160" t="str">
        <f>_xlfn.XLOOKUP(datos_ventas[[#This Row],[Provincia]],Tabla2[Provincias],Tabla2[Comunidades],"no se encuentra")</f>
        <v>Comunidad Valenciana</v>
      </c>
      <c r="M3160" t="s">
        <v>13</v>
      </c>
      <c r="N3160">
        <v>2</v>
      </c>
    </row>
    <row r="3161" spans="1:14" x14ac:dyDescent="0.25">
      <c r="A3161">
        <v>4160</v>
      </c>
      <c r="B3161" s="1">
        <v>45855</v>
      </c>
      <c r="C3161" s="4">
        <f>MONTH(datos_ventas[[#This Row],[Fecha]])</f>
        <v>7</v>
      </c>
      <c r="D3161" s="4">
        <f>WEEKNUM(datos_ventas[[#This Row],[Fecha]],2)</f>
        <v>29</v>
      </c>
      <c r="E3161" t="s">
        <v>26</v>
      </c>
      <c r="F3161" t="s">
        <v>18</v>
      </c>
      <c r="G3161">
        <v>2</v>
      </c>
      <c r="H3161">
        <v>40094</v>
      </c>
      <c r="I3161">
        <v>1117</v>
      </c>
      <c r="J3161" t="s">
        <v>14</v>
      </c>
      <c r="K3161" t="str">
        <f>_xlfn.XLOOKUP(datos_ventas[[#This Row],[Ciudad]],Tabla2[Ciudades],Tabla2[Provincias],"no se encuentra")</f>
        <v>Madrid</v>
      </c>
      <c r="L3161" t="str">
        <f>_xlfn.XLOOKUP(datos_ventas[[#This Row],[Provincia]],Tabla2[Provincias],Tabla2[Comunidades],"no se encuentra")</f>
        <v>Comunidad de Madrid</v>
      </c>
      <c r="M3161" t="s">
        <v>15</v>
      </c>
      <c r="N3161">
        <v>1</v>
      </c>
    </row>
    <row r="3162" spans="1:14" x14ac:dyDescent="0.25">
      <c r="A3162">
        <v>4161</v>
      </c>
      <c r="B3162" s="1">
        <v>45938</v>
      </c>
      <c r="C3162" s="4">
        <f>MONTH(datos_ventas[[#This Row],[Fecha]])</f>
        <v>10</v>
      </c>
      <c r="D3162" s="4">
        <f>WEEKNUM(datos_ventas[[#This Row],[Fecha]],2)</f>
        <v>41</v>
      </c>
      <c r="E3162" t="s">
        <v>26</v>
      </c>
      <c r="F3162" t="s">
        <v>18</v>
      </c>
      <c r="G3162">
        <v>4</v>
      </c>
      <c r="H3162">
        <v>118574</v>
      </c>
      <c r="I3162">
        <v>107</v>
      </c>
      <c r="J3162" t="s">
        <v>22</v>
      </c>
      <c r="K3162" t="str">
        <f>_xlfn.XLOOKUP(datos_ventas[[#This Row],[Ciudad]],Tabla2[Ciudades],Tabla2[Provincias],"no se encuentra")</f>
        <v>Valencia</v>
      </c>
      <c r="L3162" t="str">
        <f>_xlfn.XLOOKUP(datos_ventas[[#This Row],[Provincia]],Tabla2[Provincias],Tabla2[Comunidades],"no se encuentra")</f>
        <v>Comunidad Valenciana</v>
      </c>
      <c r="M3162" t="s">
        <v>13</v>
      </c>
      <c r="N3162">
        <v>4</v>
      </c>
    </row>
    <row r="3163" spans="1:14" x14ac:dyDescent="0.25">
      <c r="A3163">
        <v>4162</v>
      </c>
      <c r="B3163" s="1">
        <v>45688</v>
      </c>
      <c r="C3163" s="4">
        <f>MONTH(datos_ventas[[#This Row],[Fecha]])</f>
        <v>1</v>
      </c>
      <c r="D3163" s="4">
        <f>WEEKNUM(datos_ventas[[#This Row],[Fecha]],2)</f>
        <v>5</v>
      </c>
      <c r="E3163" t="s">
        <v>29</v>
      </c>
      <c r="F3163" t="s">
        <v>30</v>
      </c>
      <c r="G3163">
        <v>4</v>
      </c>
      <c r="H3163">
        <v>48892</v>
      </c>
      <c r="I3163">
        <v>1788</v>
      </c>
      <c r="J3163" t="s">
        <v>27</v>
      </c>
      <c r="K3163" t="str">
        <f>_xlfn.XLOOKUP(datos_ventas[[#This Row],[Ciudad]],Tabla2[Ciudades],Tabla2[Provincias],"no se encuentra")</f>
        <v>Sevilla</v>
      </c>
      <c r="L3163" t="str">
        <f>_xlfn.XLOOKUP(datos_ventas[[#This Row],[Provincia]],Tabla2[Provincias],Tabla2[Comunidades],"no se encuentra")</f>
        <v>Andalucía</v>
      </c>
      <c r="M3163" t="s">
        <v>28</v>
      </c>
      <c r="N3163">
        <v>5</v>
      </c>
    </row>
    <row r="3164" spans="1:14" x14ac:dyDescent="0.25">
      <c r="A3164">
        <v>4163</v>
      </c>
      <c r="B3164" s="1">
        <v>45943</v>
      </c>
      <c r="C3164" s="4">
        <f>MONTH(datos_ventas[[#This Row],[Fecha]])</f>
        <v>10</v>
      </c>
      <c r="D3164" s="4">
        <f>WEEKNUM(datos_ventas[[#This Row],[Fecha]],2)</f>
        <v>42</v>
      </c>
      <c r="E3164" t="s">
        <v>17</v>
      </c>
      <c r="F3164" t="s">
        <v>18</v>
      </c>
      <c r="G3164">
        <v>3</v>
      </c>
      <c r="H3164">
        <v>96452</v>
      </c>
      <c r="I3164">
        <v>203</v>
      </c>
      <c r="J3164" t="s">
        <v>31</v>
      </c>
      <c r="K3164" t="str">
        <f>_xlfn.XLOOKUP(datos_ventas[[#This Row],[Ciudad]],Tabla2[Ciudades],Tabla2[Provincias],"no se encuentra")</f>
        <v>Vizcaya</v>
      </c>
      <c r="L3164" t="str">
        <f>_xlfn.XLOOKUP(datos_ventas[[#This Row],[Provincia]],Tabla2[Provincias],Tabla2[Comunidades],"no se encuentra")</f>
        <v>País Vasco</v>
      </c>
      <c r="M3164" t="s">
        <v>13</v>
      </c>
      <c r="N3164">
        <v>4</v>
      </c>
    </row>
    <row r="3165" spans="1:14" x14ac:dyDescent="0.25">
      <c r="A3165">
        <v>4164</v>
      </c>
      <c r="B3165" s="1">
        <v>45937</v>
      </c>
      <c r="C3165" s="4">
        <f>MONTH(datos_ventas[[#This Row],[Fecha]])</f>
        <v>10</v>
      </c>
      <c r="D3165" s="4">
        <f>WEEKNUM(datos_ventas[[#This Row],[Fecha]],2)</f>
        <v>41</v>
      </c>
      <c r="E3165" t="s">
        <v>20</v>
      </c>
      <c r="F3165" t="s">
        <v>21</v>
      </c>
      <c r="G3165">
        <v>1</v>
      </c>
      <c r="H3165">
        <v>98433</v>
      </c>
      <c r="I3165">
        <v>899</v>
      </c>
      <c r="J3165" t="s">
        <v>32</v>
      </c>
      <c r="K3165" t="str">
        <f>_xlfn.XLOOKUP(datos_ventas[[#This Row],[Ciudad]],Tabla2[Ciudades],Tabla2[Provincias],"no se encuentra")</f>
        <v>Barcelona</v>
      </c>
      <c r="L3165" t="str">
        <f>_xlfn.XLOOKUP(datos_ventas[[#This Row],[Provincia]],Tabla2[Provincias],Tabla2[Comunidades],"no se encuentra")</f>
        <v>Cataluña</v>
      </c>
      <c r="M3165" t="s">
        <v>19</v>
      </c>
      <c r="N3165">
        <v>2</v>
      </c>
    </row>
    <row r="3166" spans="1:14" x14ac:dyDescent="0.25">
      <c r="A3166">
        <v>4165</v>
      </c>
      <c r="B3166" s="1">
        <v>45878</v>
      </c>
      <c r="C3166" s="4">
        <f>MONTH(datos_ventas[[#This Row],[Fecha]])</f>
        <v>8</v>
      </c>
      <c r="D3166" s="4">
        <f>WEEKNUM(datos_ventas[[#This Row],[Fecha]],2)</f>
        <v>32</v>
      </c>
      <c r="E3166" t="s">
        <v>10</v>
      </c>
      <c r="F3166" t="s">
        <v>11</v>
      </c>
      <c r="G3166">
        <v>3</v>
      </c>
      <c r="H3166">
        <v>76272</v>
      </c>
      <c r="I3166">
        <v>4051</v>
      </c>
      <c r="J3166" t="s">
        <v>27</v>
      </c>
      <c r="K3166" t="str">
        <f>_xlfn.XLOOKUP(datos_ventas[[#This Row],[Ciudad]],Tabla2[Ciudades],Tabla2[Provincias],"no se encuentra")</f>
        <v>Sevilla</v>
      </c>
      <c r="L3166" t="str">
        <f>_xlfn.XLOOKUP(datos_ventas[[#This Row],[Provincia]],Tabla2[Provincias],Tabla2[Comunidades],"no se encuentra")</f>
        <v>Andalucía</v>
      </c>
      <c r="M3166" t="s">
        <v>13</v>
      </c>
      <c r="N3166">
        <v>5</v>
      </c>
    </row>
    <row r="3167" spans="1:14" x14ac:dyDescent="0.25">
      <c r="A3167">
        <v>4166</v>
      </c>
      <c r="B3167" s="1">
        <v>45967</v>
      </c>
      <c r="C3167" s="4">
        <f>MONTH(datos_ventas[[#This Row],[Fecha]])</f>
        <v>11</v>
      </c>
      <c r="D3167" s="4">
        <f>WEEKNUM(datos_ventas[[#This Row],[Fecha]],2)</f>
        <v>45</v>
      </c>
      <c r="E3167" t="s">
        <v>17</v>
      </c>
      <c r="F3167" t="s">
        <v>18</v>
      </c>
      <c r="G3167">
        <v>3</v>
      </c>
      <c r="H3167">
        <v>70492</v>
      </c>
      <c r="I3167">
        <v>198</v>
      </c>
      <c r="J3167" t="s">
        <v>12</v>
      </c>
      <c r="K3167" t="str">
        <f>_xlfn.XLOOKUP(datos_ventas[[#This Row],[Ciudad]],Tabla2[Ciudades],Tabla2[Provincias],"no se encuentra")</f>
        <v>Málaga</v>
      </c>
      <c r="L3167" t="str">
        <f>_xlfn.XLOOKUP(datos_ventas[[#This Row],[Provincia]],Tabla2[Provincias],Tabla2[Comunidades],"no se encuentra")</f>
        <v>Andalucía</v>
      </c>
      <c r="M3167" t="s">
        <v>19</v>
      </c>
      <c r="N3167">
        <v>3</v>
      </c>
    </row>
    <row r="3168" spans="1:14" x14ac:dyDescent="0.25">
      <c r="A3168">
        <v>4167</v>
      </c>
      <c r="B3168" s="1">
        <v>45797</v>
      </c>
      <c r="C3168" s="4">
        <f>MONTH(datos_ventas[[#This Row],[Fecha]])</f>
        <v>5</v>
      </c>
      <c r="D3168" s="4">
        <f>WEEKNUM(datos_ventas[[#This Row],[Fecha]],2)</f>
        <v>21</v>
      </c>
      <c r="E3168" t="s">
        <v>23</v>
      </c>
      <c r="F3168" t="s">
        <v>18</v>
      </c>
      <c r="G3168">
        <v>1</v>
      </c>
      <c r="H3168">
        <v>65659</v>
      </c>
      <c r="I3168">
        <v>433</v>
      </c>
      <c r="J3168" t="s">
        <v>14</v>
      </c>
      <c r="K3168" t="str">
        <f>_xlfn.XLOOKUP(datos_ventas[[#This Row],[Ciudad]],Tabla2[Ciudades],Tabla2[Provincias],"no se encuentra")</f>
        <v>Madrid</v>
      </c>
      <c r="L3168" t="str">
        <f>_xlfn.XLOOKUP(datos_ventas[[#This Row],[Provincia]],Tabla2[Provincias],Tabla2[Comunidades],"no se encuentra")</f>
        <v>Comunidad de Madrid</v>
      </c>
      <c r="M3168" t="s">
        <v>13</v>
      </c>
      <c r="N3168">
        <v>4</v>
      </c>
    </row>
    <row r="3169" spans="1:14" x14ac:dyDescent="0.25">
      <c r="A3169">
        <v>4168</v>
      </c>
      <c r="B3169" s="1">
        <v>45698</v>
      </c>
      <c r="C3169" s="4">
        <f>MONTH(datos_ventas[[#This Row],[Fecha]])</f>
        <v>2</v>
      </c>
      <c r="D3169" s="4">
        <f>WEEKNUM(datos_ventas[[#This Row],[Fecha]],2)</f>
        <v>7</v>
      </c>
      <c r="E3169" t="s">
        <v>17</v>
      </c>
      <c r="F3169" t="s">
        <v>18</v>
      </c>
      <c r="G3169">
        <v>3</v>
      </c>
      <c r="H3169">
        <v>56233</v>
      </c>
      <c r="I3169">
        <v>3877</v>
      </c>
      <c r="J3169" t="s">
        <v>22</v>
      </c>
      <c r="K3169" t="str">
        <f>_xlfn.XLOOKUP(datos_ventas[[#This Row],[Ciudad]],Tabla2[Ciudades],Tabla2[Provincias],"no se encuentra")</f>
        <v>Valencia</v>
      </c>
      <c r="L3169" t="str">
        <f>_xlfn.XLOOKUP(datos_ventas[[#This Row],[Provincia]],Tabla2[Provincias],Tabla2[Comunidades],"no se encuentra")</f>
        <v>Comunidad Valenciana</v>
      </c>
      <c r="M3169" t="s">
        <v>28</v>
      </c>
      <c r="N3169">
        <v>3</v>
      </c>
    </row>
    <row r="3170" spans="1:14" x14ac:dyDescent="0.25">
      <c r="A3170">
        <v>4169</v>
      </c>
      <c r="B3170" s="1">
        <v>45804</v>
      </c>
      <c r="C3170" s="4">
        <f>MONTH(datos_ventas[[#This Row],[Fecha]])</f>
        <v>5</v>
      </c>
      <c r="D3170" s="4">
        <f>WEEKNUM(datos_ventas[[#This Row],[Fecha]],2)</f>
        <v>22</v>
      </c>
      <c r="E3170" t="s">
        <v>29</v>
      </c>
      <c r="F3170" t="s">
        <v>30</v>
      </c>
      <c r="G3170">
        <v>1</v>
      </c>
      <c r="H3170">
        <v>33298</v>
      </c>
      <c r="I3170">
        <v>1716</v>
      </c>
      <c r="J3170" t="s">
        <v>32</v>
      </c>
      <c r="K3170" t="str">
        <f>_xlfn.XLOOKUP(datos_ventas[[#This Row],[Ciudad]],Tabla2[Ciudades],Tabla2[Provincias],"no se encuentra")</f>
        <v>Barcelona</v>
      </c>
      <c r="L3170" t="str">
        <f>_xlfn.XLOOKUP(datos_ventas[[#This Row],[Provincia]],Tabla2[Provincias],Tabla2[Comunidades],"no se encuentra")</f>
        <v>Cataluña</v>
      </c>
      <c r="M3170" t="s">
        <v>13</v>
      </c>
      <c r="N3170">
        <v>4</v>
      </c>
    </row>
    <row r="3171" spans="1:14" x14ac:dyDescent="0.25">
      <c r="A3171">
        <v>4170</v>
      </c>
      <c r="B3171" s="1">
        <v>45875</v>
      </c>
      <c r="C3171" s="4">
        <f>MONTH(datos_ventas[[#This Row],[Fecha]])</f>
        <v>8</v>
      </c>
      <c r="D3171" s="4">
        <f>WEEKNUM(datos_ventas[[#This Row],[Fecha]],2)</f>
        <v>32</v>
      </c>
      <c r="E3171" t="s">
        <v>29</v>
      </c>
      <c r="F3171" t="s">
        <v>30</v>
      </c>
      <c r="G3171">
        <v>5</v>
      </c>
      <c r="H3171">
        <v>95597</v>
      </c>
      <c r="I3171">
        <v>167</v>
      </c>
      <c r="J3171" t="s">
        <v>32</v>
      </c>
      <c r="K3171" t="str">
        <f>_xlfn.XLOOKUP(datos_ventas[[#This Row],[Ciudad]],Tabla2[Ciudades],Tabla2[Provincias],"no se encuentra")</f>
        <v>Barcelona</v>
      </c>
      <c r="L3171" t="str">
        <f>_xlfn.XLOOKUP(datos_ventas[[#This Row],[Provincia]],Tabla2[Provincias],Tabla2[Comunidades],"no se encuentra")</f>
        <v>Cataluña</v>
      </c>
      <c r="M3171" t="s">
        <v>13</v>
      </c>
      <c r="N3171">
        <v>4</v>
      </c>
    </row>
    <row r="3172" spans="1:14" x14ac:dyDescent="0.25">
      <c r="A3172">
        <v>4171</v>
      </c>
      <c r="B3172" s="1">
        <v>45845</v>
      </c>
      <c r="C3172" s="4">
        <f>MONTH(datos_ventas[[#This Row],[Fecha]])</f>
        <v>7</v>
      </c>
      <c r="D3172" s="4">
        <f>WEEKNUM(datos_ventas[[#This Row],[Fecha]],2)</f>
        <v>28</v>
      </c>
      <c r="E3172" t="s">
        <v>20</v>
      </c>
      <c r="F3172" t="s">
        <v>21</v>
      </c>
      <c r="G3172">
        <v>4</v>
      </c>
      <c r="H3172">
        <v>3117</v>
      </c>
      <c r="I3172">
        <v>2262</v>
      </c>
      <c r="J3172" t="s">
        <v>22</v>
      </c>
      <c r="K3172" t="str">
        <f>_xlfn.XLOOKUP(datos_ventas[[#This Row],[Ciudad]],Tabla2[Ciudades],Tabla2[Provincias],"no se encuentra")</f>
        <v>Valencia</v>
      </c>
      <c r="L3172" t="str">
        <f>_xlfn.XLOOKUP(datos_ventas[[#This Row],[Provincia]],Tabla2[Provincias],Tabla2[Comunidades],"no se encuentra")</f>
        <v>Comunidad Valenciana</v>
      </c>
      <c r="M3172" t="s">
        <v>28</v>
      </c>
      <c r="N3172">
        <v>5</v>
      </c>
    </row>
    <row r="3173" spans="1:14" x14ac:dyDescent="0.25">
      <c r="A3173">
        <v>4172</v>
      </c>
      <c r="B3173" s="1">
        <v>45897</v>
      </c>
      <c r="C3173" s="4">
        <f>MONTH(datos_ventas[[#This Row],[Fecha]])</f>
        <v>8</v>
      </c>
      <c r="D3173" s="4">
        <f>WEEKNUM(datos_ventas[[#This Row],[Fecha]],2)</f>
        <v>35</v>
      </c>
      <c r="E3173" t="s">
        <v>16</v>
      </c>
      <c r="F3173" t="s">
        <v>11</v>
      </c>
      <c r="G3173">
        <v>1</v>
      </c>
      <c r="H3173">
        <v>64012</v>
      </c>
      <c r="I3173">
        <v>671</v>
      </c>
      <c r="J3173" t="s">
        <v>31</v>
      </c>
      <c r="K3173" t="str">
        <f>_xlfn.XLOOKUP(datos_ventas[[#This Row],[Ciudad]],Tabla2[Ciudades],Tabla2[Provincias],"no se encuentra")</f>
        <v>Vizcaya</v>
      </c>
      <c r="L3173" t="str">
        <f>_xlfn.XLOOKUP(datos_ventas[[#This Row],[Provincia]],Tabla2[Provincias],Tabla2[Comunidades],"no se encuentra")</f>
        <v>País Vasco</v>
      </c>
      <c r="M3173" t="s">
        <v>15</v>
      </c>
      <c r="N3173">
        <v>5</v>
      </c>
    </row>
    <row r="3174" spans="1:14" x14ac:dyDescent="0.25">
      <c r="A3174">
        <v>4173</v>
      </c>
      <c r="B3174" s="1">
        <v>45739</v>
      </c>
      <c r="C3174" s="4">
        <f>MONTH(datos_ventas[[#This Row],[Fecha]])</f>
        <v>3</v>
      </c>
      <c r="D3174" s="4">
        <f>WEEKNUM(datos_ventas[[#This Row],[Fecha]],2)</f>
        <v>12</v>
      </c>
      <c r="E3174" t="s">
        <v>16</v>
      </c>
      <c r="F3174" t="s">
        <v>11</v>
      </c>
      <c r="G3174">
        <v>4</v>
      </c>
      <c r="H3174">
        <v>4845</v>
      </c>
      <c r="I3174">
        <v>1177</v>
      </c>
      <c r="J3174" t="s">
        <v>14</v>
      </c>
      <c r="K3174" t="str">
        <f>_xlfn.XLOOKUP(datos_ventas[[#This Row],[Ciudad]],Tabla2[Ciudades],Tabla2[Provincias],"no se encuentra")</f>
        <v>Madrid</v>
      </c>
      <c r="L3174" t="str">
        <f>_xlfn.XLOOKUP(datos_ventas[[#This Row],[Provincia]],Tabla2[Provincias],Tabla2[Comunidades],"no se encuentra")</f>
        <v>Comunidad de Madrid</v>
      </c>
      <c r="M3174" t="s">
        <v>13</v>
      </c>
      <c r="N3174">
        <v>4</v>
      </c>
    </row>
    <row r="3175" spans="1:14" x14ac:dyDescent="0.25">
      <c r="A3175">
        <v>4174</v>
      </c>
      <c r="B3175" s="1">
        <v>45795</v>
      </c>
      <c r="C3175" s="4">
        <f>MONTH(datos_ventas[[#This Row],[Fecha]])</f>
        <v>5</v>
      </c>
      <c r="D3175" s="4">
        <f>WEEKNUM(datos_ventas[[#This Row],[Fecha]],2)</f>
        <v>20</v>
      </c>
      <c r="E3175" t="s">
        <v>17</v>
      </c>
      <c r="F3175" t="s">
        <v>18</v>
      </c>
      <c r="G3175">
        <v>5</v>
      </c>
      <c r="H3175">
        <v>37873</v>
      </c>
      <c r="I3175">
        <v>2103</v>
      </c>
      <c r="J3175" t="s">
        <v>31</v>
      </c>
      <c r="K3175" t="str">
        <f>_xlfn.XLOOKUP(datos_ventas[[#This Row],[Ciudad]],Tabla2[Ciudades],Tabla2[Provincias],"no se encuentra")</f>
        <v>Vizcaya</v>
      </c>
      <c r="L3175" t="str">
        <f>_xlfn.XLOOKUP(datos_ventas[[#This Row],[Provincia]],Tabla2[Provincias],Tabla2[Comunidades],"no se encuentra")</f>
        <v>País Vasco</v>
      </c>
      <c r="M3175" t="s">
        <v>19</v>
      </c>
      <c r="N3175">
        <v>4</v>
      </c>
    </row>
    <row r="3176" spans="1:14" x14ac:dyDescent="0.25">
      <c r="A3176">
        <v>4175</v>
      </c>
      <c r="B3176" s="1">
        <v>45680</v>
      </c>
      <c r="C3176" s="4">
        <f>MONTH(datos_ventas[[#This Row],[Fecha]])</f>
        <v>1</v>
      </c>
      <c r="D3176" s="4">
        <f>WEEKNUM(datos_ventas[[#This Row],[Fecha]],2)</f>
        <v>4</v>
      </c>
      <c r="E3176" t="s">
        <v>17</v>
      </c>
      <c r="F3176" t="s">
        <v>18</v>
      </c>
      <c r="G3176">
        <v>1</v>
      </c>
      <c r="H3176">
        <v>16577</v>
      </c>
      <c r="I3176">
        <v>2876</v>
      </c>
      <c r="J3176" t="s">
        <v>12</v>
      </c>
      <c r="K3176" t="str">
        <f>_xlfn.XLOOKUP(datos_ventas[[#This Row],[Ciudad]],Tabla2[Ciudades],Tabla2[Provincias],"no se encuentra")</f>
        <v>Málaga</v>
      </c>
      <c r="L3176" t="str">
        <f>_xlfn.XLOOKUP(datos_ventas[[#This Row],[Provincia]],Tabla2[Provincias],Tabla2[Comunidades],"no se encuentra")</f>
        <v>Andalucía</v>
      </c>
      <c r="M3176" t="s">
        <v>19</v>
      </c>
      <c r="N3176">
        <v>3</v>
      </c>
    </row>
    <row r="3177" spans="1:14" x14ac:dyDescent="0.25">
      <c r="A3177">
        <v>4176</v>
      </c>
      <c r="B3177" s="1">
        <v>45705</v>
      </c>
      <c r="C3177" s="4">
        <f>MONTH(datos_ventas[[#This Row],[Fecha]])</f>
        <v>2</v>
      </c>
      <c r="D3177" s="4">
        <f>WEEKNUM(datos_ventas[[#This Row],[Fecha]],2)</f>
        <v>8</v>
      </c>
      <c r="E3177" t="s">
        <v>20</v>
      </c>
      <c r="F3177" t="s">
        <v>21</v>
      </c>
      <c r="G3177">
        <v>4</v>
      </c>
      <c r="H3177">
        <v>79389</v>
      </c>
      <c r="I3177">
        <v>1284</v>
      </c>
      <c r="J3177" t="s">
        <v>27</v>
      </c>
      <c r="K3177" t="str">
        <f>_xlfn.XLOOKUP(datos_ventas[[#This Row],[Ciudad]],Tabla2[Ciudades],Tabla2[Provincias],"no se encuentra")</f>
        <v>Sevilla</v>
      </c>
      <c r="L3177" t="str">
        <f>_xlfn.XLOOKUP(datos_ventas[[#This Row],[Provincia]],Tabla2[Provincias],Tabla2[Comunidades],"no se encuentra")</f>
        <v>Andalucía</v>
      </c>
      <c r="M3177" t="s">
        <v>15</v>
      </c>
      <c r="N3177">
        <v>2</v>
      </c>
    </row>
    <row r="3178" spans="1:14" x14ac:dyDescent="0.25">
      <c r="A3178">
        <v>4177</v>
      </c>
      <c r="B3178" s="1">
        <v>45669</v>
      </c>
      <c r="C3178" s="4">
        <f>MONTH(datos_ventas[[#This Row],[Fecha]])</f>
        <v>1</v>
      </c>
      <c r="D3178" s="4">
        <f>WEEKNUM(datos_ventas[[#This Row],[Fecha]],2)</f>
        <v>2</v>
      </c>
      <c r="E3178" t="s">
        <v>29</v>
      </c>
      <c r="F3178" t="s">
        <v>30</v>
      </c>
      <c r="G3178">
        <v>2</v>
      </c>
      <c r="H3178">
        <v>410</v>
      </c>
      <c r="I3178">
        <v>435</v>
      </c>
      <c r="J3178" t="s">
        <v>14</v>
      </c>
      <c r="K3178" t="str">
        <f>_xlfn.XLOOKUP(datos_ventas[[#This Row],[Ciudad]],Tabla2[Ciudades],Tabla2[Provincias],"no se encuentra")</f>
        <v>Madrid</v>
      </c>
      <c r="L3178" t="str">
        <f>_xlfn.XLOOKUP(datos_ventas[[#This Row],[Provincia]],Tabla2[Provincias],Tabla2[Comunidades],"no se encuentra")</f>
        <v>Comunidad de Madrid</v>
      </c>
      <c r="M3178" t="s">
        <v>15</v>
      </c>
      <c r="N3178">
        <v>3</v>
      </c>
    </row>
    <row r="3179" spans="1:14" x14ac:dyDescent="0.25">
      <c r="A3179">
        <v>4178</v>
      </c>
      <c r="B3179" s="1">
        <v>45760</v>
      </c>
      <c r="C3179" s="4">
        <f>MONTH(datos_ventas[[#This Row],[Fecha]])</f>
        <v>4</v>
      </c>
      <c r="D3179" s="4">
        <f>WEEKNUM(datos_ventas[[#This Row],[Fecha]],2)</f>
        <v>15</v>
      </c>
      <c r="E3179" t="s">
        <v>24</v>
      </c>
      <c r="F3179" t="s">
        <v>25</v>
      </c>
      <c r="G3179">
        <v>1</v>
      </c>
      <c r="H3179">
        <v>3803</v>
      </c>
      <c r="I3179">
        <v>430</v>
      </c>
      <c r="J3179" t="s">
        <v>12</v>
      </c>
      <c r="K3179" t="str">
        <f>_xlfn.XLOOKUP(datos_ventas[[#This Row],[Ciudad]],Tabla2[Ciudades],Tabla2[Provincias],"no se encuentra")</f>
        <v>Málaga</v>
      </c>
      <c r="L3179" t="str">
        <f>_xlfn.XLOOKUP(datos_ventas[[#This Row],[Provincia]],Tabla2[Provincias],Tabla2[Comunidades],"no se encuentra")</f>
        <v>Andalucía</v>
      </c>
      <c r="M3179" t="s">
        <v>19</v>
      </c>
      <c r="N3179">
        <v>3</v>
      </c>
    </row>
    <row r="3180" spans="1:14" x14ac:dyDescent="0.25">
      <c r="A3180">
        <v>4179</v>
      </c>
      <c r="B3180" s="1">
        <v>45912</v>
      </c>
      <c r="C3180" s="4">
        <f>MONTH(datos_ventas[[#This Row],[Fecha]])</f>
        <v>9</v>
      </c>
      <c r="D3180" s="4">
        <f>WEEKNUM(datos_ventas[[#This Row],[Fecha]],2)</f>
        <v>37</v>
      </c>
      <c r="E3180" t="s">
        <v>26</v>
      </c>
      <c r="F3180" t="s">
        <v>18</v>
      </c>
      <c r="G3180">
        <v>2</v>
      </c>
      <c r="H3180">
        <v>64937</v>
      </c>
      <c r="I3180">
        <v>1648</v>
      </c>
      <c r="J3180" t="s">
        <v>32</v>
      </c>
      <c r="K3180" t="str">
        <f>_xlfn.XLOOKUP(datos_ventas[[#This Row],[Ciudad]],Tabla2[Ciudades],Tabla2[Provincias],"no se encuentra")</f>
        <v>Barcelona</v>
      </c>
      <c r="L3180" t="str">
        <f>_xlfn.XLOOKUP(datos_ventas[[#This Row],[Provincia]],Tabla2[Provincias],Tabla2[Comunidades],"no se encuentra")</f>
        <v>Cataluña</v>
      </c>
      <c r="M3180" t="s">
        <v>15</v>
      </c>
      <c r="N3180">
        <v>2</v>
      </c>
    </row>
    <row r="3181" spans="1:14" x14ac:dyDescent="0.25">
      <c r="A3181">
        <v>4180</v>
      </c>
      <c r="B3181" s="1">
        <v>45936</v>
      </c>
      <c r="C3181" s="4">
        <f>MONTH(datos_ventas[[#This Row],[Fecha]])</f>
        <v>10</v>
      </c>
      <c r="D3181" s="4">
        <f>WEEKNUM(datos_ventas[[#This Row],[Fecha]],2)</f>
        <v>41</v>
      </c>
      <c r="E3181" t="s">
        <v>26</v>
      </c>
      <c r="F3181" t="s">
        <v>18</v>
      </c>
      <c r="G3181">
        <v>1</v>
      </c>
      <c r="H3181">
        <v>42879</v>
      </c>
      <c r="I3181">
        <v>4974</v>
      </c>
      <c r="J3181" t="s">
        <v>12</v>
      </c>
      <c r="K3181" t="str">
        <f>_xlfn.XLOOKUP(datos_ventas[[#This Row],[Ciudad]],Tabla2[Ciudades],Tabla2[Provincias],"no se encuentra")</f>
        <v>Málaga</v>
      </c>
      <c r="L3181" t="str">
        <f>_xlfn.XLOOKUP(datos_ventas[[#This Row],[Provincia]],Tabla2[Provincias],Tabla2[Comunidades],"no se encuentra")</f>
        <v>Andalucía</v>
      </c>
      <c r="M3181" t="s">
        <v>19</v>
      </c>
      <c r="N3181">
        <v>4</v>
      </c>
    </row>
    <row r="3182" spans="1:14" x14ac:dyDescent="0.25">
      <c r="A3182">
        <v>4181</v>
      </c>
      <c r="B3182" s="1">
        <v>45976</v>
      </c>
      <c r="C3182" s="4">
        <f>MONTH(datos_ventas[[#This Row],[Fecha]])</f>
        <v>11</v>
      </c>
      <c r="D3182" s="4">
        <f>WEEKNUM(datos_ventas[[#This Row],[Fecha]],2)</f>
        <v>46</v>
      </c>
      <c r="E3182" t="s">
        <v>29</v>
      </c>
      <c r="F3182" t="s">
        <v>30</v>
      </c>
      <c r="G3182">
        <v>2</v>
      </c>
      <c r="H3182">
        <v>5128</v>
      </c>
      <c r="I3182">
        <v>4246</v>
      </c>
      <c r="J3182" t="s">
        <v>31</v>
      </c>
      <c r="K3182" t="str">
        <f>_xlfn.XLOOKUP(datos_ventas[[#This Row],[Ciudad]],Tabla2[Ciudades],Tabla2[Provincias],"no se encuentra")</f>
        <v>Vizcaya</v>
      </c>
      <c r="L3182" t="str">
        <f>_xlfn.XLOOKUP(datos_ventas[[#This Row],[Provincia]],Tabla2[Provincias],Tabla2[Comunidades],"no se encuentra")</f>
        <v>País Vasco</v>
      </c>
      <c r="M3182" t="s">
        <v>13</v>
      </c>
      <c r="N3182">
        <v>1</v>
      </c>
    </row>
    <row r="3183" spans="1:14" x14ac:dyDescent="0.25">
      <c r="A3183">
        <v>4182</v>
      </c>
      <c r="B3183" s="1">
        <v>45726</v>
      </c>
      <c r="C3183" s="4">
        <f>MONTH(datos_ventas[[#This Row],[Fecha]])</f>
        <v>3</v>
      </c>
      <c r="D3183" s="4">
        <f>WEEKNUM(datos_ventas[[#This Row],[Fecha]],2)</f>
        <v>11</v>
      </c>
      <c r="E3183" t="s">
        <v>24</v>
      </c>
      <c r="F3183" t="s">
        <v>25</v>
      </c>
      <c r="G3183">
        <v>3</v>
      </c>
      <c r="H3183">
        <v>56261</v>
      </c>
      <c r="I3183">
        <v>4418</v>
      </c>
      <c r="J3183" t="s">
        <v>12</v>
      </c>
      <c r="K3183" t="str">
        <f>_xlfn.XLOOKUP(datos_ventas[[#This Row],[Ciudad]],Tabla2[Ciudades],Tabla2[Provincias],"no se encuentra")</f>
        <v>Málaga</v>
      </c>
      <c r="L3183" t="str">
        <f>_xlfn.XLOOKUP(datos_ventas[[#This Row],[Provincia]],Tabla2[Provincias],Tabla2[Comunidades],"no se encuentra")</f>
        <v>Andalucía</v>
      </c>
      <c r="M3183" t="s">
        <v>15</v>
      </c>
      <c r="N3183">
        <v>5</v>
      </c>
    </row>
    <row r="3184" spans="1:14" x14ac:dyDescent="0.25">
      <c r="A3184">
        <v>4183</v>
      </c>
      <c r="B3184" s="1">
        <v>46016</v>
      </c>
      <c r="C3184" s="4">
        <f>MONTH(datos_ventas[[#This Row],[Fecha]])</f>
        <v>12</v>
      </c>
      <c r="D3184" s="4">
        <f>WEEKNUM(datos_ventas[[#This Row],[Fecha]],2)</f>
        <v>52</v>
      </c>
      <c r="E3184" t="s">
        <v>24</v>
      </c>
      <c r="F3184" t="s">
        <v>25</v>
      </c>
      <c r="G3184">
        <v>3</v>
      </c>
      <c r="H3184">
        <v>17232</v>
      </c>
      <c r="I3184">
        <v>2661</v>
      </c>
      <c r="J3184" t="s">
        <v>14</v>
      </c>
      <c r="K3184" t="str">
        <f>_xlfn.XLOOKUP(datos_ventas[[#This Row],[Ciudad]],Tabla2[Ciudades],Tabla2[Provincias],"no se encuentra")</f>
        <v>Madrid</v>
      </c>
      <c r="L3184" t="str">
        <f>_xlfn.XLOOKUP(datos_ventas[[#This Row],[Provincia]],Tabla2[Provincias],Tabla2[Comunidades],"no se encuentra")</f>
        <v>Comunidad de Madrid</v>
      </c>
      <c r="M3184" t="s">
        <v>28</v>
      </c>
      <c r="N3184">
        <v>3</v>
      </c>
    </row>
    <row r="3185" spans="1:14" x14ac:dyDescent="0.25">
      <c r="A3185">
        <v>4184</v>
      </c>
      <c r="B3185" s="1">
        <v>45831</v>
      </c>
      <c r="C3185" s="4">
        <f>MONTH(datos_ventas[[#This Row],[Fecha]])</f>
        <v>6</v>
      </c>
      <c r="D3185" s="4">
        <f>WEEKNUM(datos_ventas[[#This Row],[Fecha]],2)</f>
        <v>26</v>
      </c>
      <c r="E3185" t="s">
        <v>16</v>
      </c>
      <c r="F3185" t="s">
        <v>11</v>
      </c>
      <c r="G3185">
        <v>2</v>
      </c>
      <c r="H3185">
        <v>78958</v>
      </c>
      <c r="I3185">
        <v>3819</v>
      </c>
      <c r="J3185" t="s">
        <v>14</v>
      </c>
      <c r="K3185" t="str">
        <f>_xlfn.XLOOKUP(datos_ventas[[#This Row],[Ciudad]],Tabla2[Ciudades],Tabla2[Provincias],"no se encuentra")</f>
        <v>Madrid</v>
      </c>
      <c r="L3185" t="str">
        <f>_xlfn.XLOOKUP(datos_ventas[[#This Row],[Provincia]],Tabla2[Provincias],Tabla2[Comunidades],"no se encuentra")</f>
        <v>Comunidad de Madrid</v>
      </c>
      <c r="M3185" t="s">
        <v>13</v>
      </c>
      <c r="N3185">
        <v>4</v>
      </c>
    </row>
    <row r="3186" spans="1:14" x14ac:dyDescent="0.25">
      <c r="A3186">
        <v>4185</v>
      </c>
      <c r="B3186" s="1">
        <v>45863</v>
      </c>
      <c r="C3186" s="4">
        <f>MONTH(datos_ventas[[#This Row],[Fecha]])</f>
        <v>7</v>
      </c>
      <c r="D3186" s="4">
        <f>WEEKNUM(datos_ventas[[#This Row],[Fecha]],2)</f>
        <v>30</v>
      </c>
      <c r="E3186" t="s">
        <v>16</v>
      </c>
      <c r="F3186" t="s">
        <v>11</v>
      </c>
      <c r="G3186">
        <v>3</v>
      </c>
      <c r="H3186">
        <v>99634</v>
      </c>
      <c r="I3186">
        <v>3346</v>
      </c>
      <c r="J3186" t="s">
        <v>14</v>
      </c>
      <c r="K3186" t="str">
        <f>_xlfn.XLOOKUP(datos_ventas[[#This Row],[Ciudad]],Tabla2[Ciudades],Tabla2[Provincias],"no se encuentra")</f>
        <v>Madrid</v>
      </c>
      <c r="L3186" t="str">
        <f>_xlfn.XLOOKUP(datos_ventas[[#This Row],[Provincia]],Tabla2[Provincias],Tabla2[Comunidades],"no se encuentra")</f>
        <v>Comunidad de Madrid</v>
      </c>
      <c r="M3186" t="s">
        <v>13</v>
      </c>
      <c r="N3186">
        <v>1</v>
      </c>
    </row>
    <row r="3187" spans="1:14" x14ac:dyDescent="0.25">
      <c r="A3187">
        <v>4186</v>
      </c>
      <c r="B3187" s="1">
        <v>45732</v>
      </c>
      <c r="C3187" s="4">
        <f>MONTH(datos_ventas[[#This Row],[Fecha]])</f>
        <v>3</v>
      </c>
      <c r="D3187" s="4">
        <f>WEEKNUM(datos_ventas[[#This Row],[Fecha]],2)</f>
        <v>11</v>
      </c>
      <c r="E3187" t="s">
        <v>20</v>
      </c>
      <c r="F3187" t="s">
        <v>21</v>
      </c>
      <c r="G3187">
        <v>3</v>
      </c>
      <c r="H3187">
        <v>46623</v>
      </c>
      <c r="I3187">
        <v>4915</v>
      </c>
      <c r="J3187" t="s">
        <v>12</v>
      </c>
      <c r="K3187" t="str">
        <f>_xlfn.XLOOKUP(datos_ventas[[#This Row],[Ciudad]],Tabla2[Ciudades],Tabla2[Provincias],"no se encuentra")</f>
        <v>Málaga</v>
      </c>
      <c r="L3187" t="str">
        <f>_xlfn.XLOOKUP(datos_ventas[[#This Row],[Provincia]],Tabla2[Provincias],Tabla2[Comunidades],"no se encuentra")</f>
        <v>Andalucía</v>
      </c>
      <c r="M3187" t="s">
        <v>28</v>
      </c>
      <c r="N3187">
        <v>4</v>
      </c>
    </row>
    <row r="3188" spans="1:14" x14ac:dyDescent="0.25">
      <c r="A3188">
        <v>4187</v>
      </c>
      <c r="B3188" s="1">
        <v>45879</v>
      </c>
      <c r="C3188" s="4">
        <f>MONTH(datos_ventas[[#This Row],[Fecha]])</f>
        <v>8</v>
      </c>
      <c r="D3188" s="4">
        <f>WEEKNUM(datos_ventas[[#This Row],[Fecha]],2)</f>
        <v>32</v>
      </c>
      <c r="E3188" t="s">
        <v>16</v>
      </c>
      <c r="F3188" t="s">
        <v>11</v>
      </c>
      <c r="G3188">
        <v>2</v>
      </c>
      <c r="H3188">
        <v>43472</v>
      </c>
      <c r="I3188">
        <v>4219</v>
      </c>
      <c r="J3188" t="s">
        <v>22</v>
      </c>
      <c r="K3188" t="str">
        <f>_xlfn.XLOOKUP(datos_ventas[[#This Row],[Ciudad]],Tabla2[Ciudades],Tabla2[Provincias],"no se encuentra")</f>
        <v>Valencia</v>
      </c>
      <c r="L3188" t="str">
        <f>_xlfn.XLOOKUP(datos_ventas[[#This Row],[Provincia]],Tabla2[Provincias],Tabla2[Comunidades],"no se encuentra")</f>
        <v>Comunidad Valenciana</v>
      </c>
      <c r="M3188" t="s">
        <v>19</v>
      </c>
      <c r="N3188">
        <v>2</v>
      </c>
    </row>
    <row r="3189" spans="1:14" x14ac:dyDescent="0.25">
      <c r="A3189">
        <v>4188</v>
      </c>
      <c r="B3189" s="1">
        <v>45729</v>
      </c>
      <c r="C3189" s="4">
        <f>MONTH(datos_ventas[[#This Row],[Fecha]])</f>
        <v>3</v>
      </c>
      <c r="D3189" s="4">
        <f>WEEKNUM(datos_ventas[[#This Row],[Fecha]],2)</f>
        <v>11</v>
      </c>
      <c r="E3189" t="s">
        <v>17</v>
      </c>
      <c r="F3189" t="s">
        <v>18</v>
      </c>
      <c r="G3189">
        <v>4</v>
      </c>
      <c r="H3189">
        <v>4144</v>
      </c>
      <c r="I3189">
        <v>2722</v>
      </c>
      <c r="J3189" t="s">
        <v>22</v>
      </c>
      <c r="K3189" t="str">
        <f>_xlfn.XLOOKUP(datos_ventas[[#This Row],[Ciudad]],Tabla2[Ciudades],Tabla2[Provincias],"no se encuentra")</f>
        <v>Valencia</v>
      </c>
      <c r="L3189" t="str">
        <f>_xlfn.XLOOKUP(datos_ventas[[#This Row],[Provincia]],Tabla2[Provincias],Tabla2[Comunidades],"no se encuentra")</f>
        <v>Comunidad Valenciana</v>
      </c>
      <c r="M3189" t="s">
        <v>15</v>
      </c>
      <c r="N3189">
        <v>5</v>
      </c>
    </row>
    <row r="3190" spans="1:14" x14ac:dyDescent="0.25">
      <c r="A3190">
        <v>4189</v>
      </c>
      <c r="B3190" s="1">
        <v>45749</v>
      </c>
      <c r="C3190" s="4">
        <f>MONTH(datos_ventas[[#This Row],[Fecha]])</f>
        <v>4</v>
      </c>
      <c r="D3190" s="4">
        <f>WEEKNUM(datos_ventas[[#This Row],[Fecha]],2)</f>
        <v>14</v>
      </c>
      <c r="E3190" t="s">
        <v>16</v>
      </c>
      <c r="F3190" t="s">
        <v>11</v>
      </c>
      <c r="G3190">
        <v>1</v>
      </c>
      <c r="H3190">
        <v>60341</v>
      </c>
      <c r="I3190">
        <v>3433</v>
      </c>
      <c r="J3190" t="s">
        <v>22</v>
      </c>
      <c r="K3190" t="str">
        <f>_xlfn.XLOOKUP(datos_ventas[[#This Row],[Ciudad]],Tabla2[Ciudades],Tabla2[Provincias],"no se encuentra")</f>
        <v>Valencia</v>
      </c>
      <c r="L3190" t="str">
        <f>_xlfn.XLOOKUP(datos_ventas[[#This Row],[Provincia]],Tabla2[Provincias],Tabla2[Comunidades],"no se encuentra")</f>
        <v>Comunidad Valenciana</v>
      </c>
      <c r="M3190" t="s">
        <v>13</v>
      </c>
      <c r="N3190">
        <v>5</v>
      </c>
    </row>
    <row r="3191" spans="1:14" x14ac:dyDescent="0.25">
      <c r="A3191">
        <v>4190</v>
      </c>
      <c r="B3191" s="1">
        <v>45658</v>
      </c>
      <c r="C3191" s="4">
        <f>MONTH(datos_ventas[[#This Row],[Fecha]])</f>
        <v>1</v>
      </c>
      <c r="D3191" s="4">
        <f>WEEKNUM(datos_ventas[[#This Row],[Fecha]],2)</f>
        <v>1</v>
      </c>
      <c r="E3191" t="s">
        <v>26</v>
      </c>
      <c r="F3191" t="s">
        <v>18</v>
      </c>
      <c r="G3191">
        <v>2</v>
      </c>
      <c r="H3191">
        <v>119482</v>
      </c>
      <c r="I3191">
        <v>3877</v>
      </c>
      <c r="J3191" t="s">
        <v>14</v>
      </c>
      <c r="K3191" t="str">
        <f>_xlfn.XLOOKUP(datos_ventas[[#This Row],[Ciudad]],Tabla2[Ciudades],Tabla2[Provincias],"no se encuentra")</f>
        <v>Madrid</v>
      </c>
      <c r="L3191" t="str">
        <f>_xlfn.XLOOKUP(datos_ventas[[#This Row],[Provincia]],Tabla2[Provincias],Tabla2[Comunidades],"no se encuentra")</f>
        <v>Comunidad de Madrid</v>
      </c>
      <c r="M3191" t="s">
        <v>15</v>
      </c>
      <c r="N3191">
        <v>5</v>
      </c>
    </row>
    <row r="3192" spans="1:14" x14ac:dyDescent="0.25">
      <c r="A3192">
        <v>4191</v>
      </c>
      <c r="B3192" s="1">
        <v>45779</v>
      </c>
      <c r="C3192" s="4">
        <f>MONTH(datos_ventas[[#This Row],[Fecha]])</f>
        <v>5</v>
      </c>
      <c r="D3192" s="4">
        <f>WEEKNUM(datos_ventas[[#This Row],[Fecha]],2)</f>
        <v>18</v>
      </c>
      <c r="E3192" t="s">
        <v>24</v>
      </c>
      <c r="F3192" t="s">
        <v>25</v>
      </c>
      <c r="G3192">
        <v>1</v>
      </c>
      <c r="H3192">
        <v>108031</v>
      </c>
      <c r="I3192">
        <v>295</v>
      </c>
      <c r="J3192" t="s">
        <v>32</v>
      </c>
      <c r="K3192" t="str">
        <f>_xlfn.XLOOKUP(datos_ventas[[#This Row],[Ciudad]],Tabla2[Ciudades],Tabla2[Provincias],"no se encuentra")</f>
        <v>Barcelona</v>
      </c>
      <c r="L3192" t="str">
        <f>_xlfn.XLOOKUP(datos_ventas[[#This Row],[Provincia]],Tabla2[Provincias],Tabla2[Comunidades],"no se encuentra")</f>
        <v>Cataluña</v>
      </c>
      <c r="M3192" t="s">
        <v>15</v>
      </c>
      <c r="N3192">
        <v>1</v>
      </c>
    </row>
    <row r="3193" spans="1:14" x14ac:dyDescent="0.25">
      <c r="A3193">
        <v>4192</v>
      </c>
      <c r="B3193" s="1">
        <v>45672</v>
      </c>
      <c r="C3193" s="4">
        <f>MONTH(datos_ventas[[#This Row],[Fecha]])</f>
        <v>1</v>
      </c>
      <c r="D3193" s="4">
        <f>WEEKNUM(datos_ventas[[#This Row],[Fecha]],2)</f>
        <v>3</v>
      </c>
      <c r="E3193" t="s">
        <v>24</v>
      </c>
      <c r="F3193" t="s">
        <v>25</v>
      </c>
      <c r="G3193">
        <v>3</v>
      </c>
      <c r="H3193">
        <v>69135</v>
      </c>
      <c r="I3193">
        <v>4188</v>
      </c>
      <c r="J3193" t="s">
        <v>27</v>
      </c>
      <c r="K3193" t="str">
        <f>_xlfn.XLOOKUP(datos_ventas[[#This Row],[Ciudad]],Tabla2[Ciudades],Tabla2[Provincias],"no se encuentra")</f>
        <v>Sevilla</v>
      </c>
      <c r="L3193" t="str">
        <f>_xlfn.XLOOKUP(datos_ventas[[#This Row],[Provincia]],Tabla2[Provincias],Tabla2[Comunidades],"no se encuentra")</f>
        <v>Andalucía</v>
      </c>
      <c r="M3193" t="s">
        <v>28</v>
      </c>
      <c r="N3193">
        <v>2</v>
      </c>
    </row>
    <row r="3194" spans="1:14" x14ac:dyDescent="0.25">
      <c r="A3194">
        <v>4193</v>
      </c>
      <c r="B3194" s="1">
        <v>45666</v>
      </c>
      <c r="C3194" s="4">
        <f>MONTH(datos_ventas[[#This Row],[Fecha]])</f>
        <v>1</v>
      </c>
      <c r="D3194" s="4">
        <f>WEEKNUM(datos_ventas[[#This Row],[Fecha]],2)</f>
        <v>2</v>
      </c>
      <c r="E3194" t="s">
        <v>16</v>
      </c>
      <c r="F3194" t="s">
        <v>11</v>
      </c>
      <c r="G3194">
        <v>5</v>
      </c>
      <c r="H3194">
        <v>106052</v>
      </c>
      <c r="I3194">
        <v>1231</v>
      </c>
      <c r="J3194" t="s">
        <v>31</v>
      </c>
      <c r="K3194" t="str">
        <f>_xlfn.XLOOKUP(datos_ventas[[#This Row],[Ciudad]],Tabla2[Ciudades],Tabla2[Provincias],"no se encuentra")</f>
        <v>Vizcaya</v>
      </c>
      <c r="L3194" t="str">
        <f>_xlfn.XLOOKUP(datos_ventas[[#This Row],[Provincia]],Tabla2[Provincias],Tabla2[Comunidades],"no se encuentra")</f>
        <v>País Vasco</v>
      </c>
      <c r="M3194" t="s">
        <v>19</v>
      </c>
      <c r="N3194">
        <v>1</v>
      </c>
    </row>
    <row r="3195" spans="1:14" x14ac:dyDescent="0.25">
      <c r="A3195">
        <v>4194</v>
      </c>
      <c r="B3195" s="1">
        <v>45765</v>
      </c>
      <c r="C3195" s="4">
        <f>MONTH(datos_ventas[[#This Row],[Fecha]])</f>
        <v>4</v>
      </c>
      <c r="D3195" s="4">
        <f>WEEKNUM(datos_ventas[[#This Row],[Fecha]],2)</f>
        <v>16</v>
      </c>
      <c r="E3195" t="s">
        <v>26</v>
      </c>
      <c r="F3195" t="s">
        <v>18</v>
      </c>
      <c r="G3195">
        <v>4</v>
      </c>
      <c r="H3195">
        <v>55378</v>
      </c>
      <c r="I3195">
        <v>1756</v>
      </c>
      <c r="J3195" t="s">
        <v>31</v>
      </c>
      <c r="K3195" t="str">
        <f>_xlfn.XLOOKUP(datos_ventas[[#This Row],[Ciudad]],Tabla2[Ciudades],Tabla2[Provincias],"no se encuentra")</f>
        <v>Vizcaya</v>
      </c>
      <c r="L3195" t="str">
        <f>_xlfn.XLOOKUP(datos_ventas[[#This Row],[Provincia]],Tabla2[Provincias],Tabla2[Comunidades],"no se encuentra")</f>
        <v>País Vasco</v>
      </c>
      <c r="M3195" t="s">
        <v>28</v>
      </c>
      <c r="N3195">
        <v>4</v>
      </c>
    </row>
    <row r="3196" spans="1:14" x14ac:dyDescent="0.25">
      <c r="A3196">
        <v>4195</v>
      </c>
      <c r="B3196" s="1">
        <v>45969</v>
      </c>
      <c r="C3196" s="4">
        <f>MONTH(datos_ventas[[#This Row],[Fecha]])</f>
        <v>11</v>
      </c>
      <c r="D3196" s="4">
        <f>WEEKNUM(datos_ventas[[#This Row],[Fecha]],2)</f>
        <v>45</v>
      </c>
      <c r="E3196" t="s">
        <v>10</v>
      </c>
      <c r="F3196" t="s">
        <v>11</v>
      </c>
      <c r="G3196">
        <v>3</v>
      </c>
      <c r="H3196">
        <v>70736</v>
      </c>
      <c r="I3196">
        <v>731</v>
      </c>
      <c r="J3196" t="s">
        <v>31</v>
      </c>
      <c r="K3196" t="str">
        <f>_xlfn.XLOOKUP(datos_ventas[[#This Row],[Ciudad]],Tabla2[Ciudades],Tabla2[Provincias],"no se encuentra")</f>
        <v>Vizcaya</v>
      </c>
      <c r="L3196" t="str">
        <f>_xlfn.XLOOKUP(datos_ventas[[#This Row],[Provincia]],Tabla2[Provincias],Tabla2[Comunidades],"no se encuentra")</f>
        <v>País Vasco</v>
      </c>
      <c r="M3196" t="s">
        <v>15</v>
      </c>
      <c r="N3196">
        <v>5</v>
      </c>
    </row>
    <row r="3197" spans="1:14" x14ac:dyDescent="0.25">
      <c r="A3197">
        <v>4196</v>
      </c>
      <c r="B3197" s="1">
        <v>45847</v>
      </c>
      <c r="C3197" s="4">
        <f>MONTH(datos_ventas[[#This Row],[Fecha]])</f>
        <v>7</v>
      </c>
      <c r="D3197" s="4">
        <f>WEEKNUM(datos_ventas[[#This Row],[Fecha]],2)</f>
        <v>28</v>
      </c>
      <c r="E3197" t="s">
        <v>26</v>
      </c>
      <c r="F3197" t="s">
        <v>18</v>
      </c>
      <c r="G3197">
        <v>5</v>
      </c>
      <c r="H3197">
        <v>45183</v>
      </c>
      <c r="I3197">
        <v>832</v>
      </c>
      <c r="J3197" t="s">
        <v>27</v>
      </c>
      <c r="K3197" t="str">
        <f>_xlfn.XLOOKUP(datos_ventas[[#This Row],[Ciudad]],Tabla2[Ciudades],Tabla2[Provincias],"no se encuentra")</f>
        <v>Sevilla</v>
      </c>
      <c r="L3197" t="str">
        <f>_xlfn.XLOOKUP(datos_ventas[[#This Row],[Provincia]],Tabla2[Provincias],Tabla2[Comunidades],"no se encuentra")</f>
        <v>Andalucía</v>
      </c>
      <c r="M3197" t="s">
        <v>19</v>
      </c>
      <c r="N3197">
        <v>4</v>
      </c>
    </row>
    <row r="3198" spans="1:14" x14ac:dyDescent="0.25">
      <c r="A3198">
        <v>4197</v>
      </c>
      <c r="B3198" s="1">
        <v>45747</v>
      </c>
      <c r="C3198" s="4">
        <f>MONTH(datos_ventas[[#This Row],[Fecha]])</f>
        <v>3</v>
      </c>
      <c r="D3198" s="4">
        <f>WEEKNUM(datos_ventas[[#This Row],[Fecha]],2)</f>
        <v>14</v>
      </c>
      <c r="E3198" t="s">
        <v>17</v>
      </c>
      <c r="F3198" t="s">
        <v>18</v>
      </c>
      <c r="G3198">
        <v>4</v>
      </c>
      <c r="H3198">
        <v>8623</v>
      </c>
      <c r="I3198">
        <v>2435</v>
      </c>
      <c r="J3198" t="s">
        <v>22</v>
      </c>
      <c r="K3198" t="str">
        <f>_xlfn.XLOOKUP(datos_ventas[[#This Row],[Ciudad]],Tabla2[Ciudades],Tabla2[Provincias],"no se encuentra")</f>
        <v>Valencia</v>
      </c>
      <c r="L3198" t="str">
        <f>_xlfn.XLOOKUP(datos_ventas[[#This Row],[Provincia]],Tabla2[Provincias],Tabla2[Comunidades],"no se encuentra")</f>
        <v>Comunidad Valenciana</v>
      </c>
      <c r="M3198" t="s">
        <v>19</v>
      </c>
      <c r="N3198">
        <v>4</v>
      </c>
    </row>
    <row r="3199" spans="1:14" x14ac:dyDescent="0.25">
      <c r="A3199">
        <v>4198</v>
      </c>
      <c r="B3199" s="1">
        <v>45841</v>
      </c>
      <c r="C3199" s="4">
        <f>MONTH(datos_ventas[[#This Row],[Fecha]])</f>
        <v>7</v>
      </c>
      <c r="D3199" s="4">
        <f>WEEKNUM(datos_ventas[[#This Row],[Fecha]],2)</f>
        <v>27</v>
      </c>
      <c r="E3199" t="s">
        <v>16</v>
      </c>
      <c r="F3199" t="s">
        <v>11</v>
      </c>
      <c r="G3199">
        <v>3</v>
      </c>
      <c r="H3199">
        <v>29269</v>
      </c>
      <c r="I3199">
        <v>247</v>
      </c>
      <c r="J3199" t="s">
        <v>12</v>
      </c>
      <c r="K3199" t="str">
        <f>_xlfn.XLOOKUP(datos_ventas[[#This Row],[Ciudad]],Tabla2[Ciudades],Tabla2[Provincias],"no se encuentra")</f>
        <v>Málaga</v>
      </c>
      <c r="L3199" t="str">
        <f>_xlfn.XLOOKUP(datos_ventas[[#This Row],[Provincia]],Tabla2[Provincias],Tabla2[Comunidades],"no se encuentra")</f>
        <v>Andalucía</v>
      </c>
      <c r="M3199" t="s">
        <v>19</v>
      </c>
      <c r="N3199">
        <v>1</v>
      </c>
    </row>
    <row r="3200" spans="1:14" x14ac:dyDescent="0.25">
      <c r="A3200">
        <v>4199</v>
      </c>
      <c r="B3200" s="1">
        <v>45993</v>
      </c>
      <c r="C3200" s="4">
        <f>MONTH(datos_ventas[[#This Row],[Fecha]])</f>
        <v>12</v>
      </c>
      <c r="D3200" s="4">
        <f>WEEKNUM(datos_ventas[[#This Row],[Fecha]],2)</f>
        <v>49</v>
      </c>
      <c r="E3200" t="s">
        <v>10</v>
      </c>
      <c r="F3200" t="s">
        <v>11</v>
      </c>
      <c r="G3200">
        <v>1</v>
      </c>
      <c r="H3200">
        <v>117728</v>
      </c>
      <c r="I3200">
        <v>998</v>
      </c>
      <c r="J3200" t="s">
        <v>32</v>
      </c>
      <c r="K3200" t="str">
        <f>_xlfn.XLOOKUP(datos_ventas[[#This Row],[Ciudad]],Tabla2[Ciudades],Tabla2[Provincias],"no se encuentra")</f>
        <v>Barcelona</v>
      </c>
      <c r="L3200" t="str">
        <f>_xlfn.XLOOKUP(datos_ventas[[#This Row],[Provincia]],Tabla2[Provincias],Tabla2[Comunidades],"no se encuentra")</f>
        <v>Cataluña</v>
      </c>
      <c r="M3200" t="s">
        <v>19</v>
      </c>
      <c r="N3200">
        <v>5</v>
      </c>
    </row>
    <row r="3201" spans="1:14" x14ac:dyDescent="0.25">
      <c r="A3201">
        <v>4200</v>
      </c>
      <c r="B3201" s="1">
        <v>45853</v>
      </c>
      <c r="C3201" s="4">
        <f>MONTH(datos_ventas[[#This Row],[Fecha]])</f>
        <v>7</v>
      </c>
      <c r="D3201" s="4">
        <f>WEEKNUM(datos_ventas[[#This Row],[Fecha]],2)</f>
        <v>29</v>
      </c>
      <c r="E3201" t="s">
        <v>17</v>
      </c>
      <c r="F3201" t="s">
        <v>18</v>
      </c>
      <c r="G3201">
        <v>2</v>
      </c>
      <c r="H3201">
        <v>33046</v>
      </c>
      <c r="I3201">
        <v>4623</v>
      </c>
      <c r="J3201" t="s">
        <v>32</v>
      </c>
      <c r="K3201" t="str">
        <f>_xlfn.XLOOKUP(datos_ventas[[#This Row],[Ciudad]],Tabla2[Ciudades],Tabla2[Provincias],"no se encuentra")</f>
        <v>Barcelona</v>
      </c>
      <c r="L3201" t="str">
        <f>_xlfn.XLOOKUP(datos_ventas[[#This Row],[Provincia]],Tabla2[Provincias],Tabla2[Comunidades],"no se encuentra")</f>
        <v>Cataluña</v>
      </c>
      <c r="M3201" t="s">
        <v>28</v>
      </c>
      <c r="N3201">
        <v>2</v>
      </c>
    </row>
    <row r="3202" spans="1:14" x14ac:dyDescent="0.25">
      <c r="A3202">
        <v>4201</v>
      </c>
      <c r="B3202" s="1">
        <v>45750</v>
      </c>
      <c r="C3202" s="4">
        <f>MONTH(datos_ventas[[#This Row],[Fecha]])</f>
        <v>4</v>
      </c>
      <c r="D3202" s="4">
        <f>WEEKNUM(datos_ventas[[#This Row],[Fecha]],2)</f>
        <v>14</v>
      </c>
      <c r="E3202" t="s">
        <v>26</v>
      </c>
      <c r="F3202" t="s">
        <v>18</v>
      </c>
      <c r="G3202">
        <v>2</v>
      </c>
      <c r="H3202">
        <v>23406</v>
      </c>
      <c r="I3202">
        <v>4671</v>
      </c>
      <c r="J3202" t="s">
        <v>32</v>
      </c>
      <c r="K3202" t="str">
        <f>_xlfn.XLOOKUP(datos_ventas[[#This Row],[Ciudad]],Tabla2[Ciudades],Tabla2[Provincias],"no se encuentra")</f>
        <v>Barcelona</v>
      </c>
      <c r="L3202" t="str">
        <f>_xlfn.XLOOKUP(datos_ventas[[#This Row],[Provincia]],Tabla2[Provincias],Tabla2[Comunidades],"no se encuentra")</f>
        <v>Cataluña</v>
      </c>
      <c r="M3202" t="s">
        <v>19</v>
      </c>
      <c r="N3202">
        <v>3</v>
      </c>
    </row>
    <row r="3203" spans="1:14" x14ac:dyDescent="0.25">
      <c r="A3203">
        <v>4202</v>
      </c>
      <c r="B3203" s="1">
        <v>45670</v>
      </c>
      <c r="C3203" s="4">
        <f>MONTH(datos_ventas[[#This Row],[Fecha]])</f>
        <v>1</v>
      </c>
      <c r="D3203" s="4">
        <f>WEEKNUM(datos_ventas[[#This Row],[Fecha]],2)</f>
        <v>3</v>
      </c>
      <c r="E3203" t="s">
        <v>23</v>
      </c>
      <c r="F3203" t="s">
        <v>18</v>
      </c>
      <c r="G3203">
        <v>3</v>
      </c>
      <c r="H3203">
        <v>46904</v>
      </c>
      <c r="I3203">
        <v>722</v>
      </c>
      <c r="J3203" t="s">
        <v>32</v>
      </c>
      <c r="K3203" t="str">
        <f>_xlfn.XLOOKUP(datos_ventas[[#This Row],[Ciudad]],Tabla2[Ciudades],Tabla2[Provincias],"no se encuentra")</f>
        <v>Barcelona</v>
      </c>
      <c r="L3203" t="str">
        <f>_xlfn.XLOOKUP(datos_ventas[[#This Row],[Provincia]],Tabla2[Provincias],Tabla2[Comunidades],"no se encuentra")</f>
        <v>Cataluña</v>
      </c>
      <c r="M3203" t="s">
        <v>19</v>
      </c>
      <c r="N3203">
        <v>5</v>
      </c>
    </row>
    <row r="3204" spans="1:14" x14ac:dyDescent="0.25">
      <c r="A3204">
        <v>4203</v>
      </c>
      <c r="B3204" s="1">
        <v>45979</v>
      </c>
      <c r="C3204" s="4">
        <f>MONTH(datos_ventas[[#This Row],[Fecha]])</f>
        <v>11</v>
      </c>
      <c r="D3204" s="4">
        <f>WEEKNUM(datos_ventas[[#This Row],[Fecha]],2)</f>
        <v>47</v>
      </c>
      <c r="E3204" t="s">
        <v>16</v>
      </c>
      <c r="F3204" t="s">
        <v>11</v>
      </c>
      <c r="G3204">
        <v>5</v>
      </c>
      <c r="H3204">
        <v>11883</v>
      </c>
      <c r="I3204">
        <v>3476</v>
      </c>
      <c r="J3204" t="s">
        <v>22</v>
      </c>
      <c r="K3204" t="str">
        <f>_xlfn.XLOOKUP(datos_ventas[[#This Row],[Ciudad]],Tabla2[Ciudades],Tabla2[Provincias],"no se encuentra")</f>
        <v>Valencia</v>
      </c>
      <c r="L3204" t="str">
        <f>_xlfn.XLOOKUP(datos_ventas[[#This Row],[Provincia]],Tabla2[Provincias],Tabla2[Comunidades],"no se encuentra")</f>
        <v>Comunidad Valenciana</v>
      </c>
      <c r="M3204" t="s">
        <v>19</v>
      </c>
      <c r="N3204">
        <v>4</v>
      </c>
    </row>
    <row r="3205" spans="1:14" x14ac:dyDescent="0.25">
      <c r="A3205">
        <v>4204</v>
      </c>
      <c r="B3205" s="1">
        <v>45986</v>
      </c>
      <c r="C3205" s="4">
        <f>MONTH(datos_ventas[[#This Row],[Fecha]])</f>
        <v>11</v>
      </c>
      <c r="D3205" s="4">
        <f>WEEKNUM(datos_ventas[[#This Row],[Fecha]],2)</f>
        <v>48</v>
      </c>
      <c r="E3205" t="s">
        <v>10</v>
      </c>
      <c r="F3205" t="s">
        <v>11</v>
      </c>
      <c r="G3205">
        <v>3</v>
      </c>
      <c r="H3205">
        <v>96798</v>
      </c>
      <c r="I3205">
        <v>3117</v>
      </c>
      <c r="J3205" t="s">
        <v>22</v>
      </c>
      <c r="K3205" t="str">
        <f>_xlfn.XLOOKUP(datos_ventas[[#This Row],[Ciudad]],Tabla2[Ciudades],Tabla2[Provincias],"no se encuentra")</f>
        <v>Valencia</v>
      </c>
      <c r="L3205" t="str">
        <f>_xlfn.XLOOKUP(datos_ventas[[#This Row],[Provincia]],Tabla2[Provincias],Tabla2[Comunidades],"no se encuentra")</f>
        <v>Comunidad Valenciana</v>
      </c>
      <c r="M3205" t="s">
        <v>15</v>
      </c>
      <c r="N3205">
        <v>5</v>
      </c>
    </row>
    <row r="3206" spans="1:14" x14ac:dyDescent="0.25">
      <c r="A3206">
        <v>4205</v>
      </c>
      <c r="B3206" s="1">
        <v>45968</v>
      </c>
      <c r="C3206" s="4">
        <f>MONTH(datos_ventas[[#This Row],[Fecha]])</f>
        <v>11</v>
      </c>
      <c r="D3206" s="4">
        <f>WEEKNUM(datos_ventas[[#This Row],[Fecha]],2)</f>
        <v>45</v>
      </c>
      <c r="E3206" t="s">
        <v>23</v>
      </c>
      <c r="F3206" t="s">
        <v>18</v>
      </c>
      <c r="G3206">
        <v>4</v>
      </c>
      <c r="H3206">
        <v>88355</v>
      </c>
      <c r="I3206">
        <v>2066</v>
      </c>
      <c r="J3206" t="s">
        <v>32</v>
      </c>
      <c r="K3206" t="str">
        <f>_xlfn.XLOOKUP(datos_ventas[[#This Row],[Ciudad]],Tabla2[Ciudades],Tabla2[Provincias],"no se encuentra")</f>
        <v>Barcelona</v>
      </c>
      <c r="L3206" t="str">
        <f>_xlfn.XLOOKUP(datos_ventas[[#This Row],[Provincia]],Tabla2[Provincias],Tabla2[Comunidades],"no se encuentra")</f>
        <v>Cataluña</v>
      </c>
      <c r="M3206" t="s">
        <v>19</v>
      </c>
      <c r="N3206">
        <v>5</v>
      </c>
    </row>
    <row r="3207" spans="1:14" x14ac:dyDescent="0.25">
      <c r="A3207">
        <v>4206</v>
      </c>
      <c r="B3207" s="1">
        <v>45680</v>
      </c>
      <c r="C3207" s="4">
        <f>MONTH(datos_ventas[[#This Row],[Fecha]])</f>
        <v>1</v>
      </c>
      <c r="D3207" s="4">
        <f>WEEKNUM(datos_ventas[[#This Row],[Fecha]],2)</f>
        <v>4</v>
      </c>
      <c r="E3207" t="s">
        <v>17</v>
      </c>
      <c r="F3207" t="s">
        <v>18</v>
      </c>
      <c r="G3207">
        <v>3</v>
      </c>
      <c r="H3207">
        <v>105196</v>
      </c>
      <c r="I3207">
        <v>1553</v>
      </c>
      <c r="J3207" t="s">
        <v>12</v>
      </c>
      <c r="K3207" t="str">
        <f>_xlfn.XLOOKUP(datos_ventas[[#This Row],[Ciudad]],Tabla2[Ciudades],Tabla2[Provincias],"no se encuentra")</f>
        <v>Málaga</v>
      </c>
      <c r="L3207" t="str">
        <f>_xlfn.XLOOKUP(datos_ventas[[#This Row],[Provincia]],Tabla2[Provincias],Tabla2[Comunidades],"no se encuentra")</f>
        <v>Andalucía</v>
      </c>
      <c r="M3207" t="s">
        <v>19</v>
      </c>
      <c r="N3207">
        <v>3</v>
      </c>
    </row>
    <row r="3208" spans="1:14" x14ac:dyDescent="0.25">
      <c r="A3208">
        <v>4207</v>
      </c>
      <c r="B3208" s="1">
        <v>45798</v>
      </c>
      <c r="C3208" s="4">
        <f>MONTH(datos_ventas[[#This Row],[Fecha]])</f>
        <v>5</v>
      </c>
      <c r="D3208" s="4">
        <f>WEEKNUM(datos_ventas[[#This Row],[Fecha]],2)</f>
        <v>21</v>
      </c>
      <c r="E3208" t="s">
        <v>24</v>
      </c>
      <c r="F3208" t="s">
        <v>25</v>
      </c>
      <c r="G3208">
        <v>4</v>
      </c>
      <c r="H3208">
        <v>92295</v>
      </c>
      <c r="I3208">
        <v>3979</v>
      </c>
      <c r="J3208" t="s">
        <v>12</v>
      </c>
      <c r="K3208" t="str">
        <f>_xlfn.XLOOKUP(datos_ventas[[#This Row],[Ciudad]],Tabla2[Ciudades],Tabla2[Provincias],"no se encuentra")</f>
        <v>Málaga</v>
      </c>
      <c r="L3208" t="str">
        <f>_xlfn.XLOOKUP(datos_ventas[[#This Row],[Provincia]],Tabla2[Provincias],Tabla2[Comunidades],"no se encuentra")</f>
        <v>Andalucía</v>
      </c>
      <c r="M3208" t="s">
        <v>15</v>
      </c>
      <c r="N3208">
        <v>3</v>
      </c>
    </row>
    <row r="3209" spans="1:14" x14ac:dyDescent="0.25">
      <c r="A3209">
        <v>4208</v>
      </c>
      <c r="B3209" s="1">
        <v>45782</v>
      </c>
      <c r="C3209" s="4">
        <f>MONTH(datos_ventas[[#This Row],[Fecha]])</f>
        <v>5</v>
      </c>
      <c r="D3209" s="4">
        <f>WEEKNUM(datos_ventas[[#This Row],[Fecha]],2)</f>
        <v>19</v>
      </c>
      <c r="E3209" t="s">
        <v>26</v>
      </c>
      <c r="F3209" t="s">
        <v>18</v>
      </c>
      <c r="G3209">
        <v>5</v>
      </c>
      <c r="H3209">
        <v>8708</v>
      </c>
      <c r="I3209">
        <v>702</v>
      </c>
      <c r="J3209" t="s">
        <v>12</v>
      </c>
      <c r="K3209" t="str">
        <f>_xlfn.XLOOKUP(datos_ventas[[#This Row],[Ciudad]],Tabla2[Ciudades],Tabla2[Provincias],"no se encuentra")</f>
        <v>Málaga</v>
      </c>
      <c r="L3209" t="str">
        <f>_xlfn.XLOOKUP(datos_ventas[[#This Row],[Provincia]],Tabla2[Provincias],Tabla2[Comunidades],"no se encuentra")</f>
        <v>Andalucía</v>
      </c>
      <c r="M3209" t="s">
        <v>15</v>
      </c>
      <c r="N3209">
        <v>2</v>
      </c>
    </row>
    <row r="3210" spans="1:14" x14ac:dyDescent="0.25">
      <c r="A3210">
        <v>4209</v>
      </c>
      <c r="B3210" s="1">
        <v>45818</v>
      </c>
      <c r="C3210" s="4">
        <f>MONTH(datos_ventas[[#This Row],[Fecha]])</f>
        <v>6</v>
      </c>
      <c r="D3210" s="4">
        <f>WEEKNUM(datos_ventas[[#This Row],[Fecha]],2)</f>
        <v>24</v>
      </c>
      <c r="E3210" t="s">
        <v>10</v>
      </c>
      <c r="F3210" t="s">
        <v>11</v>
      </c>
      <c r="G3210">
        <v>1</v>
      </c>
      <c r="H3210">
        <v>111668</v>
      </c>
      <c r="I3210">
        <v>2797</v>
      </c>
      <c r="J3210" t="s">
        <v>32</v>
      </c>
      <c r="K3210" t="str">
        <f>_xlfn.XLOOKUP(datos_ventas[[#This Row],[Ciudad]],Tabla2[Ciudades],Tabla2[Provincias],"no se encuentra")</f>
        <v>Barcelona</v>
      </c>
      <c r="L3210" t="str">
        <f>_xlfn.XLOOKUP(datos_ventas[[#This Row],[Provincia]],Tabla2[Provincias],Tabla2[Comunidades],"no se encuentra")</f>
        <v>Cataluña</v>
      </c>
      <c r="M3210" t="s">
        <v>13</v>
      </c>
      <c r="N3210">
        <v>3</v>
      </c>
    </row>
    <row r="3211" spans="1:14" x14ac:dyDescent="0.25">
      <c r="A3211">
        <v>4210</v>
      </c>
      <c r="B3211" s="1">
        <v>45761</v>
      </c>
      <c r="C3211" s="4">
        <f>MONTH(datos_ventas[[#This Row],[Fecha]])</f>
        <v>4</v>
      </c>
      <c r="D3211" s="4">
        <f>WEEKNUM(datos_ventas[[#This Row],[Fecha]],2)</f>
        <v>16</v>
      </c>
      <c r="E3211" t="s">
        <v>16</v>
      </c>
      <c r="F3211" t="s">
        <v>11</v>
      </c>
      <c r="G3211">
        <v>4</v>
      </c>
      <c r="H3211">
        <v>16155</v>
      </c>
      <c r="I3211">
        <v>2807</v>
      </c>
      <c r="J3211" t="s">
        <v>32</v>
      </c>
      <c r="K3211" t="str">
        <f>_xlfn.XLOOKUP(datos_ventas[[#This Row],[Ciudad]],Tabla2[Ciudades],Tabla2[Provincias],"no se encuentra")</f>
        <v>Barcelona</v>
      </c>
      <c r="L3211" t="str">
        <f>_xlfn.XLOOKUP(datos_ventas[[#This Row],[Provincia]],Tabla2[Provincias],Tabla2[Comunidades],"no se encuentra")</f>
        <v>Cataluña</v>
      </c>
      <c r="M3211" t="s">
        <v>19</v>
      </c>
      <c r="N3211">
        <v>5</v>
      </c>
    </row>
    <row r="3212" spans="1:14" x14ac:dyDescent="0.25">
      <c r="A3212">
        <v>4211</v>
      </c>
      <c r="B3212" s="1">
        <v>45851</v>
      </c>
      <c r="C3212" s="4">
        <f>MONTH(datos_ventas[[#This Row],[Fecha]])</f>
        <v>7</v>
      </c>
      <c r="D3212" s="4">
        <f>WEEKNUM(datos_ventas[[#This Row],[Fecha]],2)</f>
        <v>28</v>
      </c>
      <c r="E3212" t="s">
        <v>10</v>
      </c>
      <c r="F3212" t="s">
        <v>11</v>
      </c>
      <c r="G3212">
        <v>3</v>
      </c>
      <c r="H3212">
        <v>110462</v>
      </c>
      <c r="I3212">
        <v>348</v>
      </c>
      <c r="J3212" t="s">
        <v>31</v>
      </c>
      <c r="K3212" t="str">
        <f>_xlfn.XLOOKUP(datos_ventas[[#This Row],[Ciudad]],Tabla2[Ciudades],Tabla2[Provincias],"no se encuentra")</f>
        <v>Vizcaya</v>
      </c>
      <c r="L3212" t="str">
        <f>_xlfn.XLOOKUP(datos_ventas[[#This Row],[Provincia]],Tabla2[Provincias],Tabla2[Comunidades],"no se encuentra")</f>
        <v>País Vasco</v>
      </c>
      <c r="M3212" t="s">
        <v>15</v>
      </c>
      <c r="N3212">
        <v>4</v>
      </c>
    </row>
    <row r="3213" spans="1:14" x14ac:dyDescent="0.25">
      <c r="A3213">
        <v>4212</v>
      </c>
      <c r="B3213" s="1">
        <v>45883</v>
      </c>
      <c r="C3213" s="4">
        <f>MONTH(datos_ventas[[#This Row],[Fecha]])</f>
        <v>8</v>
      </c>
      <c r="D3213" s="4">
        <f>WEEKNUM(datos_ventas[[#This Row],[Fecha]],2)</f>
        <v>33</v>
      </c>
      <c r="E3213" t="s">
        <v>10</v>
      </c>
      <c r="F3213" t="s">
        <v>11</v>
      </c>
      <c r="G3213">
        <v>3</v>
      </c>
      <c r="H3213">
        <v>33343</v>
      </c>
      <c r="I3213">
        <v>314</v>
      </c>
      <c r="J3213" t="s">
        <v>14</v>
      </c>
      <c r="K3213" t="str">
        <f>_xlfn.XLOOKUP(datos_ventas[[#This Row],[Ciudad]],Tabla2[Ciudades],Tabla2[Provincias],"no se encuentra")</f>
        <v>Madrid</v>
      </c>
      <c r="L3213" t="str">
        <f>_xlfn.XLOOKUP(datos_ventas[[#This Row],[Provincia]],Tabla2[Provincias],Tabla2[Comunidades],"no se encuentra")</f>
        <v>Comunidad de Madrid</v>
      </c>
      <c r="M3213" t="s">
        <v>15</v>
      </c>
      <c r="N3213">
        <v>4</v>
      </c>
    </row>
    <row r="3214" spans="1:14" x14ac:dyDescent="0.25">
      <c r="A3214">
        <v>4213</v>
      </c>
      <c r="B3214" s="1">
        <v>45801</v>
      </c>
      <c r="C3214" s="4">
        <f>MONTH(datos_ventas[[#This Row],[Fecha]])</f>
        <v>5</v>
      </c>
      <c r="D3214" s="4">
        <f>WEEKNUM(datos_ventas[[#This Row],[Fecha]],2)</f>
        <v>21</v>
      </c>
      <c r="E3214" t="s">
        <v>29</v>
      </c>
      <c r="F3214" t="s">
        <v>30</v>
      </c>
      <c r="G3214">
        <v>1</v>
      </c>
      <c r="H3214">
        <v>11482</v>
      </c>
      <c r="I3214">
        <v>1085</v>
      </c>
      <c r="J3214" t="s">
        <v>22</v>
      </c>
      <c r="K3214" t="str">
        <f>_xlfn.XLOOKUP(datos_ventas[[#This Row],[Ciudad]],Tabla2[Ciudades],Tabla2[Provincias],"no se encuentra")</f>
        <v>Valencia</v>
      </c>
      <c r="L3214" t="str">
        <f>_xlfn.XLOOKUP(datos_ventas[[#This Row],[Provincia]],Tabla2[Provincias],Tabla2[Comunidades],"no se encuentra")</f>
        <v>Comunidad Valenciana</v>
      </c>
      <c r="M3214" t="s">
        <v>19</v>
      </c>
      <c r="N3214">
        <v>4</v>
      </c>
    </row>
    <row r="3215" spans="1:14" x14ac:dyDescent="0.25">
      <c r="A3215">
        <v>4214</v>
      </c>
      <c r="B3215" s="1">
        <v>45841</v>
      </c>
      <c r="C3215" s="4">
        <f>MONTH(datos_ventas[[#This Row],[Fecha]])</f>
        <v>7</v>
      </c>
      <c r="D3215" s="4">
        <f>WEEKNUM(datos_ventas[[#This Row],[Fecha]],2)</f>
        <v>27</v>
      </c>
      <c r="E3215" t="s">
        <v>16</v>
      </c>
      <c r="F3215" t="s">
        <v>11</v>
      </c>
      <c r="G3215">
        <v>1</v>
      </c>
      <c r="H3215">
        <v>59466</v>
      </c>
      <c r="I3215">
        <v>2235</v>
      </c>
      <c r="J3215" t="s">
        <v>32</v>
      </c>
      <c r="K3215" t="str">
        <f>_xlfn.XLOOKUP(datos_ventas[[#This Row],[Ciudad]],Tabla2[Ciudades],Tabla2[Provincias],"no se encuentra")</f>
        <v>Barcelona</v>
      </c>
      <c r="L3215" t="str">
        <f>_xlfn.XLOOKUP(datos_ventas[[#This Row],[Provincia]],Tabla2[Provincias],Tabla2[Comunidades],"no se encuentra")</f>
        <v>Cataluña</v>
      </c>
      <c r="M3215" t="s">
        <v>19</v>
      </c>
      <c r="N3215">
        <v>4</v>
      </c>
    </row>
    <row r="3216" spans="1:14" x14ac:dyDescent="0.25">
      <c r="A3216">
        <v>4215</v>
      </c>
      <c r="B3216" s="1">
        <v>45820</v>
      </c>
      <c r="C3216" s="4">
        <f>MONTH(datos_ventas[[#This Row],[Fecha]])</f>
        <v>6</v>
      </c>
      <c r="D3216" s="4">
        <f>WEEKNUM(datos_ventas[[#This Row],[Fecha]],2)</f>
        <v>24</v>
      </c>
      <c r="E3216" t="s">
        <v>29</v>
      </c>
      <c r="F3216" t="s">
        <v>30</v>
      </c>
      <c r="G3216">
        <v>5</v>
      </c>
      <c r="H3216">
        <v>33584</v>
      </c>
      <c r="I3216">
        <v>2801</v>
      </c>
      <c r="J3216" t="s">
        <v>14</v>
      </c>
      <c r="K3216" t="str">
        <f>_xlfn.XLOOKUP(datos_ventas[[#This Row],[Ciudad]],Tabla2[Ciudades],Tabla2[Provincias],"no se encuentra")</f>
        <v>Madrid</v>
      </c>
      <c r="L3216" t="str">
        <f>_xlfn.XLOOKUP(datos_ventas[[#This Row],[Provincia]],Tabla2[Provincias],Tabla2[Comunidades],"no se encuentra")</f>
        <v>Comunidad de Madrid</v>
      </c>
      <c r="M3216" t="s">
        <v>15</v>
      </c>
      <c r="N3216">
        <v>2</v>
      </c>
    </row>
    <row r="3217" spans="1:14" x14ac:dyDescent="0.25">
      <c r="A3217">
        <v>4216</v>
      </c>
      <c r="B3217" s="1">
        <v>45807</v>
      </c>
      <c r="C3217" s="4">
        <f>MONTH(datos_ventas[[#This Row],[Fecha]])</f>
        <v>5</v>
      </c>
      <c r="D3217" s="4">
        <f>WEEKNUM(datos_ventas[[#This Row],[Fecha]],2)</f>
        <v>22</v>
      </c>
      <c r="E3217" t="s">
        <v>23</v>
      </c>
      <c r="F3217" t="s">
        <v>18</v>
      </c>
      <c r="G3217">
        <v>2</v>
      </c>
      <c r="H3217">
        <v>6399</v>
      </c>
      <c r="I3217">
        <v>4489</v>
      </c>
      <c r="J3217" t="s">
        <v>32</v>
      </c>
      <c r="K3217" t="str">
        <f>_xlfn.XLOOKUP(datos_ventas[[#This Row],[Ciudad]],Tabla2[Ciudades],Tabla2[Provincias],"no se encuentra")</f>
        <v>Barcelona</v>
      </c>
      <c r="L3217" t="str">
        <f>_xlfn.XLOOKUP(datos_ventas[[#This Row],[Provincia]],Tabla2[Provincias],Tabla2[Comunidades],"no se encuentra")</f>
        <v>Cataluña</v>
      </c>
      <c r="M3217" t="s">
        <v>28</v>
      </c>
      <c r="N3217">
        <v>3</v>
      </c>
    </row>
    <row r="3218" spans="1:14" x14ac:dyDescent="0.25">
      <c r="A3218">
        <v>4217</v>
      </c>
      <c r="B3218" s="1">
        <v>45737</v>
      </c>
      <c r="C3218" s="4">
        <f>MONTH(datos_ventas[[#This Row],[Fecha]])</f>
        <v>3</v>
      </c>
      <c r="D3218" s="4">
        <f>WEEKNUM(datos_ventas[[#This Row],[Fecha]],2)</f>
        <v>12</v>
      </c>
      <c r="E3218" t="s">
        <v>16</v>
      </c>
      <c r="F3218" t="s">
        <v>11</v>
      </c>
      <c r="G3218">
        <v>4</v>
      </c>
      <c r="H3218">
        <v>32744</v>
      </c>
      <c r="I3218">
        <v>241</v>
      </c>
      <c r="J3218" t="s">
        <v>22</v>
      </c>
      <c r="K3218" t="str">
        <f>_xlfn.XLOOKUP(datos_ventas[[#This Row],[Ciudad]],Tabla2[Ciudades],Tabla2[Provincias],"no se encuentra")</f>
        <v>Valencia</v>
      </c>
      <c r="L3218" t="str">
        <f>_xlfn.XLOOKUP(datos_ventas[[#This Row],[Provincia]],Tabla2[Provincias],Tabla2[Comunidades],"no se encuentra")</f>
        <v>Comunidad Valenciana</v>
      </c>
      <c r="M3218" t="s">
        <v>15</v>
      </c>
      <c r="N3218">
        <v>4</v>
      </c>
    </row>
    <row r="3219" spans="1:14" x14ac:dyDescent="0.25">
      <c r="A3219">
        <v>4218</v>
      </c>
      <c r="B3219" s="1">
        <v>45756</v>
      </c>
      <c r="C3219" s="4">
        <f>MONTH(datos_ventas[[#This Row],[Fecha]])</f>
        <v>4</v>
      </c>
      <c r="D3219" s="4">
        <f>WEEKNUM(datos_ventas[[#This Row],[Fecha]],2)</f>
        <v>15</v>
      </c>
      <c r="E3219" t="s">
        <v>20</v>
      </c>
      <c r="F3219" t="s">
        <v>21</v>
      </c>
      <c r="G3219">
        <v>3</v>
      </c>
      <c r="H3219">
        <v>3318</v>
      </c>
      <c r="I3219">
        <v>2056</v>
      </c>
      <c r="J3219" t="s">
        <v>27</v>
      </c>
      <c r="K3219" t="str">
        <f>_xlfn.XLOOKUP(datos_ventas[[#This Row],[Ciudad]],Tabla2[Ciudades],Tabla2[Provincias],"no se encuentra")</f>
        <v>Sevilla</v>
      </c>
      <c r="L3219" t="str">
        <f>_xlfn.XLOOKUP(datos_ventas[[#This Row],[Provincia]],Tabla2[Provincias],Tabla2[Comunidades],"no se encuentra")</f>
        <v>Andalucía</v>
      </c>
      <c r="M3219" t="s">
        <v>28</v>
      </c>
      <c r="N3219">
        <v>4</v>
      </c>
    </row>
    <row r="3220" spans="1:14" x14ac:dyDescent="0.25">
      <c r="A3220">
        <v>4219</v>
      </c>
      <c r="B3220" s="1">
        <v>45661</v>
      </c>
      <c r="C3220" s="4">
        <f>MONTH(datos_ventas[[#This Row],[Fecha]])</f>
        <v>1</v>
      </c>
      <c r="D3220" s="4">
        <f>WEEKNUM(datos_ventas[[#This Row],[Fecha]],2)</f>
        <v>1</v>
      </c>
      <c r="E3220" t="s">
        <v>20</v>
      </c>
      <c r="F3220" t="s">
        <v>21</v>
      </c>
      <c r="G3220">
        <v>5</v>
      </c>
      <c r="H3220">
        <v>31996</v>
      </c>
      <c r="I3220">
        <v>305</v>
      </c>
      <c r="J3220" t="s">
        <v>31</v>
      </c>
      <c r="K3220" t="str">
        <f>_xlfn.XLOOKUP(datos_ventas[[#This Row],[Ciudad]],Tabla2[Ciudades],Tabla2[Provincias],"no se encuentra")</f>
        <v>Vizcaya</v>
      </c>
      <c r="L3220" t="str">
        <f>_xlfn.XLOOKUP(datos_ventas[[#This Row],[Provincia]],Tabla2[Provincias],Tabla2[Comunidades],"no se encuentra")</f>
        <v>País Vasco</v>
      </c>
      <c r="M3220" t="s">
        <v>13</v>
      </c>
      <c r="N3220">
        <v>3</v>
      </c>
    </row>
    <row r="3221" spans="1:14" x14ac:dyDescent="0.25">
      <c r="A3221">
        <v>4220</v>
      </c>
      <c r="B3221" s="1">
        <v>45726</v>
      </c>
      <c r="C3221" s="4">
        <f>MONTH(datos_ventas[[#This Row],[Fecha]])</f>
        <v>3</v>
      </c>
      <c r="D3221" s="4">
        <f>WEEKNUM(datos_ventas[[#This Row],[Fecha]],2)</f>
        <v>11</v>
      </c>
      <c r="E3221" t="s">
        <v>26</v>
      </c>
      <c r="F3221" t="s">
        <v>18</v>
      </c>
      <c r="G3221">
        <v>4</v>
      </c>
      <c r="H3221">
        <v>6671</v>
      </c>
      <c r="I3221">
        <v>1213</v>
      </c>
      <c r="J3221" t="s">
        <v>27</v>
      </c>
      <c r="K3221" t="str">
        <f>_xlfn.XLOOKUP(datos_ventas[[#This Row],[Ciudad]],Tabla2[Ciudades],Tabla2[Provincias],"no se encuentra")</f>
        <v>Sevilla</v>
      </c>
      <c r="L3221" t="str">
        <f>_xlfn.XLOOKUP(datos_ventas[[#This Row],[Provincia]],Tabla2[Provincias],Tabla2[Comunidades],"no se encuentra")</f>
        <v>Andalucía</v>
      </c>
      <c r="M3221" t="s">
        <v>28</v>
      </c>
      <c r="N3221">
        <v>2</v>
      </c>
    </row>
    <row r="3222" spans="1:14" x14ac:dyDescent="0.25">
      <c r="A3222">
        <v>4221</v>
      </c>
      <c r="B3222" s="1">
        <v>45846</v>
      </c>
      <c r="C3222" s="4">
        <f>MONTH(datos_ventas[[#This Row],[Fecha]])</f>
        <v>7</v>
      </c>
      <c r="D3222" s="4">
        <f>WEEKNUM(datos_ventas[[#This Row],[Fecha]],2)</f>
        <v>28</v>
      </c>
      <c r="E3222" t="s">
        <v>10</v>
      </c>
      <c r="F3222" t="s">
        <v>11</v>
      </c>
      <c r="G3222">
        <v>3</v>
      </c>
      <c r="H3222">
        <v>19954</v>
      </c>
      <c r="I3222">
        <v>4625</v>
      </c>
      <c r="J3222" t="s">
        <v>32</v>
      </c>
      <c r="K3222" t="str">
        <f>_xlfn.XLOOKUP(datos_ventas[[#This Row],[Ciudad]],Tabla2[Ciudades],Tabla2[Provincias],"no se encuentra")</f>
        <v>Barcelona</v>
      </c>
      <c r="L3222" t="str">
        <f>_xlfn.XLOOKUP(datos_ventas[[#This Row],[Provincia]],Tabla2[Provincias],Tabla2[Comunidades],"no se encuentra")</f>
        <v>Cataluña</v>
      </c>
      <c r="M3222" t="s">
        <v>28</v>
      </c>
      <c r="N3222">
        <v>1</v>
      </c>
    </row>
    <row r="3223" spans="1:14" x14ac:dyDescent="0.25">
      <c r="A3223">
        <v>4222</v>
      </c>
      <c r="B3223" s="1">
        <v>45795</v>
      </c>
      <c r="C3223" s="4">
        <f>MONTH(datos_ventas[[#This Row],[Fecha]])</f>
        <v>5</v>
      </c>
      <c r="D3223" s="4">
        <f>WEEKNUM(datos_ventas[[#This Row],[Fecha]],2)</f>
        <v>20</v>
      </c>
      <c r="E3223" t="s">
        <v>17</v>
      </c>
      <c r="F3223" t="s">
        <v>18</v>
      </c>
      <c r="G3223">
        <v>2</v>
      </c>
      <c r="H3223">
        <v>95731</v>
      </c>
      <c r="I3223">
        <v>1991</v>
      </c>
      <c r="J3223" t="s">
        <v>32</v>
      </c>
      <c r="K3223" t="str">
        <f>_xlfn.XLOOKUP(datos_ventas[[#This Row],[Ciudad]],Tabla2[Ciudades],Tabla2[Provincias],"no se encuentra")</f>
        <v>Barcelona</v>
      </c>
      <c r="L3223" t="str">
        <f>_xlfn.XLOOKUP(datos_ventas[[#This Row],[Provincia]],Tabla2[Provincias],Tabla2[Comunidades],"no se encuentra")</f>
        <v>Cataluña</v>
      </c>
      <c r="M3223" t="s">
        <v>19</v>
      </c>
      <c r="N3223">
        <v>1</v>
      </c>
    </row>
    <row r="3224" spans="1:14" x14ac:dyDescent="0.25">
      <c r="A3224">
        <v>4223</v>
      </c>
      <c r="B3224" s="1">
        <v>45803</v>
      </c>
      <c r="C3224" s="4">
        <f>MONTH(datos_ventas[[#This Row],[Fecha]])</f>
        <v>5</v>
      </c>
      <c r="D3224" s="4">
        <f>WEEKNUM(datos_ventas[[#This Row],[Fecha]],2)</f>
        <v>22</v>
      </c>
      <c r="E3224" t="s">
        <v>16</v>
      </c>
      <c r="F3224" t="s">
        <v>11</v>
      </c>
      <c r="G3224">
        <v>3</v>
      </c>
      <c r="H3224">
        <v>72361</v>
      </c>
      <c r="I3224">
        <v>4108</v>
      </c>
      <c r="J3224" t="s">
        <v>27</v>
      </c>
      <c r="K3224" t="str">
        <f>_xlfn.XLOOKUP(datos_ventas[[#This Row],[Ciudad]],Tabla2[Ciudades],Tabla2[Provincias],"no se encuentra")</f>
        <v>Sevilla</v>
      </c>
      <c r="L3224" t="str">
        <f>_xlfn.XLOOKUP(datos_ventas[[#This Row],[Provincia]],Tabla2[Provincias],Tabla2[Comunidades],"no se encuentra")</f>
        <v>Andalucía</v>
      </c>
      <c r="M3224" t="s">
        <v>13</v>
      </c>
      <c r="N3224">
        <v>1</v>
      </c>
    </row>
    <row r="3225" spans="1:14" x14ac:dyDescent="0.25">
      <c r="A3225">
        <v>4224</v>
      </c>
      <c r="B3225" s="1">
        <v>45988</v>
      </c>
      <c r="C3225" s="4">
        <f>MONTH(datos_ventas[[#This Row],[Fecha]])</f>
        <v>11</v>
      </c>
      <c r="D3225" s="4">
        <f>WEEKNUM(datos_ventas[[#This Row],[Fecha]],2)</f>
        <v>48</v>
      </c>
      <c r="E3225" t="s">
        <v>10</v>
      </c>
      <c r="F3225" t="s">
        <v>11</v>
      </c>
      <c r="G3225">
        <v>4</v>
      </c>
      <c r="H3225">
        <v>94734</v>
      </c>
      <c r="I3225">
        <v>2053</v>
      </c>
      <c r="J3225" t="s">
        <v>12</v>
      </c>
      <c r="K3225" t="str">
        <f>_xlfn.XLOOKUP(datos_ventas[[#This Row],[Ciudad]],Tabla2[Ciudades],Tabla2[Provincias],"no se encuentra")</f>
        <v>Málaga</v>
      </c>
      <c r="L3225" t="str">
        <f>_xlfn.XLOOKUP(datos_ventas[[#This Row],[Provincia]],Tabla2[Provincias],Tabla2[Comunidades],"no se encuentra")</f>
        <v>Andalucía</v>
      </c>
      <c r="M3225" t="s">
        <v>15</v>
      </c>
      <c r="N3225">
        <v>4</v>
      </c>
    </row>
    <row r="3226" spans="1:14" x14ac:dyDescent="0.25">
      <c r="A3226">
        <v>4225</v>
      </c>
      <c r="B3226" s="1">
        <v>45944</v>
      </c>
      <c r="C3226" s="4">
        <f>MONTH(datos_ventas[[#This Row],[Fecha]])</f>
        <v>10</v>
      </c>
      <c r="D3226" s="4">
        <f>WEEKNUM(datos_ventas[[#This Row],[Fecha]],2)</f>
        <v>42</v>
      </c>
      <c r="E3226" t="s">
        <v>10</v>
      </c>
      <c r="F3226" t="s">
        <v>11</v>
      </c>
      <c r="G3226">
        <v>2</v>
      </c>
      <c r="H3226">
        <v>92385</v>
      </c>
      <c r="I3226">
        <v>3698</v>
      </c>
      <c r="J3226" t="s">
        <v>27</v>
      </c>
      <c r="K3226" t="str">
        <f>_xlfn.XLOOKUP(datos_ventas[[#This Row],[Ciudad]],Tabla2[Ciudades],Tabla2[Provincias],"no se encuentra")</f>
        <v>Sevilla</v>
      </c>
      <c r="L3226" t="str">
        <f>_xlfn.XLOOKUP(datos_ventas[[#This Row],[Provincia]],Tabla2[Provincias],Tabla2[Comunidades],"no se encuentra")</f>
        <v>Andalucía</v>
      </c>
      <c r="M3226" t="s">
        <v>15</v>
      </c>
      <c r="N3226">
        <v>2</v>
      </c>
    </row>
    <row r="3227" spans="1:14" x14ac:dyDescent="0.25">
      <c r="A3227">
        <v>4226</v>
      </c>
      <c r="B3227" s="1">
        <v>45980</v>
      </c>
      <c r="C3227" s="4">
        <f>MONTH(datos_ventas[[#This Row],[Fecha]])</f>
        <v>11</v>
      </c>
      <c r="D3227" s="4">
        <f>WEEKNUM(datos_ventas[[#This Row],[Fecha]],2)</f>
        <v>47</v>
      </c>
      <c r="E3227" t="s">
        <v>24</v>
      </c>
      <c r="F3227" t="s">
        <v>25</v>
      </c>
      <c r="G3227">
        <v>2</v>
      </c>
      <c r="H3227">
        <v>26257</v>
      </c>
      <c r="I3227">
        <v>4525</v>
      </c>
      <c r="J3227" t="s">
        <v>12</v>
      </c>
      <c r="K3227" t="str">
        <f>_xlfn.XLOOKUP(datos_ventas[[#This Row],[Ciudad]],Tabla2[Ciudades],Tabla2[Provincias],"no se encuentra")</f>
        <v>Málaga</v>
      </c>
      <c r="L3227" t="str">
        <f>_xlfn.XLOOKUP(datos_ventas[[#This Row],[Provincia]],Tabla2[Provincias],Tabla2[Comunidades],"no se encuentra")</f>
        <v>Andalucía</v>
      </c>
      <c r="M3227" t="s">
        <v>15</v>
      </c>
      <c r="N3227">
        <v>3</v>
      </c>
    </row>
    <row r="3228" spans="1:14" x14ac:dyDescent="0.25">
      <c r="A3228">
        <v>4227</v>
      </c>
      <c r="B3228" s="1">
        <v>45728</v>
      </c>
      <c r="C3228" s="4">
        <f>MONTH(datos_ventas[[#This Row],[Fecha]])</f>
        <v>3</v>
      </c>
      <c r="D3228" s="4">
        <f>WEEKNUM(datos_ventas[[#This Row],[Fecha]],2)</f>
        <v>11</v>
      </c>
      <c r="E3228" t="s">
        <v>20</v>
      </c>
      <c r="F3228" t="s">
        <v>21</v>
      </c>
      <c r="G3228">
        <v>2</v>
      </c>
      <c r="H3228">
        <v>5468</v>
      </c>
      <c r="I3228">
        <v>1798</v>
      </c>
      <c r="J3228" t="s">
        <v>12</v>
      </c>
      <c r="K3228" t="str">
        <f>_xlfn.XLOOKUP(datos_ventas[[#This Row],[Ciudad]],Tabla2[Ciudades],Tabla2[Provincias],"no se encuentra")</f>
        <v>Málaga</v>
      </c>
      <c r="L3228" t="str">
        <f>_xlfn.XLOOKUP(datos_ventas[[#This Row],[Provincia]],Tabla2[Provincias],Tabla2[Comunidades],"no se encuentra")</f>
        <v>Andalucía</v>
      </c>
      <c r="M3228" t="s">
        <v>13</v>
      </c>
      <c r="N3228">
        <v>5</v>
      </c>
    </row>
    <row r="3229" spans="1:14" x14ac:dyDescent="0.25">
      <c r="A3229">
        <v>4228</v>
      </c>
      <c r="B3229" s="1">
        <v>46002</v>
      </c>
      <c r="C3229" s="4">
        <f>MONTH(datos_ventas[[#This Row],[Fecha]])</f>
        <v>12</v>
      </c>
      <c r="D3229" s="4">
        <f>WEEKNUM(datos_ventas[[#This Row],[Fecha]],2)</f>
        <v>50</v>
      </c>
      <c r="E3229" t="s">
        <v>17</v>
      </c>
      <c r="F3229" t="s">
        <v>18</v>
      </c>
      <c r="G3229">
        <v>3</v>
      </c>
      <c r="H3229">
        <v>100293</v>
      </c>
      <c r="I3229">
        <v>3244</v>
      </c>
      <c r="J3229" t="s">
        <v>14</v>
      </c>
      <c r="K3229" t="str">
        <f>_xlfn.XLOOKUP(datos_ventas[[#This Row],[Ciudad]],Tabla2[Ciudades],Tabla2[Provincias],"no se encuentra")</f>
        <v>Madrid</v>
      </c>
      <c r="L3229" t="str">
        <f>_xlfn.XLOOKUP(datos_ventas[[#This Row],[Provincia]],Tabla2[Provincias],Tabla2[Comunidades],"no se encuentra")</f>
        <v>Comunidad de Madrid</v>
      </c>
      <c r="M3229" t="s">
        <v>15</v>
      </c>
      <c r="N3229">
        <v>3</v>
      </c>
    </row>
    <row r="3230" spans="1:14" x14ac:dyDescent="0.25">
      <c r="A3230">
        <v>4229</v>
      </c>
      <c r="B3230" s="1">
        <v>45904</v>
      </c>
      <c r="C3230" s="4">
        <f>MONTH(datos_ventas[[#This Row],[Fecha]])</f>
        <v>9</v>
      </c>
      <c r="D3230" s="4">
        <f>WEEKNUM(datos_ventas[[#This Row],[Fecha]],2)</f>
        <v>36</v>
      </c>
      <c r="E3230" t="s">
        <v>16</v>
      </c>
      <c r="F3230" t="s">
        <v>11</v>
      </c>
      <c r="G3230">
        <v>5</v>
      </c>
      <c r="H3230">
        <v>72575</v>
      </c>
      <c r="I3230">
        <v>2538</v>
      </c>
      <c r="J3230" t="s">
        <v>22</v>
      </c>
      <c r="K3230" t="str">
        <f>_xlfn.XLOOKUP(datos_ventas[[#This Row],[Ciudad]],Tabla2[Ciudades],Tabla2[Provincias],"no se encuentra")</f>
        <v>Valencia</v>
      </c>
      <c r="L3230" t="str">
        <f>_xlfn.XLOOKUP(datos_ventas[[#This Row],[Provincia]],Tabla2[Provincias],Tabla2[Comunidades],"no se encuentra")</f>
        <v>Comunidad Valenciana</v>
      </c>
      <c r="M3230" t="s">
        <v>28</v>
      </c>
      <c r="N3230">
        <v>2</v>
      </c>
    </row>
    <row r="3231" spans="1:14" x14ac:dyDescent="0.25">
      <c r="A3231">
        <v>4230</v>
      </c>
      <c r="B3231" s="1">
        <v>45863</v>
      </c>
      <c r="C3231" s="4">
        <f>MONTH(datos_ventas[[#This Row],[Fecha]])</f>
        <v>7</v>
      </c>
      <c r="D3231" s="4">
        <f>WEEKNUM(datos_ventas[[#This Row],[Fecha]],2)</f>
        <v>30</v>
      </c>
      <c r="E3231" t="s">
        <v>16</v>
      </c>
      <c r="F3231" t="s">
        <v>11</v>
      </c>
      <c r="G3231">
        <v>2</v>
      </c>
      <c r="H3231">
        <v>13248</v>
      </c>
      <c r="I3231">
        <v>4309</v>
      </c>
      <c r="J3231" t="s">
        <v>31</v>
      </c>
      <c r="K3231" t="str">
        <f>_xlfn.XLOOKUP(datos_ventas[[#This Row],[Ciudad]],Tabla2[Ciudades],Tabla2[Provincias],"no se encuentra")</f>
        <v>Vizcaya</v>
      </c>
      <c r="L3231" t="str">
        <f>_xlfn.XLOOKUP(datos_ventas[[#This Row],[Provincia]],Tabla2[Provincias],Tabla2[Comunidades],"no se encuentra")</f>
        <v>País Vasco</v>
      </c>
      <c r="M3231" t="s">
        <v>19</v>
      </c>
      <c r="N3231">
        <v>3</v>
      </c>
    </row>
    <row r="3232" spans="1:14" x14ac:dyDescent="0.25">
      <c r="A3232">
        <v>4231</v>
      </c>
      <c r="B3232" s="1">
        <v>46017</v>
      </c>
      <c r="C3232" s="4">
        <f>MONTH(datos_ventas[[#This Row],[Fecha]])</f>
        <v>12</v>
      </c>
      <c r="D3232" s="4">
        <f>WEEKNUM(datos_ventas[[#This Row],[Fecha]],2)</f>
        <v>52</v>
      </c>
      <c r="E3232" t="s">
        <v>10</v>
      </c>
      <c r="F3232" t="s">
        <v>11</v>
      </c>
      <c r="G3232">
        <v>4</v>
      </c>
      <c r="H3232">
        <v>119469</v>
      </c>
      <c r="I3232">
        <v>123</v>
      </c>
      <c r="J3232" t="s">
        <v>32</v>
      </c>
      <c r="K3232" t="str">
        <f>_xlfn.XLOOKUP(datos_ventas[[#This Row],[Ciudad]],Tabla2[Ciudades],Tabla2[Provincias],"no se encuentra")</f>
        <v>Barcelona</v>
      </c>
      <c r="L3232" t="str">
        <f>_xlfn.XLOOKUP(datos_ventas[[#This Row],[Provincia]],Tabla2[Provincias],Tabla2[Comunidades],"no se encuentra")</f>
        <v>Cataluña</v>
      </c>
      <c r="M3232" t="s">
        <v>19</v>
      </c>
      <c r="N3232">
        <v>4</v>
      </c>
    </row>
    <row r="3233" spans="1:14" x14ac:dyDescent="0.25">
      <c r="A3233">
        <v>4232</v>
      </c>
      <c r="B3233" s="1">
        <v>45993</v>
      </c>
      <c r="C3233" s="4">
        <f>MONTH(datos_ventas[[#This Row],[Fecha]])</f>
        <v>12</v>
      </c>
      <c r="D3233" s="4">
        <f>WEEKNUM(datos_ventas[[#This Row],[Fecha]],2)</f>
        <v>49</v>
      </c>
      <c r="E3233" t="s">
        <v>23</v>
      </c>
      <c r="F3233" t="s">
        <v>18</v>
      </c>
      <c r="G3233">
        <v>2</v>
      </c>
      <c r="H3233">
        <v>16728</v>
      </c>
      <c r="I3233">
        <v>2275</v>
      </c>
      <c r="J3233" t="s">
        <v>14</v>
      </c>
      <c r="K3233" t="str">
        <f>_xlfn.XLOOKUP(datos_ventas[[#This Row],[Ciudad]],Tabla2[Ciudades],Tabla2[Provincias],"no se encuentra")</f>
        <v>Madrid</v>
      </c>
      <c r="L3233" t="str">
        <f>_xlfn.XLOOKUP(datos_ventas[[#This Row],[Provincia]],Tabla2[Provincias],Tabla2[Comunidades],"no se encuentra")</f>
        <v>Comunidad de Madrid</v>
      </c>
      <c r="M3233" t="s">
        <v>28</v>
      </c>
      <c r="N3233">
        <v>4</v>
      </c>
    </row>
    <row r="3234" spans="1:14" x14ac:dyDescent="0.25">
      <c r="A3234">
        <v>4233</v>
      </c>
      <c r="B3234" s="1">
        <v>45772</v>
      </c>
      <c r="C3234" s="4">
        <f>MONTH(datos_ventas[[#This Row],[Fecha]])</f>
        <v>4</v>
      </c>
      <c r="D3234" s="4">
        <f>WEEKNUM(datos_ventas[[#This Row],[Fecha]],2)</f>
        <v>17</v>
      </c>
      <c r="E3234" t="s">
        <v>10</v>
      </c>
      <c r="F3234" t="s">
        <v>11</v>
      </c>
      <c r="G3234">
        <v>5</v>
      </c>
      <c r="H3234">
        <v>81137</v>
      </c>
      <c r="I3234">
        <v>3578</v>
      </c>
      <c r="J3234" t="s">
        <v>14</v>
      </c>
      <c r="K3234" t="str">
        <f>_xlfn.XLOOKUP(datos_ventas[[#This Row],[Ciudad]],Tabla2[Ciudades],Tabla2[Provincias],"no se encuentra")</f>
        <v>Madrid</v>
      </c>
      <c r="L3234" t="str">
        <f>_xlfn.XLOOKUP(datos_ventas[[#This Row],[Provincia]],Tabla2[Provincias],Tabla2[Comunidades],"no se encuentra")</f>
        <v>Comunidad de Madrid</v>
      </c>
      <c r="M3234" t="s">
        <v>13</v>
      </c>
      <c r="N3234">
        <v>5</v>
      </c>
    </row>
    <row r="3235" spans="1:14" x14ac:dyDescent="0.25">
      <c r="A3235">
        <v>4234</v>
      </c>
      <c r="B3235" s="1">
        <v>45838</v>
      </c>
      <c r="C3235" s="4">
        <f>MONTH(datos_ventas[[#This Row],[Fecha]])</f>
        <v>6</v>
      </c>
      <c r="D3235" s="4">
        <f>WEEKNUM(datos_ventas[[#This Row],[Fecha]],2)</f>
        <v>27</v>
      </c>
      <c r="E3235" t="s">
        <v>26</v>
      </c>
      <c r="F3235" t="s">
        <v>18</v>
      </c>
      <c r="G3235">
        <v>4</v>
      </c>
      <c r="H3235">
        <v>63355</v>
      </c>
      <c r="I3235">
        <v>1333</v>
      </c>
      <c r="J3235" t="s">
        <v>31</v>
      </c>
      <c r="K3235" t="str">
        <f>_xlfn.XLOOKUP(datos_ventas[[#This Row],[Ciudad]],Tabla2[Ciudades],Tabla2[Provincias],"no se encuentra")</f>
        <v>Vizcaya</v>
      </c>
      <c r="L3235" t="str">
        <f>_xlfn.XLOOKUP(datos_ventas[[#This Row],[Provincia]],Tabla2[Provincias],Tabla2[Comunidades],"no se encuentra")</f>
        <v>País Vasco</v>
      </c>
      <c r="M3235" t="s">
        <v>19</v>
      </c>
      <c r="N3235">
        <v>1</v>
      </c>
    </row>
    <row r="3236" spans="1:14" x14ac:dyDescent="0.25">
      <c r="A3236">
        <v>4235</v>
      </c>
      <c r="B3236" s="1">
        <v>45918</v>
      </c>
      <c r="C3236" s="4">
        <f>MONTH(datos_ventas[[#This Row],[Fecha]])</f>
        <v>9</v>
      </c>
      <c r="D3236" s="4">
        <f>WEEKNUM(datos_ventas[[#This Row],[Fecha]],2)</f>
        <v>38</v>
      </c>
      <c r="E3236" t="s">
        <v>16</v>
      </c>
      <c r="F3236" t="s">
        <v>11</v>
      </c>
      <c r="G3236">
        <v>5</v>
      </c>
      <c r="H3236">
        <v>48382</v>
      </c>
      <c r="I3236">
        <v>3693</v>
      </c>
      <c r="J3236" t="s">
        <v>27</v>
      </c>
      <c r="K3236" t="str">
        <f>_xlfn.XLOOKUP(datos_ventas[[#This Row],[Ciudad]],Tabla2[Ciudades],Tabla2[Provincias],"no se encuentra")</f>
        <v>Sevilla</v>
      </c>
      <c r="L3236" t="str">
        <f>_xlfn.XLOOKUP(datos_ventas[[#This Row],[Provincia]],Tabla2[Provincias],Tabla2[Comunidades],"no se encuentra")</f>
        <v>Andalucía</v>
      </c>
      <c r="M3236" t="s">
        <v>28</v>
      </c>
      <c r="N3236">
        <v>5</v>
      </c>
    </row>
    <row r="3237" spans="1:14" x14ac:dyDescent="0.25">
      <c r="A3237">
        <v>4236</v>
      </c>
      <c r="B3237" s="1">
        <v>45802</v>
      </c>
      <c r="C3237" s="4">
        <f>MONTH(datos_ventas[[#This Row],[Fecha]])</f>
        <v>5</v>
      </c>
      <c r="D3237" s="4">
        <f>WEEKNUM(datos_ventas[[#This Row],[Fecha]],2)</f>
        <v>21</v>
      </c>
      <c r="E3237" t="s">
        <v>24</v>
      </c>
      <c r="F3237" t="s">
        <v>25</v>
      </c>
      <c r="G3237">
        <v>3</v>
      </c>
      <c r="H3237">
        <v>14918</v>
      </c>
      <c r="I3237">
        <v>1935</v>
      </c>
      <c r="J3237" t="s">
        <v>27</v>
      </c>
      <c r="K3237" t="str">
        <f>_xlfn.XLOOKUP(datos_ventas[[#This Row],[Ciudad]],Tabla2[Ciudades],Tabla2[Provincias],"no se encuentra")</f>
        <v>Sevilla</v>
      </c>
      <c r="L3237" t="str">
        <f>_xlfn.XLOOKUP(datos_ventas[[#This Row],[Provincia]],Tabla2[Provincias],Tabla2[Comunidades],"no se encuentra")</f>
        <v>Andalucía</v>
      </c>
      <c r="M3237" t="s">
        <v>15</v>
      </c>
      <c r="N3237">
        <v>5</v>
      </c>
    </row>
    <row r="3238" spans="1:14" x14ac:dyDescent="0.25">
      <c r="A3238">
        <v>4237</v>
      </c>
      <c r="B3238" s="1">
        <v>45921</v>
      </c>
      <c r="C3238" s="4">
        <f>MONTH(datos_ventas[[#This Row],[Fecha]])</f>
        <v>9</v>
      </c>
      <c r="D3238" s="4">
        <f>WEEKNUM(datos_ventas[[#This Row],[Fecha]],2)</f>
        <v>38</v>
      </c>
      <c r="E3238" t="s">
        <v>16</v>
      </c>
      <c r="F3238" t="s">
        <v>11</v>
      </c>
      <c r="G3238">
        <v>3</v>
      </c>
      <c r="H3238">
        <v>17841</v>
      </c>
      <c r="I3238">
        <v>4609</v>
      </c>
      <c r="J3238" t="s">
        <v>12</v>
      </c>
      <c r="K3238" t="str">
        <f>_xlfn.XLOOKUP(datos_ventas[[#This Row],[Ciudad]],Tabla2[Ciudades],Tabla2[Provincias],"no se encuentra")</f>
        <v>Málaga</v>
      </c>
      <c r="L3238" t="str">
        <f>_xlfn.XLOOKUP(datos_ventas[[#This Row],[Provincia]],Tabla2[Provincias],Tabla2[Comunidades],"no se encuentra")</f>
        <v>Andalucía</v>
      </c>
      <c r="M3238" t="s">
        <v>15</v>
      </c>
      <c r="N3238">
        <v>5</v>
      </c>
    </row>
    <row r="3239" spans="1:14" x14ac:dyDescent="0.25">
      <c r="A3239">
        <v>4238</v>
      </c>
      <c r="B3239" s="1">
        <v>45932</v>
      </c>
      <c r="C3239" s="4">
        <f>MONTH(datos_ventas[[#This Row],[Fecha]])</f>
        <v>10</v>
      </c>
      <c r="D3239" s="4">
        <f>WEEKNUM(datos_ventas[[#This Row],[Fecha]],2)</f>
        <v>40</v>
      </c>
      <c r="E3239" t="s">
        <v>10</v>
      </c>
      <c r="F3239" t="s">
        <v>11</v>
      </c>
      <c r="G3239">
        <v>4</v>
      </c>
      <c r="H3239">
        <v>118618</v>
      </c>
      <c r="I3239">
        <v>4307</v>
      </c>
      <c r="J3239" t="s">
        <v>32</v>
      </c>
      <c r="K3239" t="str">
        <f>_xlfn.XLOOKUP(datos_ventas[[#This Row],[Ciudad]],Tabla2[Ciudades],Tabla2[Provincias],"no se encuentra")</f>
        <v>Barcelona</v>
      </c>
      <c r="L3239" t="str">
        <f>_xlfn.XLOOKUP(datos_ventas[[#This Row],[Provincia]],Tabla2[Provincias],Tabla2[Comunidades],"no se encuentra")</f>
        <v>Cataluña</v>
      </c>
      <c r="M3239" t="s">
        <v>28</v>
      </c>
      <c r="N3239">
        <v>2</v>
      </c>
    </row>
    <row r="3240" spans="1:14" x14ac:dyDescent="0.25">
      <c r="A3240">
        <v>4239</v>
      </c>
      <c r="B3240" s="1">
        <v>45686</v>
      </c>
      <c r="C3240" s="4">
        <f>MONTH(datos_ventas[[#This Row],[Fecha]])</f>
        <v>1</v>
      </c>
      <c r="D3240" s="4">
        <f>WEEKNUM(datos_ventas[[#This Row],[Fecha]],2)</f>
        <v>5</v>
      </c>
      <c r="E3240" t="s">
        <v>17</v>
      </c>
      <c r="F3240" t="s">
        <v>18</v>
      </c>
      <c r="G3240">
        <v>1</v>
      </c>
      <c r="H3240">
        <v>79773</v>
      </c>
      <c r="I3240">
        <v>3553</v>
      </c>
      <c r="J3240" t="s">
        <v>14</v>
      </c>
      <c r="K3240" t="str">
        <f>_xlfn.XLOOKUP(datos_ventas[[#This Row],[Ciudad]],Tabla2[Ciudades],Tabla2[Provincias],"no se encuentra")</f>
        <v>Madrid</v>
      </c>
      <c r="L3240" t="str">
        <f>_xlfn.XLOOKUP(datos_ventas[[#This Row],[Provincia]],Tabla2[Provincias],Tabla2[Comunidades],"no se encuentra")</f>
        <v>Comunidad de Madrid</v>
      </c>
      <c r="M3240" t="s">
        <v>28</v>
      </c>
      <c r="N3240">
        <v>1</v>
      </c>
    </row>
    <row r="3241" spans="1:14" x14ac:dyDescent="0.25">
      <c r="A3241">
        <v>4240</v>
      </c>
      <c r="B3241" s="1">
        <v>45866</v>
      </c>
      <c r="C3241" s="4">
        <f>MONTH(datos_ventas[[#This Row],[Fecha]])</f>
        <v>7</v>
      </c>
      <c r="D3241" s="4">
        <f>WEEKNUM(datos_ventas[[#This Row],[Fecha]],2)</f>
        <v>31</v>
      </c>
      <c r="E3241" t="s">
        <v>20</v>
      </c>
      <c r="F3241" t="s">
        <v>21</v>
      </c>
      <c r="G3241">
        <v>3</v>
      </c>
      <c r="H3241">
        <v>72416</v>
      </c>
      <c r="I3241">
        <v>1612</v>
      </c>
      <c r="J3241" t="s">
        <v>22</v>
      </c>
      <c r="K3241" t="str">
        <f>_xlfn.XLOOKUP(datos_ventas[[#This Row],[Ciudad]],Tabla2[Ciudades],Tabla2[Provincias],"no se encuentra")</f>
        <v>Valencia</v>
      </c>
      <c r="L3241" t="str">
        <f>_xlfn.XLOOKUP(datos_ventas[[#This Row],[Provincia]],Tabla2[Provincias],Tabla2[Comunidades],"no se encuentra")</f>
        <v>Comunidad Valenciana</v>
      </c>
      <c r="M3241" t="s">
        <v>28</v>
      </c>
      <c r="N3241">
        <v>3</v>
      </c>
    </row>
    <row r="3242" spans="1:14" x14ac:dyDescent="0.25">
      <c r="A3242">
        <v>4241</v>
      </c>
      <c r="B3242" s="1">
        <v>45703</v>
      </c>
      <c r="C3242" s="4">
        <f>MONTH(datos_ventas[[#This Row],[Fecha]])</f>
        <v>2</v>
      </c>
      <c r="D3242" s="4">
        <f>WEEKNUM(datos_ventas[[#This Row],[Fecha]],2)</f>
        <v>7</v>
      </c>
      <c r="E3242" t="s">
        <v>10</v>
      </c>
      <c r="F3242" t="s">
        <v>11</v>
      </c>
      <c r="G3242">
        <v>1</v>
      </c>
      <c r="H3242">
        <v>106949</v>
      </c>
      <c r="I3242">
        <v>1345</v>
      </c>
      <c r="J3242" t="s">
        <v>27</v>
      </c>
      <c r="K3242" t="str">
        <f>_xlfn.XLOOKUP(datos_ventas[[#This Row],[Ciudad]],Tabla2[Ciudades],Tabla2[Provincias],"no se encuentra")</f>
        <v>Sevilla</v>
      </c>
      <c r="L3242" t="str">
        <f>_xlfn.XLOOKUP(datos_ventas[[#This Row],[Provincia]],Tabla2[Provincias],Tabla2[Comunidades],"no se encuentra")</f>
        <v>Andalucía</v>
      </c>
      <c r="M3242" t="s">
        <v>28</v>
      </c>
      <c r="N3242">
        <v>3</v>
      </c>
    </row>
    <row r="3243" spans="1:14" x14ac:dyDescent="0.25">
      <c r="A3243">
        <v>4242</v>
      </c>
      <c r="B3243" s="1">
        <v>45836</v>
      </c>
      <c r="C3243" s="4">
        <f>MONTH(datos_ventas[[#This Row],[Fecha]])</f>
        <v>6</v>
      </c>
      <c r="D3243" s="4">
        <f>WEEKNUM(datos_ventas[[#This Row],[Fecha]],2)</f>
        <v>26</v>
      </c>
      <c r="E3243" t="s">
        <v>23</v>
      </c>
      <c r="F3243" t="s">
        <v>18</v>
      </c>
      <c r="G3243">
        <v>1</v>
      </c>
      <c r="H3243">
        <v>7221</v>
      </c>
      <c r="I3243">
        <v>1641</v>
      </c>
      <c r="J3243" t="s">
        <v>32</v>
      </c>
      <c r="K3243" t="str">
        <f>_xlfn.XLOOKUP(datos_ventas[[#This Row],[Ciudad]],Tabla2[Ciudades],Tabla2[Provincias],"no se encuentra")</f>
        <v>Barcelona</v>
      </c>
      <c r="L3243" t="str">
        <f>_xlfn.XLOOKUP(datos_ventas[[#This Row],[Provincia]],Tabla2[Provincias],Tabla2[Comunidades],"no se encuentra")</f>
        <v>Cataluña</v>
      </c>
      <c r="M3243" t="s">
        <v>13</v>
      </c>
      <c r="N3243">
        <v>1</v>
      </c>
    </row>
    <row r="3244" spans="1:14" x14ac:dyDescent="0.25">
      <c r="A3244">
        <v>4243</v>
      </c>
      <c r="B3244" s="1">
        <v>45973</v>
      </c>
      <c r="C3244" s="4">
        <f>MONTH(datos_ventas[[#This Row],[Fecha]])</f>
        <v>11</v>
      </c>
      <c r="D3244" s="4">
        <f>WEEKNUM(datos_ventas[[#This Row],[Fecha]],2)</f>
        <v>46</v>
      </c>
      <c r="E3244" t="s">
        <v>26</v>
      </c>
      <c r="F3244" t="s">
        <v>18</v>
      </c>
      <c r="G3244">
        <v>2</v>
      </c>
      <c r="H3244">
        <v>7461</v>
      </c>
      <c r="I3244">
        <v>4215</v>
      </c>
      <c r="J3244" t="s">
        <v>32</v>
      </c>
      <c r="K3244" t="str">
        <f>_xlfn.XLOOKUP(datos_ventas[[#This Row],[Ciudad]],Tabla2[Ciudades],Tabla2[Provincias],"no se encuentra")</f>
        <v>Barcelona</v>
      </c>
      <c r="L3244" t="str">
        <f>_xlfn.XLOOKUP(datos_ventas[[#This Row],[Provincia]],Tabla2[Provincias],Tabla2[Comunidades],"no se encuentra")</f>
        <v>Cataluña</v>
      </c>
      <c r="M3244" t="s">
        <v>13</v>
      </c>
      <c r="N3244">
        <v>2</v>
      </c>
    </row>
    <row r="3245" spans="1:14" x14ac:dyDescent="0.25">
      <c r="A3245">
        <v>4244</v>
      </c>
      <c r="B3245" s="1">
        <v>45824</v>
      </c>
      <c r="C3245" s="4">
        <f>MONTH(datos_ventas[[#This Row],[Fecha]])</f>
        <v>6</v>
      </c>
      <c r="D3245" s="4">
        <f>WEEKNUM(datos_ventas[[#This Row],[Fecha]],2)</f>
        <v>25</v>
      </c>
      <c r="E3245" t="s">
        <v>26</v>
      </c>
      <c r="F3245" t="s">
        <v>18</v>
      </c>
      <c r="G3245">
        <v>5</v>
      </c>
      <c r="H3245">
        <v>91666</v>
      </c>
      <c r="I3245">
        <v>3883</v>
      </c>
      <c r="J3245" t="s">
        <v>27</v>
      </c>
      <c r="K3245" t="str">
        <f>_xlfn.XLOOKUP(datos_ventas[[#This Row],[Ciudad]],Tabla2[Ciudades],Tabla2[Provincias],"no se encuentra")</f>
        <v>Sevilla</v>
      </c>
      <c r="L3245" t="str">
        <f>_xlfn.XLOOKUP(datos_ventas[[#This Row],[Provincia]],Tabla2[Provincias],Tabla2[Comunidades],"no se encuentra")</f>
        <v>Andalucía</v>
      </c>
      <c r="M3245" t="s">
        <v>13</v>
      </c>
      <c r="N3245">
        <v>2</v>
      </c>
    </row>
    <row r="3246" spans="1:14" x14ac:dyDescent="0.25">
      <c r="A3246">
        <v>4245</v>
      </c>
      <c r="B3246" s="1">
        <v>45756</v>
      </c>
      <c r="C3246" s="4">
        <f>MONTH(datos_ventas[[#This Row],[Fecha]])</f>
        <v>4</v>
      </c>
      <c r="D3246" s="4">
        <f>WEEKNUM(datos_ventas[[#This Row],[Fecha]],2)</f>
        <v>15</v>
      </c>
      <c r="E3246" t="s">
        <v>16</v>
      </c>
      <c r="F3246" t="s">
        <v>11</v>
      </c>
      <c r="G3246">
        <v>2</v>
      </c>
      <c r="H3246">
        <v>42152</v>
      </c>
      <c r="I3246">
        <v>4368</v>
      </c>
      <c r="J3246" t="s">
        <v>22</v>
      </c>
      <c r="K3246" t="str">
        <f>_xlfn.XLOOKUP(datos_ventas[[#This Row],[Ciudad]],Tabla2[Ciudades],Tabla2[Provincias],"no se encuentra")</f>
        <v>Valencia</v>
      </c>
      <c r="L3246" t="str">
        <f>_xlfn.XLOOKUP(datos_ventas[[#This Row],[Provincia]],Tabla2[Provincias],Tabla2[Comunidades],"no se encuentra")</f>
        <v>Comunidad Valenciana</v>
      </c>
      <c r="M3246" t="s">
        <v>19</v>
      </c>
      <c r="N3246">
        <v>3</v>
      </c>
    </row>
    <row r="3247" spans="1:14" x14ac:dyDescent="0.25">
      <c r="A3247">
        <v>4246</v>
      </c>
      <c r="B3247" s="1">
        <v>45740</v>
      </c>
      <c r="C3247" s="4">
        <f>MONTH(datos_ventas[[#This Row],[Fecha]])</f>
        <v>3</v>
      </c>
      <c r="D3247" s="4">
        <f>WEEKNUM(datos_ventas[[#This Row],[Fecha]],2)</f>
        <v>13</v>
      </c>
      <c r="E3247" t="s">
        <v>23</v>
      </c>
      <c r="F3247" t="s">
        <v>18</v>
      </c>
      <c r="G3247">
        <v>1</v>
      </c>
      <c r="H3247">
        <v>15966</v>
      </c>
      <c r="I3247">
        <v>2901</v>
      </c>
      <c r="J3247" t="s">
        <v>22</v>
      </c>
      <c r="K3247" t="str">
        <f>_xlfn.XLOOKUP(datos_ventas[[#This Row],[Ciudad]],Tabla2[Ciudades],Tabla2[Provincias],"no se encuentra")</f>
        <v>Valencia</v>
      </c>
      <c r="L3247" t="str">
        <f>_xlfn.XLOOKUP(datos_ventas[[#This Row],[Provincia]],Tabla2[Provincias],Tabla2[Comunidades],"no se encuentra")</f>
        <v>Comunidad Valenciana</v>
      </c>
      <c r="M3247" t="s">
        <v>13</v>
      </c>
      <c r="N3247">
        <v>4</v>
      </c>
    </row>
    <row r="3248" spans="1:14" x14ac:dyDescent="0.25">
      <c r="A3248">
        <v>4247</v>
      </c>
      <c r="B3248" s="1">
        <v>45674</v>
      </c>
      <c r="C3248" s="4">
        <f>MONTH(datos_ventas[[#This Row],[Fecha]])</f>
        <v>1</v>
      </c>
      <c r="D3248" s="4">
        <f>WEEKNUM(datos_ventas[[#This Row],[Fecha]],2)</f>
        <v>3</v>
      </c>
      <c r="E3248" t="s">
        <v>23</v>
      </c>
      <c r="F3248" t="s">
        <v>18</v>
      </c>
      <c r="G3248">
        <v>4</v>
      </c>
      <c r="H3248">
        <v>71907</v>
      </c>
      <c r="I3248">
        <v>3508</v>
      </c>
      <c r="J3248" t="s">
        <v>14</v>
      </c>
      <c r="K3248" t="str">
        <f>_xlfn.XLOOKUP(datos_ventas[[#This Row],[Ciudad]],Tabla2[Ciudades],Tabla2[Provincias],"no se encuentra")</f>
        <v>Madrid</v>
      </c>
      <c r="L3248" t="str">
        <f>_xlfn.XLOOKUP(datos_ventas[[#This Row],[Provincia]],Tabla2[Provincias],Tabla2[Comunidades],"no se encuentra")</f>
        <v>Comunidad de Madrid</v>
      </c>
      <c r="M3248" t="s">
        <v>15</v>
      </c>
      <c r="N3248">
        <v>1</v>
      </c>
    </row>
    <row r="3249" spans="1:14" x14ac:dyDescent="0.25">
      <c r="A3249">
        <v>4248</v>
      </c>
      <c r="B3249" s="1">
        <v>45872</v>
      </c>
      <c r="C3249" s="4">
        <f>MONTH(datos_ventas[[#This Row],[Fecha]])</f>
        <v>8</v>
      </c>
      <c r="D3249" s="4">
        <f>WEEKNUM(datos_ventas[[#This Row],[Fecha]],2)</f>
        <v>31</v>
      </c>
      <c r="E3249" t="s">
        <v>23</v>
      </c>
      <c r="F3249" t="s">
        <v>18</v>
      </c>
      <c r="G3249">
        <v>2</v>
      </c>
      <c r="H3249">
        <v>112589</v>
      </c>
      <c r="I3249">
        <v>812</v>
      </c>
      <c r="J3249" t="s">
        <v>32</v>
      </c>
      <c r="K3249" t="str">
        <f>_xlfn.XLOOKUP(datos_ventas[[#This Row],[Ciudad]],Tabla2[Ciudades],Tabla2[Provincias],"no se encuentra")</f>
        <v>Barcelona</v>
      </c>
      <c r="L3249" t="str">
        <f>_xlfn.XLOOKUP(datos_ventas[[#This Row],[Provincia]],Tabla2[Provincias],Tabla2[Comunidades],"no se encuentra")</f>
        <v>Cataluña</v>
      </c>
      <c r="M3249" t="s">
        <v>13</v>
      </c>
      <c r="N3249">
        <v>5</v>
      </c>
    </row>
    <row r="3250" spans="1:14" x14ac:dyDescent="0.25">
      <c r="A3250">
        <v>4249</v>
      </c>
      <c r="B3250" s="1">
        <v>45742</v>
      </c>
      <c r="C3250" s="4">
        <f>MONTH(datos_ventas[[#This Row],[Fecha]])</f>
        <v>3</v>
      </c>
      <c r="D3250" s="4">
        <f>WEEKNUM(datos_ventas[[#This Row],[Fecha]],2)</f>
        <v>13</v>
      </c>
      <c r="E3250" t="s">
        <v>26</v>
      </c>
      <c r="F3250" t="s">
        <v>18</v>
      </c>
      <c r="G3250">
        <v>3</v>
      </c>
      <c r="H3250">
        <v>101622</v>
      </c>
      <c r="I3250">
        <v>4617</v>
      </c>
      <c r="J3250" t="s">
        <v>32</v>
      </c>
      <c r="K3250" t="str">
        <f>_xlfn.XLOOKUP(datos_ventas[[#This Row],[Ciudad]],Tabla2[Ciudades],Tabla2[Provincias],"no se encuentra")</f>
        <v>Barcelona</v>
      </c>
      <c r="L3250" t="str">
        <f>_xlfn.XLOOKUP(datos_ventas[[#This Row],[Provincia]],Tabla2[Provincias],Tabla2[Comunidades],"no se encuentra")</f>
        <v>Cataluña</v>
      </c>
      <c r="M3250" t="s">
        <v>28</v>
      </c>
      <c r="N3250">
        <v>3</v>
      </c>
    </row>
    <row r="3251" spans="1:14" x14ac:dyDescent="0.25">
      <c r="A3251">
        <v>4250</v>
      </c>
      <c r="B3251" s="1">
        <v>45920</v>
      </c>
      <c r="C3251" s="4">
        <f>MONTH(datos_ventas[[#This Row],[Fecha]])</f>
        <v>9</v>
      </c>
      <c r="D3251" s="4">
        <f>WEEKNUM(datos_ventas[[#This Row],[Fecha]],2)</f>
        <v>38</v>
      </c>
      <c r="E3251" t="s">
        <v>29</v>
      </c>
      <c r="F3251" t="s">
        <v>30</v>
      </c>
      <c r="G3251">
        <v>1</v>
      </c>
      <c r="H3251">
        <v>71487</v>
      </c>
      <c r="I3251">
        <v>1562</v>
      </c>
      <c r="J3251" t="s">
        <v>27</v>
      </c>
      <c r="K3251" t="str">
        <f>_xlfn.XLOOKUP(datos_ventas[[#This Row],[Ciudad]],Tabla2[Ciudades],Tabla2[Provincias],"no se encuentra")</f>
        <v>Sevilla</v>
      </c>
      <c r="L3251" t="str">
        <f>_xlfn.XLOOKUP(datos_ventas[[#This Row],[Provincia]],Tabla2[Provincias],Tabla2[Comunidades],"no se encuentra")</f>
        <v>Andalucía</v>
      </c>
      <c r="M3251" t="s">
        <v>19</v>
      </c>
      <c r="N3251">
        <v>1</v>
      </c>
    </row>
    <row r="3252" spans="1:14" x14ac:dyDescent="0.25">
      <c r="A3252">
        <v>4251</v>
      </c>
      <c r="B3252" s="1">
        <v>45875</v>
      </c>
      <c r="C3252" s="4">
        <f>MONTH(datos_ventas[[#This Row],[Fecha]])</f>
        <v>8</v>
      </c>
      <c r="D3252" s="4">
        <f>WEEKNUM(datos_ventas[[#This Row],[Fecha]],2)</f>
        <v>32</v>
      </c>
      <c r="E3252" t="s">
        <v>24</v>
      </c>
      <c r="F3252" t="s">
        <v>25</v>
      </c>
      <c r="G3252">
        <v>4</v>
      </c>
      <c r="H3252">
        <v>1480</v>
      </c>
      <c r="I3252">
        <v>3809</v>
      </c>
      <c r="J3252" t="s">
        <v>27</v>
      </c>
      <c r="K3252" t="str">
        <f>_xlfn.XLOOKUP(datos_ventas[[#This Row],[Ciudad]],Tabla2[Ciudades],Tabla2[Provincias],"no se encuentra")</f>
        <v>Sevilla</v>
      </c>
      <c r="L3252" t="str">
        <f>_xlfn.XLOOKUP(datos_ventas[[#This Row],[Provincia]],Tabla2[Provincias],Tabla2[Comunidades],"no se encuentra")</f>
        <v>Andalucía</v>
      </c>
      <c r="M3252" t="s">
        <v>19</v>
      </c>
      <c r="N3252">
        <v>3</v>
      </c>
    </row>
    <row r="3253" spans="1:14" x14ac:dyDescent="0.25">
      <c r="A3253">
        <v>4252</v>
      </c>
      <c r="B3253" s="1">
        <v>45751</v>
      </c>
      <c r="C3253" s="4">
        <f>MONTH(datos_ventas[[#This Row],[Fecha]])</f>
        <v>4</v>
      </c>
      <c r="D3253" s="4">
        <f>WEEKNUM(datos_ventas[[#This Row],[Fecha]],2)</f>
        <v>14</v>
      </c>
      <c r="E3253" t="s">
        <v>17</v>
      </c>
      <c r="F3253" t="s">
        <v>18</v>
      </c>
      <c r="G3253">
        <v>5</v>
      </c>
      <c r="H3253">
        <v>81278</v>
      </c>
      <c r="I3253">
        <v>3018</v>
      </c>
      <c r="J3253" t="s">
        <v>22</v>
      </c>
      <c r="K3253" t="str">
        <f>_xlfn.XLOOKUP(datos_ventas[[#This Row],[Ciudad]],Tabla2[Ciudades],Tabla2[Provincias],"no se encuentra")</f>
        <v>Valencia</v>
      </c>
      <c r="L3253" t="str">
        <f>_xlfn.XLOOKUP(datos_ventas[[#This Row],[Provincia]],Tabla2[Provincias],Tabla2[Comunidades],"no se encuentra")</f>
        <v>Comunidad Valenciana</v>
      </c>
      <c r="M3253" t="s">
        <v>15</v>
      </c>
      <c r="N3253">
        <v>4</v>
      </c>
    </row>
    <row r="3254" spans="1:14" x14ac:dyDescent="0.25">
      <c r="A3254">
        <v>4253</v>
      </c>
      <c r="B3254" s="1">
        <v>45995</v>
      </c>
      <c r="C3254" s="4">
        <f>MONTH(datos_ventas[[#This Row],[Fecha]])</f>
        <v>12</v>
      </c>
      <c r="D3254" s="4">
        <f>WEEKNUM(datos_ventas[[#This Row],[Fecha]],2)</f>
        <v>49</v>
      </c>
      <c r="E3254" t="s">
        <v>16</v>
      </c>
      <c r="F3254" t="s">
        <v>11</v>
      </c>
      <c r="G3254">
        <v>3</v>
      </c>
      <c r="H3254">
        <v>119996</v>
      </c>
      <c r="I3254">
        <v>1289</v>
      </c>
      <c r="J3254" t="s">
        <v>31</v>
      </c>
      <c r="K3254" t="str">
        <f>_xlfn.XLOOKUP(datos_ventas[[#This Row],[Ciudad]],Tabla2[Ciudades],Tabla2[Provincias],"no se encuentra")</f>
        <v>Vizcaya</v>
      </c>
      <c r="L3254" t="str">
        <f>_xlfn.XLOOKUP(datos_ventas[[#This Row],[Provincia]],Tabla2[Provincias],Tabla2[Comunidades],"no se encuentra")</f>
        <v>País Vasco</v>
      </c>
      <c r="M3254" t="s">
        <v>28</v>
      </c>
      <c r="N3254">
        <v>4</v>
      </c>
    </row>
    <row r="3255" spans="1:14" x14ac:dyDescent="0.25">
      <c r="A3255">
        <v>4254</v>
      </c>
      <c r="B3255" s="1">
        <v>45875</v>
      </c>
      <c r="C3255" s="4">
        <f>MONTH(datos_ventas[[#This Row],[Fecha]])</f>
        <v>8</v>
      </c>
      <c r="D3255" s="4">
        <f>WEEKNUM(datos_ventas[[#This Row],[Fecha]],2)</f>
        <v>32</v>
      </c>
      <c r="E3255" t="s">
        <v>16</v>
      </c>
      <c r="F3255" t="s">
        <v>11</v>
      </c>
      <c r="G3255">
        <v>2</v>
      </c>
      <c r="H3255">
        <v>4813</v>
      </c>
      <c r="I3255">
        <v>1679</v>
      </c>
      <c r="J3255" t="s">
        <v>12</v>
      </c>
      <c r="K3255" t="str">
        <f>_xlfn.XLOOKUP(datos_ventas[[#This Row],[Ciudad]],Tabla2[Ciudades],Tabla2[Provincias],"no se encuentra")</f>
        <v>Málaga</v>
      </c>
      <c r="L3255" t="str">
        <f>_xlfn.XLOOKUP(datos_ventas[[#This Row],[Provincia]],Tabla2[Provincias],Tabla2[Comunidades],"no se encuentra")</f>
        <v>Andalucía</v>
      </c>
      <c r="M3255" t="s">
        <v>13</v>
      </c>
      <c r="N3255">
        <v>1</v>
      </c>
    </row>
    <row r="3256" spans="1:14" x14ac:dyDescent="0.25">
      <c r="A3256">
        <v>4255</v>
      </c>
      <c r="B3256" s="1">
        <v>45964</v>
      </c>
      <c r="C3256" s="4">
        <f>MONTH(datos_ventas[[#This Row],[Fecha]])</f>
        <v>11</v>
      </c>
      <c r="D3256" s="4">
        <f>WEEKNUM(datos_ventas[[#This Row],[Fecha]],2)</f>
        <v>45</v>
      </c>
      <c r="E3256" t="s">
        <v>23</v>
      </c>
      <c r="F3256" t="s">
        <v>18</v>
      </c>
      <c r="G3256">
        <v>4</v>
      </c>
      <c r="H3256">
        <v>91164</v>
      </c>
      <c r="I3256">
        <v>3912</v>
      </c>
      <c r="J3256" t="s">
        <v>32</v>
      </c>
      <c r="K3256" t="str">
        <f>_xlfn.XLOOKUP(datos_ventas[[#This Row],[Ciudad]],Tabla2[Ciudades],Tabla2[Provincias],"no se encuentra")</f>
        <v>Barcelona</v>
      </c>
      <c r="L3256" t="str">
        <f>_xlfn.XLOOKUP(datos_ventas[[#This Row],[Provincia]],Tabla2[Provincias],Tabla2[Comunidades],"no se encuentra")</f>
        <v>Cataluña</v>
      </c>
      <c r="M3256" t="s">
        <v>15</v>
      </c>
      <c r="N3256">
        <v>3</v>
      </c>
    </row>
    <row r="3257" spans="1:14" x14ac:dyDescent="0.25">
      <c r="A3257">
        <v>4256</v>
      </c>
      <c r="B3257" s="1">
        <v>45800</v>
      </c>
      <c r="C3257" s="4">
        <f>MONTH(datos_ventas[[#This Row],[Fecha]])</f>
        <v>5</v>
      </c>
      <c r="D3257" s="4">
        <f>WEEKNUM(datos_ventas[[#This Row],[Fecha]],2)</f>
        <v>21</v>
      </c>
      <c r="E3257" t="s">
        <v>20</v>
      </c>
      <c r="F3257" t="s">
        <v>21</v>
      </c>
      <c r="G3257">
        <v>2</v>
      </c>
      <c r="H3257">
        <v>29538</v>
      </c>
      <c r="I3257">
        <v>4048</v>
      </c>
      <c r="J3257" t="s">
        <v>22</v>
      </c>
      <c r="K3257" t="str">
        <f>_xlfn.XLOOKUP(datos_ventas[[#This Row],[Ciudad]],Tabla2[Ciudades],Tabla2[Provincias],"no se encuentra")</f>
        <v>Valencia</v>
      </c>
      <c r="L3257" t="str">
        <f>_xlfn.XLOOKUP(datos_ventas[[#This Row],[Provincia]],Tabla2[Provincias],Tabla2[Comunidades],"no se encuentra")</f>
        <v>Comunidad Valenciana</v>
      </c>
      <c r="M3257" t="s">
        <v>28</v>
      </c>
      <c r="N3257">
        <v>4</v>
      </c>
    </row>
    <row r="3258" spans="1:14" x14ac:dyDescent="0.25">
      <c r="A3258">
        <v>4257</v>
      </c>
      <c r="B3258" s="1">
        <v>45803</v>
      </c>
      <c r="C3258" s="4">
        <f>MONTH(datos_ventas[[#This Row],[Fecha]])</f>
        <v>5</v>
      </c>
      <c r="D3258" s="4">
        <f>WEEKNUM(datos_ventas[[#This Row],[Fecha]],2)</f>
        <v>22</v>
      </c>
      <c r="E3258" t="s">
        <v>17</v>
      </c>
      <c r="F3258" t="s">
        <v>18</v>
      </c>
      <c r="G3258">
        <v>4</v>
      </c>
      <c r="H3258">
        <v>6136</v>
      </c>
      <c r="I3258">
        <v>1044</v>
      </c>
      <c r="J3258" t="s">
        <v>12</v>
      </c>
      <c r="K3258" t="str">
        <f>_xlfn.XLOOKUP(datos_ventas[[#This Row],[Ciudad]],Tabla2[Ciudades],Tabla2[Provincias],"no se encuentra")</f>
        <v>Málaga</v>
      </c>
      <c r="L3258" t="str">
        <f>_xlfn.XLOOKUP(datos_ventas[[#This Row],[Provincia]],Tabla2[Provincias],Tabla2[Comunidades],"no se encuentra")</f>
        <v>Andalucía</v>
      </c>
      <c r="M3258" t="s">
        <v>28</v>
      </c>
      <c r="N3258">
        <v>2</v>
      </c>
    </row>
    <row r="3259" spans="1:14" x14ac:dyDescent="0.25">
      <c r="A3259">
        <v>4258</v>
      </c>
      <c r="B3259" s="1">
        <v>45698</v>
      </c>
      <c r="C3259" s="4">
        <f>MONTH(datos_ventas[[#This Row],[Fecha]])</f>
        <v>2</v>
      </c>
      <c r="D3259" s="4">
        <f>WEEKNUM(datos_ventas[[#This Row],[Fecha]],2)</f>
        <v>7</v>
      </c>
      <c r="E3259" t="s">
        <v>29</v>
      </c>
      <c r="F3259" t="s">
        <v>30</v>
      </c>
      <c r="G3259">
        <v>1</v>
      </c>
      <c r="H3259">
        <v>5689</v>
      </c>
      <c r="I3259">
        <v>2153</v>
      </c>
      <c r="J3259" t="s">
        <v>14</v>
      </c>
      <c r="K3259" t="str">
        <f>_xlfn.XLOOKUP(datos_ventas[[#This Row],[Ciudad]],Tabla2[Ciudades],Tabla2[Provincias],"no se encuentra")</f>
        <v>Madrid</v>
      </c>
      <c r="L3259" t="str">
        <f>_xlfn.XLOOKUP(datos_ventas[[#This Row],[Provincia]],Tabla2[Provincias],Tabla2[Comunidades],"no se encuentra")</f>
        <v>Comunidad de Madrid</v>
      </c>
      <c r="M3259" t="s">
        <v>13</v>
      </c>
      <c r="N3259">
        <v>5</v>
      </c>
    </row>
    <row r="3260" spans="1:14" x14ac:dyDescent="0.25">
      <c r="A3260">
        <v>4259</v>
      </c>
      <c r="B3260" s="1">
        <v>45741</v>
      </c>
      <c r="C3260" s="4">
        <f>MONTH(datos_ventas[[#This Row],[Fecha]])</f>
        <v>3</v>
      </c>
      <c r="D3260" s="4">
        <f>WEEKNUM(datos_ventas[[#This Row],[Fecha]],2)</f>
        <v>13</v>
      </c>
      <c r="E3260" t="s">
        <v>17</v>
      </c>
      <c r="F3260" t="s">
        <v>18</v>
      </c>
      <c r="G3260">
        <v>4</v>
      </c>
      <c r="H3260">
        <v>30574</v>
      </c>
      <c r="I3260">
        <v>2113</v>
      </c>
      <c r="J3260" t="s">
        <v>27</v>
      </c>
      <c r="K3260" t="str">
        <f>_xlfn.XLOOKUP(datos_ventas[[#This Row],[Ciudad]],Tabla2[Ciudades],Tabla2[Provincias],"no se encuentra")</f>
        <v>Sevilla</v>
      </c>
      <c r="L3260" t="str">
        <f>_xlfn.XLOOKUP(datos_ventas[[#This Row],[Provincia]],Tabla2[Provincias],Tabla2[Comunidades],"no se encuentra")</f>
        <v>Andalucía</v>
      </c>
      <c r="M3260" t="s">
        <v>13</v>
      </c>
      <c r="N3260">
        <v>5</v>
      </c>
    </row>
    <row r="3261" spans="1:14" x14ac:dyDescent="0.25">
      <c r="A3261">
        <v>4260</v>
      </c>
      <c r="B3261" s="1">
        <v>45875</v>
      </c>
      <c r="C3261" s="4">
        <f>MONTH(datos_ventas[[#This Row],[Fecha]])</f>
        <v>8</v>
      </c>
      <c r="D3261" s="4">
        <f>WEEKNUM(datos_ventas[[#This Row],[Fecha]],2)</f>
        <v>32</v>
      </c>
      <c r="E3261" t="s">
        <v>29</v>
      </c>
      <c r="F3261" t="s">
        <v>30</v>
      </c>
      <c r="G3261">
        <v>3</v>
      </c>
      <c r="H3261">
        <v>51113</v>
      </c>
      <c r="I3261">
        <v>1837</v>
      </c>
      <c r="J3261" t="s">
        <v>14</v>
      </c>
      <c r="K3261" t="str">
        <f>_xlfn.XLOOKUP(datos_ventas[[#This Row],[Ciudad]],Tabla2[Ciudades],Tabla2[Provincias],"no se encuentra")</f>
        <v>Madrid</v>
      </c>
      <c r="L3261" t="str">
        <f>_xlfn.XLOOKUP(datos_ventas[[#This Row],[Provincia]],Tabla2[Provincias],Tabla2[Comunidades],"no se encuentra")</f>
        <v>Comunidad de Madrid</v>
      </c>
      <c r="M3261" t="s">
        <v>28</v>
      </c>
      <c r="N3261">
        <v>2</v>
      </c>
    </row>
    <row r="3262" spans="1:14" x14ac:dyDescent="0.25">
      <c r="A3262">
        <v>4261</v>
      </c>
      <c r="B3262" s="1">
        <v>45701</v>
      </c>
      <c r="C3262" s="4">
        <f>MONTH(datos_ventas[[#This Row],[Fecha]])</f>
        <v>2</v>
      </c>
      <c r="D3262" s="4">
        <f>WEEKNUM(datos_ventas[[#This Row],[Fecha]],2)</f>
        <v>7</v>
      </c>
      <c r="E3262" t="s">
        <v>20</v>
      </c>
      <c r="F3262" t="s">
        <v>21</v>
      </c>
      <c r="G3262">
        <v>1</v>
      </c>
      <c r="H3262">
        <v>118636</v>
      </c>
      <c r="I3262">
        <v>1213</v>
      </c>
      <c r="J3262" t="s">
        <v>31</v>
      </c>
      <c r="K3262" t="str">
        <f>_xlfn.XLOOKUP(datos_ventas[[#This Row],[Ciudad]],Tabla2[Ciudades],Tabla2[Provincias],"no se encuentra")</f>
        <v>Vizcaya</v>
      </c>
      <c r="L3262" t="str">
        <f>_xlfn.XLOOKUP(datos_ventas[[#This Row],[Provincia]],Tabla2[Provincias],Tabla2[Comunidades],"no se encuentra")</f>
        <v>País Vasco</v>
      </c>
      <c r="M3262" t="s">
        <v>19</v>
      </c>
      <c r="N3262">
        <v>2</v>
      </c>
    </row>
    <row r="3263" spans="1:14" x14ac:dyDescent="0.25">
      <c r="A3263">
        <v>4262</v>
      </c>
      <c r="B3263" s="1">
        <v>45665</v>
      </c>
      <c r="C3263" s="4">
        <f>MONTH(datos_ventas[[#This Row],[Fecha]])</f>
        <v>1</v>
      </c>
      <c r="D3263" s="4">
        <f>WEEKNUM(datos_ventas[[#This Row],[Fecha]],2)</f>
        <v>2</v>
      </c>
      <c r="E3263" t="s">
        <v>26</v>
      </c>
      <c r="F3263" t="s">
        <v>18</v>
      </c>
      <c r="G3263">
        <v>3</v>
      </c>
      <c r="H3263">
        <v>2550</v>
      </c>
      <c r="I3263">
        <v>2371</v>
      </c>
      <c r="J3263" t="s">
        <v>14</v>
      </c>
      <c r="K3263" t="str">
        <f>_xlfn.XLOOKUP(datos_ventas[[#This Row],[Ciudad]],Tabla2[Ciudades],Tabla2[Provincias],"no se encuentra")</f>
        <v>Madrid</v>
      </c>
      <c r="L3263" t="str">
        <f>_xlfn.XLOOKUP(datos_ventas[[#This Row],[Provincia]],Tabla2[Provincias],Tabla2[Comunidades],"no se encuentra")</f>
        <v>Comunidad de Madrid</v>
      </c>
      <c r="M3263" t="s">
        <v>19</v>
      </c>
      <c r="N3263">
        <v>5</v>
      </c>
    </row>
    <row r="3264" spans="1:14" x14ac:dyDescent="0.25">
      <c r="A3264">
        <v>4263</v>
      </c>
      <c r="B3264" s="1">
        <v>45977</v>
      </c>
      <c r="C3264" s="4">
        <f>MONTH(datos_ventas[[#This Row],[Fecha]])</f>
        <v>11</v>
      </c>
      <c r="D3264" s="4">
        <f>WEEKNUM(datos_ventas[[#This Row],[Fecha]],2)</f>
        <v>46</v>
      </c>
      <c r="E3264" t="s">
        <v>29</v>
      </c>
      <c r="F3264" t="s">
        <v>30</v>
      </c>
      <c r="G3264">
        <v>1</v>
      </c>
      <c r="H3264">
        <v>109701</v>
      </c>
      <c r="I3264">
        <v>3163</v>
      </c>
      <c r="J3264" t="s">
        <v>12</v>
      </c>
      <c r="K3264" t="str">
        <f>_xlfn.XLOOKUP(datos_ventas[[#This Row],[Ciudad]],Tabla2[Ciudades],Tabla2[Provincias],"no se encuentra")</f>
        <v>Málaga</v>
      </c>
      <c r="L3264" t="str">
        <f>_xlfn.XLOOKUP(datos_ventas[[#This Row],[Provincia]],Tabla2[Provincias],Tabla2[Comunidades],"no se encuentra")</f>
        <v>Andalucía</v>
      </c>
      <c r="M3264" t="s">
        <v>28</v>
      </c>
      <c r="N3264">
        <v>3</v>
      </c>
    </row>
    <row r="3265" spans="1:14" x14ac:dyDescent="0.25">
      <c r="A3265">
        <v>4264</v>
      </c>
      <c r="B3265" s="1">
        <v>45659</v>
      </c>
      <c r="C3265" s="4">
        <f>MONTH(datos_ventas[[#This Row],[Fecha]])</f>
        <v>1</v>
      </c>
      <c r="D3265" s="4">
        <f>WEEKNUM(datos_ventas[[#This Row],[Fecha]],2)</f>
        <v>1</v>
      </c>
      <c r="E3265" t="s">
        <v>20</v>
      </c>
      <c r="F3265" t="s">
        <v>21</v>
      </c>
      <c r="G3265">
        <v>4</v>
      </c>
      <c r="H3265">
        <v>68706</v>
      </c>
      <c r="I3265">
        <v>2722</v>
      </c>
      <c r="J3265" t="s">
        <v>22</v>
      </c>
      <c r="K3265" t="str">
        <f>_xlfn.XLOOKUP(datos_ventas[[#This Row],[Ciudad]],Tabla2[Ciudades],Tabla2[Provincias],"no se encuentra")</f>
        <v>Valencia</v>
      </c>
      <c r="L3265" t="str">
        <f>_xlfn.XLOOKUP(datos_ventas[[#This Row],[Provincia]],Tabla2[Provincias],Tabla2[Comunidades],"no se encuentra")</f>
        <v>Comunidad Valenciana</v>
      </c>
      <c r="M3265" t="s">
        <v>28</v>
      </c>
      <c r="N3265">
        <v>4</v>
      </c>
    </row>
    <row r="3266" spans="1:14" x14ac:dyDescent="0.25">
      <c r="A3266">
        <v>4265</v>
      </c>
      <c r="B3266" s="1">
        <v>45776</v>
      </c>
      <c r="C3266" s="4">
        <f>MONTH(datos_ventas[[#This Row],[Fecha]])</f>
        <v>4</v>
      </c>
      <c r="D3266" s="4">
        <f>WEEKNUM(datos_ventas[[#This Row],[Fecha]],2)</f>
        <v>18</v>
      </c>
      <c r="E3266" t="s">
        <v>17</v>
      </c>
      <c r="F3266" t="s">
        <v>18</v>
      </c>
      <c r="G3266">
        <v>3</v>
      </c>
      <c r="H3266">
        <v>101064</v>
      </c>
      <c r="I3266">
        <v>754</v>
      </c>
      <c r="J3266" t="s">
        <v>32</v>
      </c>
      <c r="K3266" t="str">
        <f>_xlfn.XLOOKUP(datos_ventas[[#This Row],[Ciudad]],Tabla2[Ciudades],Tabla2[Provincias],"no se encuentra")</f>
        <v>Barcelona</v>
      </c>
      <c r="L3266" t="str">
        <f>_xlfn.XLOOKUP(datos_ventas[[#This Row],[Provincia]],Tabla2[Provincias],Tabla2[Comunidades],"no se encuentra")</f>
        <v>Cataluña</v>
      </c>
      <c r="M3266" t="s">
        <v>28</v>
      </c>
      <c r="N3266">
        <v>5</v>
      </c>
    </row>
    <row r="3267" spans="1:14" x14ac:dyDescent="0.25">
      <c r="A3267">
        <v>4266</v>
      </c>
      <c r="B3267" s="1">
        <v>45973</v>
      </c>
      <c r="C3267" s="4">
        <f>MONTH(datos_ventas[[#This Row],[Fecha]])</f>
        <v>11</v>
      </c>
      <c r="D3267" s="4">
        <f>WEEKNUM(datos_ventas[[#This Row],[Fecha]],2)</f>
        <v>46</v>
      </c>
      <c r="E3267" t="s">
        <v>26</v>
      </c>
      <c r="F3267" t="s">
        <v>18</v>
      </c>
      <c r="G3267">
        <v>2</v>
      </c>
      <c r="H3267">
        <v>12126</v>
      </c>
      <c r="I3267">
        <v>4665</v>
      </c>
      <c r="J3267" t="s">
        <v>22</v>
      </c>
      <c r="K3267" t="str">
        <f>_xlfn.XLOOKUP(datos_ventas[[#This Row],[Ciudad]],Tabla2[Ciudades],Tabla2[Provincias],"no se encuentra")</f>
        <v>Valencia</v>
      </c>
      <c r="L3267" t="str">
        <f>_xlfn.XLOOKUP(datos_ventas[[#This Row],[Provincia]],Tabla2[Provincias],Tabla2[Comunidades],"no se encuentra")</f>
        <v>Comunidad Valenciana</v>
      </c>
      <c r="M3267" t="s">
        <v>13</v>
      </c>
      <c r="N3267">
        <v>1</v>
      </c>
    </row>
    <row r="3268" spans="1:14" x14ac:dyDescent="0.25">
      <c r="A3268">
        <v>4267</v>
      </c>
      <c r="B3268" s="1">
        <v>45849</v>
      </c>
      <c r="C3268" s="4">
        <f>MONTH(datos_ventas[[#This Row],[Fecha]])</f>
        <v>7</v>
      </c>
      <c r="D3268" s="4">
        <f>WEEKNUM(datos_ventas[[#This Row],[Fecha]],2)</f>
        <v>28</v>
      </c>
      <c r="E3268" t="s">
        <v>10</v>
      </c>
      <c r="F3268" t="s">
        <v>11</v>
      </c>
      <c r="G3268">
        <v>4</v>
      </c>
      <c r="H3268">
        <v>10509</v>
      </c>
      <c r="I3268">
        <v>2435</v>
      </c>
      <c r="J3268" t="s">
        <v>32</v>
      </c>
      <c r="K3268" t="str">
        <f>_xlfn.XLOOKUP(datos_ventas[[#This Row],[Ciudad]],Tabla2[Ciudades],Tabla2[Provincias],"no se encuentra")</f>
        <v>Barcelona</v>
      </c>
      <c r="L3268" t="str">
        <f>_xlfn.XLOOKUP(datos_ventas[[#This Row],[Provincia]],Tabla2[Provincias],Tabla2[Comunidades],"no se encuentra")</f>
        <v>Cataluña</v>
      </c>
      <c r="M3268" t="s">
        <v>13</v>
      </c>
      <c r="N3268">
        <v>1</v>
      </c>
    </row>
    <row r="3269" spans="1:14" x14ac:dyDescent="0.25">
      <c r="A3269">
        <v>4268</v>
      </c>
      <c r="B3269" s="1">
        <v>45789</v>
      </c>
      <c r="C3269" s="4">
        <f>MONTH(datos_ventas[[#This Row],[Fecha]])</f>
        <v>5</v>
      </c>
      <c r="D3269" s="4">
        <f>WEEKNUM(datos_ventas[[#This Row],[Fecha]],2)</f>
        <v>20</v>
      </c>
      <c r="E3269" t="s">
        <v>20</v>
      </c>
      <c r="F3269" t="s">
        <v>21</v>
      </c>
      <c r="G3269">
        <v>5</v>
      </c>
      <c r="H3269">
        <v>71686</v>
      </c>
      <c r="I3269">
        <v>2731</v>
      </c>
      <c r="J3269" t="s">
        <v>22</v>
      </c>
      <c r="K3269" t="str">
        <f>_xlfn.XLOOKUP(datos_ventas[[#This Row],[Ciudad]],Tabla2[Ciudades],Tabla2[Provincias],"no se encuentra")</f>
        <v>Valencia</v>
      </c>
      <c r="L3269" t="str">
        <f>_xlfn.XLOOKUP(datos_ventas[[#This Row],[Provincia]],Tabla2[Provincias],Tabla2[Comunidades],"no se encuentra")</f>
        <v>Comunidad Valenciana</v>
      </c>
      <c r="M3269" t="s">
        <v>28</v>
      </c>
      <c r="N3269">
        <v>1</v>
      </c>
    </row>
    <row r="3270" spans="1:14" x14ac:dyDescent="0.25">
      <c r="A3270">
        <v>4269</v>
      </c>
      <c r="B3270" s="1">
        <v>45708</v>
      </c>
      <c r="C3270" s="4">
        <f>MONTH(datos_ventas[[#This Row],[Fecha]])</f>
        <v>2</v>
      </c>
      <c r="D3270" s="4">
        <f>WEEKNUM(datos_ventas[[#This Row],[Fecha]],2)</f>
        <v>8</v>
      </c>
      <c r="E3270" t="s">
        <v>29</v>
      </c>
      <c r="F3270" t="s">
        <v>30</v>
      </c>
      <c r="G3270">
        <v>5</v>
      </c>
      <c r="H3270">
        <v>81154</v>
      </c>
      <c r="I3270">
        <v>1949</v>
      </c>
      <c r="J3270" t="s">
        <v>14</v>
      </c>
      <c r="K3270" t="str">
        <f>_xlfn.XLOOKUP(datos_ventas[[#This Row],[Ciudad]],Tabla2[Ciudades],Tabla2[Provincias],"no se encuentra")</f>
        <v>Madrid</v>
      </c>
      <c r="L3270" t="str">
        <f>_xlfn.XLOOKUP(datos_ventas[[#This Row],[Provincia]],Tabla2[Provincias],Tabla2[Comunidades],"no se encuentra")</f>
        <v>Comunidad de Madrid</v>
      </c>
      <c r="M3270" t="s">
        <v>28</v>
      </c>
      <c r="N3270">
        <v>3</v>
      </c>
    </row>
    <row r="3271" spans="1:14" x14ac:dyDescent="0.25">
      <c r="A3271">
        <v>4270</v>
      </c>
      <c r="B3271" s="1">
        <v>45742</v>
      </c>
      <c r="C3271" s="4">
        <f>MONTH(datos_ventas[[#This Row],[Fecha]])</f>
        <v>3</v>
      </c>
      <c r="D3271" s="4">
        <f>WEEKNUM(datos_ventas[[#This Row],[Fecha]],2)</f>
        <v>13</v>
      </c>
      <c r="E3271" t="s">
        <v>24</v>
      </c>
      <c r="F3271" t="s">
        <v>25</v>
      </c>
      <c r="G3271">
        <v>4</v>
      </c>
      <c r="H3271">
        <v>114793</v>
      </c>
      <c r="I3271">
        <v>4991</v>
      </c>
      <c r="J3271" t="s">
        <v>12</v>
      </c>
      <c r="K3271" t="str">
        <f>_xlfn.XLOOKUP(datos_ventas[[#This Row],[Ciudad]],Tabla2[Ciudades],Tabla2[Provincias],"no se encuentra")</f>
        <v>Málaga</v>
      </c>
      <c r="L3271" t="str">
        <f>_xlfn.XLOOKUP(datos_ventas[[#This Row],[Provincia]],Tabla2[Provincias],Tabla2[Comunidades],"no se encuentra")</f>
        <v>Andalucía</v>
      </c>
      <c r="M3271" t="s">
        <v>13</v>
      </c>
      <c r="N3271">
        <v>4</v>
      </c>
    </row>
    <row r="3272" spans="1:14" x14ac:dyDescent="0.25">
      <c r="A3272">
        <v>4271</v>
      </c>
      <c r="B3272" s="1">
        <v>45718</v>
      </c>
      <c r="C3272" s="4">
        <f>MONTH(datos_ventas[[#This Row],[Fecha]])</f>
        <v>3</v>
      </c>
      <c r="D3272" s="4">
        <f>WEEKNUM(datos_ventas[[#This Row],[Fecha]],2)</f>
        <v>9</v>
      </c>
      <c r="E3272" t="s">
        <v>10</v>
      </c>
      <c r="F3272" t="s">
        <v>11</v>
      </c>
      <c r="G3272">
        <v>1</v>
      </c>
      <c r="H3272">
        <v>49194</v>
      </c>
      <c r="I3272">
        <v>1201</v>
      </c>
      <c r="J3272" t="s">
        <v>27</v>
      </c>
      <c r="K3272" t="str">
        <f>_xlfn.XLOOKUP(datos_ventas[[#This Row],[Ciudad]],Tabla2[Ciudades],Tabla2[Provincias],"no se encuentra")</f>
        <v>Sevilla</v>
      </c>
      <c r="L3272" t="str">
        <f>_xlfn.XLOOKUP(datos_ventas[[#This Row],[Provincia]],Tabla2[Provincias],Tabla2[Comunidades],"no se encuentra")</f>
        <v>Andalucía</v>
      </c>
      <c r="M3272" t="s">
        <v>13</v>
      </c>
      <c r="N3272">
        <v>2</v>
      </c>
    </row>
    <row r="3273" spans="1:14" x14ac:dyDescent="0.25">
      <c r="A3273">
        <v>4272</v>
      </c>
      <c r="B3273" s="1">
        <v>45674</v>
      </c>
      <c r="C3273" s="4">
        <f>MONTH(datos_ventas[[#This Row],[Fecha]])</f>
        <v>1</v>
      </c>
      <c r="D3273" s="4">
        <f>WEEKNUM(datos_ventas[[#This Row],[Fecha]],2)</f>
        <v>3</v>
      </c>
      <c r="E3273" t="s">
        <v>26</v>
      </c>
      <c r="F3273" t="s">
        <v>18</v>
      </c>
      <c r="G3273">
        <v>4</v>
      </c>
      <c r="H3273">
        <v>112271</v>
      </c>
      <c r="I3273">
        <v>2514</v>
      </c>
      <c r="J3273" t="s">
        <v>31</v>
      </c>
      <c r="K3273" t="str">
        <f>_xlfn.XLOOKUP(datos_ventas[[#This Row],[Ciudad]],Tabla2[Ciudades],Tabla2[Provincias],"no se encuentra")</f>
        <v>Vizcaya</v>
      </c>
      <c r="L3273" t="str">
        <f>_xlfn.XLOOKUP(datos_ventas[[#This Row],[Provincia]],Tabla2[Provincias],Tabla2[Comunidades],"no se encuentra")</f>
        <v>País Vasco</v>
      </c>
      <c r="M3273" t="s">
        <v>19</v>
      </c>
      <c r="N3273">
        <v>3</v>
      </c>
    </row>
    <row r="3274" spans="1:14" x14ac:dyDescent="0.25">
      <c r="A3274">
        <v>4273</v>
      </c>
      <c r="B3274" s="1">
        <v>45801</v>
      </c>
      <c r="C3274" s="4">
        <f>MONTH(datos_ventas[[#This Row],[Fecha]])</f>
        <v>5</v>
      </c>
      <c r="D3274" s="4">
        <f>WEEKNUM(datos_ventas[[#This Row],[Fecha]],2)</f>
        <v>21</v>
      </c>
      <c r="E3274" t="s">
        <v>10</v>
      </c>
      <c r="F3274" t="s">
        <v>11</v>
      </c>
      <c r="G3274">
        <v>3</v>
      </c>
      <c r="H3274">
        <v>36204</v>
      </c>
      <c r="I3274">
        <v>3796</v>
      </c>
      <c r="J3274" t="s">
        <v>32</v>
      </c>
      <c r="K3274" t="str">
        <f>_xlfn.XLOOKUP(datos_ventas[[#This Row],[Ciudad]],Tabla2[Ciudades],Tabla2[Provincias],"no se encuentra")</f>
        <v>Barcelona</v>
      </c>
      <c r="L3274" t="str">
        <f>_xlfn.XLOOKUP(datos_ventas[[#This Row],[Provincia]],Tabla2[Provincias],Tabla2[Comunidades],"no se encuentra")</f>
        <v>Cataluña</v>
      </c>
      <c r="M3274" t="s">
        <v>28</v>
      </c>
      <c r="N3274">
        <v>5</v>
      </c>
    </row>
    <row r="3275" spans="1:14" x14ac:dyDescent="0.25">
      <c r="A3275">
        <v>4274</v>
      </c>
      <c r="B3275" s="1">
        <v>45923</v>
      </c>
      <c r="C3275" s="4">
        <f>MONTH(datos_ventas[[#This Row],[Fecha]])</f>
        <v>9</v>
      </c>
      <c r="D3275" s="4">
        <f>WEEKNUM(datos_ventas[[#This Row],[Fecha]],2)</f>
        <v>39</v>
      </c>
      <c r="E3275" t="s">
        <v>23</v>
      </c>
      <c r="F3275" t="s">
        <v>18</v>
      </c>
      <c r="G3275">
        <v>3</v>
      </c>
      <c r="H3275">
        <v>10297</v>
      </c>
      <c r="I3275">
        <v>4862</v>
      </c>
      <c r="J3275" t="s">
        <v>32</v>
      </c>
      <c r="K3275" t="str">
        <f>_xlfn.XLOOKUP(datos_ventas[[#This Row],[Ciudad]],Tabla2[Ciudades],Tabla2[Provincias],"no se encuentra")</f>
        <v>Barcelona</v>
      </c>
      <c r="L3275" t="str">
        <f>_xlfn.XLOOKUP(datos_ventas[[#This Row],[Provincia]],Tabla2[Provincias],Tabla2[Comunidades],"no se encuentra")</f>
        <v>Cataluña</v>
      </c>
      <c r="M3275" t="s">
        <v>15</v>
      </c>
      <c r="N3275">
        <v>2</v>
      </c>
    </row>
    <row r="3276" spans="1:14" x14ac:dyDescent="0.25">
      <c r="A3276">
        <v>4275</v>
      </c>
      <c r="B3276" s="1">
        <v>45848</v>
      </c>
      <c r="C3276" s="4">
        <f>MONTH(datos_ventas[[#This Row],[Fecha]])</f>
        <v>7</v>
      </c>
      <c r="D3276" s="4">
        <f>WEEKNUM(datos_ventas[[#This Row],[Fecha]],2)</f>
        <v>28</v>
      </c>
      <c r="E3276" t="s">
        <v>23</v>
      </c>
      <c r="F3276" t="s">
        <v>18</v>
      </c>
      <c r="G3276">
        <v>5</v>
      </c>
      <c r="H3276">
        <v>15129</v>
      </c>
      <c r="I3276">
        <v>3427</v>
      </c>
      <c r="J3276" t="s">
        <v>12</v>
      </c>
      <c r="K3276" t="str">
        <f>_xlfn.XLOOKUP(datos_ventas[[#This Row],[Ciudad]],Tabla2[Ciudades],Tabla2[Provincias],"no se encuentra")</f>
        <v>Málaga</v>
      </c>
      <c r="L3276" t="str">
        <f>_xlfn.XLOOKUP(datos_ventas[[#This Row],[Provincia]],Tabla2[Provincias],Tabla2[Comunidades],"no se encuentra")</f>
        <v>Andalucía</v>
      </c>
      <c r="M3276" t="s">
        <v>28</v>
      </c>
      <c r="N3276">
        <v>1</v>
      </c>
    </row>
    <row r="3277" spans="1:14" x14ac:dyDescent="0.25">
      <c r="A3277">
        <v>4276</v>
      </c>
      <c r="B3277" s="1">
        <v>45842</v>
      </c>
      <c r="C3277" s="4">
        <f>MONTH(datos_ventas[[#This Row],[Fecha]])</f>
        <v>7</v>
      </c>
      <c r="D3277" s="4">
        <f>WEEKNUM(datos_ventas[[#This Row],[Fecha]],2)</f>
        <v>27</v>
      </c>
      <c r="E3277" t="s">
        <v>10</v>
      </c>
      <c r="F3277" t="s">
        <v>11</v>
      </c>
      <c r="G3277">
        <v>4</v>
      </c>
      <c r="H3277">
        <v>54288</v>
      </c>
      <c r="I3277">
        <v>3153</v>
      </c>
      <c r="J3277" t="s">
        <v>14</v>
      </c>
      <c r="K3277" t="str">
        <f>_xlfn.XLOOKUP(datos_ventas[[#This Row],[Ciudad]],Tabla2[Ciudades],Tabla2[Provincias],"no se encuentra")</f>
        <v>Madrid</v>
      </c>
      <c r="L3277" t="str">
        <f>_xlfn.XLOOKUP(datos_ventas[[#This Row],[Provincia]],Tabla2[Provincias],Tabla2[Comunidades],"no se encuentra")</f>
        <v>Comunidad de Madrid</v>
      </c>
      <c r="M3277" t="s">
        <v>13</v>
      </c>
      <c r="N3277">
        <v>5</v>
      </c>
    </row>
    <row r="3278" spans="1:14" x14ac:dyDescent="0.25">
      <c r="A3278">
        <v>4277</v>
      </c>
      <c r="B3278" s="1">
        <v>45855</v>
      </c>
      <c r="C3278" s="4">
        <f>MONTH(datos_ventas[[#This Row],[Fecha]])</f>
        <v>7</v>
      </c>
      <c r="D3278" s="4">
        <f>WEEKNUM(datos_ventas[[#This Row],[Fecha]],2)</f>
        <v>29</v>
      </c>
      <c r="E3278" t="s">
        <v>10</v>
      </c>
      <c r="F3278" t="s">
        <v>11</v>
      </c>
      <c r="G3278">
        <v>5</v>
      </c>
      <c r="H3278">
        <v>51815</v>
      </c>
      <c r="I3278">
        <v>2709</v>
      </c>
      <c r="J3278" t="s">
        <v>27</v>
      </c>
      <c r="K3278" t="str">
        <f>_xlfn.XLOOKUP(datos_ventas[[#This Row],[Ciudad]],Tabla2[Ciudades],Tabla2[Provincias],"no se encuentra")</f>
        <v>Sevilla</v>
      </c>
      <c r="L3278" t="str">
        <f>_xlfn.XLOOKUP(datos_ventas[[#This Row],[Provincia]],Tabla2[Provincias],Tabla2[Comunidades],"no se encuentra")</f>
        <v>Andalucía</v>
      </c>
      <c r="M3278" t="s">
        <v>15</v>
      </c>
      <c r="N3278">
        <v>5</v>
      </c>
    </row>
    <row r="3279" spans="1:14" x14ac:dyDescent="0.25">
      <c r="A3279">
        <v>4278</v>
      </c>
      <c r="B3279" s="1">
        <v>45934</v>
      </c>
      <c r="C3279" s="4">
        <f>MONTH(datos_ventas[[#This Row],[Fecha]])</f>
        <v>10</v>
      </c>
      <c r="D3279" s="4">
        <f>WEEKNUM(datos_ventas[[#This Row],[Fecha]],2)</f>
        <v>40</v>
      </c>
      <c r="E3279" t="s">
        <v>29</v>
      </c>
      <c r="F3279" t="s">
        <v>30</v>
      </c>
      <c r="G3279">
        <v>5</v>
      </c>
      <c r="H3279">
        <v>16592</v>
      </c>
      <c r="I3279">
        <v>695</v>
      </c>
      <c r="J3279" t="s">
        <v>27</v>
      </c>
      <c r="K3279" t="str">
        <f>_xlfn.XLOOKUP(datos_ventas[[#This Row],[Ciudad]],Tabla2[Ciudades],Tabla2[Provincias],"no se encuentra")</f>
        <v>Sevilla</v>
      </c>
      <c r="L3279" t="str">
        <f>_xlfn.XLOOKUP(datos_ventas[[#This Row],[Provincia]],Tabla2[Provincias],Tabla2[Comunidades],"no se encuentra")</f>
        <v>Andalucía</v>
      </c>
      <c r="M3279" t="s">
        <v>13</v>
      </c>
      <c r="N3279">
        <v>4</v>
      </c>
    </row>
    <row r="3280" spans="1:14" x14ac:dyDescent="0.25">
      <c r="A3280">
        <v>4279</v>
      </c>
      <c r="B3280" s="1">
        <v>45994</v>
      </c>
      <c r="C3280" s="4">
        <f>MONTH(datos_ventas[[#This Row],[Fecha]])</f>
        <v>12</v>
      </c>
      <c r="D3280" s="4">
        <f>WEEKNUM(datos_ventas[[#This Row],[Fecha]],2)</f>
        <v>49</v>
      </c>
      <c r="E3280" t="s">
        <v>17</v>
      </c>
      <c r="F3280" t="s">
        <v>18</v>
      </c>
      <c r="G3280">
        <v>3</v>
      </c>
      <c r="H3280">
        <v>64079</v>
      </c>
      <c r="I3280">
        <v>2979</v>
      </c>
      <c r="J3280" t="s">
        <v>32</v>
      </c>
      <c r="K3280" t="str">
        <f>_xlfn.XLOOKUP(datos_ventas[[#This Row],[Ciudad]],Tabla2[Ciudades],Tabla2[Provincias],"no se encuentra")</f>
        <v>Barcelona</v>
      </c>
      <c r="L3280" t="str">
        <f>_xlfn.XLOOKUP(datos_ventas[[#This Row],[Provincia]],Tabla2[Provincias],Tabla2[Comunidades],"no se encuentra")</f>
        <v>Cataluña</v>
      </c>
      <c r="M3280" t="s">
        <v>19</v>
      </c>
      <c r="N3280">
        <v>3</v>
      </c>
    </row>
    <row r="3281" spans="1:14" x14ac:dyDescent="0.25">
      <c r="A3281">
        <v>4280</v>
      </c>
      <c r="B3281" s="1">
        <v>45941</v>
      </c>
      <c r="C3281" s="4">
        <f>MONTH(datos_ventas[[#This Row],[Fecha]])</f>
        <v>10</v>
      </c>
      <c r="D3281" s="4">
        <f>WEEKNUM(datos_ventas[[#This Row],[Fecha]],2)</f>
        <v>41</v>
      </c>
      <c r="E3281" t="s">
        <v>17</v>
      </c>
      <c r="F3281" t="s">
        <v>18</v>
      </c>
      <c r="G3281">
        <v>3</v>
      </c>
      <c r="H3281">
        <v>114002</v>
      </c>
      <c r="I3281">
        <v>4087</v>
      </c>
      <c r="J3281" t="s">
        <v>22</v>
      </c>
      <c r="K3281" t="str">
        <f>_xlfn.XLOOKUP(datos_ventas[[#This Row],[Ciudad]],Tabla2[Ciudades],Tabla2[Provincias],"no se encuentra")</f>
        <v>Valencia</v>
      </c>
      <c r="L3281" t="str">
        <f>_xlfn.XLOOKUP(datos_ventas[[#This Row],[Provincia]],Tabla2[Provincias],Tabla2[Comunidades],"no se encuentra")</f>
        <v>Comunidad Valenciana</v>
      </c>
      <c r="M3281" t="s">
        <v>15</v>
      </c>
      <c r="N3281">
        <v>1</v>
      </c>
    </row>
    <row r="3282" spans="1:14" x14ac:dyDescent="0.25">
      <c r="A3282">
        <v>4281</v>
      </c>
      <c r="B3282" s="1">
        <v>45683</v>
      </c>
      <c r="C3282" s="4">
        <f>MONTH(datos_ventas[[#This Row],[Fecha]])</f>
        <v>1</v>
      </c>
      <c r="D3282" s="4">
        <f>WEEKNUM(datos_ventas[[#This Row],[Fecha]],2)</f>
        <v>4</v>
      </c>
      <c r="E3282" t="s">
        <v>29</v>
      </c>
      <c r="F3282" t="s">
        <v>30</v>
      </c>
      <c r="G3282">
        <v>4</v>
      </c>
      <c r="H3282">
        <v>118132</v>
      </c>
      <c r="I3282">
        <v>4242</v>
      </c>
      <c r="J3282" t="s">
        <v>12</v>
      </c>
      <c r="K3282" t="str">
        <f>_xlfn.XLOOKUP(datos_ventas[[#This Row],[Ciudad]],Tabla2[Ciudades],Tabla2[Provincias],"no se encuentra")</f>
        <v>Málaga</v>
      </c>
      <c r="L3282" t="str">
        <f>_xlfn.XLOOKUP(datos_ventas[[#This Row],[Provincia]],Tabla2[Provincias],Tabla2[Comunidades],"no se encuentra")</f>
        <v>Andalucía</v>
      </c>
      <c r="M3282" t="s">
        <v>19</v>
      </c>
      <c r="N3282">
        <v>3</v>
      </c>
    </row>
    <row r="3283" spans="1:14" x14ac:dyDescent="0.25">
      <c r="A3283">
        <v>4282</v>
      </c>
      <c r="B3283" s="1">
        <v>45871</v>
      </c>
      <c r="C3283" s="4">
        <f>MONTH(datos_ventas[[#This Row],[Fecha]])</f>
        <v>8</v>
      </c>
      <c r="D3283" s="4">
        <f>WEEKNUM(datos_ventas[[#This Row],[Fecha]],2)</f>
        <v>31</v>
      </c>
      <c r="E3283" t="s">
        <v>26</v>
      </c>
      <c r="F3283" t="s">
        <v>18</v>
      </c>
      <c r="G3283">
        <v>5</v>
      </c>
      <c r="H3283">
        <v>7927</v>
      </c>
      <c r="I3283">
        <v>754</v>
      </c>
      <c r="J3283" t="s">
        <v>32</v>
      </c>
      <c r="K3283" t="str">
        <f>_xlfn.XLOOKUP(datos_ventas[[#This Row],[Ciudad]],Tabla2[Ciudades],Tabla2[Provincias],"no se encuentra")</f>
        <v>Barcelona</v>
      </c>
      <c r="L3283" t="str">
        <f>_xlfn.XLOOKUP(datos_ventas[[#This Row],[Provincia]],Tabla2[Provincias],Tabla2[Comunidades],"no se encuentra")</f>
        <v>Cataluña</v>
      </c>
      <c r="M3283" t="s">
        <v>28</v>
      </c>
      <c r="N3283">
        <v>2</v>
      </c>
    </row>
    <row r="3284" spans="1:14" x14ac:dyDescent="0.25">
      <c r="A3284">
        <v>4283</v>
      </c>
      <c r="B3284" s="1">
        <v>45985</v>
      </c>
      <c r="C3284" s="4">
        <f>MONTH(datos_ventas[[#This Row],[Fecha]])</f>
        <v>11</v>
      </c>
      <c r="D3284" s="4">
        <f>WEEKNUM(datos_ventas[[#This Row],[Fecha]],2)</f>
        <v>48</v>
      </c>
      <c r="E3284" t="s">
        <v>23</v>
      </c>
      <c r="F3284" t="s">
        <v>18</v>
      </c>
      <c r="G3284">
        <v>2</v>
      </c>
      <c r="H3284">
        <v>72094</v>
      </c>
      <c r="I3284">
        <v>4667</v>
      </c>
      <c r="J3284" t="s">
        <v>31</v>
      </c>
      <c r="K3284" t="str">
        <f>_xlfn.XLOOKUP(datos_ventas[[#This Row],[Ciudad]],Tabla2[Ciudades],Tabla2[Provincias],"no se encuentra")</f>
        <v>Vizcaya</v>
      </c>
      <c r="L3284" t="str">
        <f>_xlfn.XLOOKUP(datos_ventas[[#This Row],[Provincia]],Tabla2[Provincias],Tabla2[Comunidades],"no se encuentra")</f>
        <v>País Vasco</v>
      </c>
      <c r="M3284" t="s">
        <v>13</v>
      </c>
      <c r="N3284">
        <v>4</v>
      </c>
    </row>
    <row r="3285" spans="1:14" x14ac:dyDescent="0.25">
      <c r="A3285">
        <v>4284</v>
      </c>
      <c r="B3285" s="1">
        <v>45939</v>
      </c>
      <c r="C3285" s="4">
        <f>MONTH(datos_ventas[[#This Row],[Fecha]])</f>
        <v>10</v>
      </c>
      <c r="D3285" s="4">
        <f>WEEKNUM(datos_ventas[[#This Row],[Fecha]],2)</f>
        <v>41</v>
      </c>
      <c r="E3285" t="s">
        <v>17</v>
      </c>
      <c r="F3285" t="s">
        <v>18</v>
      </c>
      <c r="G3285">
        <v>3</v>
      </c>
      <c r="H3285">
        <v>11414</v>
      </c>
      <c r="I3285">
        <v>4405</v>
      </c>
      <c r="J3285" t="s">
        <v>31</v>
      </c>
      <c r="K3285" t="str">
        <f>_xlfn.XLOOKUP(datos_ventas[[#This Row],[Ciudad]],Tabla2[Ciudades],Tabla2[Provincias],"no se encuentra")</f>
        <v>Vizcaya</v>
      </c>
      <c r="L3285" t="str">
        <f>_xlfn.XLOOKUP(datos_ventas[[#This Row],[Provincia]],Tabla2[Provincias],Tabla2[Comunidades],"no se encuentra")</f>
        <v>País Vasco</v>
      </c>
      <c r="M3285" t="s">
        <v>28</v>
      </c>
      <c r="N3285">
        <v>3</v>
      </c>
    </row>
    <row r="3286" spans="1:14" x14ac:dyDescent="0.25">
      <c r="A3286">
        <v>4285</v>
      </c>
      <c r="B3286" s="1">
        <v>45911</v>
      </c>
      <c r="C3286" s="4">
        <f>MONTH(datos_ventas[[#This Row],[Fecha]])</f>
        <v>9</v>
      </c>
      <c r="D3286" s="4">
        <f>WEEKNUM(datos_ventas[[#This Row],[Fecha]],2)</f>
        <v>37</v>
      </c>
      <c r="E3286" t="s">
        <v>26</v>
      </c>
      <c r="F3286" t="s">
        <v>18</v>
      </c>
      <c r="G3286">
        <v>5</v>
      </c>
      <c r="H3286">
        <v>7258</v>
      </c>
      <c r="I3286">
        <v>4238</v>
      </c>
      <c r="J3286" t="s">
        <v>32</v>
      </c>
      <c r="K3286" t="str">
        <f>_xlfn.XLOOKUP(datos_ventas[[#This Row],[Ciudad]],Tabla2[Ciudades],Tabla2[Provincias],"no se encuentra")</f>
        <v>Barcelona</v>
      </c>
      <c r="L3286" t="str">
        <f>_xlfn.XLOOKUP(datos_ventas[[#This Row],[Provincia]],Tabla2[Provincias],Tabla2[Comunidades],"no se encuentra")</f>
        <v>Cataluña</v>
      </c>
      <c r="M3286" t="s">
        <v>13</v>
      </c>
      <c r="N3286">
        <v>5</v>
      </c>
    </row>
    <row r="3287" spans="1:14" x14ac:dyDescent="0.25">
      <c r="A3287">
        <v>4286</v>
      </c>
      <c r="B3287" s="1">
        <v>45885</v>
      </c>
      <c r="C3287" s="4">
        <f>MONTH(datos_ventas[[#This Row],[Fecha]])</f>
        <v>8</v>
      </c>
      <c r="D3287" s="4">
        <f>WEEKNUM(datos_ventas[[#This Row],[Fecha]],2)</f>
        <v>33</v>
      </c>
      <c r="E3287" t="s">
        <v>17</v>
      </c>
      <c r="F3287" t="s">
        <v>18</v>
      </c>
      <c r="G3287">
        <v>5</v>
      </c>
      <c r="H3287">
        <v>1198</v>
      </c>
      <c r="I3287">
        <v>1087</v>
      </c>
      <c r="J3287" t="s">
        <v>14</v>
      </c>
      <c r="K3287" t="str">
        <f>_xlfn.XLOOKUP(datos_ventas[[#This Row],[Ciudad]],Tabla2[Ciudades],Tabla2[Provincias],"no se encuentra")</f>
        <v>Madrid</v>
      </c>
      <c r="L3287" t="str">
        <f>_xlfn.XLOOKUP(datos_ventas[[#This Row],[Provincia]],Tabla2[Provincias],Tabla2[Comunidades],"no se encuentra")</f>
        <v>Comunidad de Madrid</v>
      </c>
      <c r="M3287" t="s">
        <v>13</v>
      </c>
      <c r="N3287">
        <v>3</v>
      </c>
    </row>
    <row r="3288" spans="1:14" x14ac:dyDescent="0.25">
      <c r="A3288">
        <v>4287</v>
      </c>
      <c r="B3288" s="1">
        <v>45893</v>
      </c>
      <c r="C3288" s="4">
        <f>MONTH(datos_ventas[[#This Row],[Fecha]])</f>
        <v>8</v>
      </c>
      <c r="D3288" s="4">
        <f>WEEKNUM(datos_ventas[[#This Row],[Fecha]],2)</f>
        <v>34</v>
      </c>
      <c r="E3288" t="s">
        <v>24</v>
      </c>
      <c r="F3288" t="s">
        <v>25</v>
      </c>
      <c r="G3288">
        <v>4</v>
      </c>
      <c r="H3288">
        <v>76078</v>
      </c>
      <c r="I3288">
        <v>3519</v>
      </c>
      <c r="J3288" t="s">
        <v>27</v>
      </c>
      <c r="K3288" t="str">
        <f>_xlfn.XLOOKUP(datos_ventas[[#This Row],[Ciudad]],Tabla2[Ciudades],Tabla2[Provincias],"no se encuentra")</f>
        <v>Sevilla</v>
      </c>
      <c r="L3288" t="str">
        <f>_xlfn.XLOOKUP(datos_ventas[[#This Row],[Provincia]],Tabla2[Provincias],Tabla2[Comunidades],"no se encuentra")</f>
        <v>Andalucía</v>
      </c>
      <c r="M3288" t="s">
        <v>15</v>
      </c>
      <c r="N3288">
        <v>5</v>
      </c>
    </row>
    <row r="3289" spans="1:14" x14ac:dyDescent="0.25">
      <c r="A3289">
        <v>4288</v>
      </c>
      <c r="B3289" s="1">
        <v>45875</v>
      </c>
      <c r="C3289" s="4">
        <f>MONTH(datos_ventas[[#This Row],[Fecha]])</f>
        <v>8</v>
      </c>
      <c r="D3289" s="4">
        <f>WEEKNUM(datos_ventas[[#This Row],[Fecha]],2)</f>
        <v>32</v>
      </c>
      <c r="E3289" t="s">
        <v>23</v>
      </c>
      <c r="F3289" t="s">
        <v>18</v>
      </c>
      <c r="G3289">
        <v>3</v>
      </c>
      <c r="H3289">
        <v>64381</v>
      </c>
      <c r="I3289">
        <v>2369</v>
      </c>
      <c r="J3289" t="s">
        <v>12</v>
      </c>
      <c r="K3289" t="str">
        <f>_xlfn.XLOOKUP(datos_ventas[[#This Row],[Ciudad]],Tabla2[Ciudades],Tabla2[Provincias],"no se encuentra")</f>
        <v>Málaga</v>
      </c>
      <c r="L3289" t="str">
        <f>_xlfn.XLOOKUP(datos_ventas[[#This Row],[Provincia]],Tabla2[Provincias],Tabla2[Comunidades],"no se encuentra")</f>
        <v>Andalucía</v>
      </c>
      <c r="M3289" t="s">
        <v>19</v>
      </c>
      <c r="N3289">
        <v>5</v>
      </c>
    </row>
    <row r="3290" spans="1:14" x14ac:dyDescent="0.25">
      <c r="A3290">
        <v>4289</v>
      </c>
      <c r="B3290" s="1">
        <v>45723</v>
      </c>
      <c r="C3290" s="4">
        <f>MONTH(datos_ventas[[#This Row],[Fecha]])</f>
        <v>3</v>
      </c>
      <c r="D3290" s="4">
        <f>WEEKNUM(datos_ventas[[#This Row],[Fecha]],2)</f>
        <v>10</v>
      </c>
      <c r="E3290" t="s">
        <v>24</v>
      </c>
      <c r="F3290" t="s">
        <v>25</v>
      </c>
      <c r="G3290">
        <v>2</v>
      </c>
      <c r="H3290">
        <v>7528</v>
      </c>
      <c r="I3290">
        <v>3508</v>
      </c>
      <c r="J3290" t="s">
        <v>32</v>
      </c>
      <c r="K3290" t="str">
        <f>_xlfn.XLOOKUP(datos_ventas[[#This Row],[Ciudad]],Tabla2[Ciudades],Tabla2[Provincias],"no se encuentra")</f>
        <v>Barcelona</v>
      </c>
      <c r="L3290" t="str">
        <f>_xlfn.XLOOKUP(datos_ventas[[#This Row],[Provincia]],Tabla2[Provincias],Tabla2[Comunidades],"no se encuentra")</f>
        <v>Cataluña</v>
      </c>
      <c r="M3290" t="s">
        <v>28</v>
      </c>
      <c r="N3290">
        <v>5</v>
      </c>
    </row>
    <row r="3291" spans="1:14" x14ac:dyDescent="0.25">
      <c r="A3291">
        <v>4290</v>
      </c>
      <c r="B3291" s="1">
        <v>45697</v>
      </c>
      <c r="C3291" s="4">
        <f>MONTH(datos_ventas[[#This Row],[Fecha]])</f>
        <v>2</v>
      </c>
      <c r="D3291" s="4">
        <f>WEEKNUM(datos_ventas[[#This Row],[Fecha]],2)</f>
        <v>6</v>
      </c>
      <c r="E3291" t="s">
        <v>23</v>
      </c>
      <c r="F3291" t="s">
        <v>18</v>
      </c>
      <c r="G3291">
        <v>1</v>
      </c>
      <c r="H3291">
        <v>95652</v>
      </c>
      <c r="I3291">
        <v>1011</v>
      </c>
      <c r="J3291" t="s">
        <v>14</v>
      </c>
      <c r="K3291" t="str">
        <f>_xlfn.XLOOKUP(datos_ventas[[#This Row],[Ciudad]],Tabla2[Ciudades],Tabla2[Provincias],"no se encuentra")</f>
        <v>Madrid</v>
      </c>
      <c r="L3291" t="str">
        <f>_xlfn.XLOOKUP(datos_ventas[[#This Row],[Provincia]],Tabla2[Provincias],Tabla2[Comunidades],"no se encuentra")</f>
        <v>Comunidad de Madrid</v>
      </c>
      <c r="M3291" t="s">
        <v>28</v>
      </c>
      <c r="N3291">
        <v>3</v>
      </c>
    </row>
    <row r="3292" spans="1:14" x14ac:dyDescent="0.25">
      <c r="A3292">
        <v>4291</v>
      </c>
      <c r="B3292" s="1">
        <v>45708</v>
      </c>
      <c r="C3292" s="4">
        <f>MONTH(datos_ventas[[#This Row],[Fecha]])</f>
        <v>2</v>
      </c>
      <c r="D3292" s="4">
        <f>WEEKNUM(datos_ventas[[#This Row],[Fecha]],2)</f>
        <v>8</v>
      </c>
      <c r="E3292" t="s">
        <v>10</v>
      </c>
      <c r="F3292" t="s">
        <v>11</v>
      </c>
      <c r="G3292">
        <v>3</v>
      </c>
      <c r="H3292">
        <v>9867</v>
      </c>
      <c r="I3292">
        <v>1415</v>
      </c>
      <c r="J3292" t="s">
        <v>31</v>
      </c>
      <c r="K3292" t="str">
        <f>_xlfn.XLOOKUP(datos_ventas[[#This Row],[Ciudad]],Tabla2[Ciudades],Tabla2[Provincias],"no se encuentra")</f>
        <v>Vizcaya</v>
      </c>
      <c r="L3292" t="str">
        <f>_xlfn.XLOOKUP(datos_ventas[[#This Row],[Provincia]],Tabla2[Provincias],Tabla2[Comunidades],"no se encuentra")</f>
        <v>País Vasco</v>
      </c>
      <c r="M3292" t="s">
        <v>19</v>
      </c>
      <c r="N3292">
        <v>2</v>
      </c>
    </row>
    <row r="3293" spans="1:14" x14ac:dyDescent="0.25">
      <c r="A3293">
        <v>4292</v>
      </c>
      <c r="B3293" s="1">
        <v>45815</v>
      </c>
      <c r="C3293" s="4">
        <f>MONTH(datos_ventas[[#This Row],[Fecha]])</f>
        <v>6</v>
      </c>
      <c r="D3293" s="4">
        <f>WEEKNUM(datos_ventas[[#This Row],[Fecha]],2)</f>
        <v>23</v>
      </c>
      <c r="E3293" t="s">
        <v>17</v>
      </c>
      <c r="F3293" t="s">
        <v>18</v>
      </c>
      <c r="G3293">
        <v>3</v>
      </c>
      <c r="H3293">
        <v>81802</v>
      </c>
      <c r="I3293">
        <v>3453</v>
      </c>
      <c r="J3293" t="s">
        <v>32</v>
      </c>
      <c r="K3293" t="str">
        <f>_xlfn.XLOOKUP(datos_ventas[[#This Row],[Ciudad]],Tabla2[Ciudades],Tabla2[Provincias],"no se encuentra")</f>
        <v>Barcelona</v>
      </c>
      <c r="L3293" t="str">
        <f>_xlfn.XLOOKUP(datos_ventas[[#This Row],[Provincia]],Tabla2[Provincias],Tabla2[Comunidades],"no se encuentra")</f>
        <v>Cataluña</v>
      </c>
      <c r="M3293" t="s">
        <v>15</v>
      </c>
      <c r="N3293">
        <v>1</v>
      </c>
    </row>
    <row r="3294" spans="1:14" x14ac:dyDescent="0.25">
      <c r="A3294">
        <v>4293</v>
      </c>
      <c r="B3294" s="1">
        <v>45921</v>
      </c>
      <c r="C3294" s="4">
        <f>MONTH(datos_ventas[[#This Row],[Fecha]])</f>
        <v>9</v>
      </c>
      <c r="D3294" s="4">
        <f>WEEKNUM(datos_ventas[[#This Row],[Fecha]],2)</f>
        <v>38</v>
      </c>
      <c r="E3294" t="s">
        <v>20</v>
      </c>
      <c r="F3294" t="s">
        <v>21</v>
      </c>
      <c r="G3294">
        <v>2</v>
      </c>
      <c r="H3294">
        <v>90585</v>
      </c>
      <c r="I3294">
        <v>4837</v>
      </c>
      <c r="J3294" t="s">
        <v>22</v>
      </c>
      <c r="K3294" t="str">
        <f>_xlfn.XLOOKUP(datos_ventas[[#This Row],[Ciudad]],Tabla2[Ciudades],Tabla2[Provincias],"no se encuentra")</f>
        <v>Valencia</v>
      </c>
      <c r="L3294" t="str">
        <f>_xlfn.XLOOKUP(datos_ventas[[#This Row],[Provincia]],Tabla2[Provincias],Tabla2[Comunidades],"no se encuentra")</f>
        <v>Comunidad Valenciana</v>
      </c>
      <c r="M3294" t="s">
        <v>19</v>
      </c>
      <c r="N3294">
        <v>3</v>
      </c>
    </row>
    <row r="3295" spans="1:14" x14ac:dyDescent="0.25">
      <c r="A3295">
        <v>4294</v>
      </c>
      <c r="B3295" s="1">
        <v>45976</v>
      </c>
      <c r="C3295" s="4">
        <f>MONTH(datos_ventas[[#This Row],[Fecha]])</f>
        <v>11</v>
      </c>
      <c r="D3295" s="4">
        <f>WEEKNUM(datos_ventas[[#This Row],[Fecha]],2)</f>
        <v>46</v>
      </c>
      <c r="E3295" t="s">
        <v>24</v>
      </c>
      <c r="F3295" t="s">
        <v>25</v>
      </c>
      <c r="G3295">
        <v>2</v>
      </c>
      <c r="H3295">
        <v>115397</v>
      </c>
      <c r="I3295">
        <v>3058</v>
      </c>
      <c r="J3295" t="s">
        <v>27</v>
      </c>
      <c r="K3295" t="str">
        <f>_xlfn.XLOOKUP(datos_ventas[[#This Row],[Ciudad]],Tabla2[Ciudades],Tabla2[Provincias],"no se encuentra")</f>
        <v>Sevilla</v>
      </c>
      <c r="L3295" t="str">
        <f>_xlfn.XLOOKUP(datos_ventas[[#This Row],[Provincia]],Tabla2[Provincias],Tabla2[Comunidades],"no se encuentra")</f>
        <v>Andalucía</v>
      </c>
      <c r="M3295" t="s">
        <v>28</v>
      </c>
      <c r="N3295">
        <v>2</v>
      </c>
    </row>
    <row r="3296" spans="1:14" x14ac:dyDescent="0.25">
      <c r="A3296">
        <v>4295</v>
      </c>
      <c r="B3296" s="1">
        <v>45796</v>
      </c>
      <c r="C3296" s="4">
        <f>MONTH(datos_ventas[[#This Row],[Fecha]])</f>
        <v>5</v>
      </c>
      <c r="D3296" s="4">
        <f>WEEKNUM(datos_ventas[[#This Row],[Fecha]],2)</f>
        <v>21</v>
      </c>
      <c r="E3296" t="s">
        <v>17</v>
      </c>
      <c r="F3296" t="s">
        <v>18</v>
      </c>
      <c r="G3296">
        <v>4</v>
      </c>
      <c r="H3296">
        <v>107001</v>
      </c>
      <c r="I3296">
        <v>3619</v>
      </c>
      <c r="J3296" t="s">
        <v>14</v>
      </c>
      <c r="K3296" t="str">
        <f>_xlfn.XLOOKUP(datos_ventas[[#This Row],[Ciudad]],Tabla2[Ciudades],Tabla2[Provincias],"no se encuentra")</f>
        <v>Madrid</v>
      </c>
      <c r="L3296" t="str">
        <f>_xlfn.XLOOKUP(datos_ventas[[#This Row],[Provincia]],Tabla2[Provincias],Tabla2[Comunidades],"no se encuentra")</f>
        <v>Comunidad de Madrid</v>
      </c>
      <c r="M3296" t="s">
        <v>19</v>
      </c>
      <c r="N3296">
        <v>3</v>
      </c>
    </row>
    <row r="3297" spans="1:14" x14ac:dyDescent="0.25">
      <c r="A3297">
        <v>4296</v>
      </c>
      <c r="B3297" s="1">
        <v>45924</v>
      </c>
      <c r="C3297" s="4">
        <f>MONTH(datos_ventas[[#This Row],[Fecha]])</f>
        <v>9</v>
      </c>
      <c r="D3297" s="4">
        <f>WEEKNUM(datos_ventas[[#This Row],[Fecha]],2)</f>
        <v>39</v>
      </c>
      <c r="E3297" t="s">
        <v>29</v>
      </c>
      <c r="F3297" t="s">
        <v>30</v>
      </c>
      <c r="G3297">
        <v>4</v>
      </c>
      <c r="H3297">
        <v>81645</v>
      </c>
      <c r="I3297">
        <v>4092</v>
      </c>
      <c r="J3297" t="s">
        <v>27</v>
      </c>
      <c r="K3297" t="str">
        <f>_xlfn.XLOOKUP(datos_ventas[[#This Row],[Ciudad]],Tabla2[Ciudades],Tabla2[Provincias],"no se encuentra")</f>
        <v>Sevilla</v>
      </c>
      <c r="L3297" t="str">
        <f>_xlfn.XLOOKUP(datos_ventas[[#This Row],[Provincia]],Tabla2[Provincias],Tabla2[Comunidades],"no se encuentra")</f>
        <v>Andalucía</v>
      </c>
      <c r="M3297" t="s">
        <v>19</v>
      </c>
      <c r="N3297">
        <v>1</v>
      </c>
    </row>
    <row r="3298" spans="1:14" x14ac:dyDescent="0.25">
      <c r="A3298">
        <v>4297</v>
      </c>
      <c r="B3298" s="1">
        <v>45967</v>
      </c>
      <c r="C3298" s="4">
        <f>MONTH(datos_ventas[[#This Row],[Fecha]])</f>
        <v>11</v>
      </c>
      <c r="D3298" s="4">
        <f>WEEKNUM(datos_ventas[[#This Row],[Fecha]],2)</f>
        <v>45</v>
      </c>
      <c r="E3298" t="s">
        <v>24</v>
      </c>
      <c r="F3298" t="s">
        <v>25</v>
      </c>
      <c r="G3298">
        <v>4</v>
      </c>
      <c r="H3298">
        <v>29375</v>
      </c>
      <c r="I3298">
        <v>3573</v>
      </c>
      <c r="J3298" t="s">
        <v>14</v>
      </c>
      <c r="K3298" t="str">
        <f>_xlfn.XLOOKUP(datos_ventas[[#This Row],[Ciudad]],Tabla2[Ciudades],Tabla2[Provincias],"no se encuentra")</f>
        <v>Madrid</v>
      </c>
      <c r="L3298" t="str">
        <f>_xlfn.XLOOKUP(datos_ventas[[#This Row],[Provincia]],Tabla2[Provincias],Tabla2[Comunidades],"no se encuentra")</f>
        <v>Comunidad de Madrid</v>
      </c>
      <c r="M3298" t="s">
        <v>19</v>
      </c>
      <c r="N3298">
        <v>3</v>
      </c>
    </row>
    <row r="3299" spans="1:14" x14ac:dyDescent="0.25">
      <c r="A3299">
        <v>4298</v>
      </c>
      <c r="B3299" s="1">
        <v>45920</v>
      </c>
      <c r="C3299" s="4">
        <f>MONTH(datos_ventas[[#This Row],[Fecha]])</f>
        <v>9</v>
      </c>
      <c r="D3299" s="4">
        <f>WEEKNUM(datos_ventas[[#This Row],[Fecha]],2)</f>
        <v>38</v>
      </c>
      <c r="E3299" t="s">
        <v>29</v>
      </c>
      <c r="F3299" t="s">
        <v>30</v>
      </c>
      <c r="G3299">
        <v>4</v>
      </c>
      <c r="H3299">
        <v>57432</v>
      </c>
      <c r="I3299">
        <v>118</v>
      </c>
      <c r="J3299" t="s">
        <v>31</v>
      </c>
      <c r="K3299" t="str">
        <f>_xlfn.XLOOKUP(datos_ventas[[#This Row],[Ciudad]],Tabla2[Ciudades],Tabla2[Provincias],"no se encuentra")</f>
        <v>Vizcaya</v>
      </c>
      <c r="L3299" t="str">
        <f>_xlfn.XLOOKUP(datos_ventas[[#This Row],[Provincia]],Tabla2[Provincias],Tabla2[Comunidades],"no se encuentra")</f>
        <v>País Vasco</v>
      </c>
      <c r="M3299" t="s">
        <v>15</v>
      </c>
      <c r="N3299">
        <v>4</v>
      </c>
    </row>
    <row r="3300" spans="1:14" x14ac:dyDescent="0.25">
      <c r="A3300">
        <v>4299</v>
      </c>
      <c r="B3300" s="1">
        <v>45906</v>
      </c>
      <c r="C3300" s="4">
        <f>MONTH(datos_ventas[[#This Row],[Fecha]])</f>
        <v>9</v>
      </c>
      <c r="D3300" s="4">
        <f>WEEKNUM(datos_ventas[[#This Row],[Fecha]],2)</f>
        <v>36</v>
      </c>
      <c r="E3300" t="s">
        <v>29</v>
      </c>
      <c r="F3300" t="s">
        <v>30</v>
      </c>
      <c r="G3300">
        <v>4</v>
      </c>
      <c r="H3300">
        <v>87274</v>
      </c>
      <c r="I3300">
        <v>4321</v>
      </c>
      <c r="J3300" t="s">
        <v>14</v>
      </c>
      <c r="K3300" t="str">
        <f>_xlfn.XLOOKUP(datos_ventas[[#This Row],[Ciudad]],Tabla2[Ciudades],Tabla2[Provincias],"no se encuentra")</f>
        <v>Madrid</v>
      </c>
      <c r="L3300" t="str">
        <f>_xlfn.XLOOKUP(datos_ventas[[#This Row],[Provincia]],Tabla2[Provincias],Tabla2[Comunidades],"no se encuentra")</f>
        <v>Comunidad de Madrid</v>
      </c>
      <c r="M3300" t="s">
        <v>28</v>
      </c>
      <c r="N3300">
        <v>3</v>
      </c>
    </row>
    <row r="3301" spans="1:14" x14ac:dyDescent="0.25">
      <c r="A3301">
        <v>4300</v>
      </c>
      <c r="B3301" s="1">
        <v>45745</v>
      </c>
      <c r="C3301" s="4">
        <f>MONTH(datos_ventas[[#This Row],[Fecha]])</f>
        <v>3</v>
      </c>
      <c r="D3301" s="4">
        <f>WEEKNUM(datos_ventas[[#This Row],[Fecha]],2)</f>
        <v>13</v>
      </c>
      <c r="E3301" t="s">
        <v>17</v>
      </c>
      <c r="F3301" t="s">
        <v>18</v>
      </c>
      <c r="G3301">
        <v>4</v>
      </c>
      <c r="H3301">
        <v>4952</v>
      </c>
      <c r="I3301">
        <v>2973</v>
      </c>
      <c r="J3301" t="s">
        <v>31</v>
      </c>
      <c r="K3301" t="str">
        <f>_xlfn.XLOOKUP(datos_ventas[[#This Row],[Ciudad]],Tabla2[Ciudades],Tabla2[Provincias],"no se encuentra")</f>
        <v>Vizcaya</v>
      </c>
      <c r="L3301" t="str">
        <f>_xlfn.XLOOKUP(datos_ventas[[#This Row],[Provincia]],Tabla2[Provincias],Tabla2[Comunidades],"no se encuentra")</f>
        <v>País Vasco</v>
      </c>
      <c r="M3301" t="s">
        <v>28</v>
      </c>
      <c r="N3301">
        <v>3</v>
      </c>
    </row>
    <row r="3302" spans="1:14" x14ac:dyDescent="0.25">
      <c r="A3302">
        <v>4301</v>
      </c>
      <c r="B3302" s="1">
        <v>45744</v>
      </c>
      <c r="C3302" s="4">
        <f>MONTH(datos_ventas[[#This Row],[Fecha]])</f>
        <v>3</v>
      </c>
      <c r="D3302" s="4">
        <f>WEEKNUM(datos_ventas[[#This Row],[Fecha]],2)</f>
        <v>13</v>
      </c>
      <c r="E3302" t="s">
        <v>10</v>
      </c>
      <c r="F3302" t="s">
        <v>11</v>
      </c>
      <c r="G3302">
        <v>3</v>
      </c>
      <c r="H3302">
        <v>46244</v>
      </c>
      <c r="I3302">
        <v>224</v>
      </c>
      <c r="J3302" t="s">
        <v>31</v>
      </c>
      <c r="K3302" t="str">
        <f>_xlfn.XLOOKUP(datos_ventas[[#This Row],[Ciudad]],Tabla2[Ciudades],Tabla2[Provincias],"no se encuentra")</f>
        <v>Vizcaya</v>
      </c>
      <c r="L3302" t="str">
        <f>_xlfn.XLOOKUP(datos_ventas[[#This Row],[Provincia]],Tabla2[Provincias],Tabla2[Comunidades],"no se encuentra")</f>
        <v>País Vasco</v>
      </c>
      <c r="M3302" t="s">
        <v>28</v>
      </c>
      <c r="N3302">
        <v>4</v>
      </c>
    </row>
    <row r="3303" spans="1:14" x14ac:dyDescent="0.25">
      <c r="A3303">
        <v>4302</v>
      </c>
      <c r="B3303" s="1">
        <v>45981</v>
      </c>
      <c r="C3303" s="4">
        <f>MONTH(datos_ventas[[#This Row],[Fecha]])</f>
        <v>11</v>
      </c>
      <c r="D3303" s="4">
        <f>WEEKNUM(datos_ventas[[#This Row],[Fecha]],2)</f>
        <v>47</v>
      </c>
      <c r="E3303" t="s">
        <v>16</v>
      </c>
      <c r="F3303" t="s">
        <v>11</v>
      </c>
      <c r="G3303">
        <v>5</v>
      </c>
      <c r="H3303">
        <v>93218</v>
      </c>
      <c r="I3303">
        <v>298</v>
      </c>
      <c r="J3303" t="s">
        <v>22</v>
      </c>
      <c r="K3303" t="str">
        <f>_xlfn.XLOOKUP(datos_ventas[[#This Row],[Ciudad]],Tabla2[Ciudades],Tabla2[Provincias],"no se encuentra")</f>
        <v>Valencia</v>
      </c>
      <c r="L3303" t="str">
        <f>_xlfn.XLOOKUP(datos_ventas[[#This Row],[Provincia]],Tabla2[Provincias],Tabla2[Comunidades],"no se encuentra")</f>
        <v>Comunidad Valenciana</v>
      </c>
      <c r="M3303" t="s">
        <v>13</v>
      </c>
      <c r="N3303">
        <v>3</v>
      </c>
    </row>
    <row r="3304" spans="1:14" x14ac:dyDescent="0.25">
      <c r="A3304">
        <v>4303</v>
      </c>
      <c r="B3304" s="1">
        <v>45798</v>
      </c>
      <c r="C3304" s="4">
        <f>MONTH(datos_ventas[[#This Row],[Fecha]])</f>
        <v>5</v>
      </c>
      <c r="D3304" s="4">
        <f>WEEKNUM(datos_ventas[[#This Row],[Fecha]],2)</f>
        <v>21</v>
      </c>
      <c r="E3304" t="s">
        <v>23</v>
      </c>
      <c r="F3304" t="s">
        <v>18</v>
      </c>
      <c r="G3304">
        <v>2</v>
      </c>
      <c r="H3304">
        <v>68133</v>
      </c>
      <c r="I3304">
        <v>1613</v>
      </c>
      <c r="J3304" t="s">
        <v>31</v>
      </c>
      <c r="K3304" t="str">
        <f>_xlfn.XLOOKUP(datos_ventas[[#This Row],[Ciudad]],Tabla2[Ciudades],Tabla2[Provincias],"no se encuentra")</f>
        <v>Vizcaya</v>
      </c>
      <c r="L3304" t="str">
        <f>_xlfn.XLOOKUP(datos_ventas[[#This Row],[Provincia]],Tabla2[Provincias],Tabla2[Comunidades],"no se encuentra")</f>
        <v>País Vasco</v>
      </c>
      <c r="M3304" t="s">
        <v>13</v>
      </c>
      <c r="N3304">
        <v>1</v>
      </c>
    </row>
    <row r="3305" spans="1:14" x14ac:dyDescent="0.25">
      <c r="A3305">
        <v>4304</v>
      </c>
      <c r="B3305" s="1">
        <v>45968</v>
      </c>
      <c r="C3305" s="4">
        <f>MONTH(datos_ventas[[#This Row],[Fecha]])</f>
        <v>11</v>
      </c>
      <c r="D3305" s="4">
        <f>WEEKNUM(datos_ventas[[#This Row],[Fecha]],2)</f>
        <v>45</v>
      </c>
      <c r="E3305" t="s">
        <v>29</v>
      </c>
      <c r="F3305" t="s">
        <v>30</v>
      </c>
      <c r="G3305">
        <v>4</v>
      </c>
      <c r="H3305">
        <v>99861</v>
      </c>
      <c r="I3305">
        <v>3843</v>
      </c>
      <c r="J3305" t="s">
        <v>32</v>
      </c>
      <c r="K3305" t="str">
        <f>_xlfn.XLOOKUP(datos_ventas[[#This Row],[Ciudad]],Tabla2[Ciudades],Tabla2[Provincias],"no se encuentra")</f>
        <v>Barcelona</v>
      </c>
      <c r="L3305" t="str">
        <f>_xlfn.XLOOKUP(datos_ventas[[#This Row],[Provincia]],Tabla2[Provincias],Tabla2[Comunidades],"no se encuentra")</f>
        <v>Cataluña</v>
      </c>
      <c r="M3305" t="s">
        <v>13</v>
      </c>
      <c r="N3305">
        <v>1</v>
      </c>
    </row>
    <row r="3306" spans="1:14" x14ac:dyDescent="0.25">
      <c r="A3306">
        <v>4305</v>
      </c>
      <c r="B3306" s="1">
        <v>45960</v>
      </c>
      <c r="C3306" s="4">
        <f>MONTH(datos_ventas[[#This Row],[Fecha]])</f>
        <v>10</v>
      </c>
      <c r="D3306" s="4">
        <f>WEEKNUM(datos_ventas[[#This Row],[Fecha]],2)</f>
        <v>44</v>
      </c>
      <c r="E3306" t="s">
        <v>20</v>
      </c>
      <c r="F3306" t="s">
        <v>21</v>
      </c>
      <c r="G3306">
        <v>2</v>
      </c>
      <c r="H3306">
        <v>110186</v>
      </c>
      <c r="I3306">
        <v>1515</v>
      </c>
      <c r="J3306" t="s">
        <v>27</v>
      </c>
      <c r="K3306" t="str">
        <f>_xlfn.XLOOKUP(datos_ventas[[#This Row],[Ciudad]],Tabla2[Ciudades],Tabla2[Provincias],"no se encuentra")</f>
        <v>Sevilla</v>
      </c>
      <c r="L3306" t="str">
        <f>_xlfn.XLOOKUP(datos_ventas[[#This Row],[Provincia]],Tabla2[Provincias],Tabla2[Comunidades],"no se encuentra")</f>
        <v>Andalucía</v>
      </c>
      <c r="M3306" t="s">
        <v>28</v>
      </c>
      <c r="N3306">
        <v>3</v>
      </c>
    </row>
    <row r="3307" spans="1:14" x14ac:dyDescent="0.25">
      <c r="A3307">
        <v>4306</v>
      </c>
      <c r="B3307" s="1">
        <v>45835</v>
      </c>
      <c r="C3307" s="4">
        <f>MONTH(datos_ventas[[#This Row],[Fecha]])</f>
        <v>6</v>
      </c>
      <c r="D3307" s="4">
        <f>WEEKNUM(datos_ventas[[#This Row],[Fecha]],2)</f>
        <v>26</v>
      </c>
      <c r="E3307" t="s">
        <v>26</v>
      </c>
      <c r="F3307" t="s">
        <v>18</v>
      </c>
      <c r="G3307">
        <v>1</v>
      </c>
      <c r="H3307">
        <v>71727</v>
      </c>
      <c r="I3307">
        <v>3212</v>
      </c>
      <c r="J3307" t="s">
        <v>32</v>
      </c>
      <c r="K3307" t="str">
        <f>_xlfn.XLOOKUP(datos_ventas[[#This Row],[Ciudad]],Tabla2[Ciudades],Tabla2[Provincias],"no se encuentra")</f>
        <v>Barcelona</v>
      </c>
      <c r="L3307" t="str">
        <f>_xlfn.XLOOKUP(datos_ventas[[#This Row],[Provincia]],Tabla2[Provincias],Tabla2[Comunidades],"no se encuentra")</f>
        <v>Cataluña</v>
      </c>
      <c r="M3307" t="s">
        <v>28</v>
      </c>
      <c r="N3307">
        <v>3</v>
      </c>
    </row>
    <row r="3308" spans="1:14" x14ac:dyDescent="0.25">
      <c r="A3308">
        <v>4307</v>
      </c>
      <c r="B3308" s="1">
        <v>45839</v>
      </c>
      <c r="C3308" s="4">
        <f>MONTH(datos_ventas[[#This Row],[Fecha]])</f>
        <v>7</v>
      </c>
      <c r="D3308" s="4">
        <f>WEEKNUM(datos_ventas[[#This Row],[Fecha]],2)</f>
        <v>27</v>
      </c>
      <c r="E3308" t="s">
        <v>23</v>
      </c>
      <c r="F3308" t="s">
        <v>18</v>
      </c>
      <c r="G3308">
        <v>4</v>
      </c>
      <c r="H3308">
        <v>61465</v>
      </c>
      <c r="I3308">
        <v>4279</v>
      </c>
      <c r="J3308" t="s">
        <v>12</v>
      </c>
      <c r="K3308" t="str">
        <f>_xlfn.XLOOKUP(datos_ventas[[#This Row],[Ciudad]],Tabla2[Ciudades],Tabla2[Provincias],"no se encuentra")</f>
        <v>Málaga</v>
      </c>
      <c r="L3308" t="str">
        <f>_xlfn.XLOOKUP(datos_ventas[[#This Row],[Provincia]],Tabla2[Provincias],Tabla2[Comunidades],"no se encuentra")</f>
        <v>Andalucía</v>
      </c>
      <c r="M3308" t="s">
        <v>19</v>
      </c>
      <c r="N3308">
        <v>1</v>
      </c>
    </row>
    <row r="3309" spans="1:14" x14ac:dyDescent="0.25">
      <c r="A3309">
        <v>4308</v>
      </c>
      <c r="B3309" s="1">
        <v>45702</v>
      </c>
      <c r="C3309" s="4">
        <f>MONTH(datos_ventas[[#This Row],[Fecha]])</f>
        <v>2</v>
      </c>
      <c r="D3309" s="4">
        <f>WEEKNUM(datos_ventas[[#This Row],[Fecha]],2)</f>
        <v>7</v>
      </c>
      <c r="E3309" t="s">
        <v>26</v>
      </c>
      <c r="F3309" t="s">
        <v>18</v>
      </c>
      <c r="G3309">
        <v>4</v>
      </c>
      <c r="H3309">
        <v>13838</v>
      </c>
      <c r="I3309">
        <v>109</v>
      </c>
      <c r="J3309" t="s">
        <v>14</v>
      </c>
      <c r="K3309" t="str">
        <f>_xlfn.XLOOKUP(datos_ventas[[#This Row],[Ciudad]],Tabla2[Ciudades],Tabla2[Provincias],"no se encuentra")</f>
        <v>Madrid</v>
      </c>
      <c r="L3309" t="str">
        <f>_xlfn.XLOOKUP(datos_ventas[[#This Row],[Provincia]],Tabla2[Provincias],Tabla2[Comunidades],"no se encuentra")</f>
        <v>Comunidad de Madrid</v>
      </c>
      <c r="M3309" t="s">
        <v>19</v>
      </c>
      <c r="N3309">
        <v>3</v>
      </c>
    </row>
    <row r="3310" spans="1:14" x14ac:dyDescent="0.25">
      <c r="A3310">
        <v>4309</v>
      </c>
      <c r="B3310" s="1">
        <v>45978</v>
      </c>
      <c r="C3310" s="4">
        <f>MONTH(datos_ventas[[#This Row],[Fecha]])</f>
        <v>11</v>
      </c>
      <c r="D3310" s="4">
        <f>WEEKNUM(datos_ventas[[#This Row],[Fecha]],2)</f>
        <v>47</v>
      </c>
      <c r="E3310" t="s">
        <v>10</v>
      </c>
      <c r="F3310" t="s">
        <v>11</v>
      </c>
      <c r="G3310">
        <v>2</v>
      </c>
      <c r="H3310">
        <v>42903</v>
      </c>
      <c r="I3310">
        <v>2248</v>
      </c>
      <c r="J3310" t="s">
        <v>12</v>
      </c>
      <c r="K3310" t="str">
        <f>_xlfn.XLOOKUP(datos_ventas[[#This Row],[Ciudad]],Tabla2[Ciudades],Tabla2[Provincias],"no se encuentra")</f>
        <v>Málaga</v>
      </c>
      <c r="L3310" t="str">
        <f>_xlfn.XLOOKUP(datos_ventas[[#This Row],[Provincia]],Tabla2[Provincias],Tabla2[Comunidades],"no se encuentra")</f>
        <v>Andalucía</v>
      </c>
      <c r="M3310" t="s">
        <v>15</v>
      </c>
      <c r="N3310">
        <v>4</v>
      </c>
    </row>
    <row r="3311" spans="1:14" x14ac:dyDescent="0.25">
      <c r="A3311">
        <v>4310</v>
      </c>
      <c r="B3311" s="1">
        <v>45774</v>
      </c>
      <c r="C3311" s="4">
        <f>MONTH(datos_ventas[[#This Row],[Fecha]])</f>
        <v>4</v>
      </c>
      <c r="D3311" s="4">
        <f>WEEKNUM(datos_ventas[[#This Row],[Fecha]],2)</f>
        <v>17</v>
      </c>
      <c r="E3311" t="s">
        <v>10</v>
      </c>
      <c r="F3311" t="s">
        <v>11</v>
      </c>
      <c r="G3311">
        <v>5</v>
      </c>
      <c r="H3311">
        <v>38354</v>
      </c>
      <c r="I3311">
        <v>986</v>
      </c>
      <c r="J3311" t="s">
        <v>31</v>
      </c>
      <c r="K3311" t="str">
        <f>_xlfn.XLOOKUP(datos_ventas[[#This Row],[Ciudad]],Tabla2[Ciudades],Tabla2[Provincias],"no se encuentra")</f>
        <v>Vizcaya</v>
      </c>
      <c r="L3311" t="str">
        <f>_xlfn.XLOOKUP(datos_ventas[[#This Row],[Provincia]],Tabla2[Provincias],Tabla2[Comunidades],"no se encuentra")</f>
        <v>País Vasco</v>
      </c>
      <c r="M3311" t="s">
        <v>28</v>
      </c>
      <c r="N3311">
        <v>4</v>
      </c>
    </row>
    <row r="3312" spans="1:14" x14ac:dyDescent="0.25">
      <c r="A3312">
        <v>4311</v>
      </c>
      <c r="B3312" s="1">
        <v>45824</v>
      </c>
      <c r="C3312" s="4">
        <f>MONTH(datos_ventas[[#This Row],[Fecha]])</f>
        <v>6</v>
      </c>
      <c r="D3312" s="4">
        <f>WEEKNUM(datos_ventas[[#This Row],[Fecha]],2)</f>
        <v>25</v>
      </c>
      <c r="E3312" t="s">
        <v>26</v>
      </c>
      <c r="F3312" t="s">
        <v>18</v>
      </c>
      <c r="G3312">
        <v>5</v>
      </c>
      <c r="H3312">
        <v>36355</v>
      </c>
      <c r="I3312">
        <v>4615</v>
      </c>
      <c r="J3312" t="s">
        <v>22</v>
      </c>
      <c r="K3312" t="str">
        <f>_xlfn.XLOOKUP(datos_ventas[[#This Row],[Ciudad]],Tabla2[Ciudades],Tabla2[Provincias],"no se encuentra")</f>
        <v>Valencia</v>
      </c>
      <c r="L3312" t="str">
        <f>_xlfn.XLOOKUP(datos_ventas[[#This Row],[Provincia]],Tabla2[Provincias],Tabla2[Comunidades],"no se encuentra")</f>
        <v>Comunidad Valenciana</v>
      </c>
      <c r="M3312" t="s">
        <v>13</v>
      </c>
      <c r="N3312">
        <v>5</v>
      </c>
    </row>
    <row r="3313" spans="1:14" x14ac:dyDescent="0.25">
      <c r="A3313">
        <v>4312</v>
      </c>
      <c r="B3313" s="1">
        <v>45684</v>
      </c>
      <c r="C3313" s="4">
        <f>MONTH(datos_ventas[[#This Row],[Fecha]])</f>
        <v>1</v>
      </c>
      <c r="D3313" s="4">
        <f>WEEKNUM(datos_ventas[[#This Row],[Fecha]],2)</f>
        <v>5</v>
      </c>
      <c r="E3313" t="s">
        <v>16</v>
      </c>
      <c r="F3313" t="s">
        <v>11</v>
      </c>
      <c r="G3313">
        <v>4</v>
      </c>
      <c r="H3313">
        <v>100025</v>
      </c>
      <c r="I3313">
        <v>4032</v>
      </c>
      <c r="J3313" t="s">
        <v>14</v>
      </c>
      <c r="K3313" t="str">
        <f>_xlfn.XLOOKUP(datos_ventas[[#This Row],[Ciudad]],Tabla2[Ciudades],Tabla2[Provincias],"no se encuentra")</f>
        <v>Madrid</v>
      </c>
      <c r="L3313" t="str">
        <f>_xlfn.XLOOKUP(datos_ventas[[#This Row],[Provincia]],Tabla2[Provincias],Tabla2[Comunidades],"no se encuentra")</f>
        <v>Comunidad de Madrid</v>
      </c>
      <c r="M3313" t="s">
        <v>28</v>
      </c>
      <c r="N3313">
        <v>4</v>
      </c>
    </row>
    <row r="3314" spans="1:14" x14ac:dyDescent="0.25">
      <c r="A3314">
        <v>4313</v>
      </c>
      <c r="B3314" s="1">
        <v>45958</v>
      </c>
      <c r="C3314" s="4">
        <f>MONTH(datos_ventas[[#This Row],[Fecha]])</f>
        <v>10</v>
      </c>
      <c r="D3314" s="4">
        <f>WEEKNUM(datos_ventas[[#This Row],[Fecha]],2)</f>
        <v>44</v>
      </c>
      <c r="E3314" t="s">
        <v>20</v>
      </c>
      <c r="F3314" t="s">
        <v>21</v>
      </c>
      <c r="G3314">
        <v>3</v>
      </c>
      <c r="H3314">
        <v>13925</v>
      </c>
      <c r="I3314">
        <v>1615</v>
      </c>
      <c r="J3314" t="s">
        <v>22</v>
      </c>
      <c r="K3314" t="str">
        <f>_xlfn.XLOOKUP(datos_ventas[[#This Row],[Ciudad]],Tabla2[Ciudades],Tabla2[Provincias],"no se encuentra")</f>
        <v>Valencia</v>
      </c>
      <c r="L3314" t="str">
        <f>_xlfn.XLOOKUP(datos_ventas[[#This Row],[Provincia]],Tabla2[Provincias],Tabla2[Comunidades],"no se encuentra")</f>
        <v>Comunidad Valenciana</v>
      </c>
      <c r="M3314" t="s">
        <v>13</v>
      </c>
      <c r="N3314">
        <v>1</v>
      </c>
    </row>
    <row r="3315" spans="1:14" x14ac:dyDescent="0.25">
      <c r="A3315">
        <v>4314</v>
      </c>
      <c r="B3315" s="1">
        <v>45734</v>
      </c>
      <c r="C3315" s="4">
        <f>MONTH(datos_ventas[[#This Row],[Fecha]])</f>
        <v>3</v>
      </c>
      <c r="D3315" s="4">
        <f>WEEKNUM(datos_ventas[[#This Row],[Fecha]],2)</f>
        <v>12</v>
      </c>
      <c r="E3315" t="s">
        <v>23</v>
      </c>
      <c r="F3315" t="s">
        <v>18</v>
      </c>
      <c r="G3315">
        <v>5</v>
      </c>
      <c r="H3315">
        <v>12174</v>
      </c>
      <c r="I3315">
        <v>568</v>
      </c>
      <c r="J3315" t="s">
        <v>31</v>
      </c>
      <c r="K3315" t="str">
        <f>_xlfn.XLOOKUP(datos_ventas[[#This Row],[Ciudad]],Tabla2[Ciudades],Tabla2[Provincias],"no se encuentra")</f>
        <v>Vizcaya</v>
      </c>
      <c r="L3315" t="str">
        <f>_xlfn.XLOOKUP(datos_ventas[[#This Row],[Provincia]],Tabla2[Provincias],Tabla2[Comunidades],"no se encuentra")</f>
        <v>País Vasco</v>
      </c>
      <c r="M3315" t="s">
        <v>28</v>
      </c>
      <c r="N3315">
        <v>4</v>
      </c>
    </row>
    <row r="3316" spans="1:14" x14ac:dyDescent="0.25">
      <c r="A3316">
        <v>4315</v>
      </c>
      <c r="B3316" s="1">
        <v>45810</v>
      </c>
      <c r="C3316" s="4">
        <f>MONTH(datos_ventas[[#This Row],[Fecha]])</f>
        <v>6</v>
      </c>
      <c r="D3316" s="4">
        <f>WEEKNUM(datos_ventas[[#This Row],[Fecha]],2)</f>
        <v>23</v>
      </c>
      <c r="E3316" t="s">
        <v>17</v>
      </c>
      <c r="F3316" t="s">
        <v>18</v>
      </c>
      <c r="G3316">
        <v>2</v>
      </c>
      <c r="H3316">
        <v>114108</v>
      </c>
      <c r="I3316">
        <v>3006</v>
      </c>
      <c r="J3316" t="s">
        <v>31</v>
      </c>
      <c r="K3316" t="str">
        <f>_xlfn.XLOOKUP(datos_ventas[[#This Row],[Ciudad]],Tabla2[Ciudades],Tabla2[Provincias],"no se encuentra")</f>
        <v>Vizcaya</v>
      </c>
      <c r="L3316" t="str">
        <f>_xlfn.XLOOKUP(datos_ventas[[#This Row],[Provincia]],Tabla2[Provincias],Tabla2[Comunidades],"no se encuentra")</f>
        <v>País Vasco</v>
      </c>
      <c r="M3316" t="s">
        <v>19</v>
      </c>
      <c r="N3316">
        <v>2</v>
      </c>
    </row>
    <row r="3317" spans="1:14" x14ac:dyDescent="0.25">
      <c r="A3317">
        <v>4316</v>
      </c>
      <c r="B3317" s="1">
        <v>45855</v>
      </c>
      <c r="C3317" s="4">
        <f>MONTH(datos_ventas[[#This Row],[Fecha]])</f>
        <v>7</v>
      </c>
      <c r="D3317" s="4">
        <f>WEEKNUM(datos_ventas[[#This Row],[Fecha]],2)</f>
        <v>29</v>
      </c>
      <c r="E3317" t="s">
        <v>20</v>
      </c>
      <c r="F3317" t="s">
        <v>21</v>
      </c>
      <c r="G3317">
        <v>5</v>
      </c>
      <c r="H3317">
        <v>97982</v>
      </c>
      <c r="I3317">
        <v>395</v>
      </c>
      <c r="J3317" t="s">
        <v>27</v>
      </c>
      <c r="K3317" t="str">
        <f>_xlfn.XLOOKUP(datos_ventas[[#This Row],[Ciudad]],Tabla2[Ciudades],Tabla2[Provincias],"no se encuentra")</f>
        <v>Sevilla</v>
      </c>
      <c r="L3317" t="str">
        <f>_xlfn.XLOOKUP(datos_ventas[[#This Row],[Provincia]],Tabla2[Provincias],Tabla2[Comunidades],"no se encuentra")</f>
        <v>Andalucía</v>
      </c>
      <c r="M3317" t="s">
        <v>13</v>
      </c>
      <c r="N3317">
        <v>2</v>
      </c>
    </row>
    <row r="3318" spans="1:14" x14ac:dyDescent="0.25">
      <c r="A3318">
        <v>4317</v>
      </c>
      <c r="B3318" s="1">
        <v>45943</v>
      </c>
      <c r="C3318" s="4">
        <f>MONTH(datos_ventas[[#This Row],[Fecha]])</f>
        <v>10</v>
      </c>
      <c r="D3318" s="4">
        <f>WEEKNUM(datos_ventas[[#This Row],[Fecha]],2)</f>
        <v>42</v>
      </c>
      <c r="E3318" t="s">
        <v>10</v>
      </c>
      <c r="F3318" t="s">
        <v>11</v>
      </c>
      <c r="G3318">
        <v>5</v>
      </c>
      <c r="H3318">
        <v>4106</v>
      </c>
      <c r="I3318">
        <v>3364</v>
      </c>
      <c r="J3318" t="s">
        <v>14</v>
      </c>
      <c r="K3318" t="str">
        <f>_xlfn.XLOOKUP(datos_ventas[[#This Row],[Ciudad]],Tabla2[Ciudades],Tabla2[Provincias],"no se encuentra")</f>
        <v>Madrid</v>
      </c>
      <c r="L3318" t="str">
        <f>_xlfn.XLOOKUP(datos_ventas[[#This Row],[Provincia]],Tabla2[Provincias],Tabla2[Comunidades],"no se encuentra")</f>
        <v>Comunidad de Madrid</v>
      </c>
      <c r="M3318" t="s">
        <v>19</v>
      </c>
      <c r="N3318">
        <v>2</v>
      </c>
    </row>
    <row r="3319" spans="1:14" x14ac:dyDescent="0.25">
      <c r="A3319">
        <v>4318</v>
      </c>
      <c r="B3319" s="1">
        <v>45711</v>
      </c>
      <c r="C3319" s="4">
        <f>MONTH(datos_ventas[[#This Row],[Fecha]])</f>
        <v>2</v>
      </c>
      <c r="D3319" s="4">
        <f>WEEKNUM(datos_ventas[[#This Row],[Fecha]],2)</f>
        <v>8</v>
      </c>
      <c r="E3319" t="s">
        <v>17</v>
      </c>
      <c r="F3319" t="s">
        <v>18</v>
      </c>
      <c r="G3319">
        <v>5</v>
      </c>
      <c r="H3319">
        <v>112591</v>
      </c>
      <c r="I3319">
        <v>1898</v>
      </c>
      <c r="J3319" t="s">
        <v>32</v>
      </c>
      <c r="K3319" t="str">
        <f>_xlfn.XLOOKUP(datos_ventas[[#This Row],[Ciudad]],Tabla2[Ciudades],Tabla2[Provincias],"no se encuentra")</f>
        <v>Barcelona</v>
      </c>
      <c r="L3319" t="str">
        <f>_xlfn.XLOOKUP(datos_ventas[[#This Row],[Provincia]],Tabla2[Provincias],Tabla2[Comunidades],"no se encuentra")</f>
        <v>Cataluña</v>
      </c>
      <c r="M3319" t="s">
        <v>28</v>
      </c>
      <c r="N3319">
        <v>3</v>
      </c>
    </row>
    <row r="3320" spans="1:14" x14ac:dyDescent="0.25">
      <c r="A3320">
        <v>4319</v>
      </c>
      <c r="B3320" s="1">
        <v>45941</v>
      </c>
      <c r="C3320" s="4">
        <f>MONTH(datos_ventas[[#This Row],[Fecha]])</f>
        <v>10</v>
      </c>
      <c r="D3320" s="4">
        <f>WEEKNUM(datos_ventas[[#This Row],[Fecha]],2)</f>
        <v>41</v>
      </c>
      <c r="E3320" t="s">
        <v>24</v>
      </c>
      <c r="F3320" t="s">
        <v>25</v>
      </c>
      <c r="G3320">
        <v>4</v>
      </c>
      <c r="H3320">
        <v>70522</v>
      </c>
      <c r="I3320">
        <v>4869</v>
      </c>
      <c r="J3320" t="s">
        <v>31</v>
      </c>
      <c r="K3320" t="str">
        <f>_xlfn.XLOOKUP(datos_ventas[[#This Row],[Ciudad]],Tabla2[Ciudades],Tabla2[Provincias],"no se encuentra")</f>
        <v>Vizcaya</v>
      </c>
      <c r="L3320" t="str">
        <f>_xlfn.XLOOKUP(datos_ventas[[#This Row],[Provincia]],Tabla2[Provincias],Tabla2[Comunidades],"no se encuentra")</f>
        <v>País Vasco</v>
      </c>
      <c r="M3320" t="s">
        <v>28</v>
      </c>
      <c r="N3320">
        <v>3</v>
      </c>
    </row>
    <row r="3321" spans="1:14" x14ac:dyDescent="0.25">
      <c r="A3321">
        <v>4320</v>
      </c>
      <c r="B3321" s="1">
        <v>45668</v>
      </c>
      <c r="C3321" s="4">
        <f>MONTH(datos_ventas[[#This Row],[Fecha]])</f>
        <v>1</v>
      </c>
      <c r="D3321" s="4">
        <f>WEEKNUM(datos_ventas[[#This Row],[Fecha]],2)</f>
        <v>2</v>
      </c>
      <c r="E3321" t="s">
        <v>17</v>
      </c>
      <c r="F3321" t="s">
        <v>18</v>
      </c>
      <c r="G3321">
        <v>2</v>
      </c>
      <c r="H3321">
        <v>7911</v>
      </c>
      <c r="I3321">
        <v>3881</v>
      </c>
      <c r="J3321" t="s">
        <v>22</v>
      </c>
      <c r="K3321" t="str">
        <f>_xlfn.XLOOKUP(datos_ventas[[#This Row],[Ciudad]],Tabla2[Ciudades],Tabla2[Provincias],"no se encuentra")</f>
        <v>Valencia</v>
      </c>
      <c r="L3321" t="str">
        <f>_xlfn.XLOOKUP(datos_ventas[[#This Row],[Provincia]],Tabla2[Provincias],Tabla2[Comunidades],"no se encuentra")</f>
        <v>Comunidad Valenciana</v>
      </c>
      <c r="M3321" t="s">
        <v>28</v>
      </c>
      <c r="N3321">
        <v>4</v>
      </c>
    </row>
    <row r="3322" spans="1:14" x14ac:dyDescent="0.25">
      <c r="A3322">
        <v>4321</v>
      </c>
      <c r="B3322" s="1">
        <v>45928</v>
      </c>
      <c r="C3322" s="4">
        <f>MONTH(datos_ventas[[#This Row],[Fecha]])</f>
        <v>9</v>
      </c>
      <c r="D3322" s="4">
        <f>WEEKNUM(datos_ventas[[#This Row],[Fecha]],2)</f>
        <v>39</v>
      </c>
      <c r="E3322" t="s">
        <v>23</v>
      </c>
      <c r="F3322" t="s">
        <v>18</v>
      </c>
      <c r="G3322">
        <v>3</v>
      </c>
      <c r="H3322">
        <v>97205</v>
      </c>
      <c r="I3322">
        <v>3536</v>
      </c>
      <c r="J3322" t="s">
        <v>27</v>
      </c>
      <c r="K3322" t="str">
        <f>_xlfn.XLOOKUP(datos_ventas[[#This Row],[Ciudad]],Tabla2[Ciudades],Tabla2[Provincias],"no se encuentra")</f>
        <v>Sevilla</v>
      </c>
      <c r="L3322" t="str">
        <f>_xlfn.XLOOKUP(datos_ventas[[#This Row],[Provincia]],Tabla2[Provincias],Tabla2[Comunidades],"no se encuentra")</f>
        <v>Andalucía</v>
      </c>
      <c r="M3322" t="s">
        <v>15</v>
      </c>
      <c r="N3322">
        <v>4</v>
      </c>
    </row>
    <row r="3323" spans="1:14" x14ac:dyDescent="0.25">
      <c r="A3323">
        <v>4322</v>
      </c>
      <c r="B3323" s="1">
        <v>45665</v>
      </c>
      <c r="C3323" s="4">
        <f>MONTH(datos_ventas[[#This Row],[Fecha]])</f>
        <v>1</v>
      </c>
      <c r="D3323" s="4">
        <f>WEEKNUM(datos_ventas[[#This Row],[Fecha]],2)</f>
        <v>2</v>
      </c>
      <c r="E3323" t="s">
        <v>17</v>
      </c>
      <c r="F3323" t="s">
        <v>18</v>
      </c>
      <c r="G3323">
        <v>5</v>
      </c>
      <c r="H3323">
        <v>107433</v>
      </c>
      <c r="I3323">
        <v>3069</v>
      </c>
      <c r="J3323" t="s">
        <v>22</v>
      </c>
      <c r="K3323" t="str">
        <f>_xlfn.XLOOKUP(datos_ventas[[#This Row],[Ciudad]],Tabla2[Ciudades],Tabla2[Provincias],"no se encuentra")</f>
        <v>Valencia</v>
      </c>
      <c r="L3323" t="str">
        <f>_xlfn.XLOOKUP(datos_ventas[[#This Row],[Provincia]],Tabla2[Provincias],Tabla2[Comunidades],"no se encuentra")</f>
        <v>Comunidad Valenciana</v>
      </c>
      <c r="M3323" t="s">
        <v>15</v>
      </c>
      <c r="N3323">
        <v>3</v>
      </c>
    </row>
    <row r="3324" spans="1:14" x14ac:dyDescent="0.25">
      <c r="A3324">
        <v>4323</v>
      </c>
      <c r="B3324" s="1">
        <v>45658</v>
      </c>
      <c r="C3324" s="4">
        <f>MONTH(datos_ventas[[#This Row],[Fecha]])</f>
        <v>1</v>
      </c>
      <c r="D3324" s="4">
        <f>WEEKNUM(datos_ventas[[#This Row],[Fecha]],2)</f>
        <v>1</v>
      </c>
      <c r="E3324" t="s">
        <v>24</v>
      </c>
      <c r="F3324" t="s">
        <v>25</v>
      </c>
      <c r="G3324">
        <v>4</v>
      </c>
      <c r="H3324">
        <v>97889</v>
      </c>
      <c r="I3324">
        <v>3122</v>
      </c>
      <c r="J3324" t="s">
        <v>14</v>
      </c>
      <c r="K3324" t="str">
        <f>_xlfn.XLOOKUP(datos_ventas[[#This Row],[Ciudad]],Tabla2[Ciudades],Tabla2[Provincias],"no se encuentra")</f>
        <v>Madrid</v>
      </c>
      <c r="L3324" t="str">
        <f>_xlfn.XLOOKUP(datos_ventas[[#This Row],[Provincia]],Tabla2[Provincias],Tabla2[Comunidades],"no se encuentra")</f>
        <v>Comunidad de Madrid</v>
      </c>
      <c r="M3324" t="s">
        <v>15</v>
      </c>
      <c r="N3324">
        <v>3</v>
      </c>
    </row>
    <row r="3325" spans="1:14" x14ac:dyDescent="0.25">
      <c r="A3325">
        <v>4324</v>
      </c>
      <c r="B3325" s="1">
        <v>45717</v>
      </c>
      <c r="C3325" s="4">
        <f>MONTH(datos_ventas[[#This Row],[Fecha]])</f>
        <v>3</v>
      </c>
      <c r="D3325" s="4">
        <f>WEEKNUM(datos_ventas[[#This Row],[Fecha]],2)</f>
        <v>9</v>
      </c>
      <c r="E3325" t="s">
        <v>29</v>
      </c>
      <c r="F3325" t="s">
        <v>30</v>
      </c>
      <c r="G3325">
        <v>3</v>
      </c>
      <c r="H3325">
        <v>30326</v>
      </c>
      <c r="I3325">
        <v>761</v>
      </c>
      <c r="J3325" t="s">
        <v>14</v>
      </c>
      <c r="K3325" t="str">
        <f>_xlfn.XLOOKUP(datos_ventas[[#This Row],[Ciudad]],Tabla2[Ciudades],Tabla2[Provincias],"no se encuentra")</f>
        <v>Madrid</v>
      </c>
      <c r="L3325" t="str">
        <f>_xlfn.XLOOKUP(datos_ventas[[#This Row],[Provincia]],Tabla2[Provincias],Tabla2[Comunidades],"no se encuentra")</f>
        <v>Comunidad de Madrid</v>
      </c>
      <c r="M3325" t="s">
        <v>19</v>
      </c>
      <c r="N3325">
        <v>5</v>
      </c>
    </row>
    <row r="3326" spans="1:14" x14ac:dyDescent="0.25">
      <c r="A3326">
        <v>4325</v>
      </c>
      <c r="B3326" s="1">
        <v>45834</v>
      </c>
      <c r="C3326" s="4">
        <f>MONTH(datos_ventas[[#This Row],[Fecha]])</f>
        <v>6</v>
      </c>
      <c r="D3326" s="4">
        <f>WEEKNUM(datos_ventas[[#This Row],[Fecha]],2)</f>
        <v>26</v>
      </c>
      <c r="E3326" t="s">
        <v>26</v>
      </c>
      <c r="F3326" t="s">
        <v>18</v>
      </c>
      <c r="G3326">
        <v>2</v>
      </c>
      <c r="H3326">
        <v>22182</v>
      </c>
      <c r="I3326">
        <v>2587</v>
      </c>
      <c r="J3326" t="s">
        <v>14</v>
      </c>
      <c r="K3326" t="str">
        <f>_xlfn.XLOOKUP(datos_ventas[[#This Row],[Ciudad]],Tabla2[Ciudades],Tabla2[Provincias],"no se encuentra")</f>
        <v>Madrid</v>
      </c>
      <c r="L3326" t="str">
        <f>_xlfn.XLOOKUP(datos_ventas[[#This Row],[Provincia]],Tabla2[Provincias],Tabla2[Comunidades],"no se encuentra")</f>
        <v>Comunidad de Madrid</v>
      </c>
      <c r="M3326" t="s">
        <v>15</v>
      </c>
      <c r="N3326">
        <v>4</v>
      </c>
    </row>
    <row r="3327" spans="1:14" x14ac:dyDescent="0.25">
      <c r="A3327">
        <v>4326</v>
      </c>
      <c r="B3327" s="1">
        <v>45945</v>
      </c>
      <c r="C3327" s="4">
        <f>MONTH(datos_ventas[[#This Row],[Fecha]])</f>
        <v>10</v>
      </c>
      <c r="D3327" s="4">
        <f>WEEKNUM(datos_ventas[[#This Row],[Fecha]],2)</f>
        <v>42</v>
      </c>
      <c r="E3327" t="s">
        <v>24</v>
      </c>
      <c r="F3327" t="s">
        <v>25</v>
      </c>
      <c r="G3327">
        <v>4</v>
      </c>
      <c r="H3327">
        <v>73654</v>
      </c>
      <c r="I3327">
        <v>882</v>
      </c>
      <c r="J3327" t="s">
        <v>31</v>
      </c>
      <c r="K3327" t="str">
        <f>_xlfn.XLOOKUP(datos_ventas[[#This Row],[Ciudad]],Tabla2[Ciudades],Tabla2[Provincias],"no se encuentra")</f>
        <v>Vizcaya</v>
      </c>
      <c r="L3327" t="str">
        <f>_xlfn.XLOOKUP(datos_ventas[[#This Row],[Provincia]],Tabla2[Provincias],Tabla2[Comunidades],"no se encuentra")</f>
        <v>País Vasco</v>
      </c>
      <c r="M3327" t="s">
        <v>28</v>
      </c>
      <c r="N3327">
        <v>5</v>
      </c>
    </row>
    <row r="3328" spans="1:14" x14ac:dyDescent="0.25">
      <c r="A3328">
        <v>4327</v>
      </c>
      <c r="B3328" s="1">
        <v>45686</v>
      </c>
      <c r="C3328" s="4">
        <f>MONTH(datos_ventas[[#This Row],[Fecha]])</f>
        <v>1</v>
      </c>
      <c r="D3328" s="4">
        <f>WEEKNUM(datos_ventas[[#This Row],[Fecha]],2)</f>
        <v>5</v>
      </c>
      <c r="E3328" t="s">
        <v>20</v>
      </c>
      <c r="F3328" t="s">
        <v>21</v>
      </c>
      <c r="G3328">
        <v>4</v>
      </c>
      <c r="H3328">
        <v>98814</v>
      </c>
      <c r="I3328">
        <v>3461</v>
      </c>
      <c r="J3328" t="s">
        <v>27</v>
      </c>
      <c r="K3328" t="str">
        <f>_xlfn.XLOOKUP(datos_ventas[[#This Row],[Ciudad]],Tabla2[Ciudades],Tabla2[Provincias],"no se encuentra")</f>
        <v>Sevilla</v>
      </c>
      <c r="L3328" t="str">
        <f>_xlfn.XLOOKUP(datos_ventas[[#This Row],[Provincia]],Tabla2[Provincias],Tabla2[Comunidades],"no se encuentra")</f>
        <v>Andalucía</v>
      </c>
      <c r="M3328" t="s">
        <v>28</v>
      </c>
      <c r="N3328">
        <v>2</v>
      </c>
    </row>
    <row r="3329" spans="1:14" x14ac:dyDescent="0.25">
      <c r="A3329">
        <v>4328</v>
      </c>
      <c r="B3329" s="1">
        <v>45935</v>
      </c>
      <c r="C3329" s="4">
        <f>MONTH(datos_ventas[[#This Row],[Fecha]])</f>
        <v>10</v>
      </c>
      <c r="D3329" s="4">
        <f>WEEKNUM(datos_ventas[[#This Row],[Fecha]],2)</f>
        <v>40</v>
      </c>
      <c r="E3329" t="s">
        <v>29</v>
      </c>
      <c r="F3329" t="s">
        <v>30</v>
      </c>
      <c r="G3329">
        <v>1</v>
      </c>
      <c r="H3329">
        <v>19412</v>
      </c>
      <c r="I3329">
        <v>1152</v>
      </c>
      <c r="J3329" t="s">
        <v>32</v>
      </c>
      <c r="K3329" t="str">
        <f>_xlfn.XLOOKUP(datos_ventas[[#This Row],[Ciudad]],Tabla2[Ciudades],Tabla2[Provincias],"no se encuentra")</f>
        <v>Barcelona</v>
      </c>
      <c r="L3329" t="str">
        <f>_xlfn.XLOOKUP(datos_ventas[[#This Row],[Provincia]],Tabla2[Provincias],Tabla2[Comunidades],"no se encuentra")</f>
        <v>Cataluña</v>
      </c>
      <c r="M3329" t="s">
        <v>19</v>
      </c>
      <c r="N3329">
        <v>5</v>
      </c>
    </row>
    <row r="3330" spans="1:14" x14ac:dyDescent="0.25">
      <c r="A3330">
        <v>4329</v>
      </c>
      <c r="B3330" s="1">
        <v>45773</v>
      </c>
      <c r="C3330" s="4">
        <f>MONTH(datos_ventas[[#This Row],[Fecha]])</f>
        <v>4</v>
      </c>
      <c r="D3330" s="4">
        <f>WEEKNUM(datos_ventas[[#This Row],[Fecha]],2)</f>
        <v>17</v>
      </c>
      <c r="E3330" t="s">
        <v>16</v>
      </c>
      <c r="F3330" t="s">
        <v>11</v>
      </c>
      <c r="G3330">
        <v>1</v>
      </c>
      <c r="H3330">
        <v>15097</v>
      </c>
      <c r="I3330">
        <v>3408</v>
      </c>
      <c r="J3330" t="s">
        <v>31</v>
      </c>
      <c r="K3330" t="str">
        <f>_xlfn.XLOOKUP(datos_ventas[[#This Row],[Ciudad]],Tabla2[Ciudades],Tabla2[Provincias],"no se encuentra")</f>
        <v>Vizcaya</v>
      </c>
      <c r="L3330" t="str">
        <f>_xlfn.XLOOKUP(datos_ventas[[#This Row],[Provincia]],Tabla2[Provincias],Tabla2[Comunidades],"no se encuentra")</f>
        <v>País Vasco</v>
      </c>
      <c r="M3330" t="s">
        <v>15</v>
      </c>
      <c r="N3330">
        <v>3</v>
      </c>
    </row>
    <row r="3331" spans="1:14" x14ac:dyDescent="0.25">
      <c r="A3331">
        <v>4330</v>
      </c>
      <c r="B3331" s="1">
        <v>45770</v>
      </c>
      <c r="C3331" s="4">
        <f>MONTH(datos_ventas[[#This Row],[Fecha]])</f>
        <v>4</v>
      </c>
      <c r="D3331" s="4">
        <f>WEEKNUM(datos_ventas[[#This Row],[Fecha]],2)</f>
        <v>17</v>
      </c>
      <c r="E3331" t="s">
        <v>17</v>
      </c>
      <c r="F3331" t="s">
        <v>18</v>
      </c>
      <c r="G3331">
        <v>5</v>
      </c>
      <c r="H3331">
        <v>105079</v>
      </c>
      <c r="I3331">
        <v>1189</v>
      </c>
      <c r="J3331" t="s">
        <v>12</v>
      </c>
      <c r="K3331" t="str">
        <f>_xlfn.XLOOKUP(datos_ventas[[#This Row],[Ciudad]],Tabla2[Ciudades],Tabla2[Provincias],"no se encuentra")</f>
        <v>Málaga</v>
      </c>
      <c r="L3331" t="str">
        <f>_xlfn.XLOOKUP(datos_ventas[[#This Row],[Provincia]],Tabla2[Provincias],Tabla2[Comunidades],"no se encuentra")</f>
        <v>Andalucía</v>
      </c>
      <c r="M3331" t="s">
        <v>13</v>
      </c>
      <c r="N3331">
        <v>4</v>
      </c>
    </row>
    <row r="3332" spans="1:14" x14ac:dyDescent="0.25">
      <c r="A3332">
        <v>4331</v>
      </c>
      <c r="B3332" s="1">
        <v>45758</v>
      </c>
      <c r="C3332" s="4">
        <f>MONTH(datos_ventas[[#This Row],[Fecha]])</f>
        <v>4</v>
      </c>
      <c r="D3332" s="4">
        <f>WEEKNUM(datos_ventas[[#This Row],[Fecha]],2)</f>
        <v>15</v>
      </c>
      <c r="E3332" t="s">
        <v>24</v>
      </c>
      <c r="F3332" t="s">
        <v>25</v>
      </c>
      <c r="G3332">
        <v>4</v>
      </c>
      <c r="H3332">
        <v>35827</v>
      </c>
      <c r="I3332">
        <v>4101</v>
      </c>
      <c r="J3332" t="s">
        <v>14</v>
      </c>
      <c r="K3332" t="str">
        <f>_xlfn.XLOOKUP(datos_ventas[[#This Row],[Ciudad]],Tabla2[Ciudades],Tabla2[Provincias],"no se encuentra")</f>
        <v>Madrid</v>
      </c>
      <c r="L3332" t="str">
        <f>_xlfn.XLOOKUP(datos_ventas[[#This Row],[Provincia]],Tabla2[Provincias],Tabla2[Comunidades],"no se encuentra")</f>
        <v>Comunidad de Madrid</v>
      </c>
      <c r="M3332" t="s">
        <v>13</v>
      </c>
      <c r="N3332">
        <v>4</v>
      </c>
    </row>
    <row r="3333" spans="1:14" x14ac:dyDescent="0.25">
      <c r="A3333">
        <v>4332</v>
      </c>
      <c r="B3333" s="1">
        <v>45850</v>
      </c>
      <c r="C3333" s="4">
        <f>MONTH(datos_ventas[[#This Row],[Fecha]])</f>
        <v>7</v>
      </c>
      <c r="D3333" s="4">
        <f>WEEKNUM(datos_ventas[[#This Row],[Fecha]],2)</f>
        <v>28</v>
      </c>
      <c r="E3333" t="s">
        <v>29</v>
      </c>
      <c r="F3333" t="s">
        <v>30</v>
      </c>
      <c r="G3333">
        <v>5</v>
      </c>
      <c r="H3333">
        <v>115451</v>
      </c>
      <c r="I3333">
        <v>4459</v>
      </c>
      <c r="J3333" t="s">
        <v>31</v>
      </c>
      <c r="K3333" t="str">
        <f>_xlfn.XLOOKUP(datos_ventas[[#This Row],[Ciudad]],Tabla2[Ciudades],Tabla2[Provincias],"no se encuentra")</f>
        <v>Vizcaya</v>
      </c>
      <c r="L3333" t="str">
        <f>_xlfn.XLOOKUP(datos_ventas[[#This Row],[Provincia]],Tabla2[Provincias],Tabla2[Comunidades],"no se encuentra")</f>
        <v>País Vasco</v>
      </c>
      <c r="M3333" t="s">
        <v>28</v>
      </c>
      <c r="N3333">
        <v>3</v>
      </c>
    </row>
    <row r="3334" spans="1:14" x14ac:dyDescent="0.25">
      <c r="A3334">
        <v>4333</v>
      </c>
      <c r="B3334" s="1">
        <v>45711</v>
      </c>
      <c r="C3334" s="4">
        <f>MONTH(datos_ventas[[#This Row],[Fecha]])</f>
        <v>2</v>
      </c>
      <c r="D3334" s="4">
        <f>WEEKNUM(datos_ventas[[#This Row],[Fecha]],2)</f>
        <v>8</v>
      </c>
      <c r="E3334" t="s">
        <v>20</v>
      </c>
      <c r="F3334" t="s">
        <v>21</v>
      </c>
      <c r="G3334">
        <v>1</v>
      </c>
      <c r="H3334">
        <v>74384</v>
      </c>
      <c r="I3334">
        <v>3657</v>
      </c>
      <c r="J3334" t="s">
        <v>27</v>
      </c>
      <c r="K3334" t="str">
        <f>_xlfn.XLOOKUP(datos_ventas[[#This Row],[Ciudad]],Tabla2[Ciudades],Tabla2[Provincias],"no se encuentra")</f>
        <v>Sevilla</v>
      </c>
      <c r="L3334" t="str">
        <f>_xlfn.XLOOKUP(datos_ventas[[#This Row],[Provincia]],Tabla2[Provincias],Tabla2[Comunidades],"no se encuentra")</f>
        <v>Andalucía</v>
      </c>
      <c r="M3334" t="s">
        <v>15</v>
      </c>
      <c r="N3334">
        <v>1</v>
      </c>
    </row>
    <row r="3335" spans="1:14" x14ac:dyDescent="0.25">
      <c r="A3335">
        <v>4334</v>
      </c>
      <c r="B3335" s="1">
        <v>45878</v>
      </c>
      <c r="C3335" s="4">
        <f>MONTH(datos_ventas[[#This Row],[Fecha]])</f>
        <v>8</v>
      </c>
      <c r="D3335" s="4">
        <f>WEEKNUM(datos_ventas[[#This Row],[Fecha]],2)</f>
        <v>32</v>
      </c>
      <c r="E3335" t="s">
        <v>16</v>
      </c>
      <c r="F3335" t="s">
        <v>11</v>
      </c>
      <c r="G3335">
        <v>5</v>
      </c>
      <c r="H3335">
        <v>6701</v>
      </c>
      <c r="I3335">
        <v>1761</v>
      </c>
      <c r="J3335" t="s">
        <v>32</v>
      </c>
      <c r="K3335" t="str">
        <f>_xlfn.XLOOKUP(datos_ventas[[#This Row],[Ciudad]],Tabla2[Ciudades],Tabla2[Provincias],"no se encuentra")</f>
        <v>Barcelona</v>
      </c>
      <c r="L3335" t="str">
        <f>_xlfn.XLOOKUP(datos_ventas[[#This Row],[Provincia]],Tabla2[Provincias],Tabla2[Comunidades],"no se encuentra")</f>
        <v>Cataluña</v>
      </c>
      <c r="M3335" t="s">
        <v>28</v>
      </c>
      <c r="N3335">
        <v>2</v>
      </c>
    </row>
    <row r="3336" spans="1:14" x14ac:dyDescent="0.25">
      <c r="A3336">
        <v>4335</v>
      </c>
      <c r="B3336" s="1">
        <v>45772</v>
      </c>
      <c r="C3336" s="4">
        <f>MONTH(datos_ventas[[#This Row],[Fecha]])</f>
        <v>4</v>
      </c>
      <c r="D3336" s="4">
        <f>WEEKNUM(datos_ventas[[#This Row],[Fecha]],2)</f>
        <v>17</v>
      </c>
      <c r="E3336" t="s">
        <v>24</v>
      </c>
      <c r="F3336" t="s">
        <v>25</v>
      </c>
      <c r="G3336">
        <v>4</v>
      </c>
      <c r="H3336">
        <v>28247</v>
      </c>
      <c r="I3336">
        <v>4734</v>
      </c>
      <c r="J3336" t="s">
        <v>14</v>
      </c>
      <c r="K3336" t="str">
        <f>_xlfn.XLOOKUP(datos_ventas[[#This Row],[Ciudad]],Tabla2[Ciudades],Tabla2[Provincias],"no se encuentra")</f>
        <v>Madrid</v>
      </c>
      <c r="L3336" t="str">
        <f>_xlfn.XLOOKUP(datos_ventas[[#This Row],[Provincia]],Tabla2[Provincias],Tabla2[Comunidades],"no se encuentra")</f>
        <v>Comunidad de Madrid</v>
      </c>
      <c r="M3336" t="s">
        <v>19</v>
      </c>
      <c r="N3336">
        <v>3</v>
      </c>
    </row>
    <row r="3337" spans="1:14" x14ac:dyDescent="0.25">
      <c r="A3337">
        <v>4336</v>
      </c>
      <c r="B3337" s="1">
        <v>45711</v>
      </c>
      <c r="C3337" s="4">
        <f>MONTH(datos_ventas[[#This Row],[Fecha]])</f>
        <v>2</v>
      </c>
      <c r="D3337" s="4">
        <f>WEEKNUM(datos_ventas[[#This Row],[Fecha]],2)</f>
        <v>8</v>
      </c>
      <c r="E3337" t="s">
        <v>23</v>
      </c>
      <c r="F3337" t="s">
        <v>18</v>
      </c>
      <c r="G3337">
        <v>2</v>
      </c>
      <c r="H3337">
        <v>47552</v>
      </c>
      <c r="I3337">
        <v>1507</v>
      </c>
      <c r="J3337" t="s">
        <v>22</v>
      </c>
      <c r="K3337" t="str">
        <f>_xlfn.XLOOKUP(datos_ventas[[#This Row],[Ciudad]],Tabla2[Ciudades],Tabla2[Provincias],"no se encuentra")</f>
        <v>Valencia</v>
      </c>
      <c r="L3337" t="str">
        <f>_xlfn.XLOOKUP(datos_ventas[[#This Row],[Provincia]],Tabla2[Provincias],Tabla2[Comunidades],"no se encuentra")</f>
        <v>Comunidad Valenciana</v>
      </c>
      <c r="M3337" t="s">
        <v>19</v>
      </c>
      <c r="N3337">
        <v>2</v>
      </c>
    </row>
    <row r="3338" spans="1:14" x14ac:dyDescent="0.25">
      <c r="A3338">
        <v>4337</v>
      </c>
      <c r="B3338" s="1">
        <v>45747</v>
      </c>
      <c r="C3338" s="4">
        <f>MONTH(datos_ventas[[#This Row],[Fecha]])</f>
        <v>3</v>
      </c>
      <c r="D3338" s="4">
        <f>WEEKNUM(datos_ventas[[#This Row],[Fecha]],2)</f>
        <v>14</v>
      </c>
      <c r="E3338" t="s">
        <v>17</v>
      </c>
      <c r="F3338" t="s">
        <v>18</v>
      </c>
      <c r="G3338">
        <v>5</v>
      </c>
      <c r="H3338">
        <v>114336</v>
      </c>
      <c r="I3338">
        <v>4046</v>
      </c>
      <c r="J3338" t="s">
        <v>27</v>
      </c>
      <c r="K3338" t="str">
        <f>_xlfn.XLOOKUP(datos_ventas[[#This Row],[Ciudad]],Tabla2[Ciudades],Tabla2[Provincias],"no se encuentra")</f>
        <v>Sevilla</v>
      </c>
      <c r="L3338" t="str">
        <f>_xlfn.XLOOKUP(datos_ventas[[#This Row],[Provincia]],Tabla2[Provincias],Tabla2[Comunidades],"no se encuentra")</f>
        <v>Andalucía</v>
      </c>
      <c r="M3338" t="s">
        <v>28</v>
      </c>
      <c r="N3338">
        <v>5</v>
      </c>
    </row>
    <row r="3339" spans="1:14" x14ac:dyDescent="0.25">
      <c r="A3339">
        <v>4338</v>
      </c>
      <c r="B3339" s="1">
        <v>45689</v>
      </c>
      <c r="C3339" s="4">
        <f>MONTH(datos_ventas[[#This Row],[Fecha]])</f>
        <v>2</v>
      </c>
      <c r="D3339" s="4">
        <f>WEEKNUM(datos_ventas[[#This Row],[Fecha]],2)</f>
        <v>5</v>
      </c>
      <c r="E3339" t="s">
        <v>24</v>
      </c>
      <c r="F3339" t="s">
        <v>25</v>
      </c>
      <c r="G3339">
        <v>1</v>
      </c>
      <c r="H3339">
        <v>6645</v>
      </c>
      <c r="I3339">
        <v>2807</v>
      </c>
      <c r="J3339" t="s">
        <v>22</v>
      </c>
      <c r="K3339" t="str">
        <f>_xlfn.XLOOKUP(datos_ventas[[#This Row],[Ciudad]],Tabla2[Ciudades],Tabla2[Provincias],"no se encuentra")</f>
        <v>Valencia</v>
      </c>
      <c r="L3339" t="str">
        <f>_xlfn.XLOOKUP(datos_ventas[[#This Row],[Provincia]],Tabla2[Provincias],Tabla2[Comunidades],"no se encuentra")</f>
        <v>Comunidad Valenciana</v>
      </c>
      <c r="M3339" t="s">
        <v>15</v>
      </c>
      <c r="N3339">
        <v>1</v>
      </c>
    </row>
    <row r="3340" spans="1:14" x14ac:dyDescent="0.25">
      <c r="A3340">
        <v>4339</v>
      </c>
      <c r="B3340" s="1">
        <v>45789</v>
      </c>
      <c r="C3340" s="4">
        <f>MONTH(datos_ventas[[#This Row],[Fecha]])</f>
        <v>5</v>
      </c>
      <c r="D3340" s="4">
        <f>WEEKNUM(datos_ventas[[#This Row],[Fecha]],2)</f>
        <v>20</v>
      </c>
      <c r="E3340" t="s">
        <v>26</v>
      </c>
      <c r="F3340" t="s">
        <v>18</v>
      </c>
      <c r="G3340">
        <v>2</v>
      </c>
      <c r="H3340">
        <v>105534</v>
      </c>
      <c r="I3340">
        <v>4675</v>
      </c>
      <c r="J3340" t="s">
        <v>22</v>
      </c>
      <c r="K3340" t="str">
        <f>_xlfn.XLOOKUP(datos_ventas[[#This Row],[Ciudad]],Tabla2[Ciudades],Tabla2[Provincias],"no se encuentra")</f>
        <v>Valencia</v>
      </c>
      <c r="L3340" t="str">
        <f>_xlfn.XLOOKUP(datos_ventas[[#This Row],[Provincia]],Tabla2[Provincias],Tabla2[Comunidades],"no se encuentra")</f>
        <v>Comunidad Valenciana</v>
      </c>
      <c r="M3340" t="s">
        <v>19</v>
      </c>
      <c r="N3340">
        <v>4</v>
      </c>
    </row>
    <row r="3341" spans="1:14" x14ac:dyDescent="0.25">
      <c r="A3341">
        <v>4340</v>
      </c>
      <c r="B3341" s="1">
        <v>45701</v>
      </c>
      <c r="C3341" s="4">
        <f>MONTH(datos_ventas[[#This Row],[Fecha]])</f>
        <v>2</v>
      </c>
      <c r="D3341" s="4">
        <f>WEEKNUM(datos_ventas[[#This Row],[Fecha]],2)</f>
        <v>7</v>
      </c>
      <c r="E3341" t="s">
        <v>16</v>
      </c>
      <c r="F3341" t="s">
        <v>11</v>
      </c>
      <c r="G3341">
        <v>1</v>
      </c>
      <c r="H3341">
        <v>18536</v>
      </c>
      <c r="I3341">
        <v>988</v>
      </c>
      <c r="J3341" t="s">
        <v>27</v>
      </c>
      <c r="K3341" t="str">
        <f>_xlfn.XLOOKUP(datos_ventas[[#This Row],[Ciudad]],Tabla2[Ciudades],Tabla2[Provincias],"no se encuentra")</f>
        <v>Sevilla</v>
      </c>
      <c r="L3341" t="str">
        <f>_xlfn.XLOOKUP(datos_ventas[[#This Row],[Provincia]],Tabla2[Provincias],Tabla2[Comunidades],"no se encuentra")</f>
        <v>Andalucía</v>
      </c>
      <c r="M3341" t="s">
        <v>19</v>
      </c>
      <c r="N3341">
        <v>3</v>
      </c>
    </row>
    <row r="3342" spans="1:14" x14ac:dyDescent="0.25">
      <c r="A3342">
        <v>4341</v>
      </c>
      <c r="B3342" s="1">
        <v>45747</v>
      </c>
      <c r="C3342" s="4">
        <f>MONTH(datos_ventas[[#This Row],[Fecha]])</f>
        <v>3</v>
      </c>
      <c r="D3342" s="4">
        <f>WEEKNUM(datos_ventas[[#This Row],[Fecha]],2)</f>
        <v>14</v>
      </c>
      <c r="E3342" t="s">
        <v>26</v>
      </c>
      <c r="F3342" t="s">
        <v>18</v>
      </c>
      <c r="G3342">
        <v>4</v>
      </c>
      <c r="H3342">
        <v>27269</v>
      </c>
      <c r="I3342">
        <v>234</v>
      </c>
      <c r="J3342" t="s">
        <v>14</v>
      </c>
      <c r="K3342" t="str">
        <f>_xlfn.XLOOKUP(datos_ventas[[#This Row],[Ciudad]],Tabla2[Ciudades],Tabla2[Provincias],"no se encuentra")</f>
        <v>Madrid</v>
      </c>
      <c r="L3342" t="str">
        <f>_xlfn.XLOOKUP(datos_ventas[[#This Row],[Provincia]],Tabla2[Provincias],Tabla2[Comunidades],"no se encuentra")</f>
        <v>Comunidad de Madrid</v>
      </c>
      <c r="M3342" t="s">
        <v>28</v>
      </c>
      <c r="N3342">
        <v>4</v>
      </c>
    </row>
    <row r="3343" spans="1:14" x14ac:dyDescent="0.25">
      <c r="A3343">
        <v>4342</v>
      </c>
      <c r="B3343" s="1">
        <v>45790</v>
      </c>
      <c r="C3343" s="4">
        <f>MONTH(datos_ventas[[#This Row],[Fecha]])</f>
        <v>5</v>
      </c>
      <c r="D3343" s="4">
        <f>WEEKNUM(datos_ventas[[#This Row],[Fecha]],2)</f>
        <v>20</v>
      </c>
      <c r="E3343" t="s">
        <v>10</v>
      </c>
      <c r="F3343" t="s">
        <v>11</v>
      </c>
      <c r="G3343">
        <v>2</v>
      </c>
      <c r="H3343">
        <v>84479</v>
      </c>
      <c r="I3343">
        <v>1208</v>
      </c>
      <c r="J3343" t="s">
        <v>12</v>
      </c>
      <c r="K3343" t="str">
        <f>_xlfn.XLOOKUP(datos_ventas[[#This Row],[Ciudad]],Tabla2[Ciudades],Tabla2[Provincias],"no se encuentra")</f>
        <v>Málaga</v>
      </c>
      <c r="L3343" t="str">
        <f>_xlfn.XLOOKUP(datos_ventas[[#This Row],[Provincia]],Tabla2[Provincias],Tabla2[Comunidades],"no se encuentra")</f>
        <v>Andalucía</v>
      </c>
      <c r="M3343" t="s">
        <v>13</v>
      </c>
      <c r="N3343">
        <v>4</v>
      </c>
    </row>
    <row r="3344" spans="1:14" x14ac:dyDescent="0.25">
      <c r="A3344">
        <v>4343</v>
      </c>
      <c r="B3344" s="1">
        <v>45915</v>
      </c>
      <c r="C3344" s="4">
        <f>MONTH(datos_ventas[[#This Row],[Fecha]])</f>
        <v>9</v>
      </c>
      <c r="D3344" s="4">
        <f>WEEKNUM(datos_ventas[[#This Row],[Fecha]],2)</f>
        <v>38</v>
      </c>
      <c r="E3344" t="s">
        <v>23</v>
      </c>
      <c r="F3344" t="s">
        <v>18</v>
      </c>
      <c r="G3344">
        <v>4</v>
      </c>
      <c r="H3344">
        <v>3611</v>
      </c>
      <c r="I3344">
        <v>2276</v>
      </c>
      <c r="J3344" t="s">
        <v>14</v>
      </c>
      <c r="K3344" t="str">
        <f>_xlfn.XLOOKUP(datos_ventas[[#This Row],[Ciudad]],Tabla2[Ciudades],Tabla2[Provincias],"no se encuentra")</f>
        <v>Madrid</v>
      </c>
      <c r="L3344" t="str">
        <f>_xlfn.XLOOKUP(datos_ventas[[#This Row],[Provincia]],Tabla2[Provincias],Tabla2[Comunidades],"no se encuentra")</f>
        <v>Comunidad de Madrid</v>
      </c>
      <c r="M3344" t="s">
        <v>13</v>
      </c>
      <c r="N3344">
        <v>4</v>
      </c>
    </row>
    <row r="3345" spans="1:14" x14ac:dyDescent="0.25">
      <c r="A3345">
        <v>4344</v>
      </c>
      <c r="B3345" s="1">
        <v>45871</v>
      </c>
      <c r="C3345" s="4">
        <f>MONTH(datos_ventas[[#This Row],[Fecha]])</f>
        <v>8</v>
      </c>
      <c r="D3345" s="4">
        <f>WEEKNUM(datos_ventas[[#This Row],[Fecha]],2)</f>
        <v>31</v>
      </c>
      <c r="E3345" t="s">
        <v>23</v>
      </c>
      <c r="F3345" t="s">
        <v>18</v>
      </c>
      <c r="G3345">
        <v>5</v>
      </c>
      <c r="H3345">
        <v>16391</v>
      </c>
      <c r="I3345">
        <v>538</v>
      </c>
      <c r="J3345" t="s">
        <v>27</v>
      </c>
      <c r="K3345" t="str">
        <f>_xlfn.XLOOKUP(datos_ventas[[#This Row],[Ciudad]],Tabla2[Ciudades],Tabla2[Provincias],"no se encuentra")</f>
        <v>Sevilla</v>
      </c>
      <c r="L3345" t="str">
        <f>_xlfn.XLOOKUP(datos_ventas[[#This Row],[Provincia]],Tabla2[Provincias],Tabla2[Comunidades],"no se encuentra")</f>
        <v>Andalucía</v>
      </c>
      <c r="M3345" t="s">
        <v>13</v>
      </c>
      <c r="N3345">
        <v>1</v>
      </c>
    </row>
    <row r="3346" spans="1:14" x14ac:dyDescent="0.25">
      <c r="A3346">
        <v>4345</v>
      </c>
      <c r="B3346" s="1">
        <v>45834</v>
      </c>
      <c r="C3346" s="4">
        <f>MONTH(datos_ventas[[#This Row],[Fecha]])</f>
        <v>6</v>
      </c>
      <c r="D3346" s="4">
        <f>WEEKNUM(datos_ventas[[#This Row],[Fecha]],2)</f>
        <v>26</v>
      </c>
      <c r="E3346" t="s">
        <v>16</v>
      </c>
      <c r="F3346" t="s">
        <v>11</v>
      </c>
      <c r="G3346">
        <v>5</v>
      </c>
      <c r="H3346">
        <v>76661</v>
      </c>
      <c r="I3346">
        <v>1249</v>
      </c>
      <c r="J3346" t="s">
        <v>12</v>
      </c>
      <c r="K3346" t="str">
        <f>_xlfn.XLOOKUP(datos_ventas[[#This Row],[Ciudad]],Tabla2[Ciudades],Tabla2[Provincias],"no se encuentra")</f>
        <v>Málaga</v>
      </c>
      <c r="L3346" t="str">
        <f>_xlfn.XLOOKUP(datos_ventas[[#This Row],[Provincia]],Tabla2[Provincias],Tabla2[Comunidades],"no se encuentra")</f>
        <v>Andalucía</v>
      </c>
      <c r="M3346" t="s">
        <v>19</v>
      </c>
      <c r="N3346">
        <v>3</v>
      </c>
    </row>
    <row r="3347" spans="1:14" x14ac:dyDescent="0.25">
      <c r="A3347">
        <v>4346</v>
      </c>
      <c r="B3347" s="1">
        <v>45824</v>
      </c>
      <c r="C3347" s="4">
        <f>MONTH(datos_ventas[[#This Row],[Fecha]])</f>
        <v>6</v>
      </c>
      <c r="D3347" s="4">
        <f>WEEKNUM(datos_ventas[[#This Row],[Fecha]],2)</f>
        <v>25</v>
      </c>
      <c r="E3347" t="s">
        <v>29</v>
      </c>
      <c r="F3347" t="s">
        <v>30</v>
      </c>
      <c r="G3347">
        <v>5</v>
      </c>
      <c r="H3347">
        <v>93664</v>
      </c>
      <c r="I3347">
        <v>159</v>
      </c>
      <c r="J3347" t="s">
        <v>27</v>
      </c>
      <c r="K3347" t="str">
        <f>_xlfn.XLOOKUP(datos_ventas[[#This Row],[Ciudad]],Tabla2[Ciudades],Tabla2[Provincias],"no se encuentra")</f>
        <v>Sevilla</v>
      </c>
      <c r="L3347" t="str">
        <f>_xlfn.XLOOKUP(datos_ventas[[#This Row],[Provincia]],Tabla2[Provincias],Tabla2[Comunidades],"no se encuentra")</f>
        <v>Andalucía</v>
      </c>
      <c r="M3347" t="s">
        <v>28</v>
      </c>
      <c r="N3347">
        <v>3</v>
      </c>
    </row>
    <row r="3348" spans="1:14" x14ac:dyDescent="0.25">
      <c r="A3348">
        <v>4347</v>
      </c>
      <c r="B3348" s="1">
        <v>45856</v>
      </c>
      <c r="C3348" s="4">
        <f>MONTH(datos_ventas[[#This Row],[Fecha]])</f>
        <v>7</v>
      </c>
      <c r="D3348" s="4">
        <f>WEEKNUM(datos_ventas[[#This Row],[Fecha]],2)</f>
        <v>29</v>
      </c>
      <c r="E3348" t="s">
        <v>29</v>
      </c>
      <c r="F3348" t="s">
        <v>30</v>
      </c>
      <c r="G3348">
        <v>2</v>
      </c>
      <c r="H3348">
        <v>62958</v>
      </c>
      <c r="I3348">
        <v>1524</v>
      </c>
      <c r="J3348" t="s">
        <v>27</v>
      </c>
      <c r="K3348" t="str">
        <f>_xlfn.XLOOKUP(datos_ventas[[#This Row],[Ciudad]],Tabla2[Ciudades],Tabla2[Provincias],"no se encuentra")</f>
        <v>Sevilla</v>
      </c>
      <c r="L3348" t="str">
        <f>_xlfn.XLOOKUP(datos_ventas[[#This Row],[Provincia]],Tabla2[Provincias],Tabla2[Comunidades],"no se encuentra")</f>
        <v>Andalucía</v>
      </c>
      <c r="M3348" t="s">
        <v>28</v>
      </c>
      <c r="N3348">
        <v>2</v>
      </c>
    </row>
    <row r="3349" spans="1:14" x14ac:dyDescent="0.25">
      <c r="A3349">
        <v>4348</v>
      </c>
      <c r="B3349" s="1">
        <v>45832</v>
      </c>
      <c r="C3349" s="4">
        <f>MONTH(datos_ventas[[#This Row],[Fecha]])</f>
        <v>6</v>
      </c>
      <c r="D3349" s="4">
        <f>WEEKNUM(datos_ventas[[#This Row],[Fecha]],2)</f>
        <v>26</v>
      </c>
      <c r="E3349" t="s">
        <v>10</v>
      </c>
      <c r="F3349" t="s">
        <v>11</v>
      </c>
      <c r="G3349">
        <v>3</v>
      </c>
      <c r="H3349">
        <v>84127</v>
      </c>
      <c r="I3349">
        <v>4058</v>
      </c>
      <c r="J3349" t="s">
        <v>22</v>
      </c>
      <c r="K3349" t="str">
        <f>_xlfn.XLOOKUP(datos_ventas[[#This Row],[Ciudad]],Tabla2[Ciudades],Tabla2[Provincias],"no se encuentra")</f>
        <v>Valencia</v>
      </c>
      <c r="L3349" t="str">
        <f>_xlfn.XLOOKUP(datos_ventas[[#This Row],[Provincia]],Tabla2[Provincias],Tabla2[Comunidades],"no se encuentra")</f>
        <v>Comunidad Valenciana</v>
      </c>
      <c r="M3349" t="s">
        <v>28</v>
      </c>
      <c r="N3349">
        <v>4</v>
      </c>
    </row>
    <row r="3350" spans="1:14" x14ac:dyDescent="0.25">
      <c r="A3350">
        <v>4349</v>
      </c>
      <c r="B3350" s="1">
        <v>45916</v>
      </c>
      <c r="C3350" s="4">
        <f>MONTH(datos_ventas[[#This Row],[Fecha]])</f>
        <v>9</v>
      </c>
      <c r="D3350" s="4">
        <f>WEEKNUM(datos_ventas[[#This Row],[Fecha]],2)</f>
        <v>38</v>
      </c>
      <c r="E3350" t="s">
        <v>29</v>
      </c>
      <c r="F3350" t="s">
        <v>30</v>
      </c>
      <c r="G3350">
        <v>4</v>
      </c>
      <c r="H3350">
        <v>93587</v>
      </c>
      <c r="I3350">
        <v>435</v>
      </c>
      <c r="J3350" t="s">
        <v>12</v>
      </c>
      <c r="K3350" t="str">
        <f>_xlfn.XLOOKUP(datos_ventas[[#This Row],[Ciudad]],Tabla2[Ciudades],Tabla2[Provincias],"no se encuentra")</f>
        <v>Málaga</v>
      </c>
      <c r="L3350" t="str">
        <f>_xlfn.XLOOKUP(datos_ventas[[#This Row],[Provincia]],Tabla2[Provincias],Tabla2[Comunidades],"no se encuentra")</f>
        <v>Andalucía</v>
      </c>
      <c r="M3350" t="s">
        <v>13</v>
      </c>
      <c r="N3350">
        <v>1</v>
      </c>
    </row>
    <row r="3351" spans="1:14" x14ac:dyDescent="0.25">
      <c r="A3351">
        <v>4350</v>
      </c>
      <c r="B3351" s="1">
        <v>45927</v>
      </c>
      <c r="C3351" s="4">
        <f>MONTH(datos_ventas[[#This Row],[Fecha]])</f>
        <v>9</v>
      </c>
      <c r="D3351" s="4">
        <f>WEEKNUM(datos_ventas[[#This Row],[Fecha]],2)</f>
        <v>39</v>
      </c>
      <c r="E3351" t="s">
        <v>16</v>
      </c>
      <c r="F3351" t="s">
        <v>11</v>
      </c>
      <c r="G3351">
        <v>1</v>
      </c>
      <c r="H3351">
        <v>119166</v>
      </c>
      <c r="I3351">
        <v>4485</v>
      </c>
      <c r="J3351" t="s">
        <v>31</v>
      </c>
      <c r="K3351" t="str">
        <f>_xlfn.XLOOKUP(datos_ventas[[#This Row],[Ciudad]],Tabla2[Ciudades],Tabla2[Provincias],"no se encuentra")</f>
        <v>Vizcaya</v>
      </c>
      <c r="L3351" t="str">
        <f>_xlfn.XLOOKUP(datos_ventas[[#This Row],[Provincia]],Tabla2[Provincias],Tabla2[Comunidades],"no se encuentra")</f>
        <v>País Vasco</v>
      </c>
      <c r="M3351" t="s">
        <v>15</v>
      </c>
      <c r="N3351">
        <v>3</v>
      </c>
    </row>
    <row r="3352" spans="1:14" x14ac:dyDescent="0.25">
      <c r="A3352">
        <v>4351</v>
      </c>
      <c r="B3352" s="1">
        <v>45785</v>
      </c>
      <c r="C3352" s="4">
        <f>MONTH(datos_ventas[[#This Row],[Fecha]])</f>
        <v>5</v>
      </c>
      <c r="D3352" s="4">
        <f>WEEKNUM(datos_ventas[[#This Row],[Fecha]],2)</f>
        <v>19</v>
      </c>
      <c r="E3352" t="s">
        <v>23</v>
      </c>
      <c r="F3352" t="s">
        <v>18</v>
      </c>
      <c r="G3352">
        <v>4</v>
      </c>
      <c r="H3352">
        <v>10695</v>
      </c>
      <c r="I3352">
        <v>4134</v>
      </c>
      <c r="J3352" t="s">
        <v>12</v>
      </c>
      <c r="K3352" t="str">
        <f>_xlfn.XLOOKUP(datos_ventas[[#This Row],[Ciudad]],Tabla2[Ciudades],Tabla2[Provincias],"no se encuentra")</f>
        <v>Málaga</v>
      </c>
      <c r="L3352" t="str">
        <f>_xlfn.XLOOKUP(datos_ventas[[#This Row],[Provincia]],Tabla2[Provincias],Tabla2[Comunidades],"no se encuentra")</f>
        <v>Andalucía</v>
      </c>
      <c r="M3352" t="s">
        <v>19</v>
      </c>
      <c r="N3352">
        <v>2</v>
      </c>
    </row>
    <row r="3353" spans="1:14" x14ac:dyDescent="0.25">
      <c r="A3353">
        <v>4352</v>
      </c>
      <c r="B3353" s="1">
        <v>45981</v>
      </c>
      <c r="C3353" s="4">
        <f>MONTH(datos_ventas[[#This Row],[Fecha]])</f>
        <v>11</v>
      </c>
      <c r="D3353" s="4">
        <f>WEEKNUM(datos_ventas[[#This Row],[Fecha]],2)</f>
        <v>47</v>
      </c>
      <c r="E3353" t="s">
        <v>20</v>
      </c>
      <c r="F3353" t="s">
        <v>21</v>
      </c>
      <c r="G3353">
        <v>3</v>
      </c>
      <c r="H3353">
        <v>79369</v>
      </c>
      <c r="I3353">
        <v>3823</v>
      </c>
      <c r="J3353" t="s">
        <v>12</v>
      </c>
      <c r="K3353" t="str">
        <f>_xlfn.XLOOKUP(datos_ventas[[#This Row],[Ciudad]],Tabla2[Ciudades],Tabla2[Provincias],"no se encuentra")</f>
        <v>Málaga</v>
      </c>
      <c r="L3353" t="str">
        <f>_xlfn.XLOOKUP(datos_ventas[[#This Row],[Provincia]],Tabla2[Provincias],Tabla2[Comunidades],"no se encuentra")</f>
        <v>Andalucía</v>
      </c>
      <c r="M3353" t="s">
        <v>19</v>
      </c>
      <c r="N3353">
        <v>4</v>
      </c>
    </row>
    <row r="3354" spans="1:14" x14ac:dyDescent="0.25">
      <c r="A3354">
        <v>4353</v>
      </c>
      <c r="B3354" s="1">
        <v>45768</v>
      </c>
      <c r="C3354" s="4">
        <f>MONTH(datos_ventas[[#This Row],[Fecha]])</f>
        <v>4</v>
      </c>
      <c r="D3354" s="4">
        <f>WEEKNUM(datos_ventas[[#This Row],[Fecha]],2)</f>
        <v>17</v>
      </c>
      <c r="E3354" t="s">
        <v>16</v>
      </c>
      <c r="F3354" t="s">
        <v>11</v>
      </c>
      <c r="G3354">
        <v>3</v>
      </c>
      <c r="H3354">
        <v>100442</v>
      </c>
      <c r="I3354">
        <v>3394</v>
      </c>
      <c r="J3354" t="s">
        <v>22</v>
      </c>
      <c r="K3354" t="str">
        <f>_xlfn.XLOOKUP(datos_ventas[[#This Row],[Ciudad]],Tabla2[Ciudades],Tabla2[Provincias],"no se encuentra")</f>
        <v>Valencia</v>
      </c>
      <c r="L3354" t="str">
        <f>_xlfn.XLOOKUP(datos_ventas[[#This Row],[Provincia]],Tabla2[Provincias],Tabla2[Comunidades],"no se encuentra")</f>
        <v>Comunidad Valenciana</v>
      </c>
      <c r="M3354" t="s">
        <v>28</v>
      </c>
      <c r="N3354">
        <v>5</v>
      </c>
    </row>
    <row r="3355" spans="1:14" x14ac:dyDescent="0.25">
      <c r="A3355">
        <v>4354</v>
      </c>
      <c r="B3355" s="1">
        <v>45786</v>
      </c>
      <c r="C3355" s="4">
        <f>MONTH(datos_ventas[[#This Row],[Fecha]])</f>
        <v>5</v>
      </c>
      <c r="D3355" s="4">
        <f>WEEKNUM(datos_ventas[[#This Row],[Fecha]],2)</f>
        <v>19</v>
      </c>
      <c r="E3355" t="s">
        <v>16</v>
      </c>
      <c r="F3355" t="s">
        <v>11</v>
      </c>
      <c r="G3355">
        <v>5</v>
      </c>
      <c r="H3355">
        <v>105022</v>
      </c>
      <c r="I3355">
        <v>3093</v>
      </c>
      <c r="J3355" t="s">
        <v>14</v>
      </c>
      <c r="K3355" t="str">
        <f>_xlfn.XLOOKUP(datos_ventas[[#This Row],[Ciudad]],Tabla2[Ciudades],Tabla2[Provincias],"no se encuentra")</f>
        <v>Madrid</v>
      </c>
      <c r="L3355" t="str">
        <f>_xlfn.XLOOKUP(datos_ventas[[#This Row],[Provincia]],Tabla2[Provincias],Tabla2[Comunidades],"no se encuentra")</f>
        <v>Comunidad de Madrid</v>
      </c>
      <c r="M3355" t="s">
        <v>13</v>
      </c>
      <c r="N3355">
        <v>5</v>
      </c>
    </row>
    <row r="3356" spans="1:14" x14ac:dyDescent="0.25">
      <c r="A3356">
        <v>4355</v>
      </c>
      <c r="B3356" s="1">
        <v>45971</v>
      </c>
      <c r="C3356" s="4">
        <f>MONTH(datos_ventas[[#This Row],[Fecha]])</f>
        <v>11</v>
      </c>
      <c r="D3356" s="4">
        <f>WEEKNUM(datos_ventas[[#This Row],[Fecha]],2)</f>
        <v>46</v>
      </c>
      <c r="E3356" t="s">
        <v>23</v>
      </c>
      <c r="F3356" t="s">
        <v>18</v>
      </c>
      <c r="G3356">
        <v>5</v>
      </c>
      <c r="H3356">
        <v>62049</v>
      </c>
      <c r="I3356">
        <v>2662</v>
      </c>
      <c r="J3356" t="s">
        <v>27</v>
      </c>
      <c r="K3356" t="str">
        <f>_xlfn.XLOOKUP(datos_ventas[[#This Row],[Ciudad]],Tabla2[Ciudades],Tabla2[Provincias],"no se encuentra")</f>
        <v>Sevilla</v>
      </c>
      <c r="L3356" t="str">
        <f>_xlfn.XLOOKUP(datos_ventas[[#This Row],[Provincia]],Tabla2[Provincias],Tabla2[Comunidades],"no se encuentra")</f>
        <v>Andalucía</v>
      </c>
      <c r="M3356" t="s">
        <v>15</v>
      </c>
      <c r="N3356">
        <v>4</v>
      </c>
    </row>
    <row r="3357" spans="1:14" x14ac:dyDescent="0.25">
      <c r="A3357">
        <v>4356</v>
      </c>
      <c r="B3357" s="1">
        <v>45908</v>
      </c>
      <c r="C3357" s="4">
        <f>MONTH(datos_ventas[[#This Row],[Fecha]])</f>
        <v>9</v>
      </c>
      <c r="D3357" s="4">
        <f>WEEKNUM(datos_ventas[[#This Row],[Fecha]],2)</f>
        <v>37</v>
      </c>
      <c r="E3357" t="s">
        <v>10</v>
      </c>
      <c r="F3357" t="s">
        <v>11</v>
      </c>
      <c r="G3357">
        <v>2</v>
      </c>
      <c r="H3357">
        <v>5680</v>
      </c>
      <c r="I3357">
        <v>1038</v>
      </c>
      <c r="J3357" t="s">
        <v>32</v>
      </c>
      <c r="K3357" t="str">
        <f>_xlfn.XLOOKUP(datos_ventas[[#This Row],[Ciudad]],Tabla2[Ciudades],Tabla2[Provincias],"no se encuentra")</f>
        <v>Barcelona</v>
      </c>
      <c r="L3357" t="str">
        <f>_xlfn.XLOOKUP(datos_ventas[[#This Row],[Provincia]],Tabla2[Provincias],Tabla2[Comunidades],"no se encuentra")</f>
        <v>Cataluña</v>
      </c>
      <c r="M3357" t="s">
        <v>15</v>
      </c>
      <c r="N3357">
        <v>4</v>
      </c>
    </row>
    <row r="3358" spans="1:14" x14ac:dyDescent="0.25">
      <c r="A3358">
        <v>4357</v>
      </c>
      <c r="B3358" s="1">
        <v>45895</v>
      </c>
      <c r="C3358" s="4">
        <f>MONTH(datos_ventas[[#This Row],[Fecha]])</f>
        <v>8</v>
      </c>
      <c r="D3358" s="4">
        <f>WEEKNUM(datos_ventas[[#This Row],[Fecha]],2)</f>
        <v>35</v>
      </c>
      <c r="E3358" t="s">
        <v>17</v>
      </c>
      <c r="F3358" t="s">
        <v>18</v>
      </c>
      <c r="G3358">
        <v>5</v>
      </c>
      <c r="H3358">
        <v>41391</v>
      </c>
      <c r="I3358">
        <v>791</v>
      </c>
      <c r="J3358" t="s">
        <v>12</v>
      </c>
      <c r="K3358" t="str">
        <f>_xlfn.XLOOKUP(datos_ventas[[#This Row],[Ciudad]],Tabla2[Ciudades],Tabla2[Provincias],"no se encuentra")</f>
        <v>Málaga</v>
      </c>
      <c r="L3358" t="str">
        <f>_xlfn.XLOOKUP(datos_ventas[[#This Row],[Provincia]],Tabla2[Provincias],Tabla2[Comunidades],"no se encuentra")</f>
        <v>Andalucía</v>
      </c>
      <c r="M3358" t="s">
        <v>13</v>
      </c>
      <c r="N3358">
        <v>4</v>
      </c>
    </row>
    <row r="3359" spans="1:14" x14ac:dyDescent="0.25">
      <c r="A3359">
        <v>4358</v>
      </c>
      <c r="B3359" s="1">
        <v>45730</v>
      </c>
      <c r="C3359" s="4">
        <f>MONTH(datos_ventas[[#This Row],[Fecha]])</f>
        <v>3</v>
      </c>
      <c r="D3359" s="4">
        <f>WEEKNUM(datos_ventas[[#This Row],[Fecha]],2)</f>
        <v>11</v>
      </c>
      <c r="E3359" t="s">
        <v>16</v>
      </c>
      <c r="F3359" t="s">
        <v>11</v>
      </c>
      <c r="G3359">
        <v>5</v>
      </c>
      <c r="H3359">
        <v>93252</v>
      </c>
      <c r="I3359">
        <v>260</v>
      </c>
      <c r="J3359" t="s">
        <v>31</v>
      </c>
      <c r="K3359" t="str">
        <f>_xlfn.XLOOKUP(datos_ventas[[#This Row],[Ciudad]],Tabla2[Ciudades],Tabla2[Provincias],"no se encuentra")</f>
        <v>Vizcaya</v>
      </c>
      <c r="L3359" t="str">
        <f>_xlfn.XLOOKUP(datos_ventas[[#This Row],[Provincia]],Tabla2[Provincias],Tabla2[Comunidades],"no se encuentra")</f>
        <v>País Vasco</v>
      </c>
      <c r="M3359" t="s">
        <v>15</v>
      </c>
      <c r="N3359">
        <v>5</v>
      </c>
    </row>
    <row r="3360" spans="1:14" x14ac:dyDescent="0.25">
      <c r="A3360">
        <v>4359</v>
      </c>
      <c r="B3360" s="1">
        <v>45955</v>
      </c>
      <c r="C3360" s="4">
        <f>MONTH(datos_ventas[[#This Row],[Fecha]])</f>
        <v>10</v>
      </c>
      <c r="D3360" s="4">
        <f>WEEKNUM(datos_ventas[[#This Row],[Fecha]],2)</f>
        <v>43</v>
      </c>
      <c r="E3360" t="s">
        <v>20</v>
      </c>
      <c r="F3360" t="s">
        <v>21</v>
      </c>
      <c r="G3360">
        <v>3</v>
      </c>
      <c r="H3360">
        <v>42009</v>
      </c>
      <c r="I3360">
        <v>3476</v>
      </c>
      <c r="J3360" t="s">
        <v>12</v>
      </c>
      <c r="K3360" t="str">
        <f>_xlfn.XLOOKUP(datos_ventas[[#This Row],[Ciudad]],Tabla2[Ciudades],Tabla2[Provincias],"no se encuentra")</f>
        <v>Málaga</v>
      </c>
      <c r="L3360" t="str">
        <f>_xlfn.XLOOKUP(datos_ventas[[#This Row],[Provincia]],Tabla2[Provincias],Tabla2[Comunidades],"no se encuentra")</f>
        <v>Andalucía</v>
      </c>
      <c r="M3360" t="s">
        <v>15</v>
      </c>
      <c r="N3360">
        <v>4</v>
      </c>
    </row>
    <row r="3361" spans="1:14" x14ac:dyDescent="0.25">
      <c r="A3361">
        <v>4360</v>
      </c>
      <c r="B3361" s="1">
        <v>45964</v>
      </c>
      <c r="C3361" s="4">
        <f>MONTH(datos_ventas[[#This Row],[Fecha]])</f>
        <v>11</v>
      </c>
      <c r="D3361" s="4">
        <f>WEEKNUM(datos_ventas[[#This Row],[Fecha]],2)</f>
        <v>45</v>
      </c>
      <c r="E3361" t="s">
        <v>10</v>
      </c>
      <c r="F3361" t="s">
        <v>11</v>
      </c>
      <c r="G3361">
        <v>1</v>
      </c>
      <c r="H3361">
        <v>26029</v>
      </c>
      <c r="I3361">
        <v>556</v>
      </c>
      <c r="J3361" t="s">
        <v>27</v>
      </c>
      <c r="K3361" t="str">
        <f>_xlfn.XLOOKUP(datos_ventas[[#This Row],[Ciudad]],Tabla2[Ciudades],Tabla2[Provincias],"no se encuentra")</f>
        <v>Sevilla</v>
      </c>
      <c r="L3361" t="str">
        <f>_xlfn.XLOOKUP(datos_ventas[[#This Row],[Provincia]],Tabla2[Provincias],Tabla2[Comunidades],"no se encuentra")</f>
        <v>Andalucía</v>
      </c>
      <c r="M3361" t="s">
        <v>13</v>
      </c>
      <c r="N3361">
        <v>5</v>
      </c>
    </row>
    <row r="3362" spans="1:14" x14ac:dyDescent="0.25">
      <c r="A3362">
        <v>4361</v>
      </c>
      <c r="B3362" s="1">
        <v>45661</v>
      </c>
      <c r="C3362" s="4">
        <f>MONTH(datos_ventas[[#This Row],[Fecha]])</f>
        <v>1</v>
      </c>
      <c r="D3362" s="4">
        <f>WEEKNUM(datos_ventas[[#This Row],[Fecha]],2)</f>
        <v>1</v>
      </c>
      <c r="E3362" t="s">
        <v>29</v>
      </c>
      <c r="F3362" t="s">
        <v>30</v>
      </c>
      <c r="G3362">
        <v>4</v>
      </c>
      <c r="H3362">
        <v>17835</v>
      </c>
      <c r="I3362">
        <v>1811</v>
      </c>
      <c r="J3362" t="s">
        <v>12</v>
      </c>
      <c r="K3362" t="str">
        <f>_xlfn.XLOOKUP(datos_ventas[[#This Row],[Ciudad]],Tabla2[Ciudades],Tabla2[Provincias],"no se encuentra")</f>
        <v>Málaga</v>
      </c>
      <c r="L3362" t="str">
        <f>_xlfn.XLOOKUP(datos_ventas[[#This Row],[Provincia]],Tabla2[Provincias],Tabla2[Comunidades],"no se encuentra")</f>
        <v>Andalucía</v>
      </c>
      <c r="M3362" t="s">
        <v>13</v>
      </c>
      <c r="N3362">
        <v>3</v>
      </c>
    </row>
    <row r="3363" spans="1:14" x14ac:dyDescent="0.25">
      <c r="A3363">
        <v>4362</v>
      </c>
      <c r="B3363" s="1">
        <v>45971</v>
      </c>
      <c r="C3363" s="4">
        <f>MONTH(datos_ventas[[#This Row],[Fecha]])</f>
        <v>11</v>
      </c>
      <c r="D3363" s="4">
        <f>WEEKNUM(datos_ventas[[#This Row],[Fecha]],2)</f>
        <v>46</v>
      </c>
      <c r="E3363" t="s">
        <v>24</v>
      </c>
      <c r="F3363" t="s">
        <v>25</v>
      </c>
      <c r="G3363">
        <v>2</v>
      </c>
      <c r="H3363">
        <v>33394</v>
      </c>
      <c r="I3363">
        <v>4283</v>
      </c>
      <c r="J3363" t="s">
        <v>31</v>
      </c>
      <c r="K3363" t="str">
        <f>_xlfn.XLOOKUP(datos_ventas[[#This Row],[Ciudad]],Tabla2[Ciudades],Tabla2[Provincias],"no se encuentra")</f>
        <v>Vizcaya</v>
      </c>
      <c r="L3363" t="str">
        <f>_xlfn.XLOOKUP(datos_ventas[[#This Row],[Provincia]],Tabla2[Provincias],Tabla2[Comunidades],"no se encuentra")</f>
        <v>País Vasco</v>
      </c>
      <c r="M3363" t="s">
        <v>19</v>
      </c>
      <c r="N3363">
        <v>3</v>
      </c>
    </row>
    <row r="3364" spans="1:14" x14ac:dyDescent="0.25">
      <c r="A3364">
        <v>4363</v>
      </c>
      <c r="B3364" s="1">
        <v>45960</v>
      </c>
      <c r="C3364" s="4">
        <f>MONTH(datos_ventas[[#This Row],[Fecha]])</f>
        <v>10</v>
      </c>
      <c r="D3364" s="4">
        <f>WEEKNUM(datos_ventas[[#This Row],[Fecha]],2)</f>
        <v>44</v>
      </c>
      <c r="E3364" t="s">
        <v>23</v>
      </c>
      <c r="F3364" t="s">
        <v>18</v>
      </c>
      <c r="G3364">
        <v>5</v>
      </c>
      <c r="H3364">
        <v>1006</v>
      </c>
      <c r="I3364">
        <v>2996</v>
      </c>
      <c r="J3364" t="s">
        <v>31</v>
      </c>
      <c r="K3364" t="str">
        <f>_xlfn.XLOOKUP(datos_ventas[[#This Row],[Ciudad]],Tabla2[Ciudades],Tabla2[Provincias],"no se encuentra")</f>
        <v>Vizcaya</v>
      </c>
      <c r="L3364" t="str">
        <f>_xlfn.XLOOKUP(datos_ventas[[#This Row],[Provincia]],Tabla2[Provincias],Tabla2[Comunidades],"no se encuentra")</f>
        <v>País Vasco</v>
      </c>
      <c r="M3364" t="s">
        <v>19</v>
      </c>
      <c r="N3364">
        <v>3</v>
      </c>
    </row>
    <row r="3365" spans="1:14" x14ac:dyDescent="0.25">
      <c r="A3365">
        <v>4364</v>
      </c>
      <c r="B3365" s="1">
        <v>46006</v>
      </c>
      <c r="C3365" s="4">
        <f>MONTH(datos_ventas[[#This Row],[Fecha]])</f>
        <v>12</v>
      </c>
      <c r="D3365" s="4">
        <f>WEEKNUM(datos_ventas[[#This Row],[Fecha]],2)</f>
        <v>51</v>
      </c>
      <c r="E3365" t="s">
        <v>24</v>
      </c>
      <c r="F3365" t="s">
        <v>25</v>
      </c>
      <c r="G3365">
        <v>2</v>
      </c>
      <c r="H3365">
        <v>58462</v>
      </c>
      <c r="I3365">
        <v>3143</v>
      </c>
      <c r="J3365" t="s">
        <v>12</v>
      </c>
      <c r="K3365" t="str">
        <f>_xlfn.XLOOKUP(datos_ventas[[#This Row],[Ciudad]],Tabla2[Ciudades],Tabla2[Provincias],"no se encuentra")</f>
        <v>Málaga</v>
      </c>
      <c r="L3365" t="str">
        <f>_xlfn.XLOOKUP(datos_ventas[[#This Row],[Provincia]],Tabla2[Provincias],Tabla2[Comunidades],"no se encuentra")</f>
        <v>Andalucía</v>
      </c>
      <c r="M3365" t="s">
        <v>13</v>
      </c>
      <c r="N3365">
        <v>1</v>
      </c>
    </row>
    <row r="3366" spans="1:14" x14ac:dyDescent="0.25">
      <c r="A3366">
        <v>4365</v>
      </c>
      <c r="B3366" s="1">
        <v>45967</v>
      </c>
      <c r="C3366" s="4">
        <f>MONTH(datos_ventas[[#This Row],[Fecha]])</f>
        <v>11</v>
      </c>
      <c r="D3366" s="4">
        <f>WEEKNUM(datos_ventas[[#This Row],[Fecha]],2)</f>
        <v>45</v>
      </c>
      <c r="E3366" t="s">
        <v>26</v>
      </c>
      <c r="F3366" t="s">
        <v>18</v>
      </c>
      <c r="G3366">
        <v>4</v>
      </c>
      <c r="H3366">
        <v>59934</v>
      </c>
      <c r="I3366">
        <v>2613</v>
      </c>
      <c r="J3366" t="s">
        <v>12</v>
      </c>
      <c r="K3366" t="str">
        <f>_xlfn.XLOOKUP(datos_ventas[[#This Row],[Ciudad]],Tabla2[Ciudades],Tabla2[Provincias],"no se encuentra")</f>
        <v>Málaga</v>
      </c>
      <c r="L3366" t="str">
        <f>_xlfn.XLOOKUP(datos_ventas[[#This Row],[Provincia]],Tabla2[Provincias],Tabla2[Comunidades],"no se encuentra")</f>
        <v>Andalucía</v>
      </c>
      <c r="M3366" t="s">
        <v>28</v>
      </c>
      <c r="N3366">
        <v>5</v>
      </c>
    </row>
    <row r="3367" spans="1:14" x14ac:dyDescent="0.25">
      <c r="A3367">
        <v>4366</v>
      </c>
      <c r="B3367" s="1">
        <v>45697</v>
      </c>
      <c r="C3367" s="4">
        <f>MONTH(datos_ventas[[#This Row],[Fecha]])</f>
        <v>2</v>
      </c>
      <c r="D3367" s="4">
        <f>WEEKNUM(datos_ventas[[#This Row],[Fecha]],2)</f>
        <v>6</v>
      </c>
      <c r="E3367" t="s">
        <v>16</v>
      </c>
      <c r="F3367" t="s">
        <v>11</v>
      </c>
      <c r="G3367">
        <v>1</v>
      </c>
      <c r="H3367">
        <v>24854</v>
      </c>
      <c r="I3367">
        <v>1718</v>
      </c>
      <c r="J3367" t="s">
        <v>31</v>
      </c>
      <c r="K3367" t="str">
        <f>_xlfn.XLOOKUP(datos_ventas[[#This Row],[Ciudad]],Tabla2[Ciudades],Tabla2[Provincias],"no se encuentra")</f>
        <v>Vizcaya</v>
      </c>
      <c r="L3367" t="str">
        <f>_xlfn.XLOOKUP(datos_ventas[[#This Row],[Provincia]],Tabla2[Provincias],Tabla2[Comunidades],"no se encuentra")</f>
        <v>País Vasco</v>
      </c>
      <c r="M3367" t="s">
        <v>19</v>
      </c>
      <c r="N3367">
        <v>3</v>
      </c>
    </row>
    <row r="3368" spans="1:14" x14ac:dyDescent="0.25">
      <c r="A3368">
        <v>4367</v>
      </c>
      <c r="B3368" s="1">
        <v>45734</v>
      </c>
      <c r="C3368" s="4">
        <f>MONTH(datos_ventas[[#This Row],[Fecha]])</f>
        <v>3</v>
      </c>
      <c r="D3368" s="4">
        <f>WEEKNUM(datos_ventas[[#This Row],[Fecha]],2)</f>
        <v>12</v>
      </c>
      <c r="E3368" t="s">
        <v>10</v>
      </c>
      <c r="F3368" t="s">
        <v>11</v>
      </c>
      <c r="G3368">
        <v>3</v>
      </c>
      <c r="H3368">
        <v>91016</v>
      </c>
      <c r="I3368">
        <v>3657</v>
      </c>
      <c r="J3368" t="s">
        <v>31</v>
      </c>
      <c r="K3368" t="str">
        <f>_xlfn.XLOOKUP(datos_ventas[[#This Row],[Ciudad]],Tabla2[Ciudades],Tabla2[Provincias],"no se encuentra")</f>
        <v>Vizcaya</v>
      </c>
      <c r="L3368" t="str">
        <f>_xlfn.XLOOKUP(datos_ventas[[#This Row],[Provincia]],Tabla2[Provincias],Tabla2[Comunidades],"no se encuentra")</f>
        <v>País Vasco</v>
      </c>
      <c r="M3368" t="s">
        <v>19</v>
      </c>
      <c r="N3368">
        <v>1</v>
      </c>
    </row>
    <row r="3369" spans="1:14" x14ac:dyDescent="0.25">
      <c r="A3369">
        <v>4368</v>
      </c>
      <c r="B3369" s="1">
        <v>45870</v>
      </c>
      <c r="C3369" s="4">
        <f>MONTH(datos_ventas[[#This Row],[Fecha]])</f>
        <v>8</v>
      </c>
      <c r="D3369" s="4">
        <f>WEEKNUM(datos_ventas[[#This Row],[Fecha]],2)</f>
        <v>31</v>
      </c>
      <c r="E3369" t="s">
        <v>17</v>
      </c>
      <c r="F3369" t="s">
        <v>18</v>
      </c>
      <c r="G3369">
        <v>1</v>
      </c>
      <c r="H3369">
        <v>8192</v>
      </c>
      <c r="I3369">
        <v>507</v>
      </c>
      <c r="J3369" t="s">
        <v>31</v>
      </c>
      <c r="K3369" t="str">
        <f>_xlfn.XLOOKUP(datos_ventas[[#This Row],[Ciudad]],Tabla2[Ciudades],Tabla2[Provincias],"no se encuentra")</f>
        <v>Vizcaya</v>
      </c>
      <c r="L3369" t="str">
        <f>_xlfn.XLOOKUP(datos_ventas[[#This Row],[Provincia]],Tabla2[Provincias],Tabla2[Comunidades],"no se encuentra")</f>
        <v>País Vasco</v>
      </c>
      <c r="M3369" t="s">
        <v>19</v>
      </c>
      <c r="N3369">
        <v>5</v>
      </c>
    </row>
    <row r="3370" spans="1:14" x14ac:dyDescent="0.25">
      <c r="A3370">
        <v>4369</v>
      </c>
      <c r="B3370" s="1">
        <v>45695</v>
      </c>
      <c r="C3370" s="4">
        <f>MONTH(datos_ventas[[#This Row],[Fecha]])</f>
        <v>2</v>
      </c>
      <c r="D3370" s="4">
        <f>WEEKNUM(datos_ventas[[#This Row],[Fecha]],2)</f>
        <v>6</v>
      </c>
      <c r="E3370" t="s">
        <v>10</v>
      </c>
      <c r="F3370" t="s">
        <v>11</v>
      </c>
      <c r="G3370">
        <v>3</v>
      </c>
      <c r="H3370">
        <v>118276</v>
      </c>
      <c r="I3370">
        <v>4409</v>
      </c>
      <c r="J3370" t="s">
        <v>27</v>
      </c>
      <c r="K3370" t="str">
        <f>_xlfn.XLOOKUP(datos_ventas[[#This Row],[Ciudad]],Tabla2[Ciudades],Tabla2[Provincias],"no se encuentra")</f>
        <v>Sevilla</v>
      </c>
      <c r="L3370" t="str">
        <f>_xlfn.XLOOKUP(datos_ventas[[#This Row],[Provincia]],Tabla2[Provincias],Tabla2[Comunidades],"no se encuentra")</f>
        <v>Andalucía</v>
      </c>
      <c r="M3370" t="s">
        <v>19</v>
      </c>
      <c r="N3370">
        <v>5</v>
      </c>
    </row>
    <row r="3371" spans="1:14" x14ac:dyDescent="0.25">
      <c r="A3371">
        <v>4370</v>
      </c>
      <c r="B3371" s="1">
        <v>45704</v>
      </c>
      <c r="C3371" s="4">
        <f>MONTH(datos_ventas[[#This Row],[Fecha]])</f>
        <v>2</v>
      </c>
      <c r="D3371" s="4">
        <f>WEEKNUM(datos_ventas[[#This Row],[Fecha]],2)</f>
        <v>7</v>
      </c>
      <c r="E3371" t="s">
        <v>26</v>
      </c>
      <c r="F3371" t="s">
        <v>18</v>
      </c>
      <c r="G3371">
        <v>4</v>
      </c>
      <c r="H3371">
        <v>87431</v>
      </c>
      <c r="I3371">
        <v>2825</v>
      </c>
      <c r="J3371" t="s">
        <v>22</v>
      </c>
      <c r="K3371" t="str">
        <f>_xlfn.XLOOKUP(datos_ventas[[#This Row],[Ciudad]],Tabla2[Ciudades],Tabla2[Provincias],"no se encuentra")</f>
        <v>Valencia</v>
      </c>
      <c r="L3371" t="str">
        <f>_xlfn.XLOOKUP(datos_ventas[[#This Row],[Provincia]],Tabla2[Provincias],Tabla2[Comunidades],"no se encuentra")</f>
        <v>Comunidad Valenciana</v>
      </c>
      <c r="M3371" t="s">
        <v>15</v>
      </c>
      <c r="N3371">
        <v>5</v>
      </c>
    </row>
    <row r="3372" spans="1:14" x14ac:dyDescent="0.25">
      <c r="A3372">
        <v>4371</v>
      </c>
      <c r="B3372" s="1">
        <v>45798</v>
      </c>
      <c r="C3372" s="4">
        <f>MONTH(datos_ventas[[#This Row],[Fecha]])</f>
        <v>5</v>
      </c>
      <c r="D3372" s="4">
        <f>WEEKNUM(datos_ventas[[#This Row],[Fecha]],2)</f>
        <v>21</v>
      </c>
      <c r="E3372" t="s">
        <v>17</v>
      </c>
      <c r="F3372" t="s">
        <v>18</v>
      </c>
      <c r="G3372">
        <v>4</v>
      </c>
      <c r="H3372">
        <v>45222</v>
      </c>
      <c r="I3372">
        <v>2551</v>
      </c>
      <c r="J3372" t="s">
        <v>14</v>
      </c>
      <c r="K3372" t="str">
        <f>_xlfn.XLOOKUP(datos_ventas[[#This Row],[Ciudad]],Tabla2[Ciudades],Tabla2[Provincias],"no se encuentra")</f>
        <v>Madrid</v>
      </c>
      <c r="L3372" t="str">
        <f>_xlfn.XLOOKUP(datos_ventas[[#This Row],[Provincia]],Tabla2[Provincias],Tabla2[Comunidades],"no se encuentra")</f>
        <v>Comunidad de Madrid</v>
      </c>
      <c r="M3372" t="s">
        <v>19</v>
      </c>
      <c r="N3372">
        <v>1</v>
      </c>
    </row>
    <row r="3373" spans="1:14" x14ac:dyDescent="0.25">
      <c r="A3373">
        <v>4372</v>
      </c>
      <c r="B3373" s="1">
        <v>45734</v>
      </c>
      <c r="C3373" s="4">
        <f>MONTH(datos_ventas[[#This Row],[Fecha]])</f>
        <v>3</v>
      </c>
      <c r="D3373" s="4">
        <f>WEEKNUM(datos_ventas[[#This Row],[Fecha]],2)</f>
        <v>12</v>
      </c>
      <c r="E3373" t="s">
        <v>23</v>
      </c>
      <c r="F3373" t="s">
        <v>18</v>
      </c>
      <c r="G3373">
        <v>3</v>
      </c>
      <c r="H3373">
        <v>55667</v>
      </c>
      <c r="I3373">
        <v>183</v>
      </c>
      <c r="J3373" t="s">
        <v>12</v>
      </c>
      <c r="K3373" t="str">
        <f>_xlfn.XLOOKUP(datos_ventas[[#This Row],[Ciudad]],Tabla2[Ciudades],Tabla2[Provincias],"no se encuentra")</f>
        <v>Málaga</v>
      </c>
      <c r="L3373" t="str">
        <f>_xlfn.XLOOKUP(datos_ventas[[#This Row],[Provincia]],Tabla2[Provincias],Tabla2[Comunidades],"no se encuentra")</f>
        <v>Andalucía</v>
      </c>
      <c r="M3373" t="s">
        <v>28</v>
      </c>
      <c r="N3373">
        <v>1</v>
      </c>
    </row>
    <row r="3374" spans="1:14" x14ac:dyDescent="0.25">
      <c r="A3374">
        <v>4373</v>
      </c>
      <c r="B3374" s="1">
        <v>45685</v>
      </c>
      <c r="C3374" s="4">
        <f>MONTH(datos_ventas[[#This Row],[Fecha]])</f>
        <v>1</v>
      </c>
      <c r="D3374" s="4">
        <f>WEEKNUM(datos_ventas[[#This Row],[Fecha]],2)</f>
        <v>5</v>
      </c>
      <c r="E3374" t="s">
        <v>10</v>
      </c>
      <c r="F3374" t="s">
        <v>11</v>
      </c>
      <c r="G3374">
        <v>4</v>
      </c>
      <c r="H3374">
        <v>8407</v>
      </c>
      <c r="I3374">
        <v>4855</v>
      </c>
      <c r="J3374" t="s">
        <v>27</v>
      </c>
      <c r="K3374" t="str">
        <f>_xlfn.XLOOKUP(datos_ventas[[#This Row],[Ciudad]],Tabla2[Ciudades],Tabla2[Provincias],"no se encuentra")</f>
        <v>Sevilla</v>
      </c>
      <c r="L3374" t="str">
        <f>_xlfn.XLOOKUP(datos_ventas[[#This Row],[Provincia]],Tabla2[Provincias],Tabla2[Comunidades],"no se encuentra")</f>
        <v>Andalucía</v>
      </c>
      <c r="M3374" t="s">
        <v>15</v>
      </c>
      <c r="N3374">
        <v>5</v>
      </c>
    </row>
    <row r="3375" spans="1:14" x14ac:dyDescent="0.25">
      <c r="A3375">
        <v>4374</v>
      </c>
      <c r="B3375" s="1">
        <v>46020</v>
      </c>
      <c r="C3375" s="4">
        <f>MONTH(datos_ventas[[#This Row],[Fecha]])</f>
        <v>12</v>
      </c>
      <c r="D3375" s="4">
        <f>WEEKNUM(datos_ventas[[#This Row],[Fecha]],2)</f>
        <v>53</v>
      </c>
      <c r="E3375" t="s">
        <v>17</v>
      </c>
      <c r="F3375" t="s">
        <v>18</v>
      </c>
      <c r="G3375">
        <v>4</v>
      </c>
      <c r="H3375">
        <v>85326</v>
      </c>
      <c r="I3375">
        <v>3049</v>
      </c>
      <c r="J3375" t="s">
        <v>31</v>
      </c>
      <c r="K3375" t="str">
        <f>_xlfn.XLOOKUP(datos_ventas[[#This Row],[Ciudad]],Tabla2[Ciudades],Tabla2[Provincias],"no se encuentra")</f>
        <v>Vizcaya</v>
      </c>
      <c r="L3375" t="str">
        <f>_xlfn.XLOOKUP(datos_ventas[[#This Row],[Provincia]],Tabla2[Provincias],Tabla2[Comunidades],"no se encuentra")</f>
        <v>País Vasco</v>
      </c>
      <c r="M3375" t="s">
        <v>28</v>
      </c>
      <c r="N3375">
        <v>1</v>
      </c>
    </row>
    <row r="3376" spans="1:14" x14ac:dyDescent="0.25">
      <c r="A3376">
        <v>4375</v>
      </c>
      <c r="B3376" s="1">
        <v>45744</v>
      </c>
      <c r="C3376" s="4">
        <f>MONTH(datos_ventas[[#This Row],[Fecha]])</f>
        <v>3</v>
      </c>
      <c r="D3376" s="4">
        <f>WEEKNUM(datos_ventas[[#This Row],[Fecha]],2)</f>
        <v>13</v>
      </c>
      <c r="E3376" t="s">
        <v>17</v>
      </c>
      <c r="F3376" t="s">
        <v>18</v>
      </c>
      <c r="G3376">
        <v>1</v>
      </c>
      <c r="H3376">
        <v>4458</v>
      </c>
      <c r="I3376">
        <v>2066</v>
      </c>
      <c r="J3376" t="s">
        <v>31</v>
      </c>
      <c r="K3376" t="str">
        <f>_xlfn.XLOOKUP(datos_ventas[[#This Row],[Ciudad]],Tabla2[Ciudades],Tabla2[Provincias],"no se encuentra")</f>
        <v>Vizcaya</v>
      </c>
      <c r="L3376" t="str">
        <f>_xlfn.XLOOKUP(datos_ventas[[#This Row],[Provincia]],Tabla2[Provincias],Tabla2[Comunidades],"no se encuentra")</f>
        <v>País Vasco</v>
      </c>
      <c r="M3376" t="s">
        <v>19</v>
      </c>
      <c r="N3376">
        <v>4</v>
      </c>
    </row>
    <row r="3377" spans="1:14" x14ac:dyDescent="0.25">
      <c r="A3377">
        <v>4376</v>
      </c>
      <c r="B3377" s="1">
        <v>45765</v>
      </c>
      <c r="C3377" s="4">
        <f>MONTH(datos_ventas[[#This Row],[Fecha]])</f>
        <v>4</v>
      </c>
      <c r="D3377" s="4">
        <f>WEEKNUM(datos_ventas[[#This Row],[Fecha]],2)</f>
        <v>16</v>
      </c>
      <c r="E3377" t="s">
        <v>23</v>
      </c>
      <c r="F3377" t="s">
        <v>18</v>
      </c>
      <c r="G3377">
        <v>1</v>
      </c>
      <c r="H3377">
        <v>107993</v>
      </c>
      <c r="I3377">
        <v>4623</v>
      </c>
      <c r="J3377" t="s">
        <v>27</v>
      </c>
      <c r="K3377" t="str">
        <f>_xlfn.XLOOKUP(datos_ventas[[#This Row],[Ciudad]],Tabla2[Ciudades],Tabla2[Provincias],"no se encuentra")</f>
        <v>Sevilla</v>
      </c>
      <c r="L3377" t="str">
        <f>_xlfn.XLOOKUP(datos_ventas[[#This Row],[Provincia]],Tabla2[Provincias],Tabla2[Comunidades],"no se encuentra")</f>
        <v>Andalucía</v>
      </c>
      <c r="M3377" t="s">
        <v>13</v>
      </c>
      <c r="N3377">
        <v>3</v>
      </c>
    </row>
    <row r="3378" spans="1:14" x14ac:dyDescent="0.25">
      <c r="A3378">
        <v>4377</v>
      </c>
      <c r="B3378" s="1">
        <v>45682</v>
      </c>
      <c r="C3378" s="4">
        <f>MONTH(datos_ventas[[#This Row],[Fecha]])</f>
        <v>1</v>
      </c>
      <c r="D3378" s="4">
        <f>WEEKNUM(datos_ventas[[#This Row],[Fecha]],2)</f>
        <v>4</v>
      </c>
      <c r="E3378" t="s">
        <v>24</v>
      </c>
      <c r="F3378" t="s">
        <v>25</v>
      </c>
      <c r="G3378">
        <v>5</v>
      </c>
      <c r="H3378">
        <v>59117</v>
      </c>
      <c r="I3378">
        <v>2256</v>
      </c>
      <c r="J3378" t="s">
        <v>27</v>
      </c>
      <c r="K3378" t="str">
        <f>_xlfn.XLOOKUP(datos_ventas[[#This Row],[Ciudad]],Tabla2[Ciudades],Tabla2[Provincias],"no se encuentra")</f>
        <v>Sevilla</v>
      </c>
      <c r="L3378" t="str">
        <f>_xlfn.XLOOKUP(datos_ventas[[#This Row],[Provincia]],Tabla2[Provincias],Tabla2[Comunidades],"no se encuentra")</f>
        <v>Andalucía</v>
      </c>
      <c r="M3378" t="s">
        <v>19</v>
      </c>
      <c r="N3378">
        <v>4</v>
      </c>
    </row>
    <row r="3379" spans="1:14" x14ac:dyDescent="0.25">
      <c r="A3379">
        <v>4378</v>
      </c>
      <c r="B3379" s="1">
        <v>45811</v>
      </c>
      <c r="C3379" s="4">
        <f>MONTH(datos_ventas[[#This Row],[Fecha]])</f>
        <v>6</v>
      </c>
      <c r="D3379" s="4">
        <f>WEEKNUM(datos_ventas[[#This Row],[Fecha]],2)</f>
        <v>23</v>
      </c>
      <c r="E3379" t="s">
        <v>20</v>
      </c>
      <c r="F3379" t="s">
        <v>21</v>
      </c>
      <c r="G3379">
        <v>5</v>
      </c>
      <c r="H3379">
        <v>108354</v>
      </c>
      <c r="I3379">
        <v>3052</v>
      </c>
      <c r="J3379" t="s">
        <v>31</v>
      </c>
      <c r="K3379" t="str">
        <f>_xlfn.XLOOKUP(datos_ventas[[#This Row],[Ciudad]],Tabla2[Ciudades],Tabla2[Provincias],"no se encuentra")</f>
        <v>Vizcaya</v>
      </c>
      <c r="L3379" t="str">
        <f>_xlfn.XLOOKUP(datos_ventas[[#This Row],[Provincia]],Tabla2[Provincias],Tabla2[Comunidades],"no se encuentra")</f>
        <v>País Vasco</v>
      </c>
      <c r="M3379" t="s">
        <v>19</v>
      </c>
      <c r="N3379">
        <v>4</v>
      </c>
    </row>
    <row r="3380" spans="1:14" x14ac:dyDescent="0.25">
      <c r="A3380">
        <v>4379</v>
      </c>
      <c r="B3380" s="1">
        <v>45846</v>
      </c>
      <c r="C3380" s="4">
        <f>MONTH(datos_ventas[[#This Row],[Fecha]])</f>
        <v>7</v>
      </c>
      <c r="D3380" s="4">
        <f>WEEKNUM(datos_ventas[[#This Row],[Fecha]],2)</f>
        <v>28</v>
      </c>
      <c r="E3380" t="s">
        <v>17</v>
      </c>
      <c r="F3380" t="s">
        <v>18</v>
      </c>
      <c r="G3380">
        <v>5</v>
      </c>
      <c r="H3380">
        <v>54415</v>
      </c>
      <c r="I3380">
        <v>1782</v>
      </c>
      <c r="J3380" t="s">
        <v>22</v>
      </c>
      <c r="K3380" t="str">
        <f>_xlfn.XLOOKUP(datos_ventas[[#This Row],[Ciudad]],Tabla2[Ciudades],Tabla2[Provincias],"no se encuentra")</f>
        <v>Valencia</v>
      </c>
      <c r="L3380" t="str">
        <f>_xlfn.XLOOKUP(datos_ventas[[#This Row],[Provincia]],Tabla2[Provincias],Tabla2[Comunidades],"no se encuentra")</f>
        <v>Comunidad Valenciana</v>
      </c>
      <c r="M3380" t="s">
        <v>15</v>
      </c>
      <c r="N3380">
        <v>1</v>
      </c>
    </row>
    <row r="3381" spans="1:14" x14ac:dyDescent="0.25">
      <c r="A3381">
        <v>4380</v>
      </c>
      <c r="B3381" s="1">
        <v>45960</v>
      </c>
      <c r="C3381" s="4">
        <f>MONTH(datos_ventas[[#This Row],[Fecha]])</f>
        <v>10</v>
      </c>
      <c r="D3381" s="4">
        <f>WEEKNUM(datos_ventas[[#This Row],[Fecha]],2)</f>
        <v>44</v>
      </c>
      <c r="E3381" t="s">
        <v>10</v>
      </c>
      <c r="F3381" t="s">
        <v>11</v>
      </c>
      <c r="G3381">
        <v>3</v>
      </c>
      <c r="H3381">
        <v>14553</v>
      </c>
      <c r="I3381">
        <v>2882</v>
      </c>
      <c r="J3381" t="s">
        <v>22</v>
      </c>
      <c r="K3381" t="str">
        <f>_xlfn.XLOOKUP(datos_ventas[[#This Row],[Ciudad]],Tabla2[Ciudades],Tabla2[Provincias],"no se encuentra")</f>
        <v>Valencia</v>
      </c>
      <c r="L3381" t="str">
        <f>_xlfn.XLOOKUP(datos_ventas[[#This Row],[Provincia]],Tabla2[Provincias],Tabla2[Comunidades],"no se encuentra")</f>
        <v>Comunidad Valenciana</v>
      </c>
      <c r="M3381" t="s">
        <v>28</v>
      </c>
      <c r="N3381">
        <v>5</v>
      </c>
    </row>
    <row r="3382" spans="1:14" x14ac:dyDescent="0.25">
      <c r="A3382">
        <v>4381</v>
      </c>
      <c r="B3382" s="1">
        <v>45785</v>
      </c>
      <c r="C3382" s="4">
        <f>MONTH(datos_ventas[[#This Row],[Fecha]])</f>
        <v>5</v>
      </c>
      <c r="D3382" s="4">
        <f>WEEKNUM(datos_ventas[[#This Row],[Fecha]],2)</f>
        <v>19</v>
      </c>
      <c r="E3382" t="s">
        <v>24</v>
      </c>
      <c r="F3382" t="s">
        <v>25</v>
      </c>
      <c r="G3382">
        <v>5</v>
      </c>
      <c r="H3382">
        <v>93987</v>
      </c>
      <c r="I3382">
        <v>1643</v>
      </c>
      <c r="J3382" t="s">
        <v>12</v>
      </c>
      <c r="K3382" t="str">
        <f>_xlfn.XLOOKUP(datos_ventas[[#This Row],[Ciudad]],Tabla2[Ciudades],Tabla2[Provincias],"no se encuentra")</f>
        <v>Málaga</v>
      </c>
      <c r="L3382" t="str">
        <f>_xlfn.XLOOKUP(datos_ventas[[#This Row],[Provincia]],Tabla2[Provincias],Tabla2[Comunidades],"no se encuentra")</f>
        <v>Andalucía</v>
      </c>
      <c r="M3382" t="s">
        <v>13</v>
      </c>
      <c r="N3382">
        <v>3</v>
      </c>
    </row>
    <row r="3383" spans="1:14" x14ac:dyDescent="0.25">
      <c r="A3383">
        <v>4382</v>
      </c>
      <c r="B3383" s="1">
        <v>45840</v>
      </c>
      <c r="C3383" s="4">
        <f>MONTH(datos_ventas[[#This Row],[Fecha]])</f>
        <v>7</v>
      </c>
      <c r="D3383" s="4">
        <f>WEEKNUM(datos_ventas[[#This Row],[Fecha]],2)</f>
        <v>27</v>
      </c>
      <c r="E3383" t="s">
        <v>29</v>
      </c>
      <c r="F3383" t="s">
        <v>30</v>
      </c>
      <c r="G3383">
        <v>3</v>
      </c>
      <c r="H3383">
        <v>39631</v>
      </c>
      <c r="I3383">
        <v>3715</v>
      </c>
      <c r="J3383" t="s">
        <v>32</v>
      </c>
      <c r="K3383" t="str">
        <f>_xlfn.XLOOKUP(datos_ventas[[#This Row],[Ciudad]],Tabla2[Ciudades],Tabla2[Provincias],"no se encuentra")</f>
        <v>Barcelona</v>
      </c>
      <c r="L3383" t="str">
        <f>_xlfn.XLOOKUP(datos_ventas[[#This Row],[Provincia]],Tabla2[Provincias],Tabla2[Comunidades],"no se encuentra")</f>
        <v>Cataluña</v>
      </c>
      <c r="M3383" t="s">
        <v>15</v>
      </c>
      <c r="N3383">
        <v>1</v>
      </c>
    </row>
    <row r="3384" spans="1:14" x14ac:dyDescent="0.25">
      <c r="A3384">
        <v>4383</v>
      </c>
      <c r="B3384" s="1">
        <v>45968</v>
      </c>
      <c r="C3384" s="4">
        <f>MONTH(datos_ventas[[#This Row],[Fecha]])</f>
        <v>11</v>
      </c>
      <c r="D3384" s="4">
        <f>WEEKNUM(datos_ventas[[#This Row],[Fecha]],2)</f>
        <v>45</v>
      </c>
      <c r="E3384" t="s">
        <v>17</v>
      </c>
      <c r="F3384" t="s">
        <v>18</v>
      </c>
      <c r="G3384">
        <v>2</v>
      </c>
      <c r="H3384">
        <v>34512</v>
      </c>
      <c r="I3384">
        <v>4467</v>
      </c>
      <c r="J3384" t="s">
        <v>32</v>
      </c>
      <c r="K3384" t="str">
        <f>_xlfn.XLOOKUP(datos_ventas[[#This Row],[Ciudad]],Tabla2[Ciudades],Tabla2[Provincias],"no se encuentra")</f>
        <v>Barcelona</v>
      </c>
      <c r="L3384" t="str">
        <f>_xlfn.XLOOKUP(datos_ventas[[#This Row],[Provincia]],Tabla2[Provincias],Tabla2[Comunidades],"no se encuentra")</f>
        <v>Cataluña</v>
      </c>
      <c r="M3384" t="s">
        <v>19</v>
      </c>
      <c r="N3384">
        <v>4</v>
      </c>
    </row>
    <row r="3385" spans="1:14" x14ac:dyDescent="0.25">
      <c r="A3385">
        <v>4384</v>
      </c>
      <c r="B3385" s="1">
        <v>45724</v>
      </c>
      <c r="C3385" s="4">
        <f>MONTH(datos_ventas[[#This Row],[Fecha]])</f>
        <v>3</v>
      </c>
      <c r="D3385" s="4">
        <f>WEEKNUM(datos_ventas[[#This Row],[Fecha]],2)</f>
        <v>10</v>
      </c>
      <c r="E3385" t="s">
        <v>29</v>
      </c>
      <c r="F3385" t="s">
        <v>30</v>
      </c>
      <c r="G3385">
        <v>2</v>
      </c>
      <c r="H3385">
        <v>110331</v>
      </c>
      <c r="I3385">
        <v>3385</v>
      </c>
      <c r="J3385" t="s">
        <v>14</v>
      </c>
      <c r="K3385" t="str">
        <f>_xlfn.XLOOKUP(datos_ventas[[#This Row],[Ciudad]],Tabla2[Ciudades],Tabla2[Provincias],"no se encuentra")</f>
        <v>Madrid</v>
      </c>
      <c r="L3385" t="str">
        <f>_xlfn.XLOOKUP(datos_ventas[[#This Row],[Provincia]],Tabla2[Provincias],Tabla2[Comunidades],"no se encuentra")</f>
        <v>Comunidad de Madrid</v>
      </c>
      <c r="M3385" t="s">
        <v>28</v>
      </c>
      <c r="N3385">
        <v>5</v>
      </c>
    </row>
    <row r="3386" spans="1:14" x14ac:dyDescent="0.25">
      <c r="A3386">
        <v>4385</v>
      </c>
      <c r="B3386" s="1">
        <v>45958</v>
      </c>
      <c r="C3386" s="4">
        <f>MONTH(datos_ventas[[#This Row],[Fecha]])</f>
        <v>10</v>
      </c>
      <c r="D3386" s="4">
        <f>WEEKNUM(datos_ventas[[#This Row],[Fecha]],2)</f>
        <v>44</v>
      </c>
      <c r="E3386" t="s">
        <v>29</v>
      </c>
      <c r="F3386" t="s">
        <v>30</v>
      </c>
      <c r="G3386">
        <v>5</v>
      </c>
      <c r="H3386">
        <v>77425</v>
      </c>
      <c r="I3386">
        <v>4417</v>
      </c>
      <c r="J3386" t="s">
        <v>12</v>
      </c>
      <c r="K3386" t="str">
        <f>_xlfn.XLOOKUP(datos_ventas[[#This Row],[Ciudad]],Tabla2[Ciudades],Tabla2[Provincias],"no se encuentra")</f>
        <v>Málaga</v>
      </c>
      <c r="L3386" t="str">
        <f>_xlfn.XLOOKUP(datos_ventas[[#This Row],[Provincia]],Tabla2[Provincias],Tabla2[Comunidades],"no se encuentra")</f>
        <v>Andalucía</v>
      </c>
      <c r="M3386" t="s">
        <v>15</v>
      </c>
      <c r="N3386">
        <v>2</v>
      </c>
    </row>
    <row r="3387" spans="1:14" x14ac:dyDescent="0.25">
      <c r="A3387">
        <v>4386</v>
      </c>
      <c r="B3387" s="1">
        <v>45870</v>
      </c>
      <c r="C3387" s="4">
        <f>MONTH(datos_ventas[[#This Row],[Fecha]])</f>
        <v>8</v>
      </c>
      <c r="D3387" s="4">
        <f>WEEKNUM(datos_ventas[[#This Row],[Fecha]],2)</f>
        <v>31</v>
      </c>
      <c r="E3387" t="s">
        <v>20</v>
      </c>
      <c r="F3387" t="s">
        <v>21</v>
      </c>
      <c r="G3387">
        <v>4</v>
      </c>
      <c r="H3387">
        <v>63568</v>
      </c>
      <c r="I3387">
        <v>3515</v>
      </c>
      <c r="J3387" t="s">
        <v>14</v>
      </c>
      <c r="K3387" t="str">
        <f>_xlfn.XLOOKUP(datos_ventas[[#This Row],[Ciudad]],Tabla2[Ciudades],Tabla2[Provincias],"no se encuentra")</f>
        <v>Madrid</v>
      </c>
      <c r="L3387" t="str">
        <f>_xlfn.XLOOKUP(datos_ventas[[#This Row],[Provincia]],Tabla2[Provincias],Tabla2[Comunidades],"no se encuentra")</f>
        <v>Comunidad de Madrid</v>
      </c>
      <c r="M3387" t="s">
        <v>13</v>
      </c>
      <c r="N3387">
        <v>3</v>
      </c>
    </row>
    <row r="3388" spans="1:14" x14ac:dyDescent="0.25">
      <c r="A3388">
        <v>4387</v>
      </c>
      <c r="B3388" s="1">
        <v>45778</v>
      </c>
      <c r="C3388" s="4">
        <f>MONTH(datos_ventas[[#This Row],[Fecha]])</f>
        <v>5</v>
      </c>
      <c r="D3388" s="4">
        <f>WEEKNUM(datos_ventas[[#This Row],[Fecha]],2)</f>
        <v>18</v>
      </c>
      <c r="E3388" t="s">
        <v>29</v>
      </c>
      <c r="F3388" t="s">
        <v>30</v>
      </c>
      <c r="G3388">
        <v>1</v>
      </c>
      <c r="H3388">
        <v>112004</v>
      </c>
      <c r="I3388">
        <v>2992</v>
      </c>
      <c r="J3388" t="s">
        <v>27</v>
      </c>
      <c r="K3388" t="str">
        <f>_xlfn.XLOOKUP(datos_ventas[[#This Row],[Ciudad]],Tabla2[Ciudades],Tabla2[Provincias],"no se encuentra")</f>
        <v>Sevilla</v>
      </c>
      <c r="L3388" t="str">
        <f>_xlfn.XLOOKUP(datos_ventas[[#This Row],[Provincia]],Tabla2[Provincias],Tabla2[Comunidades],"no se encuentra")</f>
        <v>Andalucía</v>
      </c>
      <c r="M3388" t="s">
        <v>19</v>
      </c>
      <c r="N3388">
        <v>5</v>
      </c>
    </row>
    <row r="3389" spans="1:14" x14ac:dyDescent="0.25">
      <c r="A3389">
        <v>4388</v>
      </c>
      <c r="B3389" s="1">
        <v>46016</v>
      </c>
      <c r="C3389" s="4">
        <f>MONTH(datos_ventas[[#This Row],[Fecha]])</f>
        <v>12</v>
      </c>
      <c r="D3389" s="4">
        <f>WEEKNUM(datos_ventas[[#This Row],[Fecha]],2)</f>
        <v>52</v>
      </c>
      <c r="E3389" t="s">
        <v>16</v>
      </c>
      <c r="F3389" t="s">
        <v>11</v>
      </c>
      <c r="G3389">
        <v>1</v>
      </c>
      <c r="H3389">
        <v>87269</v>
      </c>
      <c r="I3389">
        <v>2403</v>
      </c>
      <c r="J3389" t="s">
        <v>32</v>
      </c>
      <c r="K3389" t="str">
        <f>_xlfn.XLOOKUP(datos_ventas[[#This Row],[Ciudad]],Tabla2[Ciudades],Tabla2[Provincias],"no se encuentra")</f>
        <v>Barcelona</v>
      </c>
      <c r="L3389" t="str">
        <f>_xlfn.XLOOKUP(datos_ventas[[#This Row],[Provincia]],Tabla2[Provincias],Tabla2[Comunidades],"no se encuentra")</f>
        <v>Cataluña</v>
      </c>
      <c r="M3389" t="s">
        <v>13</v>
      </c>
      <c r="N3389">
        <v>4</v>
      </c>
    </row>
    <row r="3390" spans="1:14" x14ac:dyDescent="0.25">
      <c r="A3390">
        <v>4389</v>
      </c>
      <c r="B3390" s="1">
        <v>45765</v>
      </c>
      <c r="C3390" s="4">
        <f>MONTH(datos_ventas[[#This Row],[Fecha]])</f>
        <v>4</v>
      </c>
      <c r="D3390" s="4">
        <f>WEEKNUM(datos_ventas[[#This Row],[Fecha]],2)</f>
        <v>16</v>
      </c>
      <c r="E3390" t="s">
        <v>23</v>
      </c>
      <c r="F3390" t="s">
        <v>18</v>
      </c>
      <c r="G3390">
        <v>1</v>
      </c>
      <c r="H3390">
        <v>40811</v>
      </c>
      <c r="I3390">
        <v>4356</v>
      </c>
      <c r="J3390" t="s">
        <v>27</v>
      </c>
      <c r="K3390" t="str">
        <f>_xlfn.XLOOKUP(datos_ventas[[#This Row],[Ciudad]],Tabla2[Ciudades],Tabla2[Provincias],"no se encuentra")</f>
        <v>Sevilla</v>
      </c>
      <c r="L3390" t="str">
        <f>_xlfn.XLOOKUP(datos_ventas[[#This Row],[Provincia]],Tabla2[Provincias],Tabla2[Comunidades],"no se encuentra")</f>
        <v>Andalucía</v>
      </c>
      <c r="M3390" t="s">
        <v>15</v>
      </c>
      <c r="N3390">
        <v>2</v>
      </c>
    </row>
    <row r="3391" spans="1:14" x14ac:dyDescent="0.25">
      <c r="A3391">
        <v>4390</v>
      </c>
      <c r="B3391" s="1">
        <v>45810</v>
      </c>
      <c r="C3391" s="4">
        <f>MONTH(datos_ventas[[#This Row],[Fecha]])</f>
        <v>6</v>
      </c>
      <c r="D3391" s="4">
        <f>WEEKNUM(datos_ventas[[#This Row],[Fecha]],2)</f>
        <v>23</v>
      </c>
      <c r="E3391" t="s">
        <v>20</v>
      </c>
      <c r="F3391" t="s">
        <v>21</v>
      </c>
      <c r="G3391">
        <v>3</v>
      </c>
      <c r="H3391">
        <v>17458</v>
      </c>
      <c r="I3391">
        <v>111</v>
      </c>
      <c r="J3391" t="s">
        <v>27</v>
      </c>
      <c r="K3391" t="str">
        <f>_xlfn.XLOOKUP(datos_ventas[[#This Row],[Ciudad]],Tabla2[Ciudades],Tabla2[Provincias],"no se encuentra")</f>
        <v>Sevilla</v>
      </c>
      <c r="L3391" t="str">
        <f>_xlfn.XLOOKUP(datos_ventas[[#This Row],[Provincia]],Tabla2[Provincias],Tabla2[Comunidades],"no se encuentra")</f>
        <v>Andalucía</v>
      </c>
      <c r="M3391" t="s">
        <v>19</v>
      </c>
      <c r="N3391">
        <v>2</v>
      </c>
    </row>
    <row r="3392" spans="1:14" x14ac:dyDescent="0.25">
      <c r="A3392">
        <v>4391</v>
      </c>
      <c r="B3392" s="1">
        <v>45869</v>
      </c>
      <c r="C3392" s="4">
        <f>MONTH(datos_ventas[[#This Row],[Fecha]])</f>
        <v>7</v>
      </c>
      <c r="D3392" s="4">
        <f>WEEKNUM(datos_ventas[[#This Row],[Fecha]],2)</f>
        <v>31</v>
      </c>
      <c r="E3392" t="s">
        <v>17</v>
      </c>
      <c r="F3392" t="s">
        <v>18</v>
      </c>
      <c r="G3392">
        <v>1</v>
      </c>
      <c r="H3392">
        <v>82394</v>
      </c>
      <c r="I3392">
        <v>721</v>
      </c>
      <c r="J3392" t="s">
        <v>22</v>
      </c>
      <c r="K3392" t="str">
        <f>_xlfn.XLOOKUP(datos_ventas[[#This Row],[Ciudad]],Tabla2[Ciudades],Tabla2[Provincias],"no se encuentra")</f>
        <v>Valencia</v>
      </c>
      <c r="L3392" t="str">
        <f>_xlfn.XLOOKUP(datos_ventas[[#This Row],[Provincia]],Tabla2[Provincias],Tabla2[Comunidades],"no se encuentra")</f>
        <v>Comunidad Valenciana</v>
      </c>
      <c r="M3392" t="s">
        <v>28</v>
      </c>
      <c r="N3392">
        <v>2</v>
      </c>
    </row>
    <row r="3393" spans="1:14" x14ac:dyDescent="0.25">
      <c r="A3393">
        <v>4392</v>
      </c>
      <c r="B3393" s="1">
        <v>46022</v>
      </c>
      <c r="C3393" s="4">
        <f>MONTH(datos_ventas[[#This Row],[Fecha]])</f>
        <v>12</v>
      </c>
      <c r="D3393" s="4">
        <f>WEEKNUM(datos_ventas[[#This Row],[Fecha]],2)</f>
        <v>53</v>
      </c>
      <c r="E3393" t="s">
        <v>26</v>
      </c>
      <c r="F3393" t="s">
        <v>18</v>
      </c>
      <c r="G3393">
        <v>3</v>
      </c>
      <c r="H3393">
        <v>114184</v>
      </c>
      <c r="I3393">
        <v>3908</v>
      </c>
      <c r="J3393" t="s">
        <v>31</v>
      </c>
      <c r="K3393" t="str">
        <f>_xlfn.XLOOKUP(datos_ventas[[#This Row],[Ciudad]],Tabla2[Ciudades],Tabla2[Provincias],"no se encuentra")</f>
        <v>Vizcaya</v>
      </c>
      <c r="L3393" t="str">
        <f>_xlfn.XLOOKUP(datos_ventas[[#This Row],[Provincia]],Tabla2[Provincias],Tabla2[Comunidades],"no se encuentra")</f>
        <v>País Vasco</v>
      </c>
      <c r="M3393" t="s">
        <v>19</v>
      </c>
      <c r="N3393">
        <v>5</v>
      </c>
    </row>
    <row r="3394" spans="1:14" x14ac:dyDescent="0.25">
      <c r="A3394">
        <v>4393</v>
      </c>
      <c r="B3394" s="1">
        <v>45880</v>
      </c>
      <c r="C3394" s="4">
        <f>MONTH(datos_ventas[[#This Row],[Fecha]])</f>
        <v>8</v>
      </c>
      <c r="D3394" s="4">
        <f>WEEKNUM(datos_ventas[[#This Row],[Fecha]],2)</f>
        <v>33</v>
      </c>
      <c r="E3394" t="s">
        <v>17</v>
      </c>
      <c r="F3394" t="s">
        <v>18</v>
      </c>
      <c r="G3394">
        <v>5</v>
      </c>
      <c r="H3394">
        <v>96641</v>
      </c>
      <c r="I3394">
        <v>3998</v>
      </c>
      <c r="J3394" t="s">
        <v>22</v>
      </c>
      <c r="K3394" t="str">
        <f>_xlfn.XLOOKUP(datos_ventas[[#This Row],[Ciudad]],Tabla2[Ciudades],Tabla2[Provincias],"no se encuentra")</f>
        <v>Valencia</v>
      </c>
      <c r="L3394" t="str">
        <f>_xlfn.XLOOKUP(datos_ventas[[#This Row],[Provincia]],Tabla2[Provincias],Tabla2[Comunidades],"no se encuentra")</f>
        <v>Comunidad Valenciana</v>
      </c>
      <c r="M3394" t="s">
        <v>19</v>
      </c>
      <c r="N3394">
        <v>5</v>
      </c>
    </row>
    <row r="3395" spans="1:14" x14ac:dyDescent="0.25">
      <c r="A3395">
        <v>4394</v>
      </c>
      <c r="B3395" s="1">
        <v>45668</v>
      </c>
      <c r="C3395" s="4">
        <f>MONTH(datos_ventas[[#This Row],[Fecha]])</f>
        <v>1</v>
      </c>
      <c r="D3395" s="4">
        <f>WEEKNUM(datos_ventas[[#This Row],[Fecha]],2)</f>
        <v>2</v>
      </c>
      <c r="E3395" t="s">
        <v>23</v>
      </c>
      <c r="F3395" t="s">
        <v>18</v>
      </c>
      <c r="G3395">
        <v>3</v>
      </c>
      <c r="H3395">
        <v>93584</v>
      </c>
      <c r="I3395">
        <v>3203</v>
      </c>
      <c r="J3395" t="s">
        <v>32</v>
      </c>
      <c r="K3395" t="str">
        <f>_xlfn.XLOOKUP(datos_ventas[[#This Row],[Ciudad]],Tabla2[Ciudades],Tabla2[Provincias],"no se encuentra")</f>
        <v>Barcelona</v>
      </c>
      <c r="L3395" t="str">
        <f>_xlfn.XLOOKUP(datos_ventas[[#This Row],[Provincia]],Tabla2[Provincias],Tabla2[Comunidades],"no se encuentra")</f>
        <v>Cataluña</v>
      </c>
      <c r="M3395" t="s">
        <v>28</v>
      </c>
      <c r="N3395">
        <v>5</v>
      </c>
    </row>
    <row r="3396" spans="1:14" x14ac:dyDescent="0.25">
      <c r="A3396">
        <v>4395</v>
      </c>
      <c r="B3396" s="1">
        <v>45694</v>
      </c>
      <c r="C3396" s="4">
        <f>MONTH(datos_ventas[[#This Row],[Fecha]])</f>
        <v>2</v>
      </c>
      <c r="D3396" s="4">
        <f>WEEKNUM(datos_ventas[[#This Row],[Fecha]],2)</f>
        <v>6</v>
      </c>
      <c r="E3396" t="s">
        <v>26</v>
      </c>
      <c r="F3396" t="s">
        <v>18</v>
      </c>
      <c r="G3396">
        <v>2</v>
      </c>
      <c r="H3396">
        <v>20364</v>
      </c>
      <c r="I3396">
        <v>708</v>
      </c>
      <c r="J3396" t="s">
        <v>22</v>
      </c>
      <c r="K3396" t="str">
        <f>_xlfn.XLOOKUP(datos_ventas[[#This Row],[Ciudad]],Tabla2[Ciudades],Tabla2[Provincias],"no se encuentra")</f>
        <v>Valencia</v>
      </c>
      <c r="L3396" t="str">
        <f>_xlfn.XLOOKUP(datos_ventas[[#This Row],[Provincia]],Tabla2[Provincias],Tabla2[Comunidades],"no se encuentra")</f>
        <v>Comunidad Valenciana</v>
      </c>
      <c r="M3396" t="s">
        <v>13</v>
      </c>
      <c r="N3396">
        <v>2</v>
      </c>
    </row>
    <row r="3397" spans="1:14" x14ac:dyDescent="0.25">
      <c r="A3397">
        <v>4396</v>
      </c>
      <c r="B3397" s="1">
        <v>45810</v>
      </c>
      <c r="C3397" s="4">
        <f>MONTH(datos_ventas[[#This Row],[Fecha]])</f>
        <v>6</v>
      </c>
      <c r="D3397" s="4">
        <f>WEEKNUM(datos_ventas[[#This Row],[Fecha]],2)</f>
        <v>23</v>
      </c>
      <c r="E3397" t="s">
        <v>10</v>
      </c>
      <c r="F3397" t="s">
        <v>11</v>
      </c>
      <c r="G3397">
        <v>3</v>
      </c>
      <c r="H3397">
        <v>110042</v>
      </c>
      <c r="I3397">
        <v>1411</v>
      </c>
      <c r="J3397" t="s">
        <v>12</v>
      </c>
      <c r="K3397" t="str">
        <f>_xlfn.XLOOKUP(datos_ventas[[#This Row],[Ciudad]],Tabla2[Ciudades],Tabla2[Provincias],"no se encuentra")</f>
        <v>Málaga</v>
      </c>
      <c r="L3397" t="str">
        <f>_xlfn.XLOOKUP(datos_ventas[[#This Row],[Provincia]],Tabla2[Provincias],Tabla2[Comunidades],"no se encuentra")</f>
        <v>Andalucía</v>
      </c>
      <c r="M3397" t="s">
        <v>15</v>
      </c>
      <c r="N3397">
        <v>3</v>
      </c>
    </row>
    <row r="3398" spans="1:14" x14ac:dyDescent="0.25">
      <c r="A3398">
        <v>4397</v>
      </c>
      <c r="B3398" s="1">
        <v>45923</v>
      </c>
      <c r="C3398" s="4">
        <f>MONTH(datos_ventas[[#This Row],[Fecha]])</f>
        <v>9</v>
      </c>
      <c r="D3398" s="4">
        <f>WEEKNUM(datos_ventas[[#This Row],[Fecha]],2)</f>
        <v>39</v>
      </c>
      <c r="E3398" t="s">
        <v>29</v>
      </c>
      <c r="F3398" t="s">
        <v>30</v>
      </c>
      <c r="G3398">
        <v>5</v>
      </c>
      <c r="H3398">
        <v>100137</v>
      </c>
      <c r="I3398">
        <v>1943</v>
      </c>
      <c r="J3398" t="s">
        <v>22</v>
      </c>
      <c r="K3398" t="str">
        <f>_xlfn.XLOOKUP(datos_ventas[[#This Row],[Ciudad]],Tabla2[Ciudades],Tabla2[Provincias],"no se encuentra")</f>
        <v>Valencia</v>
      </c>
      <c r="L3398" t="str">
        <f>_xlfn.XLOOKUP(datos_ventas[[#This Row],[Provincia]],Tabla2[Provincias],Tabla2[Comunidades],"no se encuentra")</f>
        <v>Comunidad Valenciana</v>
      </c>
      <c r="M3398" t="s">
        <v>13</v>
      </c>
      <c r="N3398">
        <v>4</v>
      </c>
    </row>
    <row r="3399" spans="1:14" x14ac:dyDescent="0.25">
      <c r="A3399">
        <v>4398</v>
      </c>
      <c r="B3399" s="1">
        <v>45788</v>
      </c>
      <c r="C3399" s="4">
        <f>MONTH(datos_ventas[[#This Row],[Fecha]])</f>
        <v>5</v>
      </c>
      <c r="D3399" s="4">
        <f>WEEKNUM(datos_ventas[[#This Row],[Fecha]],2)</f>
        <v>19</v>
      </c>
      <c r="E3399" t="s">
        <v>20</v>
      </c>
      <c r="F3399" t="s">
        <v>21</v>
      </c>
      <c r="G3399">
        <v>5</v>
      </c>
      <c r="H3399">
        <v>117361</v>
      </c>
      <c r="I3399">
        <v>3733</v>
      </c>
      <c r="J3399" t="s">
        <v>31</v>
      </c>
      <c r="K3399" t="str">
        <f>_xlfn.XLOOKUP(datos_ventas[[#This Row],[Ciudad]],Tabla2[Ciudades],Tabla2[Provincias],"no se encuentra")</f>
        <v>Vizcaya</v>
      </c>
      <c r="L3399" t="str">
        <f>_xlfn.XLOOKUP(datos_ventas[[#This Row],[Provincia]],Tabla2[Provincias],Tabla2[Comunidades],"no se encuentra")</f>
        <v>País Vasco</v>
      </c>
      <c r="M3399" t="s">
        <v>19</v>
      </c>
      <c r="N3399">
        <v>5</v>
      </c>
    </row>
    <row r="3400" spans="1:14" x14ac:dyDescent="0.25">
      <c r="A3400">
        <v>4399</v>
      </c>
      <c r="B3400" s="1">
        <v>45697</v>
      </c>
      <c r="C3400" s="4">
        <f>MONTH(datos_ventas[[#This Row],[Fecha]])</f>
        <v>2</v>
      </c>
      <c r="D3400" s="4">
        <f>WEEKNUM(datos_ventas[[#This Row],[Fecha]],2)</f>
        <v>6</v>
      </c>
      <c r="E3400" t="s">
        <v>26</v>
      </c>
      <c r="F3400" t="s">
        <v>18</v>
      </c>
      <c r="G3400">
        <v>3</v>
      </c>
      <c r="H3400">
        <v>82702</v>
      </c>
      <c r="I3400">
        <v>4387</v>
      </c>
      <c r="J3400" t="s">
        <v>12</v>
      </c>
      <c r="K3400" t="str">
        <f>_xlfn.XLOOKUP(datos_ventas[[#This Row],[Ciudad]],Tabla2[Ciudades],Tabla2[Provincias],"no se encuentra")</f>
        <v>Málaga</v>
      </c>
      <c r="L3400" t="str">
        <f>_xlfn.XLOOKUP(datos_ventas[[#This Row],[Provincia]],Tabla2[Provincias],Tabla2[Comunidades],"no se encuentra")</f>
        <v>Andalucía</v>
      </c>
      <c r="M3400" t="s">
        <v>28</v>
      </c>
      <c r="N3400">
        <v>4</v>
      </c>
    </row>
    <row r="3401" spans="1:14" x14ac:dyDescent="0.25">
      <c r="A3401">
        <v>4400</v>
      </c>
      <c r="B3401" s="1">
        <v>45907</v>
      </c>
      <c r="C3401" s="4">
        <f>MONTH(datos_ventas[[#This Row],[Fecha]])</f>
        <v>9</v>
      </c>
      <c r="D3401" s="4">
        <f>WEEKNUM(datos_ventas[[#This Row],[Fecha]],2)</f>
        <v>36</v>
      </c>
      <c r="E3401" t="s">
        <v>17</v>
      </c>
      <c r="F3401" t="s">
        <v>18</v>
      </c>
      <c r="G3401">
        <v>5</v>
      </c>
      <c r="H3401">
        <v>6758</v>
      </c>
      <c r="I3401">
        <v>343</v>
      </c>
      <c r="J3401" t="s">
        <v>22</v>
      </c>
      <c r="K3401" t="str">
        <f>_xlfn.XLOOKUP(datos_ventas[[#This Row],[Ciudad]],Tabla2[Ciudades],Tabla2[Provincias],"no se encuentra")</f>
        <v>Valencia</v>
      </c>
      <c r="L3401" t="str">
        <f>_xlfn.XLOOKUP(datos_ventas[[#This Row],[Provincia]],Tabla2[Provincias],Tabla2[Comunidades],"no se encuentra")</f>
        <v>Comunidad Valenciana</v>
      </c>
      <c r="M3401" t="s">
        <v>13</v>
      </c>
      <c r="N3401">
        <v>3</v>
      </c>
    </row>
    <row r="3402" spans="1:14" x14ac:dyDescent="0.25">
      <c r="A3402">
        <v>4401</v>
      </c>
      <c r="B3402" s="1">
        <v>45687</v>
      </c>
      <c r="C3402" s="4">
        <f>MONTH(datos_ventas[[#This Row],[Fecha]])</f>
        <v>1</v>
      </c>
      <c r="D3402" s="4">
        <f>WEEKNUM(datos_ventas[[#This Row],[Fecha]],2)</f>
        <v>5</v>
      </c>
      <c r="E3402" t="s">
        <v>26</v>
      </c>
      <c r="F3402" t="s">
        <v>18</v>
      </c>
      <c r="G3402">
        <v>3</v>
      </c>
      <c r="H3402">
        <v>39873</v>
      </c>
      <c r="I3402">
        <v>2992</v>
      </c>
      <c r="J3402" t="s">
        <v>32</v>
      </c>
      <c r="K3402" t="str">
        <f>_xlfn.XLOOKUP(datos_ventas[[#This Row],[Ciudad]],Tabla2[Ciudades],Tabla2[Provincias],"no se encuentra")</f>
        <v>Barcelona</v>
      </c>
      <c r="L3402" t="str">
        <f>_xlfn.XLOOKUP(datos_ventas[[#This Row],[Provincia]],Tabla2[Provincias],Tabla2[Comunidades],"no se encuentra")</f>
        <v>Cataluña</v>
      </c>
      <c r="M3402" t="s">
        <v>13</v>
      </c>
      <c r="N3402">
        <v>4</v>
      </c>
    </row>
    <row r="3403" spans="1:14" x14ac:dyDescent="0.25">
      <c r="A3403">
        <v>4402</v>
      </c>
      <c r="B3403" s="1">
        <v>45951</v>
      </c>
      <c r="C3403" s="4">
        <f>MONTH(datos_ventas[[#This Row],[Fecha]])</f>
        <v>10</v>
      </c>
      <c r="D3403" s="4">
        <f>WEEKNUM(datos_ventas[[#This Row],[Fecha]],2)</f>
        <v>43</v>
      </c>
      <c r="E3403" t="s">
        <v>16</v>
      </c>
      <c r="F3403" t="s">
        <v>11</v>
      </c>
      <c r="G3403">
        <v>2</v>
      </c>
      <c r="H3403">
        <v>26768</v>
      </c>
      <c r="I3403">
        <v>809</v>
      </c>
      <c r="J3403" t="s">
        <v>22</v>
      </c>
      <c r="K3403" t="str">
        <f>_xlfn.XLOOKUP(datos_ventas[[#This Row],[Ciudad]],Tabla2[Ciudades],Tabla2[Provincias],"no se encuentra")</f>
        <v>Valencia</v>
      </c>
      <c r="L3403" t="str">
        <f>_xlfn.XLOOKUP(datos_ventas[[#This Row],[Provincia]],Tabla2[Provincias],Tabla2[Comunidades],"no se encuentra")</f>
        <v>Comunidad Valenciana</v>
      </c>
      <c r="M3403" t="s">
        <v>19</v>
      </c>
      <c r="N3403">
        <v>1</v>
      </c>
    </row>
    <row r="3404" spans="1:14" x14ac:dyDescent="0.25">
      <c r="A3404">
        <v>4403</v>
      </c>
      <c r="B3404" s="1">
        <v>45850</v>
      </c>
      <c r="C3404" s="4">
        <f>MONTH(datos_ventas[[#This Row],[Fecha]])</f>
        <v>7</v>
      </c>
      <c r="D3404" s="4">
        <f>WEEKNUM(datos_ventas[[#This Row],[Fecha]],2)</f>
        <v>28</v>
      </c>
      <c r="E3404" t="s">
        <v>24</v>
      </c>
      <c r="F3404" t="s">
        <v>25</v>
      </c>
      <c r="G3404">
        <v>5</v>
      </c>
      <c r="H3404">
        <v>52965</v>
      </c>
      <c r="I3404">
        <v>4959</v>
      </c>
      <c r="J3404" t="s">
        <v>32</v>
      </c>
      <c r="K3404" t="str">
        <f>_xlfn.XLOOKUP(datos_ventas[[#This Row],[Ciudad]],Tabla2[Ciudades],Tabla2[Provincias],"no se encuentra")</f>
        <v>Barcelona</v>
      </c>
      <c r="L3404" t="str">
        <f>_xlfn.XLOOKUP(datos_ventas[[#This Row],[Provincia]],Tabla2[Provincias],Tabla2[Comunidades],"no se encuentra")</f>
        <v>Cataluña</v>
      </c>
      <c r="M3404" t="s">
        <v>13</v>
      </c>
      <c r="N3404">
        <v>2</v>
      </c>
    </row>
    <row r="3405" spans="1:14" x14ac:dyDescent="0.25">
      <c r="A3405">
        <v>4404</v>
      </c>
      <c r="B3405" s="1">
        <v>45925</v>
      </c>
      <c r="C3405" s="4">
        <f>MONTH(datos_ventas[[#This Row],[Fecha]])</f>
        <v>9</v>
      </c>
      <c r="D3405" s="4">
        <f>WEEKNUM(datos_ventas[[#This Row],[Fecha]],2)</f>
        <v>39</v>
      </c>
      <c r="E3405" t="s">
        <v>16</v>
      </c>
      <c r="F3405" t="s">
        <v>11</v>
      </c>
      <c r="G3405">
        <v>2</v>
      </c>
      <c r="H3405">
        <v>112531</v>
      </c>
      <c r="I3405">
        <v>144</v>
      </c>
      <c r="J3405" t="s">
        <v>31</v>
      </c>
      <c r="K3405" t="str">
        <f>_xlfn.XLOOKUP(datos_ventas[[#This Row],[Ciudad]],Tabla2[Ciudades],Tabla2[Provincias],"no se encuentra")</f>
        <v>Vizcaya</v>
      </c>
      <c r="L3405" t="str">
        <f>_xlfn.XLOOKUP(datos_ventas[[#This Row],[Provincia]],Tabla2[Provincias],Tabla2[Comunidades],"no se encuentra")</f>
        <v>País Vasco</v>
      </c>
      <c r="M3405" t="s">
        <v>28</v>
      </c>
      <c r="N3405">
        <v>1</v>
      </c>
    </row>
    <row r="3406" spans="1:14" x14ac:dyDescent="0.25">
      <c r="A3406">
        <v>4405</v>
      </c>
      <c r="B3406" s="1">
        <v>45905</v>
      </c>
      <c r="C3406" s="4">
        <f>MONTH(datos_ventas[[#This Row],[Fecha]])</f>
        <v>9</v>
      </c>
      <c r="D3406" s="4">
        <f>WEEKNUM(datos_ventas[[#This Row],[Fecha]],2)</f>
        <v>36</v>
      </c>
      <c r="E3406" t="s">
        <v>17</v>
      </c>
      <c r="F3406" t="s">
        <v>18</v>
      </c>
      <c r="G3406">
        <v>3</v>
      </c>
      <c r="H3406">
        <v>24007</v>
      </c>
      <c r="I3406">
        <v>1934</v>
      </c>
      <c r="J3406" t="s">
        <v>32</v>
      </c>
      <c r="K3406" t="str">
        <f>_xlfn.XLOOKUP(datos_ventas[[#This Row],[Ciudad]],Tabla2[Ciudades],Tabla2[Provincias],"no se encuentra")</f>
        <v>Barcelona</v>
      </c>
      <c r="L3406" t="str">
        <f>_xlfn.XLOOKUP(datos_ventas[[#This Row],[Provincia]],Tabla2[Provincias],Tabla2[Comunidades],"no se encuentra")</f>
        <v>Cataluña</v>
      </c>
      <c r="M3406" t="s">
        <v>13</v>
      </c>
      <c r="N3406">
        <v>3</v>
      </c>
    </row>
    <row r="3407" spans="1:14" x14ac:dyDescent="0.25">
      <c r="A3407">
        <v>4406</v>
      </c>
      <c r="B3407" s="1">
        <v>45765</v>
      </c>
      <c r="C3407" s="4">
        <f>MONTH(datos_ventas[[#This Row],[Fecha]])</f>
        <v>4</v>
      </c>
      <c r="D3407" s="4">
        <f>WEEKNUM(datos_ventas[[#This Row],[Fecha]],2)</f>
        <v>16</v>
      </c>
      <c r="E3407" t="s">
        <v>20</v>
      </c>
      <c r="F3407" t="s">
        <v>21</v>
      </c>
      <c r="G3407">
        <v>4</v>
      </c>
      <c r="H3407">
        <v>96618</v>
      </c>
      <c r="I3407">
        <v>4645</v>
      </c>
      <c r="J3407" t="s">
        <v>32</v>
      </c>
      <c r="K3407" t="str">
        <f>_xlfn.XLOOKUP(datos_ventas[[#This Row],[Ciudad]],Tabla2[Ciudades],Tabla2[Provincias],"no se encuentra")</f>
        <v>Barcelona</v>
      </c>
      <c r="L3407" t="str">
        <f>_xlfn.XLOOKUP(datos_ventas[[#This Row],[Provincia]],Tabla2[Provincias],Tabla2[Comunidades],"no se encuentra")</f>
        <v>Cataluña</v>
      </c>
      <c r="M3407" t="s">
        <v>15</v>
      </c>
      <c r="N3407">
        <v>5</v>
      </c>
    </row>
    <row r="3408" spans="1:14" x14ac:dyDescent="0.25">
      <c r="A3408">
        <v>4407</v>
      </c>
      <c r="B3408" s="1">
        <v>45698</v>
      </c>
      <c r="C3408" s="4">
        <f>MONTH(datos_ventas[[#This Row],[Fecha]])</f>
        <v>2</v>
      </c>
      <c r="D3408" s="4">
        <f>WEEKNUM(datos_ventas[[#This Row],[Fecha]],2)</f>
        <v>7</v>
      </c>
      <c r="E3408" t="s">
        <v>10</v>
      </c>
      <c r="F3408" t="s">
        <v>11</v>
      </c>
      <c r="G3408">
        <v>2</v>
      </c>
      <c r="H3408">
        <v>53186</v>
      </c>
      <c r="I3408">
        <v>723</v>
      </c>
      <c r="J3408" t="s">
        <v>32</v>
      </c>
      <c r="K3408" t="str">
        <f>_xlfn.XLOOKUP(datos_ventas[[#This Row],[Ciudad]],Tabla2[Ciudades],Tabla2[Provincias],"no se encuentra")</f>
        <v>Barcelona</v>
      </c>
      <c r="L3408" t="str">
        <f>_xlfn.XLOOKUP(datos_ventas[[#This Row],[Provincia]],Tabla2[Provincias],Tabla2[Comunidades],"no se encuentra")</f>
        <v>Cataluña</v>
      </c>
      <c r="M3408" t="s">
        <v>19</v>
      </c>
      <c r="N3408">
        <v>4</v>
      </c>
    </row>
    <row r="3409" spans="1:14" x14ac:dyDescent="0.25">
      <c r="A3409">
        <v>4408</v>
      </c>
      <c r="B3409" s="1">
        <v>45940</v>
      </c>
      <c r="C3409" s="4">
        <f>MONTH(datos_ventas[[#This Row],[Fecha]])</f>
        <v>10</v>
      </c>
      <c r="D3409" s="4">
        <f>WEEKNUM(datos_ventas[[#This Row],[Fecha]],2)</f>
        <v>41</v>
      </c>
      <c r="E3409" t="s">
        <v>24</v>
      </c>
      <c r="F3409" t="s">
        <v>25</v>
      </c>
      <c r="G3409">
        <v>2</v>
      </c>
      <c r="H3409">
        <v>33258</v>
      </c>
      <c r="I3409">
        <v>891</v>
      </c>
      <c r="J3409" t="s">
        <v>32</v>
      </c>
      <c r="K3409" t="str">
        <f>_xlfn.XLOOKUP(datos_ventas[[#This Row],[Ciudad]],Tabla2[Ciudades],Tabla2[Provincias],"no se encuentra")</f>
        <v>Barcelona</v>
      </c>
      <c r="L3409" t="str">
        <f>_xlfn.XLOOKUP(datos_ventas[[#This Row],[Provincia]],Tabla2[Provincias],Tabla2[Comunidades],"no se encuentra")</f>
        <v>Cataluña</v>
      </c>
      <c r="M3409" t="s">
        <v>28</v>
      </c>
      <c r="N3409">
        <v>4</v>
      </c>
    </row>
    <row r="3410" spans="1:14" x14ac:dyDescent="0.25">
      <c r="A3410">
        <v>4409</v>
      </c>
      <c r="B3410" s="1">
        <v>45706</v>
      </c>
      <c r="C3410" s="4">
        <f>MONTH(datos_ventas[[#This Row],[Fecha]])</f>
        <v>2</v>
      </c>
      <c r="D3410" s="4">
        <f>WEEKNUM(datos_ventas[[#This Row],[Fecha]],2)</f>
        <v>8</v>
      </c>
      <c r="E3410" t="s">
        <v>24</v>
      </c>
      <c r="F3410" t="s">
        <v>25</v>
      </c>
      <c r="G3410">
        <v>2</v>
      </c>
      <c r="H3410">
        <v>18159</v>
      </c>
      <c r="I3410">
        <v>4556</v>
      </c>
      <c r="J3410" t="s">
        <v>22</v>
      </c>
      <c r="K3410" t="str">
        <f>_xlfn.XLOOKUP(datos_ventas[[#This Row],[Ciudad]],Tabla2[Ciudades],Tabla2[Provincias],"no se encuentra")</f>
        <v>Valencia</v>
      </c>
      <c r="L3410" t="str">
        <f>_xlfn.XLOOKUP(datos_ventas[[#This Row],[Provincia]],Tabla2[Provincias],Tabla2[Comunidades],"no se encuentra")</f>
        <v>Comunidad Valenciana</v>
      </c>
      <c r="M3410" t="s">
        <v>15</v>
      </c>
      <c r="N3410">
        <v>3</v>
      </c>
    </row>
    <row r="3411" spans="1:14" x14ac:dyDescent="0.25">
      <c r="A3411">
        <v>4410</v>
      </c>
      <c r="B3411" s="1">
        <v>45955</v>
      </c>
      <c r="C3411" s="4">
        <f>MONTH(datos_ventas[[#This Row],[Fecha]])</f>
        <v>10</v>
      </c>
      <c r="D3411" s="4">
        <f>WEEKNUM(datos_ventas[[#This Row],[Fecha]],2)</f>
        <v>43</v>
      </c>
      <c r="E3411" t="s">
        <v>10</v>
      </c>
      <c r="F3411" t="s">
        <v>11</v>
      </c>
      <c r="G3411">
        <v>2</v>
      </c>
      <c r="H3411">
        <v>67251</v>
      </c>
      <c r="I3411">
        <v>3818</v>
      </c>
      <c r="J3411" t="s">
        <v>14</v>
      </c>
      <c r="K3411" t="str">
        <f>_xlfn.XLOOKUP(datos_ventas[[#This Row],[Ciudad]],Tabla2[Ciudades],Tabla2[Provincias],"no se encuentra")</f>
        <v>Madrid</v>
      </c>
      <c r="L3411" t="str">
        <f>_xlfn.XLOOKUP(datos_ventas[[#This Row],[Provincia]],Tabla2[Provincias],Tabla2[Comunidades],"no se encuentra")</f>
        <v>Comunidad de Madrid</v>
      </c>
      <c r="M3411" t="s">
        <v>15</v>
      </c>
      <c r="N3411">
        <v>1</v>
      </c>
    </row>
    <row r="3412" spans="1:14" x14ac:dyDescent="0.25">
      <c r="A3412">
        <v>4411</v>
      </c>
      <c r="B3412" s="1">
        <v>45754</v>
      </c>
      <c r="C3412" s="4">
        <f>MONTH(datos_ventas[[#This Row],[Fecha]])</f>
        <v>4</v>
      </c>
      <c r="D3412" s="4">
        <f>WEEKNUM(datos_ventas[[#This Row],[Fecha]],2)</f>
        <v>15</v>
      </c>
      <c r="E3412" t="s">
        <v>16</v>
      </c>
      <c r="F3412" t="s">
        <v>11</v>
      </c>
      <c r="G3412">
        <v>1</v>
      </c>
      <c r="H3412">
        <v>47197</v>
      </c>
      <c r="I3412">
        <v>4324</v>
      </c>
      <c r="J3412" t="s">
        <v>27</v>
      </c>
      <c r="K3412" t="str">
        <f>_xlfn.XLOOKUP(datos_ventas[[#This Row],[Ciudad]],Tabla2[Ciudades],Tabla2[Provincias],"no se encuentra")</f>
        <v>Sevilla</v>
      </c>
      <c r="L3412" t="str">
        <f>_xlfn.XLOOKUP(datos_ventas[[#This Row],[Provincia]],Tabla2[Provincias],Tabla2[Comunidades],"no se encuentra")</f>
        <v>Andalucía</v>
      </c>
      <c r="M3412" t="s">
        <v>15</v>
      </c>
      <c r="N3412">
        <v>1</v>
      </c>
    </row>
    <row r="3413" spans="1:14" x14ac:dyDescent="0.25">
      <c r="A3413">
        <v>4412</v>
      </c>
      <c r="B3413" s="1">
        <v>45969</v>
      </c>
      <c r="C3413" s="4">
        <f>MONTH(datos_ventas[[#This Row],[Fecha]])</f>
        <v>11</v>
      </c>
      <c r="D3413" s="4">
        <f>WEEKNUM(datos_ventas[[#This Row],[Fecha]],2)</f>
        <v>45</v>
      </c>
      <c r="E3413" t="s">
        <v>20</v>
      </c>
      <c r="F3413" t="s">
        <v>21</v>
      </c>
      <c r="G3413">
        <v>4</v>
      </c>
      <c r="H3413">
        <v>12742</v>
      </c>
      <c r="I3413">
        <v>3352</v>
      </c>
      <c r="J3413" t="s">
        <v>14</v>
      </c>
      <c r="K3413" t="str">
        <f>_xlfn.XLOOKUP(datos_ventas[[#This Row],[Ciudad]],Tabla2[Ciudades],Tabla2[Provincias],"no se encuentra")</f>
        <v>Madrid</v>
      </c>
      <c r="L3413" t="str">
        <f>_xlfn.XLOOKUP(datos_ventas[[#This Row],[Provincia]],Tabla2[Provincias],Tabla2[Comunidades],"no se encuentra")</f>
        <v>Comunidad de Madrid</v>
      </c>
      <c r="M3413" t="s">
        <v>13</v>
      </c>
      <c r="N3413">
        <v>3</v>
      </c>
    </row>
    <row r="3414" spans="1:14" x14ac:dyDescent="0.25">
      <c r="A3414">
        <v>4413</v>
      </c>
      <c r="B3414" s="1">
        <v>45822</v>
      </c>
      <c r="C3414" s="4">
        <f>MONTH(datos_ventas[[#This Row],[Fecha]])</f>
        <v>6</v>
      </c>
      <c r="D3414" s="4">
        <f>WEEKNUM(datos_ventas[[#This Row],[Fecha]],2)</f>
        <v>24</v>
      </c>
      <c r="E3414" t="s">
        <v>23</v>
      </c>
      <c r="F3414" t="s">
        <v>18</v>
      </c>
      <c r="G3414">
        <v>2</v>
      </c>
      <c r="H3414">
        <v>108014</v>
      </c>
      <c r="I3414">
        <v>3135</v>
      </c>
      <c r="J3414" t="s">
        <v>12</v>
      </c>
      <c r="K3414" t="str">
        <f>_xlfn.XLOOKUP(datos_ventas[[#This Row],[Ciudad]],Tabla2[Ciudades],Tabla2[Provincias],"no se encuentra")</f>
        <v>Málaga</v>
      </c>
      <c r="L3414" t="str">
        <f>_xlfn.XLOOKUP(datos_ventas[[#This Row],[Provincia]],Tabla2[Provincias],Tabla2[Comunidades],"no se encuentra")</f>
        <v>Andalucía</v>
      </c>
      <c r="M3414" t="s">
        <v>19</v>
      </c>
      <c r="N3414">
        <v>1</v>
      </c>
    </row>
    <row r="3415" spans="1:14" x14ac:dyDescent="0.25">
      <c r="A3415">
        <v>4414</v>
      </c>
      <c r="B3415" s="1">
        <v>46021</v>
      </c>
      <c r="C3415" s="4">
        <f>MONTH(datos_ventas[[#This Row],[Fecha]])</f>
        <v>12</v>
      </c>
      <c r="D3415" s="4">
        <f>WEEKNUM(datos_ventas[[#This Row],[Fecha]],2)</f>
        <v>53</v>
      </c>
      <c r="E3415" t="s">
        <v>17</v>
      </c>
      <c r="F3415" t="s">
        <v>18</v>
      </c>
      <c r="G3415">
        <v>4</v>
      </c>
      <c r="H3415">
        <v>41913</v>
      </c>
      <c r="I3415">
        <v>2742</v>
      </c>
      <c r="J3415" t="s">
        <v>14</v>
      </c>
      <c r="K3415" t="str">
        <f>_xlfn.XLOOKUP(datos_ventas[[#This Row],[Ciudad]],Tabla2[Ciudades],Tabla2[Provincias],"no se encuentra")</f>
        <v>Madrid</v>
      </c>
      <c r="L3415" t="str">
        <f>_xlfn.XLOOKUP(datos_ventas[[#This Row],[Provincia]],Tabla2[Provincias],Tabla2[Comunidades],"no se encuentra")</f>
        <v>Comunidad de Madrid</v>
      </c>
      <c r="M3415" t="s">
        <v>15</v>
      </c>
      <c r="N3415">
        <v>3</v>
      </c>
    </row>
    <row r="3416" spans="1:14" x14ac:dyDescent="0.25">
      <c r="A3416">
        <v>4415</v>
      </c>
      <c r="B3416" s="1">
        <v>45964</v>
      </c>
      <c r="C3416" s="4">
        <f>MONTH(datos_ventas[[#This Row],[Fecha]])</f>
        <v>11</v>
      </c>
      <c r="D3416" s="4">
        <f>WEEKNUM(datos_ventas[[#This Row],[Fecha]],2)</f>
        <v>45</v>
      </c>
      <c r="E3416" t="s">
        <v>24</v>
      </c>
      <c r="F3416" t="s">
        <v>25</v>
      </c>
      <c r="G3416">
        <v>1</v>
      </c>
      <c r="H3416">
        <v>13206</v>
      </c>
      <c r="I3416">
        <v>3675</v>
      </c>
      <c r="J3416" t="s">
        <v>12</v>
      </c>
      <c r="K3416" t="str">
        <f>_xlfn.XLOOKUP(datos_ventas[[#This Row],[Ciudad]],Tabla2[Ciudades],Tabla2[Provincias],"no se encuentra")</f>
        <v>Málaga</v>
      </c>
      <c r="L3416" t="str">
        <f>_xlfn.XLOOKUP(datos_ventas[[#This Row],[Provincia]],Tabla2[Provincias],Tabla2[Comunidades],"no se encuentra")</f>
        <v>Andalucía</v>
      </c>
      <c r="M3416" t="s">
        <v>13</v>
      </c>
      <c r="N3416">
        <v>3</v>
      </c>
    </row>
    <row r="3417" spans="1:14" x14ac:dyDescent="0.25">
      <c r="A3417">
        <v>4416</v>
      </c>
      <c r="B3417" s="1">
        <v>45716</v>
      </c>
      <c r="C3417" s="4">
        <f>MONTH(datos_ventas[[#This Row],[Fecha]])</f>
        <v>2</v>
      </c>
      <c r="D3417" s="4">
        <f>WEEKNUM(datos_ventas[[#This Row],[Fecha]],2)</f>
        <v>9</v>
      </c>
      <c r="E3417" t="s">
        <v>10</v>
      </c>
      <c r="F3417" t="s">
        <v>11</v>
      </c>
      <c r="G3417">
        <v>4</v>
      </c>
      <c r="H3417">
        <v>64056</v>
      </c>
      <c r="I3417">
        <v>754</v>
      </c>
      <c r="J3417" t="s">
        <v>32</v>
      </c>
      <c r="K3417" t="str">
        <f>_xlfn.XLOOKUP(datos_ventas[[#This Row],[Ciudad]],Tabla2[Ciudades],Tabla2[Provincias],"no se encuentra")</f>
        <v>Barcelona</v>
      </c>
      <c r="L3417" t="str">
        <f>_xlfn.XLOOKUP(datos_ventas[[#This Row],[Provincia]],Tabla2[Provincias],Tabla2[Comunidades],"no se encuentra")</f>
        <v>Cataluña</v>
      </c>
      <c r="M3417" t="s">
        <v>15</v>
      </c>
      <c r="N3417">
        <v>3</v>
      </c>
    </row>
    <row r="3418" spans="1:14" x14ac:dyDescent="0.25">
      <c r="A3418">
        <v>4417</v>
      </c>
      <c r="B3418" s="1">
        <v>45672</v>
      </c>
      <c r="C3418" s="4">
        <f>MONTH(datos_ventas[[#This Row],[Fecha]])</f>
        <v>1</v>
      </c>
      <c r="D3418" s="4">
        <f>WEEKNUM(datos_ventas[[#This Row],[Fecha]],2)</f>
        <v>3</v>
      </c>
      <c r="E3418" t="s">
        <v>29</v>
      </c>
      <c r="F3418" t="s">
        <v>30</v>
      </c>
      <c r="G3418">
        <v>1</v>
      </c>
      <c r="H3418">
        <v>32183</v>
      </c>
      <c r="I3418">
        <v>2658</v>
      </c>
      <c r="J3418" t="s">
        <v>27</v>
      </c>
      <c r="K3418" t="str">
        <f>_xlfn.XLOOKUP(datos_ventas[[#This Row],[Ciudad]],Tabla2[Ciudades],Tabla2[Provincias],"no se encuentra")</f>
        <v>Sevilla</v>
      </c>
      <c r="L3418" t="str">
        <f>_xlfn.XLOOKUP(datos_ventas[[#This Row],[Provincia]],Tabla2[Provincias],Tabla2[Comunidades],"no se encuentra")</f>
        <v>Andalucía</v>
      </c>
      <c r="M3418" t="s">
        <v>28</v>
      </c>
      <c r="N3418">
        <v>4</v>
      </c>
    </row>
    <row r="3419" spans="1:14" x14ac:dyDescent="0.25">
      <c r="A3419">
        <v>4418</v>
      </c>
      <c r="B3419" s="1">
        <v>45853</v>
      </c>
      <c r="C3419" s="4">
        <f>MONTH(datos_ventas[[#This Row],[Fecha]])</f>
        <v>7</v>
      </c>
      <c r="D3419" s="4">
        <f>WEEKNUM(datos_ventas[[#This Row],[Fecha]],2)</f>
        <v>29</v>
      </c>
      <c r="E3419" t="s">
        <v>16</v>
      </c>
      <c r="F3419" t="s">
        <v>11</v>
      </c>
      <c r="G3419">
        <v>3</v>
      </c>
      <c r="H3419">
        <v>53689</v>
      </c>
      <c r="I3419">
        <v>3039</v>
      </c>
      <c r="J3419" t="s">
        <v>22</v>
      </c>
      <c r="K3419" t="str">
        <f>_xlfn.XLOOKUP(datos_ventas[[#This Row],[Ciudad]],Tabla2[Ciudades],Tabla2[Provincias],"no se encuentra")</f>
        <v>Valencia</v>
      </c>
      <c r="L3419" t="str">
        <f>_xlfn.XLOOKUP(datos_ventas[[#This Row],[Provincia]],Tabla2[Provincias],Tabla2[Comunidades],"no se encuentra")</f>
        <v>Comunidad Valenciana</v>
      </c>
      <c r="M3419" t="s">
        <v>15</v>
      </c>
      <c r="N3419">
        <v>1</v>
      </c>
    </row>
    <row r="3420" spans="1:14" x14ac:dyDescent="0.25">
      <c r="A3420">
        <v>4419</v>
      </c>
      <c r="B3420" s="1">
        <v>45891</v>
      </c>
      <c r="C3420" s="4">
        <f>MONTH(datos_ventas[[#This Row],[Fecha]])</f>
        <v>8</v>
      </c>
      <c r="D3420" s="4">
        <f>WEEKNUM(datos_ventas[[#This Row],[Fecha]],2)</f>
        <v>34</v>
      </c>
      <c r="E3420" t="s">
        <v>23</v>
      </c>
      <c r="F3420" t="s">
        <v>18</v>
      </c>
      <c r="G3420">
        <v>2</v>
      </c>
      <c r="H3420">
        <v>7141</v>
      </c>
      <c r="I3420">
        <v>4172</v>
      </c>
      <c r="J3420" t="s">
        <v>14</v>
      </c>
      <c r="K3420" t="str">
        <f>_xlfn.XLOOKUP(datos_ventas[[#This Row],[Ciudad]],Tabla2[Ciudades],Tabla2[Provincias],"no se encuentra")</f>
        <v>Madrid</v>
      </c>
      <c r="L3420" t="str">
        <f>_xlfn.XLOOKUP(datos_ventas[[#This Row],[Provincia]],Tabla2[Provincias],Tabla2[Comunidades],"no se encuentra")</f>
        <v>Comunidad de Madrid</v>
      </c>
      <c r="M3420" t="s">
        <v>19</v>
      </c>
      <c r="N3420">
        <v>4</v>
      </c>
    </row>
    <row r="3421" spans="1:14" x14ac:dyDescent="0.25">
      <c r="A3421">
        <v>4420</v>
      </c>
      <c r="B3421" s="1">
        <v>45742</v>
      </c>
      <c r="C3421" s="4">
        <f>MONTH(datos_ventas[[#This Row],[Fecha]])</f>
        <v>3</v>
      </c>
      <c r="D3421" s="4">
        <f>WEEKNUM(datos_ventas[[#This Row],[Fecha]],2)</f>
        <v>13</v>
      </c>
      <c r="E3421" t="s">
        <v>16</v>
      </c>
      <c r="F3421" t="s">
        <v>11</v>
      </c>
      <c r="G3421">
        <v>2</v>
      </c>
      <c r="H3421">
        <v>20449</v>
      </c>
      <c r="I3421">
        <v>3252</v>
      </c>
      <c r="J3421" t="s">
        <v>27</v>
      </c>
      <c r="K3421" t="str">
        <f>_xlfn.XLOOKUP(datos_ventas[[#This Row],[Ciudad]],Tabla2[Ciudades],Tabla2[Provincias],"no se encuentra")</f>
        <v>Sevilla</v>
      </c>
      <c r="L3421" t="str">
        <f>_xlfn.XLOOKUP(datos_ventas[[#This Row],[Provincia]],Tabla2[Provincias],Tabla2[Comunidades],"no se encuentra")</f>
        <v>Andalucía</v>
      </c>
      <c r="M3421" t="s">
        <v>15</v>
      </c>
      <c r="N3421">
        <v>3</v>
      </c>
    </row>
    <row r="3422" spans="1:14" x14ac:dyDescent="0.25">
      <c r="A3422">
        <v>4421</v>
      </c>
      <c r="B3422" s="1">
        <v>45737</v>
      </c>
      <c r="C3422" s="4">
        <f>MONTH(datos_ventas[[#This Row],[Fecha]])</f>
        <v>3</v>
      </c>
      <c r="D3422" s="4">
        <f>WEEKNUM(datos_ventas[[#This Row],[Fecha]],2)</f>
        <v>12</v>
      </c>
      <c r="E3422" t="s">
        <v>29</v>
      </c>
      <c r="F3422" t="s">
        <v>30</v>
      </c>
      <c r="G3422">
        <v>2</v>
      </c>
      <c r="H3422">
        <v>40693</v>
      </c>
      <c r="I3422">
        <v>3964</v>
      </c>
      <c r="J3422" t="s">
        <v>31</v>
      </c>
      <c r="K3422" t="str">
        <f>_xlfn.XLOOKUP(datos_ventas[[#This Row],[Ciudad]],Tabla2[Ciudades],Tabla2[Provincias],"no se encuentra")</f>
        <v>Vizcaya</v>
      </c>
      <c r="L3422" t="str">
        <f>_xlfn.XLOOKUP(datos_ventas[[#This Row],[Provincia]],Tabla2[Provincias],Tabla2[Comunidades],"no se encuentra")</f>
        <v>País Vasco</v>
      </c>
      <c r="M3422" t="s">
        <v>28</v>
      </c>
      <c r="N3422">
        <v>2</v>
      </c>
    </row>
    <row r="3423" spans="1:14" x14ac:dyDescent="0.25">
      <c r="A3423">
        <v>4422</v>
      </c>
      <c r="B3423" s="1">
        <v>46011</v>
      </c>
      <c r="C3423" s="4">
        <f>MONTH(datos_ventas[[#This Row],[Fecha]])</f>
        <v>12</v>
      </c>
      <c r="D3423" s="4">
        <f>WEEKNUM(datos_ventas[[#This Row],[Fecha]],2)</f>
        <v>51</v>
      </c>
      <c r="E3423" t="s">
        <v>29</v>
      </c>
      <c r="F3423" t="s">
        <v>30</v>
      </c>
      <c r="G3423">
        <v>2</v>
      </c>
      <c r="H3423">
        <v>82074</v>
      </c>
      <c r="I3423">
        <v>586</v>
      </c>
      <c r="J3423" t="s">
        <v>32</v>
      </c>
      <c r="K3423" t="str">
        <f>_xlfn.XLOOKUP(datos_ventas[[#This Row],[Ciudad]],Tabla2[Ciudades],Tabla2[Provincias],"no se encuentra")</f>
        <v>Barcelona</v>
      </c>
      <c r="L3423" t="str">
        <f>_xlfn.XLOOKUP(datos_ventas[[#This Row],[Provincia]],Tabla2[Provincias],Tabla2[Comunidades],"no se encuentra")</f>
        <v>Cataluña</v>
      </c>
      <c r="M3423" t="s">
        <v>15</v>
      </c>
      <c r="N3423">
        <v>1</v>
      </c>
    </row>
    <row r="3424" spans="1:14" x14ac:dyDescent="0.25">
      <c r="A3424">
        <v>4423</v>
      </c>
      <c r="B3424" s="1">
        <v>45675</v>
      </c>
      <c r="C3424" s="4">
        <f>MONTH(datos_ventas[[#This Row],[Fecha]])</f>
        <v>1</v>
      </c>
      <c r="D3424" s="4">
        <f>WEEKNUM(datos_ventas[[#This Row],[Fecha]],2)</f>
        <v>3</v>
      </c>
      <c r="E3424" t="s">
        <v>26</v>
      </c>
      <c r="F3424" t="s">
        <v>18</v>
      </c>
      <c r="G3424">
        <v>1</v>
      </c>
      <c r="H3424">
        <v>79411</v>
      </c>
      <c r="I3424">
        <v>923</v>
      </c>
      <c r="J3424" t="s">
        <v>32</v>
      </c>
      <c r="K3424" t="str">
        <f>_xlfn.XLOOKUP(datos_ventas[[#This Row],[Ciudad]],Tabla2[Ciudades],Tabla2[Provincias],"no se encuentra")</f>
        <v>Barcelona</v>
      </c>
      <c r="L3424" t="str">
        <f>_xlfn.XLOOKUP(datos_ventas[[#This Row],[Provincia]],Tabla2[Provincias],Tabla2[Comunidades],"no se encuentra")</f>
        <v>Cataluña</v>
      </c>
      <c r="M3424" t="s">
        <v>28</v>
      </c>
      <c r="N3424">
        <v>2</v>
      </c>
    </row>
    <row r="3425" spans="1:14" x14ac:dyDescent="0.25">
      <c r="A3425">
        <v>4424</v>
      </c>
      <c r="B3425" s="1">
        <v>45747</v>
      </c>
      <c r="C3425" s="4">
        <f>MONTH(datos_ventas[[#This Row],[Fecha]])</f>
        <v>3</v>
      </c>
      <c r="D3425" s="4">
        <f>WEEKNUM(datos_ventas[[#This Row],[Fecha]],2)</f>
        <v>14</v>
      </c>
      <c r="E3425" t="s">
        <v>17</v>
      </c>
      <c r="F3425" t="s">
        <v>18</v>
      </c>
      <c r="G3425">
        <v>5</v>
      </c>
      <c r="H3425">
        <v>79071</v>
      </c>
      <c r="I3425">
        <v>983</v>
      </c>
      <c r="J3425" t="s">
        <v>32</v>
      </c>
      <c r="K3425" t="str">
        <f>_xlfn.XLOOKUP(datos_ventas[[#This Row],[Ciudad]],Tabla2[Ciudades],Tabla2[Provincias],"no se encuentra")</f>
        <v>Barcelona</v>
      </c>
      <c r="L3425" t="str">
        <f>_xlfn.XLOOKUP(datos_ventas[[#This Row],[Provincia]],Tabla2[Provincias],Tabla2[Comunidades],"no se encuentra")</f>
        <v>Cataluña</v>
      </c>
      <c r="M3425" t="s">
        <v>19</v>
      </c>
      <c r="N3425">
        <v>5</v>
      </c>
    </row>
    <row r="3426" spans="1:14" x14ac:dyDescent="0.25">
      <c r="A3426">
        <v>4425</v>
      </c>
      <c r="B3426" s="1">
        <v>45767</v>
      </c>
      <c r="C3426" s="4">
        <f>MONTH(datos_ventas[[#This Row],[Fecha]])</f>
        <v>4</v>
      </c>
      <c r="D3426" s="4">
        <f>WEEKNUM(datos_ventas[[#This Row],[Fecha]],2)</f>
        <v>16</v>
      </c>
      <c r="E3426" t="s">
        <v>23</v>
      </c>
      <c r="F3426" t="s">
        <v>18</v>
      </c>
      <c r="G3426">
        <v>5</v>
      </c>
      <c r="H3426">
        <v>110766</v>
      </c>
      <c r="I3426">
        <v>567</v>
      </c>
      <c r="J3426" t="s">
        <v>27</v>
      </c>
      <c r="K3426" t="str">
        <f>_xlfn.XLOOKUP(datos_ventas[[#This Row],[Ciudad]],Tabla2[Ciudades],Tabla2[Provincias],"no se encuentra")</f>
        <v>Sevilla</v>
      </c>
      <c r="L3426" t="str">
        <f>_xlfn.XLOOKUP(datos_ventas[[#This Row],[Provincia]],Tabla2[Provincias],Tabla2[Comunidades],"no se encuentra")</f>
        <v>Andalucía</v>
      </c>
      <c r="M3426" t="s">
        <v>13</v>
      </c>
      <c r="N3426">
        <v>1</v>
      </c>
    </row>
    <row r="3427" spans="1:14" x14ac:dyDescent="0.25">
      <c r="A3427">
        <v>4426</v>
      </c>
      <c r="B3427" s="1">
        <v>45766</v>
      </c>
      <c r="C3427" s="4">
        <f>MONTH(datos_ventas[[#This Row],[Fecha]])</f>
        <v>4</v>
      </c>
      <c r="D3427" s="4">
        <f>WEEKNUM(datos_ventas[[#This Row],[Fecha]],2)</f>
        <v>16</v>
      </c>
      <c r="E3427" t="s">
        <v>20</v>
      </c>
      <c r="F3427" t="s">
        <v>21</v>
      </c>
      <c r="G3427">
        <v>5</v>
      </c>
      <c r="H3427">
        <v>2739</v>
      </c>
      <c r="I3427">
        <v>2376</v>
      </c>
      <c r="J3427" t="s">
        <v>14</v>
      </c>
      <c r="K3427" t="str">
        <f>_xlfn.XLOOKUP(datos_ventas[[#This Row],[Ciudad]],Tabla2[Ciudades],Tabla2[Provincias],"no se encuentra")</f>
        <v>Madrid</v>
      </c>
      <c r="L3427" t="str">
        <f>_xlfn.XLOOKUP(datos_ventas[[#This Row],[Provincia]],Tabla2[Provincias],Tabla2[Comunidades],"no se encuentra")</f>
        <v>Comunidad de Madrid</v>
      </c>
      <c r="M3427" t="s">
        <v>13</v>
      </c>
      <c r="N3427">
        <v>2</v>
      </c>
    </row>
    <row r="3428" spans="1:14" x14ac:dyDescent="0.25">
      <c r="A3428">
        <v>4427</v>
      </c>
      <c r="B3428" s="1">
        <v>45822</v>
      </c>
      <c r="C3428" s="4">
        <f>MONTH(datos_ventas[[#This Row],[Fecha]])</f>
        <v>6</v>
      </c>
      <c r="D3428" s="4">
        <f>WEEKNUM(datos_ventas[[#This Row],[Fecha]],2)</f>
        <v>24</v>
      </c>
      <c r="E3428" t="s">
        <v>20</v>
      </c>
      <c r="F3428" t="s">
        <v>21</v>
      </c>
      <c r="G3428">
        <v>4</v>
      </c>
      <c r="H3428">
        <v>17409</v>
      </c>
      <c r="I3428">
        <v>574</v>
      </c>
      <c r="J3428" t="s">
        <v>12</v>
      </c>
      <c r="K3428" t="str">
        <f>_xlfn.XLOOKUP(datos_ventas[[#This Row],[Ciudad]],Tabla2[Ciudades],Tabla2[Provincias],"no se encuentra")</f>
        <v>Málaga</v>
      </c>
      <c r="L3428" t="str">
        <f>_xlfn.XLOOKUP(datos_ventas[[#This Row],[Provincia]],Tabla2[Provincias],Tabla2[Comunidades],"no se encuentra")</f>
        <v>Andalucía</v>
      </c>
      <c r="M3428" t="s">
        <v>19</v>
      </c>
      <c r="N3428">
        <v>1</v>
      </c>
    </row>
    <row r="3429" spans="1:14" x14ac:dyDescent="0.25">
      <c r="A3429">
        <v>4428</v>
      </c>
      <c r="B3429" s="1">
        <v>45665</v>
      </c>
      <c r="C3429" s="4">
        <f>MONTH(datos_ventas[[#This Row],[Fecha]])</f>
        <v>1</v>
      </c>
      <c r="D3429" s="4">
        <f>WEEKNUM(datos_ventas[[#This Row],[Fecha]],2)</f>
        <v>2</v>
      </c>
      <c r="E3429" t="s">
        <v>26</v>
      </c>
      <c r="F3429" t="s">
        <v>18</v>
      </c>
      <c r="G3429">
        <v>4</v>
      </c>
      <c r="H3429">
        <v>109432</v>
      </c>
      <c r="I3429">
        <v>4603</v>
      </c>
      <c r="J3429" t="s">
        <v>12</v>
      </c>
      <c r="K3429" t="str">
        <f>_xlfn.XLOOKUP(datos_ventas[[#This Row],[Ciudad]],Tabla2[Ciudades],Tabla2[Provincias],"no se encuentra")</f>
        <v>Málaga</v>
      </c>
      <c r="L3429" t="str">
        <f>_xlfn.XLOOKUP(datos_ventas[[#This Row],[Provincia]],Tabla2[Provincias],Tabla2[Comunidades],"no se encuentra")</f>
        <v>Andalucía</v>
      </c>
      <c r="M3429" t="s">
        <v>28</v>
      </c>
      <c r="N3429">
        <v>2</v>
      </c>
    </row>
    <row r="3430" spans="1:14" x14ac:dyDescent="0.25">
      <c r="A3430">
        <v>4429</v>
      </c>
      <c r="B3430" s="1">
        <v>45945</v>
      </c>
      <c r="C3430" s="4">
        <f>MONTH(datos_ventas[[#This Row],[Fecha]])</f>
        <v>10</v>
      </c>
      <c r="D3430" s="4">
        <f>WEEKNUM(datos_ventas[[#This Row],[Fecha]],2)</f>
        <v>42</v>
      </c>
      <c r="E3430" t="s">
        <v>10</v>
      </c>
      <c r="F3430" t="s">
        <v>11</v>
      </c>
      <c r="G3430">
        <v>1</v>
      </c>
      <c r="H3430">
        <v>79053</v>
      </c>
      <c r="I3430">
        <v>929</v>
      </c>
      <c r="J3430" t="s">
        <v>12</v>
      </c>
      <c r="K3430" t="str">
        <f>_xlfn.XLOOKUP(datos_ventas[[#This Row],[Ciudad]],Tabla2[Ciudades],Tabla2[Provincias],"no se encuentra")</f>
        <v>Málaga</v>
      </c>
      <c r="L3430" t="str">
        <f>_xlfn.XLOOKUP(datos_ventas[[#This Row],[Provincia]],Tabla2[Provincias],Tabla2[Comunidades],"no se encuentra")</f>
        <v>Andalucía</v>
      </c>
      <c r="M3430" t="s">
        <v>19</v>
      </c>
      <c r="N3430">
        <v>1</v>
      </c>
    </row>
    <row r="3431" spans="1:14" x14ac:dyDescent="0.25">
      <c r="A3431">
        <v>4430</v>
      </c>
      <c r="B3431" s="1">
        <v>45806</v>
      </c>
      <c r="C3431" s="4">
        <f>MONTH(datos_ventas[[#This Row],[Fecha]])</f>
        <v>5</v>
      </c>
      <c r="D3431" s="4">
        <f>WEEKNUM(datos_ventas[[#This Row],[Fecha]],2)</f>
        <v>22</v>
      </c>
      <c r="E3431" t="s">
        <v>10</v>
      </c>
      <c r="F3431" t="s">
        <v>11</v>
      </c>
      <c r="G3431">
        <v>2</v>
      </c>
      <c r="H3431">
        <v>109196</v>
      </c>
      <c r="I3431">
        <v>3149</v>
      </c>
      <c r="J3431" t="s">
        <v>27</v>
      </c>
      <c r="K3431" t="str">
        <f>_xlfn.XLOOKUP(datos_ventas[[#This Row],[Ciudad]],Tabla2[Ciudades],Tabla2[Provincias],"no se encuentra")</f>
        <v>Sevilla</v>
      </c>
      <c r="L3431" t="str">
        <f>_xlfn.XLOOKUP(datos_ventas[[#This Row],[Provincia]],Tabla2[Provincias],Tabla2[Comunidades],"no se encuentra")</f>
        <v>Andalucía</v>
      </c>
      <c r="M3431" t="s">
        <v>19</v>
      </c>
      <c r="N3431">
        <v>1</v>
      </c>
    </row>
    <row r="3432" spans="1:14" x14ac:dyDescent="0.25">
      <c r="A3432">
        <v>4431</v>
      </c>
      <c r="B3432" s="1">
        <v>45718</v>
      </c>
      <c r="C3432" s="4">
        <f>MONTH(datos_ventas[[#This Row],[Fecha]])</f>
        <v>3</v>
      </c>
      <c r="D3432" s="4">
        <f>WEEKNUM(datos_ventas[[#This Row],[Fecha]],2)</f>
        <v>9</v>
      </c>
      <c r="E3432" t="s">
        <v>26</v>
      </c>
      <c r="F3432" t="s">
        <v>18</v>
      </c>
      <c r="G3432">
        <v>1</v>
      </c>
      <c r="H3432">
        <v>2712</v>
      </c>
      <c r="I3432">
        <v>304</v>
      </c>
      <c r="J3432" t="s">
        <v>14</v>
      </c>
      <c r="K3432" t="str">
        <f>_xlfn.XLOOKUP(datos_ventas[[#This Row],[Ciudad]],Tabla2[Ciudades],Tabla2[Provincias],"no se encuentra")</f>
        <v>Madrid</v>
      </c>
      <c r="L3432" t="str">
        <f>_xlfn.XLOOKUP(datos_ventas[[#This Row],[Provincia]],Tabla2[Provincias],Tabla2[Comunidades],"no se encuentra")</f>
        <v>Comunidad de Madrid</v>
      </c>
      <c r="M3432" t="s">
        <v>13</v>
      </c>
      <c r="N3432">
        <v>1</v>
      </c>
    </row>
    <row r="3433" spans="1:14" x14ac:dyDescent="0.25">
      <c r="A3433">
        <v>4432</v>
      </c>
      <c r="B3433" s="1">
        <v>45894</v>
      </c>
      <c r="C3433" s="4">
        <f>MONTH(datos_ventas[[#This Row],[Fecha]])</f>
        <v>8</v>
      </c>
      <c r="D3433" s="4">
        <f>WEEKNUM(datos_ventas[[#This Row],[Fecha]],2)</f>
        <v>35</v>
      </c>
      <c r="E3433" t="s">
        <v>20</v>
      </c>
      <c r="F3433" t="s">
        <v>21</v>
      </c>
      <c r="G3433">
        <v>3</v>
      </c>
      <c r="H3433">
        <v>49668</v>
      </c>
      <c r="I3433">
        <v>3888</v>
      </c>
      <c r="J3433" t="s">
        <v>12</v>
      </c>
      <c r="K3433" t="str">
        <f>_xlfn.XLOOKUP(datos_ventas[[#This Row],[Ciudad]],Tabla2[Ciudades],Tabla2[Provincias],"no se encuentra")</f>
        <v>Málaga</v>
      </c>
      <c r="L3433" t="str">
        <f>_xlfn.XLOOKUP(datos_ventas[[#This Row],[Provincia]],Tabla2[Provincias],Tabla2[Comunidades],"no se encuentra")</f>
        <v>Andalucía</v>
      </c>
      <c r="M3433" t="s">
        <v>28</v>
      </c>
      <c r="N3433">
        <v>4</v>
      </c>
    </row>
    <row r="3434" spans="1:14" x14ac:dyDescent="0.25">
      <c r="A3434">
        <v>4433</v>
      </c>
      <c r="B3434" s="1">
        <v>45674</v>
      </c>
      <c r="C3434" s="4">
        <f>MONTH(datos_ventas[[#This Row],[Fecha]])</f>
        <v>1</v>
      </c>
      <c r="D3434" s="4">
        <f>WEEKNUM(datos_ventas[[#This Row],[Fecha]],2)</f>
        <v>3</v>
      </c>
      <c r="E3434" t="s">
        <v>23</v>
      </c>
      <c r="F3434" t="s">
        <v>18</v>
      </c>
      <c r="G3434">
        <v>3</v>
      </c>
      <c r="H3434">
        <v>7133</v>
      </c>
      <c r="I3434">
        <v>359</v>
      </c>
      <c r="J3434" t="s">
        <v>14</v>
      </c>
      <c r="K3434" t="str">
        <f>_xlfn.XLOOKUP(datos_ventas[[#This Row],[Ciudad]],Tabla2[Ciudades],Tabla2[Provincias],"no se encuentra")</f>
        <v>Madrid</v>
      </c>
      <c r="L3434" t="str">
        <f>_xlfn.XLOOKUP(datos_ventas[[#This Row],[Provincia]],Tabla2[Provincias],Tabla2[Comunidades],"no se encuentra")</f>
        <v>Comunidad de Madrid</v>
      </c>
      <c r="M3434" t="s">
        <v>28</v>
      </c>
      <c r="N3434">
        <v>1</v>
      </c>
    </row>
    <row r="3435" spans="1:14" x14ac:dyDescent="0.25">
      <c r="A3435">
        <v>4434</v>
      </c>
      <c r="B3435" s="1">
        <v>45786</v>
      </c>
      <c r="C3435" s="4">
        <f>MONTH(datos_ventas[[#This Row],[Fecha]])</f>
        <v>5</v>
      </c>
      <c r="D3435" s="4">
        <f>WEEKNUM(datos_ventas[[#This Row],[Fecha]],2)</f>
        <v>19</v>
      </c>
      <c r="E3435" t="s">
        <v>29</v>
      </c>
      <c r="F3435" t="s">
        <v>30</v>
      </c>
      <c r="G3435">
        <v>1</v>
      </c>
      <c r="H3435">
        <v>91745</v>
      </c>
      <c r="I3435">
        <v>2702</v>
      </c>
      <c r="J3435" t="s">
        <v>27</v>
      </c>
      <c r="K3435" t="str">
        <f>_xlfn.XLOOKUP(datos_ventas[[#This Row],[Ciudad]],Tabla2[Ciudades],Tabla2[Provincias],"no se encuentra")</f>
        <v>Sevilla</v>
      </c>
      <c r="L3435" t="str">
        <f>_xlfn.XLOOKUP(datos_ventas[[#This Row],[Provincia]],Tabla2[Provincias],Tabla2[Comunidades],"no se encuentra")</f>
        <v>Andalucía</v>
      </c>
      <c r="M3435" t="s">
        <v>13</v>
      </c>
      <c r="N3435">
        <v>3</v>
      </c>
    </row>
    <row r="3436" spans="1:14" x14ac:dyDescent="0.25">
      <c r="A3436">
        <v>4435</v>
      </c>
      <c r="B3436" s="1">
        <v>45951</v>
      </c>
      <c r="C3436" s="4">
        <f>MONTH(datos_ventas[[#This Row],[Fecha]])</f>
        <v>10</v>
      </c>
      <c r="D3436" s="4">
        <f>WEEKNUM(datos_ventas[[#This Row],[Fecha]],2)</f>
        <v>43</v>
      </c>
      <c r="E3436" t="s">
        <v>16</v>
      </c>
      <c r="F3436" t="s">
        <v>11</v>
      </c>
      <c r="G3436">
        <v>1</v>
      </c>
      <c r="H3436">
        <v>118379</v>
      </c>
      <c r="I3436">
        <v>1221</v>
      </c>
      <c r="J3436" t="s">
        <v>14</v>
      </c>
      <c r="K3436" t="str">
        <f>_xlfn.XLOOKUP(datos_ventas[[#This Row],[Ciudad]],Tabla2[Ciudades],Tabla2[Provincias],"no se encuentra")</f>
        <v>Madrid</v>
      </c>
      <c r="L3436" t="str">
        <f>_xlfn.XLOOKUP(datos_ventas[[#This Row],[Provincia]],Tabla2[Provincias],Tabla2[Comunidades],"no se encuentra")</f>
        <v>Comunidad de Madrid</v>
      </c>
      <c r="M3436" t="s">
        <v>13</v>
      </c>
      <c r="N3436">
        <v>2</v>
      </c>
    </row>
    <row r="3437" spans="1:14" x14ac:dyDescent="0.25">
      <c r="A3437">
        <v>4436</v>
      </c>
      <c r="B3437" s="1">
        <v>45830</v>
      </c>
      <c r="C3437" s="4">
        <f>MONTH(datos_ventas[[#This Row],[Fecha]])</f>
        <v>6</v>
      </c>
      <c r="D3437" s="4">
        <f>WEEKNUM(datos_ventas[[#This Row],[Fecha]],2)</f>
        <v>25</v>
      </c>
      <c r="E3437" t="s">
        <v>29</v>
      </c>
      <c r="F3437" t="s">
        <v>30</v>
      </c>
      <c r="G3437">
        <v>1</v>
      </c>
      <c r="H3437">
        <v>65772</v>
      </c>
      <c r="I3437">
        <v>3006</v>
      </c>
      <c r="J3437" t="s">
        <v>32</v>
      </c>
      <c r="K3437" t="str">
        <f>_xlfn.XLOOKUP(datos_ventas[[#This Row],[Ciudad]],Tabla2[Ciudades],Tabla2[Provincias],"no se encuentra")</f>
        <v>Barcelona</v>
      </c>
      <c r="L3437" t="str">
        <f>_xlfn.XLOOKUP(datos_ventas[[#This Row],[Provincia]],Tabla2[Provincias],Tabla2[Comunidades],"no se encuentra")</f>
        <v>Cataluña</v>
      </c>
      <c r="M3437" t="s">
        <v>19</v>
      </c>
      <c r="N3437">
        <v>5</v>
      </c>
    </row>
    <row r="3438" spans="1:14" x14ac:dyDescent="0.25">
      <c r="A3438">
        <v>4437</v>
      </c>
      <c r="B3438" s="1">
        <v>45753</v>
      </c>
      <c r="C3438" s="4">
        <f>MONTH(datos_ventas[[#This Row],[Fecha]])</f>
        <v>4</v>
      </c>
      <c r="D3438" s="4">
        <f>WEEKNUM(datos_ventas[[#This Row],[Fecha]],2)</f>
        <v>14</v>
      </c>
      <c r="E3438" t="s">
        <v>17</v>
      </c>
      <c r="F3438" t="s">
        <v>18</v>
      </c>
      <c r="G3438">
        <v>3</v>
      </c>
      <c r="H3438">
        <v>7847</v>
      </c>
      <c r="I3438">
        <v>4454</v>
      </c>
      <c r="J3438" t="s">
        <v>31</v>
      </c>
      <c r="K3438" t="str">
        <f>_xlfn.XLOOKUP(datos_ventas[[#This Row],[Ciudad]],Tabla2[Ciudades],Tabla2[Provincias],"no se encuentra")</f>
        <v>Vizcaya</v>
      </c>
      <c r="L3438" t="str">
        <f>_xlfn.XLOOKUP(datos_ventas[[#This Row],[Provincia]],Tabla2[Provincias],Tabla2[Comunidades],"no se encuentra")</f>
        <v>País Vasco</v>
      </c>
      <c r="M3438" t="s">
        <v>28</v>
      </c>
      <c r="N3438">
        <v>4</v>
      </c>
    </row>
    <row r="3439" spans="1:14" x14ac:dyDescent="0.25">
      <c r="A3439">
        <v>4438</v>
      </c>
      <c r="B3439" s="1">
        <v>45967</v>
      </c>
      <c r="C3439" s="4">
        <f>MONTH(datos_ventas[[#This Row],[Fecha]])</f>
        <v>11</v>
      </c>
      <c r="D3439" s="4">
        <f>WEEKNUM(datos_ventas[[#This Row],[Fecha]],2)</f>
        <v>45</v>
      </c>
      <c r="E3439" t="s">
        <v>16</v>
      </c>
      <c r="F3439" t="s">
        <v>11</v>
      </c>
      <c r="G3439">
        <v>5</v>
      </c>
      <c r="H3439">
        <v>8009</v>
      </c>
      <c r="I3439">
        <v>4157</v>
      </c>
      <c r="J3439" t="s">
        <v>14</v>
      </c>
      <c r="K3439" t="str">
        <f>_xlfn.XLOOKUP(datos_ventas[[#This Row],[Ciudad]],Tabla2[Ciudades],Tabla2[Provincias],"no se encuentra")</f>
        <v>Madrid</v>
      </c>
      <c r="L3439" t="str">
        <f>_xlfn.XLOOKUP(datos_ventas[[#This Row],[Provincia]],Tabla2[Provincias],Tabla2[Comunidades],"no se encuentra")</f>
        <v>Comunidad de Madrid</v>
      </c>
      <c r="M3439" t="s">
        <v>28</v>
      </c>
      <c r="N3439">
        <v>2</v>
      </c>
    </row>
    <row r="3440" spans="1:14" x14ac:dyDescent="0.25">
      <c r="A3440">
        <v>4439</v>
      </c>
      <c r="B3440" s="1">
        <v>45725</v>
      </c>
      <c r="C3440" s="4">
        <f>MONTH(datos_ventas[[#This Row],[Fecha]])</f>
        <v>3</v>
      </c>
      <c r="D3440" s="4">
        <f>WEEKNUM(datos_ventas[[#This Row],[Fecha]],2)</f>
        <v>10</v>
      </c>
      <c r="E3440" t="s">
        <v>24</v>
      </c>
      <c r="F3440" t="s">
        <v>25</v>
      </c>
      <c r="G3440">
        <v>4</v>
      </c>
      <c r="H3440">
        <v>9273</v>
      </c>
      <c r="I3440">
        <v>764</v>
      </c>
      <c r="J3440" t="s">
        <v>22</v>
      </c>
      <c r="K3440" t="str">
        <f>_xlfn.XLOOKUP(datos_ventas[[#This Row],[Ciudad]],Tabla2[Ciudades],Tabla2[Provincias],"no se encuentra")</f>
        <v>Valencia</v>
      </c>
      <c r="L3440" t="str">
        <f>_xlfn.XLOOKUP(datos_ventas[[#This Row],[Provincia]],Tabla2[Provincias],Tabla2[Comunidades],"no se encuentra")</f>
        <v>Comunidad Valenciana</v>
      </c>
      <c r="M3440" t="s">
        <v>28</v>
      </c>
      <c r="N3440">
        <v>3</v>
      </c>
    </row>
    <row r="3441" spans="1:14" x14ac:dyDescent="0.25">
      <c r="A3441">
        <v>4440</v>
      </c>
      <c r="B3441" s="1">
        <v>45746</v>
      </c>
      <c r="C3441" s="4">
        <f>MONTH(datos_ventas[[#This Row],[Fecha]])</f>
        <v>3</v>
      </c>
      <c r="D3441" s="4">
        <f>WEEKNUM(datos_ventas[[#This Row],[Fecha]],2)</f>
        <v>13</v>
      </c>
      <c r="E3441" t="s">
        <v>20</v>
      </c>
      <c r="F3441" t="s">
        <v>21</v>
      </c>
      <c r="G3441">
        <v>4</v>
      </c>
      <c r="H3441">
        <v>38311</v>
      </c>
      <c r="I3441">
        <v>2595</v>
      </c>
      <c r="J3441" t="s">
        <v>27</v>
      </c>
      <c r="K3441" t="str">
        <f>_xlfn.XLOOKUP(datos_ventas[[#This Row],[Ciudad]],Tabla2[Ciudades],Tabla2[Provincias],"no se encuentra")</f>
        <v>Sevilla</v>
      </c>
      <c r="L3441" t="str">
        <f>_xlfn.XLOOKUP(datos_ventas[[#This Row],[Provincia]],Tabla2[Provincias],Tabla2[Comunidades],"no se encuentra")</f>
        <v>Andalucía</v>
      </c>
      <c r="M3441" t="s">
        <v>19</v>
      </c>
      <c r="N3441">
        <v>1</v>
      </c>
    </row>
    <row r="3442" spans="1:14" x14ac:dyDescent="0.25">
      <c r="A3442">
        <v>4441</v>
      </c>
      <c r="B3442" s="1">
        <v>45970</v>
      </c>
      <c r="C3442" s="4">
        <f>MONTH(datos_ventas[[#This Row],[Fecha]])</f>
        <v>11</v>
      </c>
      <c r="D3442" s="4">
        <f>WEEKNUM(datos_ventas[[#This Row],[Fecha]],2)</f>
        <v>45</v>
      </c>
      <c r="E3442" t="s">
        <v>17</v>
      </c>
      <c r="F3442" t="s">
        <v>18</v>
      </c>
      <c r="G3442">
        <v>2</v>
      </c>
      <c r="H3442">
        <v>19665</v>
      </c>
      <c r="I3442">
        <v>3573</v>
      </c>
      <c r="J3442" t="s">
        <v>31</v>
      </c>
      <c r="K3442" t="str">
        <f>_xlfn.XLOOKUP(datos_ventas[[#This Row],[Ciudad]],Tabla2[Ciudades],Tabla2[Provincias],"no se encuentra")</f>
        <v>Vizcaya</v>
      </c>
      <c r="L3442" t="str">
        <f>_xlfn.XLOOKUP(datos_ventas[[#This Row],[Provincia]],Tabla2[Provincias],Tabla2[Comunidades],"no se encuentra")</f>
        <v>País Vasco</v>
      </c>
      <c r="M3442" t="s">
        <v>13</v>
      </c>
      <c r="N3442">
        <v>4</v>
      </c>
    </row>
    <row r="3443" spans="1:14" x14ac:dyDescent="0.25">
      <c r="A3443">
        <v>4442</v>
      </c>
      <c r="B3443" s="1">
        <v>45874</v>
      </c>
      <c r="C3443" s="4">
        <f>MONTH(datos_ventas[[#This Row],[Fecha]])</f>
        <v>8</v>
      </c>
      <c r="D3443" s="4">
        <f>WEEKNUM(datos_ventas[[#This Row],[Fecha]],2)</f>
        <v>32</v>
      </c>
      <c r="E3443" t="s">
        <v>17</v>
      </c>
      <c r="F3443" t="s">
        <v>18</v>
      </c>
      <c r="G3443">
        <v>5</v>
      </c>
      <c r="H3443">
        <v>48418</v>
      </c>
      <c r="I3443">
        <v>3226</v>
      </c>
      <c r="J3443" t="s">
        <v>12</v>
      </c>
      <c r="K3443" t="str">
        <f>_xlfn.XLOOKUP(datos_ventas[[#This Row],[Ciudad]],Tabla2[Ciudades],Tabla2[Provincias],"no se encuentra")</f>
        <v>Málaga</v>
      </c>
      <c r="L3443" t="str">
        <f>_xlfn.XLOOKUP(datos_ventas[[#This Row],[Provincia]],Tabla2[Provincias],Tabla2[Comunidades],"no se encuentra")</f>
        <v>Andalucía</v>
      </c>
      <c r="M3443" t="s">
        <v>19</v>
      </c>
      <c r="N3443">
        <v>4</v>
      </c>
    </row>
    <row r="3444" spans="1:14" x14ac:dyDescent="0.25">
      <c r="A3444">
        <v>4443</v>
      </c>
      <c r="B3444" s="1">
        <v>45758</v>
      </c>
      <c r="C3444" s="4">
        <f>MONTH(datos_ventas[[#This Row],[Fecha]])</f>
        <v>4</v>
      </c>
      <c r="D3444" s="4">
        <f>WEEKNUM(datos_ventas[[#This Row],[Fecha]],2)</f>
        <v>15</v>
      </c>
      <c r="E3444" t="s">
        <v>10</v>
      </c>
      <c r="F3444" t="s">
        <v>11</v>
      </c>
      <c r="G3444">
        <v>2</v>
      </c>
      <c r="H3444">
        <v>76133</v>
      </c>
      <c r="I3444">
        <v>4687</v>
      </c>
      <c r="J3444" t="s">
        <v>32</v>
      </c>
      <c r="K3444" t="str">
        <f>_xlfn.XLOOKUP(datos_ventas[[#This Row],[Ciudad]],Tabla2[Ciudades],Tabla2[Provincias],"no se encuentra")</f>
        <v>Barcelona</v>
      </c>
      <c r="L3444" t="str">
        <f>_xlfn.XLOOKUP(datos_ventas[[#This Row],[Provincia]],Tabla2[Provincias],Tabla2[Comunidades],"no se encuentra")</f>
        <v>Cataluña</v>
      </c>
      <c r="M3444" t="s">
        <v>28</v>
      </c>
      <c r="N3444">
        <v>3</v>
      </c>
    </row>
    <row r="3445" spans="1:14" x14ac:dyDescent="0.25">
      <c r="A3445">
        <v>4444</v>
      </c>
      <c r="B3445" s="1">
        <v>45980</v>
      </c>
      <c r="C3445" s="4">
        <f>MONTH(datos_ventas[[#This Row],[Fecha]])</f>
        <v>11</v>
      </c>
      <c r="D3445" s="4">
        <f>WEEKNUM(datos_ventas[[#This Row],[Fecha]],2)</f>
        <v>47</v>
      </c>
      <c r="E3445" t="s">
        <v>17</v>
      </c>
      <c r="F3445" t="s">
        <v>18</v>
      </c>
      <c r="G3445">
        <v>4</v>
      </c>
      <c r="H3445">
        <v>32401</v>
      </c>
      <c r="I3445">
        <v>3012</v>
      </c>
      <c r="J3445" t="s">
        <v>32</v>
      </c>
      <c r="K3445" t="str">
        <f>_xlfn.XLOOKUP(datos_ventas[[#This Row],[Ciudad]],Tabla2[Ciudades],Tabla2[Provincias],"no se encuentra")</f>
        <v>Barcelona</v>
      </c>
      <c r="L3445" t="str">
        <f>_xlfn.XLOOKUP(datos_ventas[[#This Row],[Provincia]],Tabla2[Provincias],Tabla2[Comunidades],"no se encuentra")</f>
        <v>Cataluña</v>
      </c>
      <c r="M3445" t="s">
        <v>13</v>
      </c>
      <c r="N3445">
        <v>4</v>
      </c>
    </row>
    <row r="3446" spans="1:14" x14ac:dyDescent="0.25">
      <c r="A3446">
        <v>4445</v>
      </c>
      <c r="B3446" s="1">
        <v>45869</v>
      </c>
      <c r="C3446" s="4">
        <f>MONTH(datos_ventas[[#This Row],[Fecha]])</f>
        <v>7</v>
      </c>
      <c r="D3446" s="4">
        <f>WEEKNUM(datos_ventas[[#This Row],[Fecha]],2)</f>
        <v>31</v>
      </c>
      <c r="E3446" t="s">
        <v>26</v>
      </c>
      <c r="F3446" t="s">
        <v>18</v>
      </c>
      <c r="G3446">
        <v>5</v>
      </c>
      <c r="H3446">
        <v>31984</v>
      </c>
      <c r="I3446">
        <v>1013</v>
      </c>
      <c r="J3446" t="s">
        <v>22</v>
      </c>
      <c r="K3446" t="str">
        <f>_xlfn.XLOOKUP(datos_ventas[[#This Row],[Ciudad]],Tabla2[Ciudades],Tabla2[Provincias],"no se encuentra")</f>
        <v>Valencia</v>
      </c>
      <c r="L3446" t="str">
        <f>_xlfn.XLOOKUP(datos_ventas[[#This Row],[Provincia]],Tabla2[Provincias],Tabla2[Comunidades],"no se encuentra")</f>
        <v>Comunidad Valenciana</v>
      </c>
      <c r="M3446" t="s">
        <v>13</v>
      </c>
      <c r="N3446">
        <v>3</v>
      </c>
    </row>
    <row r="3447" spans="1:14" x14ac:dyDescent="0.25">
      <c r="A3447">
        <v>4446</v>
      </c>
      <c r="B3447" s="1">
        <v>45887</v>
      </c>
      <c r="C3447" s="4">
        <f>MONTH(datos_ventas[[#This Row],[Fecha]])</f>
        <v>8</v>
      </c>
      <c r="D3447" s="4">
        <f>WEEKNUM(datos_ventas[[#This Row],[Fecha]],2)</f>
        <v>34</v>
      </c>
      <c r="E3447" t="s">
        <v>29</v>
      </c>
      <c r="F3447" t="s">
        <v>30</v>
      </c>
      <c r="G3447">
        <v>2</v>
      </c>
      <c r="H3447">
        <v>65615</v>
      </c>
      <c r="I3447">
        <v>3624</v>
      </c>
      <c r="J3447" t="s">
        <v>12</v>
      </c>
      <c r="K3447" t="str">
        <f>_xlfn.XLOOKUP(datos_ventas[[#This Row],[Ciudad]],Tabla2[Ciudades],Tabla2[Provincias],"no se encuentra")</f>
        <v>Málaga</v>
      </c>
      <c r="L3447" t="str">
        <f>_xlfn.XLOOKUP(datos_ventas[[#This Row],[Provincia]],Tabla2[Provincias],Tabla2[Comunidades],"no se encuentra")</f>
        <v>Andalucía</v>
      </c>
      <c r="M3447" t="s">
        <v>15</v>
      </c>
      <c r="N3447">
        <v>1</v>
      </c>
    </row>
    <row r="3448" spans="1:14" x14ac:dyDescent="0.25">
      <c r="A3448">
        <v>4447</v>
      </c>
      <c r="B3448" s="1">
        <v>45767</v>
      </c>
      <c r="C3448" s="4">
        <f>MONTH(datos_ventas[[#This Row],[Fecha]])</f>
        <v>4</v>
      </c>
      <c r="D3448" s="4">
        <f>WEEKNUM(datos_ventas[[#This Row],[Fecha]],2)</f>
        <v>16</v>
      </c>
      <c r="E3448" t="s">
        <v>23</v>
      </c>
      <c r="F3448" t="s">
        <v>18</v>
      </c>
      <c r="G3448">
        <v>3</v>
      </c>
      <c r="H3448">
        <v>80213</v>
      </c>
      <c r="I3448">
        <v>1879</v>
      </c>
      <c r="J3448" t="s">
        <v>22</v>
      </c>
      <c r="K3448" t="str">
        <f>_xlfn.XLOOKUP(datos_ventas[[#This Row],[Ciudad]],Tabla2[Ciudades],Tabla2[Provincias],"no se encuentra")</f>
        <v>Valencia</v>
      </c>
      <c r="L3448" t="str">
        <f>_xlfn.XLOOKUP(datos_ventas[[#This Row],[Provincia]],Tabla2[Provincias],Tabla2[Comunidades],"no se encuentra")</f>
        <v>Comunidad Valenciana</v>
      </c>
      <c r="M3448" t="s">
        <v>19</v>
      </c>
      <c r="N3448">
        <v>3</v>
      </c>
    </row>
    <row r="3449" spans="1:14" x14ac:dyDescent="0.25">
      <c r="A3449">
        <v>4448</v>
      </c>
      <c r="B3449" s="1">
        <v>45962</v>
      </c>
      <c r="C3449" s="4">
        <f>MONTH(datos_ventas[[#This Row],[Fecha]])</f>
        <v>11</v>
      </c>
      <c r="D3449" s="4">
        <f>WEEKNUM(datos_ventas[[#This Row],[Fecha]],2)</f>
        <v>44</v>
      </c>
      <c r="E3449" t="s">
        <v>23</v>
      </c>
      <c r="F3449" t="s">
        <v>18</v>
      </c>
      <c r="G3449">
        <v>4</v>
      </c>
      <c r="H3449">
        <v>65329</v>
      </c>
      <c r="I3449">
        <v>4472</v>
      </c>
      <c r="J3449" t="s">
        <v>12</v>
      </c>
      <c r="K3449" t="str">
        <f>_xlfn.XLOOKUP(datos_ventas[[#This Row],[Ciudad]],Tabla2[Ciudades],Tabla2[Provincias],"no se encuentra")</f>
        <v>Málaga</v>
      </c>
      <c r="L3449" t="str">
        <f>_xlfn.XLOOKUP(datos_ventas[[#This Row],[Provincia]],Tabla2[Provincias],Tabla2[Comunidades],"no se encuentra")</f>
        <v>Andalucía</v>
      </c>
      <c r="M3449" t="s">
        <v>28</v>
      </c>
      <c r="N3449">
        <v>3</v>
      </c>
    </row>
    <row r="3450" spans="1:14" x14ac:dyDescent="0.25">
      <c r="A3450">
        <v>4449</v>
      </c>
      <c r="B3450" s="1">
        <v>45773</v>
      </c>
      <c r="C3450" s="4">
        <f>MONTH(datos_ventas[[#This Row],[Fecha]])</f>
        <v>4</v>
      </c>
      <c r="D3450" s="4">
        <f>WEEKNUM(datos_ventas[[#This Row],[Fecha]],2)</f>
        <v>17</v>
      </c>
      <c r="E3450" t="s">
        <v>20</v>
      </c>
      <c r="F3450" t="s">
        <v>21</v>
      </c>
      <c r="G3450">
        <v>4</v>
      </c>
      <c r="H3450">
        <v>55993</v>
      </c>
      <c r="I3450">
        <v>1768</v>
      </c>
      <c r="J3450" t="s">
        <v>14</v>
      </c>
      <c r="K3450" t="str">
        <f>_xlfn.XLOOKUP(datos_ventas[[#This Row],[Ciudad]],Tabla2[Ciudades],Tabla2[Provincias],"no se encuentra")</f>
        <v>Madrid</v>
      </c>
      <c r="L3450" t="str">
        <f>_xlfn.XLOOKUP(datos_ventas[[#This Row],[Provincia]],Tabla2[Provincias],Tabla2[Comunidades],"no se encuentra")</f>
        <v>Comunidad de Madrid</v>
      </c>
      <c r="M3450" t="s">
        <v>28</v>
      </c>
      <c r="N3450">
        <v>1</v>
      </c>
    </row>
    <row r="3451" spans="1:14" x14ac:dyDescent="0.25">
      <c r="A3451">
        <v>4450</v>
      </c>
      <c r="B3451" s="1">
        <v>45779</v>
      </c>
      <c r="C3451" s="4">
        <f>MONTH(datos_ventas[[#This Row],[Fecha]])</f>
        <v>5</v>
      </c>
      <c r="D3451" s="4">
        <f>WEEKNUM(datos_ventas[[#This Row],[Fecha]],2)</f>
        <v>18</v>
      </c>
      <c r="E3451" t="s">
        <v>26</v>
      </c>
      <c r="F3451" t="s">
        <v>18</v>
      </c>
      <c r="G3451">
        <v>2</v>
      </c>
      <c r="H3451">
        <v>48494</v>
      </c>
      <c r="I3451">
        <v>288</v>
      </c>
      <c r="J3451" t="s">
        <v>31</v>
      </c>
      <c r="K3451" t="str">
        <f>_xlfn.XLOOKUP(datos_ventas[[#This Row],[Ciudad]],Tabla2[Ciudades],Tabla2[Provincias],"no se encuentra")</f>
        <v>Vizcaya</v>
      </c>
      <c r="L3451" t="str">
        <f>_xlfn.XLOOKUP(datos_ventas[[#This Row],[Provincia]],Tabla2[Provincias],Tabla2[Comunidades],"no se encuentra")</f>
        <v>País Vasco</v>
      </c>
      <c r="M3451" t="s">
        <v>15</v>
      </c>
      <c r="N3451">
        <v>2</v>
      </c>
    </row>
    <row r="3452" spans="1:14" x14ac:dyDescent="0.25">
      <c r="A3452">
        <v>4451</v>
      </c>
      <c r="B3452" s="1">
        <v>45731</v>
      </c>
      <c r="C3452" s="4">
        <f>MONTH(datos_ventas[[#This Row],[Fecha]])</f>
        <v>3</v>
      </c>
      <c r="D3452" s="4">
        <f>WEEKNUM(datos_ventas[[#This Row],[Fecha]],2)</f>
        <v>11</v>
      </c>
      <c r="E3452" t="s">
        <v>29</v>
      </c>
      <c r="F3452" t="s">
        <v>30</v>
      </c>
      <c r="G3452">
        <v>4</v>
      </c>
      <c r="H3452">
        <v>86297</v>
      </c>
      <c r="I3452">
        <v>3855</v>
      </c>
      <c r="J3452" t="s">
        <v>22</v>
      </c>
      <c r="K3452" t="str">
        <f>_xlfn.XLOOKUP(datos_ventas[[#This Row],[Ciudad]],Tabla2[Ciudades],Tabla2[Provincias],"no se encuentra")</f>
        <v>Valencia</v>
      </c>
      <c r="L3452" t="str">
        <f>_xlfn.XLOOKUP(datos_ventas[[#This Row],[Provincia]],Tabla2[Provincias],Tabla2[Comunidades],"no se encuentra")</f>
        <v>Comunidad Valenciana</v>
      </c>
      <c r="M3452" t="s">
        <v>28</v>
      </c>
      <c r="N3452">
        <v>4</v>
      </c>
    </row>
    <row r="3453" spans="1:14" x14ac:dyDescent="0.25">
      <c r="A3453">
        <v>4452</v>
      </c>
      <c r="B3453" s="1">
        <v>45715</v>
      </c>
      <c r="C3453" s="4">
        <f>MONTH(datos_ventas[[#This Row],[Fecha]])</f>
        <v>2</v>
      </c>
      <c r="D3453" s="4">
        <f>WEEKNUM(datos_ventas[[#This Row],[Fecha]],2)</f>
        <v>9</v>
      </c>
      <c r="E3453" t="s">
        <v>29</v>
      </c>
      <c r="F3453" t="s">
        <v>30</v>
      </c>
      <c r="G3453">
        <v>1</v>
      </c>
      <c r="H3453">
        <v>6235</v>
      </c>
      <c r="I3453">
        <v>4836</v>
      </c>
      <c r="J3453" t="s">
        <v>12</v>
      </c>
      <c r="K3453" t="str">
        <f>_xlfn.XLOOKUP(datos_ventas[[#This Row],[Ciudad]],Tabla2[Ciudades],Tabla2[Provincias],"no se encuentra")</f>
        <v>Málaga</v>
      </c>
      <c r="L3453" t="str">
        <f>_xlfn.XLOOKUP(datos_ventas[[#This Row],[Provincia]],Tabla2[Provincias],Tabla2[Comunidades],"no se encuentra")</f>
        <v>Andalucía</v>
      </c>
      <c r="M3453" t="s">
        <v>28</v>
      </c>
      <c r="N3453">
        <v>4</v>
      </c>
    </row>
    <row r="3454" spans="1:14" x14ac:dyDescent="0.25">
      <c r="A3454">
        <v>4453</v>
      </c>
      <c r="B3454" s="1">
        <v>45997</v>
      </c>
      <c r="C3454" s="4">
        <f>MONTH(datos_ventas[[#This Row],[Fecha]])</f>
        <v>12</v>
      </c>
      <c r="D3454" s="4">
        <f>WEEKNUM(datos_ventas[[#This Row],[Fecha]],2)</f>
        <v>49</v>
      </c>
      <c r="E3454" t="s">
        <v>10</v>
      </c>
      <c r="F3454" t="s">
        <v>11</v>
      </c>
      <c r="G3454">
        <v>5</v>
      </c>
      <c r="H3454">
        <v>114566</v>
      </c>
      <c r="I3454">
        <v>1231</v>
      </c>
      <c r="J3454" t="s">
        <v>31</v>
      </c>
      <c r="K3454" t="str">
        <f>_xlfn.XLOOKUP(datos_ventas[[#This Row],[Ciudad]],Tabla2[Ciudades],Tabla2[Provincias],"no se encuentra")</f>
        <v>Vizcaya</v>
      </c>
      <c r="L3454" t="str">
        <f>_xlfn.XLOOKUP(datos_ventas[[#This Row],[Provincia]],Tabla2[Provincias],Tabla2[Comunidades],"no se encuentra")</f>
        <v>País Vasco</v>
      </c>
      <c r="M3454" t="s">
        <v>13</v>
      </c>
      <c r="N3454">
        <v>3</v>
      </c>
    </row>
    <row r="3455" spans="1:14" x14ac:dyDescent="0.25">
      <c r="A3455">
        <v>4454</v>
      </c>
      <c r="B3455" s="1">
        <v>45895</v>
      </c>
      <c r="C3455" s="4">
        <f>MONTH(datos_ventas[[#This Row],[Fecha]])</f>
        <v>8</v>
      </c>
      <c r="D3455" s="4">
        <f>WEEKNUM(datos_ventas[[#This Row],[Fecha]],2)</f>
        <v>35</v>
      </c>
      <c r="E3455" t="s">
        <v>10</v>
      </c>
      <c r="F3455" t="s">
        <v>11</v>
      </c>
      <c r="G3455">
        <v>5</v>
      </c>
      <c r="H3455">
        <v>33763</v>
      </c>
      <c r="I3455">
        <v>3437</v>
      </c>
      <c r="J3455" t="s">
        <v>14</v>
      </c>
      <c r="K3455" t="str">
        <f>_xlfn.XLOOKUP(datos_ventas[[#This Row],[Ciudad]],Tabla2[Ciudades],Tabla2[Provincias],"no se encuentra")</f>
        <v>Madrid</v>
      </c>
      <c r="L3455" t="str">
        <f>_xlfn.XLOOKUP(datos_ventas[[#This Row],[Provincia]],Tabla2[Provincias],Tabla2[Comunidades],"no se encuentra")</f>
        <v>Comunidad de Madrid</v>
      </c>
      <c r="M3455" t="s">
        <v>19</v>
      </c>
      <c r="N3455">
        <v>3</v>
      </c>
    </row>
    <row r="3456" spans="1:14" x14ac:dyDescent="0.25">
      <c r="A3456">
        <v>4455</v>
      </c>
      <c r="B3456" s="1">
        <v>45844</v>
      </c>
      <c r="C3456" s="4">
        <f>MONTH(datos_ventas[[#This Row],[Fecha]])</f>
        <v>7</v>
      </c>
      <c r="D3456" s="4">
        <f>WEEKNUM(datos_ventas[[#This Row],[Fecha]],2)</f>
        <v>27</v>
      </c>
      <c r="E3456" t="s">
        <v>23</v>
      </c>
      <c r="F3456" t="s">
        <v>18</v>
      </c>
      <c r="G3456">
        <v>2</v>
      </c>
      <c r="H3456">
        <v>5098</v>
      </c>
      <c r="I3456">
        <v>2118</v>
      </c>
      <c r="J3456" t="s">
        <v>14</v>
      </c>
      <c r="K3456" t="str">
        <f>_xlfn.XLOOKUP(datos_ventas[[#This Row],[Ciudad]],Tabla2[Ciudades],Tabla2[Provincias],"no se encuentra")</f>
        <v>Madrid</v>
      </c>
      <c r="L3456" t="str">
        <f>_xlfn.XLOOKUP(datos_ventas[[#This Row],[Provincia]],Tabla2[Provincias],Tabla2[Comunidades],"no se encuentra")</f>
        <v>Comunidad de Madrid</v>
      </c>
      <c r="M3456" t="s">
        <v>13</v>
      </c>
      <c r="N3456">
        <v>1</v>
      </c>
    </row>
    <row r="3457" spans="1:14" x14ac:dyDescent="0.25">
      <c r="A3457">
        <v>4456</v>
      </c>
      <c r="B3457" s="1">
        <v>45767</v>
      </c>
      <c r="C3457" s="4">
        <f>MONTH(datos_ventas[[#This Row],[Fecha]])</f>
        <v>4</v>
      </c>
      <c r="D3457" s="4">
        <f>WEEKNUM(datos_ventas[[#This Row],[Fecha]],2)</f>
        <v>16</v>
      </c>
      <c r="E3457" t="s">
        <v>29</v>
      </c>
      <c r="F3457" t="s">
        <v>30</v>
      </c>
      <c r="G3457">
        <v>4</v>
      </c>
      <c r="H3457">
        <v>6938</v>
      </c>
      <c r="I3457">
        <v>1579</v>
      </c>
      <c r="J3457" t="s">
        <v>32</v>
      </c>
      <c r="K3457" t="str">
        <f>_xlfn.XLOOKUP(datos_ventas[[#This Row],[Ciudad]],Tabla2[Ciudades],Tabla2[Provincias],"no se encuentra")</f>
        <v>Barcelona</v>
      </c>
      <c r="L3457" t="str">
        <f>_xlfn.XLOOKUP(datos_ventas[[#This Row],[Provincia]],Tabla2[Provincias],Tabla2[Comunidades],"no se encuentra")</f>
        <v>Cataluña</v>
      </c>
      <c r="M3457" t="s">
        <v>19</v>
      </c>
      <c r="N3457">
        <v>4</v>
      </c>
    </row>
    <row r="3458" spans="1:14" x14ac:dyDescent="0.25">
      <c r="A3458">
        <v>4457</v>
      </c>
      <c r="B3458" s="1">
        <v>45944</v>
      </c>
      <c r="C3458" s="4">
        <f>MONTH(datos_ventas[[#This Row],[Fecha]])</f>
        <v>10</v>
      </c>
      <c r="D3458" s="4">
        <f>WEEKNUM(datos_ventas[[#This Row],[Fecha]],2)</f>
        <v>42</v>
      </c>
      <c r="E3458" t="s">
        <v>29</v>
      </c>
      <c r="F3458" t="s">
        <v>30</v>
      </c>
      <c r="G3458">
        <v>3</v>
      </c>
      <c r="H3458">
        <v>68156</v>
      </c>
      <c r="I3458">
        <v>2435</v>
      </c>
      <c r="J3458" t="s">
        <v>12</v>
      </c>
      <c r="K3458" t="str">
        <f>_xlfn.XLOOKUP(datos_ventas[[#This Row],[Ciudad]],Tabla2[Ciudades],Tabla2[Provincias],"no se encuentra")</f>
        <v>Málaga</v>
      </c>
      <c r="L3458" t="str">
        <f>_xlfn.XLOOKUP(datos_ventas[[#This Row],[Provincia]],Tabla2[Provincias],Tabla2[Comunidades],"no se encuentra")</f>
        <v>Andalucía</v>
      </c>
      <c r="M3458" t="s">
        <v>28</v>
      </c>
      <c r="N3458">
        <v>3</v>
      </c>
    </row>
    <row r="3459" spans="1:14" x14ac:dyDescent="0.25">
      <c r="A3459">
        <v>4458</v>
      </c>
      <c r="B3459" s="1">
        <v>45789</v>
      </c>
      <c r="C3459" s="4">
        <f>MONTH(datos_ventas[[#This Row],[Fecha]])</f>
        <v>5</v>
      </c>
      <c r="D3459" s="4">
        <f>WEEKNUM(datos_ventas[[#This Row],[Fecha]],2)</f>
        <v>20</v>
      </c>
      <c r="E3459" t="s">
        <v>20</v>
      </c>
      <c r="F3459" t="s">
        <v>21</v>
      </c>
      <c r="G3459">
        <v>4</v>
      </c>
      <c r="H3459">
        <v>10248</v>
      </c>
      <c r="I3459">
        <v>2518</v>
      </c>
      <c r="J3459" t="s">
        <v>31</v>
      </c>
      <c r="K3459" t="str">
        <f>_xlfn.XLOOKUP(datos_ventas[[#This Row],[Ciudad]],Tabla2[Ciudades],Tabla2[Provincias],"no se encuentra")</f>
        <v>Vizcaya</v>
      </c>
      <c r="L3459" t="str">
        <f>_xlfn.XLOOKUP(datos_ventas[[#This Row],[Provincia]],Tabla2[Provincias],Tabla2[Comunidades],"no se encuentra")</f>
        <v>País Vasco</v>
      </c>
      <c r="M3459" t="s">
        <v>19</v>
      </c>
      <c r="N3459">
        <v>4</v>
      </c>
    </row>
    <row r="3460" spans="1:14" x14ac:dyDescent="0.25">
      <c r="A3460">
        <v>4459</v>
      </c>
      <c r="B3460" s="1">
        <v>45903</v>
      </c>
      <c r="C3460" s="4">
        <f>MONTH(datos_ventas[[#This Row],[Fecha]])</f>
        <v>9</v>
      </c>
      <c r="D3460" s="4">
        <f>WEEKNUM(datos_ventas[[#This Row],[Fecha]],2)</f>
        <v>36</v>
      </c>
      <c r="E3460" t="s">
        <v>26</v>
      </c>
      <c r="F3460" t="s">
        <v>18</v>
      </c>
      <c r="G3460">
        <v>1</v>
      </c>
      <c r="H3460">
        <v>53219</v>
      </c>
      <c r="I3460">
        <v>146</v>
      </c>
      <c r="J3460" t="s">
        <v>22</v>
      </c>
      <c r="K3460" t="str">
        <f>_xlfn.XLOOKUP(datos_ventas[[#This Row],[Ciudad]],Tabla2[Ciudades],Tabla2[Provincias],"no se encuentra")</f>
        <v>Valencia</v>
      </c>
      <c r="L3460" t="str">
        <f>_xlfn.XLOOKUP(datos_ventas[[#This Row],[Provincia]],Tabla2[Provincias],Tabla2[Comunidades],"no se encuentra")</f>
        <v>Comunidad Valenciana</v>
      </c>
      <c r="M3460" t="s">
        <v>19</v>
      </c>
      <c r="N3460">
        <v>5</v>
      </c>
    </row>
    <row r="3461" spans="1:14" x14ac:dyDescent="0.25">
      <c r="A3461">
        <v>4460</v>
      </c>
      <c r="B3461" s="1">
        <v>45695</v>
      </c>
      <c r="C3461" s="4">
        <f>MONTH(datos_ventas[[#This Row],[Fecha]])</f>
        <v>2</v>
      </c>
      <c r="D3461" s="4">
        <f>WEEKNUM(datos_ventas[[#This Row],[Fecha]],2)</f>
        <v>6</v>
      </c>
      <c r="E3461" t="s">
        <v>24</v>
      </c>
      <c r="F3461" t="s">
        <v>25</v>
      </c>
      <c r="G3461">
        <v>2</v>
      </c>
      <c r="H3461">
        <v>27365</v>
      </c>
      <c r="I3461">
        <v>1594</v>
      </c>
      <c r="J3461" t="s">
        <v>32</v>
      </c>
      <c r="K3461" t="str">
        <f>_xlfn.XLOOKUP(datos_ventas[[#This Row],[Ciudad]],Tabla2[Ciudades],Tabla2[Provincias],"no se encuentra")</f>
        <v>Barcelona</v>
      </c>
      <c r="L3461" t="str">
        <f>_xlfn.XLOOKUP(datos_ventas[[#This Row],[Provincia]],Tabla2[Provincias],Tabla2[Comunidades],"no se encuentra")</f>
        <v>Cataluña</v>
      </c>
      <c r="M3461" t="s">
        <v>19</v>
      </c>
      <c r="N3461">
        <v>4</v>
      </c>
    </row>
    <row r="3462" spans="1:14" x14ac:dyDescent="0.25">
      <c r="A3462">
        <v>4461</v>
      </c>
      <c r="B3462" s="1">
        <v>45859</v>
      </c>
      <c r="C3462" s="4">
        <f>MONTH(datos_ventas[[#This Row],[Fecha]])</f>
        <v>7</v>
      </c>
      <c r="D3462" s="4">
        <f>WEEKNUM(datos_ventas[[#This Row],[Fecha]],2)</f>
        <v>30</v>
      </c>
      <c r="E3462" t="s">
        <v>16</v>
      </c>
      <c r="F3462" t="s">
        <v>11</v>
      </c>
      <c r="G3462">
        <v>3</v>
      </c>
      <c r="H3462">
        <v>83878</v>
      </c>
      <c r="I3462">
        <v>1736</v>
      </c>
      <c r="J3462" t="s">
        <v>31</v>
      </c>
      <c r="K3462" t="str">
        <f>_xlfn.XLOOKUP(datos_ventas[[#This Row],[Ciudad]],Tabla2[Ciudades],Tabla2[Provincias],"no se encuentra")</f>
        <v>Vizcaya</v>
      </c>
      <c r="L3462" t="str">
        <f>_xlfn.XLOOKUP(datos_ventas[[#This Row],[Provincia]],Tabla2[Provincias],Tabla2[Comunidades],"no se encuentra")</f>
        <v>País Vasco</v>
      </c>
      <c r="M3462" t="s">
        <v>28</v>
      </c>
      <c r="N3462">
        <v>5</v>
      </c>
    </row>
    <row r="3463" spans="1:14" x14ac:dyDescent="0.25">
      <c r="A3463">
        <v>4462</v>
      </c>
      <c r="B3463" s="1">
        <v>45836</v>
      </c>
      <c r="C3463" s="4">
        <f>MONTH(datos_ventas[[#This Row],[Fecha]])</f>
        <v>6</v>
      </c>
      <c r="D3463" s="4">
        <f>WEEKNUM(datos_ventas[[#This Row],[Fecha]],2)</f>
        <v>26</v>
      </c>
      <c r="E3463" t="s">
        <v>10</v>
      </c>
      <c r="F3463" t="s">
        <v>11</v>
      </c>
      <c r="G3463">
        <v>5</v>
      </c>
      <c r="H3463">
        <v>92557</v>
      </c>
      <c r="I3463">
        <v>1584</v>
      </c>
      <c r="J3463" t="s">
        <v>27</v>
      </c>
      <c r="K3463" t="str">
        <f>_xlfn.XLOOKUP(datos_ventas[[#This Row],[Ciudad]],Tabla2[Ciudades],Tabla2[Provincias],"no se encuentra")</f>
        <v>Sevilla</v>
      </c>
      <c r="L3463" t="str">
        <f>_xlfn.XLOOKUP(datos_ventas[[#This Row],[Provincia]],Tabla2[Provincias],Tabla2[Comunidades],"no se encuentra")</f>
        <v>Andalucía</v>
      </c>
      <c r="M3463" t="s">
        <v>28</v>
      </c>
      <c r="N3463">
        <v>5</v>
      </c>
    </row>
    <row r="3464" spans="1:14" x14ac:dyDescent="0.25">
      <c r="A3464">
        <v>4463</v>
      </c>
      <c r="B3464" s="1">
        <v>45986</v>
      </c>
      <c r="C3464" s="4">
        <f>MONTH(datos_ventas[[#This Row],[Fecha]])</f>
        <v>11</v>
      </c>
      <c r="D3464" s="4">
        <f>WEEKNUM(datos_ventas[[#This Row],[Fecha]],2)</f>
        <v>48</v>
      </c>
      <c r="E3464" t="s">
        <v>16</v>
      </c>
      <c r="F3464" t="s">
        <v>11</v>
      </c>
      <c r="G3464">
        <v>2</v>
      </c>
      <c r="H3464">
        <v>57112</v>
      </c>
      <c r="I3464">
        <v>2148</v>
      </c>
      <c r="J3464" t="s">
        <v>22</v>
      </c>
      <c r="K3464" t="str">
        <f>_xlfn.XLOOKUP(datos_ventas[[#This Row],[Ciudad]],Tabla2[Ciudades],Tabla2[Provincias],"no se encuentra")</f>
        <v>Valencia</v>
      </c>
      <c r="L3464" t="str">
        <f>_xlfn.XLOOKUP(datos_ventas[[#This Row],[Provincia]],Tabla2[Provincias],Tabla2[Comunidades],"no se encuentra")</f>
        <v>Comunidad Valenciana</v>
      </c>
      <c r="M3464" t="s">
        <v>15</v>
      </c>
      <c r="N3464">
        <v>4</v>
      </c>
    </row>
    <row r="3465" spans="1:14" x14ac:dyDescent="0.25">
      <c r="A3465">
        <v>4464</v>
      </c>
      <c r="B3465" s="1">
        <v>45739</v>
      </c>
      <c r="C3465" s="4">
        <f>MONTH(datos_ventas[[#This Row],[Fecha]])</f>
        <v>3</v>
      </c>
      <c r="D3465" s="4">
        <f>WEEKNUM(datos_ventas[[#This Row],[Fecha]],2)</f>
        <v>12</v>
      </c>
      <c r="E3465" t="s">
        <v>29</v>
      </c>
      <c r="F3465" t="s">
        <v>30</v>
      </c>
      <c r="G3465">
        <v>5</v>
      </c>
      <c r="H3465">
        <v>59839</v>
      </c>
      <c r="I3465">
        <v>2982</v>
      </c>
      <c r="J3465" t="s">
        <v>14</v>
      </c>
      <c r="K3465" t="str">
        <f>_xlfn.XLOOKUP(datos_ventas[[#This Row],[Ciudad]],Tabla2[Ciudades],Tabla2[Provincias],"no se encuentra")</f>
        <v>Madrid</v>
      </c>
      <c r="L3465" t="str">
        <f>_xlfn.XLOOKUP(datos_ventas[[#This Row],[Provincia]],Tabla2[Provincias],Tabla2[Comunidades],"no se encuentra")</f>
        <v>Comunidad de Madrid</v>
      </c>
      <c r="M3465" t="s">
        <v>28</v>
      </c>
      <c r="N3465">
        <v>4</v>
      </c>
    </row>
    <row r="3466" spans="1:14" x14ac:dyDescent="0.25">
      <c r="A3466">
        <v>4465</v>
      </c>
      <c r="B3466" s="1">
        <v>45871</v>
      </c>
      <c r="C3466" s="4">
        <f>MONTH(datos_ventas[[#This Row],[Fecha]])</f>
        <v>8</v>
      </c>
      <c r="D3466" s="4">
        <f>WEEKNUM(datos_ventas[[#This Row],[Fecha]],2)</f>
        <v>31</v>
      </c>
      <c r="E3466" t="s">
        <v>20</v>
      </c>
      <c r="F3466" t="s">
        <v>21</v>
      </c>
      <c r="G3466">
        <v>5</v>
      </c>
      <c r="H3466">
        <v>6908</v>
      </c>
      <c r="I3466">
        <v>607</v>
      </c>
      <c r="J3466" t="s">
        <v>22</v>
      </c>
      <c r="K3466" t="str">
        <f>_xlfn.XLOOKUP(datos_ventas[[#This Row],[Ciudad]],Tabla2[Ciudades],Tabla2[Provincias],"no se encuentra")</f>
        <v>Valencia</v>
      </c>
      <c r="L3466" t="str">
        <f>_xlfn.XLOOKUP(datos_ventas[[#This Row],[Provincia]],Tabla2[Provincias],Tabla2[Comunidades],"no se encuentra")</f>
        <v>Comunidad Valenciana</v>
      </c>
      <c r="M3466" t="s">
        <v>13</v>
      </c>
      <c r="N3466">
        <v>1</v>
      </c>
    </row>
    <row r="3467" spans="1:14" x14ac:dyDescent="0.25">
      <c r="A3467">
        <v>4466</v>
      </c>
      <c r="B3467" s="1">
        <v>45660</v>
      </c>
      <c r="C3467" s="4">
        <f>MONTH(datos_ventas[[#This Row],[Fecha]])</f>
        <v>1</v>
      </c>
      <c r="D3467" s="4">
        <f>WEEKNUM(datos_ventas[[#This Row],[Fecha]],2)</f>
        <v>1</v>
      </c>
      <c r="E3467" t="s">
        <v>17</v>
      </c>
      <c r="F3467" t="s">
        <v>18</v>
      </c>
      <c r="G3467">
        <v>2</v>
      </c>
      <c r="H3467">
        <v>107682</v>
      </c>
      <c r="I3467">
        <v>2803</v>
      </c>
      <c r="J3467" t="s">
        <v>32</v>
      </c>
      <c r="K3467" t="str">
        <f>_xlfn.XLOOKUP(datos_ventas[[#This Row],[Ciudad]],Tabla2[Ciudades],Tabla2[Provincias],"no se encuentra")</f>
        <v>Barcelona</v>
      </c>
      <c r="L3467" t="str">
        <f>_xlfn.XLOOKUP(datos_ventas[[#This Row],[Provincia]],Tabla2[Provincias],Tabla2[Comunidades],"no se encuentra")</f>
        <v>Cataluña</v>
      </c>
      <c r="M3467" t="s">
        <v>13</v>
      </c>
      <c r="N3467">
        <v>1</v>
      </c>
    </row>
    <row r="3468" spans="1:14" x14ac:dyDescent="0.25">
      <c r="A3468">
        <v>4467</v>
      </c>
      <c r="B3468" s="1">
        <v>45838</v>
      </c>
      <c r="C3468" s="4">
        <f>MONTH(datos_ventas[[#This Row],[Fecha]])</f>
        <v>6</v>
      </c>
      <c r="D3468" s="4">
        <f>WEEKNUM(datos_ventas[[#This Row],[Fecha]],2)</f>
        <v>27</v>
      </c>
      <c r="E3468" t="s">
        <v>26</v>
      </c>
      <c r="F3468" t="s">
        <v>18</v>
      </c>
      <c r="G3468">
        <v>2</v>
      </c>
      <c r="H3468">
        <v>60155</v>
      </c>
      <c r="I3468">
        <v>3747</v>
      </c>
      <c r="J3468" t="s">
        <v>14</v>
      </c>
      <c r="K3468" t="str">
        <f>_xlfn.XLOOKUP(datos_ventas[[#This Row],[Ciudad]],Tabla2[Ciudades],Tabla2[Provincias],"no se encuentra")</f>
        <v>Madrid</v>
      </c>
      <c r="L3468" t="str">
        <f>_xlfn.XLOOKUP(datos_ventas[[#This Row],[Provincia]],Tabla2[Provincias],Tabla2[Comunidades],"no se encuentra")</f>
        <v>Comunidad de Madrid</v>
      </c>
      <c r="M3468" t="s">
        <v>13</v>
      </c>
      <c r="N3468">
        <v>5</v>
      </c>
    </row>
    <row r="3469" spans="1:14" x14ac:dyDescent="0.25">
      <c r="A3469">
        <v>4468</v>
      </c>
      <c r="B3469" s="1">
        <v>45762</v>
      </c>
      <c r="C3469" s="4">
        <f>MONTH(datos_ventas[[#This Row],[Fecha]])</f>
        <v>4</v>
      </c>
      <c r="D3469" s="4">
        <f>WEEKNUM(datos_ventas[[#This Row],[Fecha]],2)</f>
        <v>16</v>
      </c>
      <c r="E3469" t="s">
        <v>23</v>
      </c>
      <c r="F3469" t="s">
        <v>18</v>
      </c>
      <c r="G3469">
        <v>4</v>
      </c>
      <c r="H3469">
        <v>332</v>
      </c>
      <c r="I3469">
        <v>994</v>
      </c>
      <c r="J3469" t="s">
        <v>27</v>
      </c>
      <c r="K3469" t="str">
        <f>_xlfn.XLOOKUP(datos_ventas[[#This Row],[Ciudad]],Tabla2[Ciudades],Tabla2[Provincias],"no se encuentra")</f>
        <v>Sevilla</v>
      </c>
      <c r="L3469" t="str">
        <f>_xlfn.XLOOKUP(datos_ventas[[#This Row],[Provincia]],Tabla2[Provincias],Tabla2[Comunidades],"no se encuentra")</f>
        <v>Andalucía</v>
      </c>
      <c r="M3469" t="s">
        <v>28</v>
      </c>
      <c r="N3469">
        <v>3</v>
      </c>
    </row>
    <row r="3470" spans="1:14" x14ac:dyDescent="0.25">
      <c r="A3470">
        <v>4469</v>
      </c>
      <c r="B3470" s="1">
        <v>45681</v>
      </c>
      <c r="C3470" s="4">
        <f>MONTH(datos_ventas[[#This Row],[Fecha]])</f>
        <v>1</v>
      </c>
      <c r="D3470" s="4">
        <f>WEEKNUM(datos_ventas[[#This Row],[Fecha]],2)</f>
        <v>4</v>
      </c>
      <c r="E3470" t="s">
        <v>26</v>
      </c>
      <c r="F3470" t="s">
        <v>18</v>
      </c>
      <c r="G3470">
        <v>5</v>
      </c>
      <c r="H3470">
        <v>98349</v>
      </c>
      <c r="I3470">
        <v>2074</v>
      </c>
      <c r="J3470" t="s">
        <v>14</v>
      </c>
      <c r="K3470" t="str">
        <f>_xlfn.XLOOKUP(datos_ventas[[#This Row],[Ciudad]],Tabla2[Ciudades],Tabla2[Provincias],"no se encuentra")</f>
        <v>Madrid</v>
      </c>
      <c r="L3470" t="str">
        <f>_xlfn.XLOOKUP(datos_ventas[[#This Row],[Provincia]],Tabla2[Provincias],Tabla2[Comunidades],"no se encuentra")</f>
        <v>Comunidad de Madrid</v>
      </c>
      <c r="M3470" t="s">
        <v>19</v>
      </c>
      <c r="N3470">
        <v>3</v>
      </c>
    </row>
    <row r="3471" spans="1:14" x14ac:dyDescent="0.25">
      <c r="A3471">
        <v>4470</v>
      </c>
      <c r="B3471" s="1">
        <v>45741</v>
      </c>
      <c r="C3471" s="4">
        <f>MONTH(datos_ventas[[#This Row],[Fecha]])</f>
        <v>3</v>
      </c>
      <c r="D3471" s="4">
        <f>WEEKNUM(datos_ventas[[#This Row],[Fecha]],2)</f>
        <v>13</v>
      </c>
      <c r="E3471" t="s">
        <v>10</v>
      </c>
      <c r="F3471" t="s">
        <v>11</v>
      </c>
      <c r="G3471">
        <v>1</v>
      </c>
      <c r="H3471">
        <v>111094</v>
      </c>
      <c r="I3471">
        <v>4752</v>
      </c>
      <c r="J3471" t="s">
        <v>14</v>
      </c>
      <c r="K3471" t="str">
        <f>_xlfn.XLOOKUP(datos_ventas[[#This Row],[Ciudad]],Tabla2[Ciudades],Tabla2[Provincias],"no se encuentra")</f>
        <v>Madrid</v>
      </c>
      <c r="L3471" t="str">
        <f>_xlfn.XLOOKUP(datos_ventas[[#This Row],[Provincia]],Tabla2[Provincias],Tabla2[Comunidades],"no se encuentra")</f>
        <v>Comunidad de Madrid</v>
      </c>
      <c r="M3471" t="s">
        <v>13</v>
      </c>
      <c r="N3471">
        <v>4</v>
      </c>
    </row>
    <row r="3472" spans="1:14" x14ac:dyDescent="0.25">
      <c r="A3472">
        <v>4471</v>
      </c>
      <c r="B3472" s="1">
        <v>45660</v>
      </c>
      <c r="C3472" s="4">
        <f>MONTH(datos_ventas[[#This Row],[Fecha]])</f>
        <v>1</v>
      </c>
      <c r="D3472" s="4">
        <f>WEEKNUM(datos_ventas[[#This Row],[Fecha]],2)</f>
        <v>1</v>
      </c>
      <c r="E3472" t="s">
        <v>26</v>
      </c>
      <c r="F3472" t="s">
        <v>18</v>
      </c>
      <c r="G3472">
        <v>1</v>
      </c>
      <c r="H3472">
        <v>36994</v>
      </c>
      <c r="I3472">
        <v>2837</v>
      </c>
      <c r="J3472" t="s">
        <v>31</v>
      </c>
      <c r="K3472" t="str">
        <f>_xlfn.XLOOKUP(datos_ventas[[#This Row],[Ciudad]],Tabla2[Ciudades],Tabla2[Provincias],"no se encuentra")</f>
        <v>Vizcaya</v>
      </c>
      <c r="L3472" t="str">
        <f>_xlfn.XLOOKUP(datos_ventas[[#This Row],[Provincia]],Tabla2[Provincias],Tabla2[Comunidades],"no se encuentra")</f>
        <v>País Vasco</v>
      </c>
      <c r="M3472" t="s">
        <v>28</v>
      </c>
      <c r="N3472">
        <v>1</v>
      </c>
    </row>
    <row r="3473" spans="1:14" x14ac:dyDescent="0.25">
      <c r="A3473">
        <v>4472</v>
      </c>
      <c r="B3473" s="1">
        <v>45798</v>
      </c>
      <c r="C3473" s="4">
        <f>MONTH(datos_ventas[[#This Row],[Fecha]])</f>
        <v>5</v>
      </c>
      <c r="D3473" s="4">
        <f>WEEKNUM(datos_ventas[[#This Row],[Fecha]],2)</f>
        <v>21</v>
      </c>
      <c r="E3473" t="s">
        <v>10</v>
      </c>
      <c r="F3473" t="s">
        <v>11</v>
      </c>
      <c r="G3473">
        <v>2</v>
      </c>
      <c r="H3473">
        <v>5675</v>
      </c>
      <c r="I3473">
        <v>1335</v>
      </c>
      <c r="J3473" t="s">
        <v>14</v>
      </c>
      <c r="K3473" t="str">
        <f>_xlfn.XLOOKUP(datos_ventas[[#This Row],[Ciudad]],Tabla2[Ciudades],Tabla2[Provincias],"no se encuentra")</f>
        <v>Madrid</v>
      </c>
      <c r="L3473" t="str">
        <f>_xlfn.XLOOKUP(datos_ventas[[#This Row],[Provincia]],Tabla2[Provincias],Tabla2[Comunidades],"no se encuentra")</f>
        <v>Comunidad de Madrid</v>
      </c>
      <c r="M3473" t="s">
        <v>13</v>
      </c>
      <c r="N3473">
        <v>5</v>
      </c>
    </row>
    <row r="3474" spans="1:14" x14ac:dyDescent="0.25">
      <c r="A3474">
        <v>4473</v>
      </c>
      <c r="B3474" s="1">
        <v>45814</v>
      </c>
      <c r="C3474" s="4">
        <f>MONTH(datos_ventas[[#This Row],[Fecha]])</f>
        <v>6</v>
      </c>
      <c r="D3474" s="4">
        <f>WEEKNUM(datos_ventas[[#This Row],[Fecha]],2)</f>
        <v>23</v>
      </c>
      <c r="E3474" t="s">
        <v>29</v>
      </c>
      <c r="F3474" t="s">
        <v>30</v>
      </c>
      <c r="G3474">
        <v>3</v>
      </c>
      <c r="H3474">
        <v>7365</v>
      </c>
      <c r="I3474">
        <v>1506</v>
      </c>
      <c r="J3474" t="s">
        <v>12</v>
      </c>
      <c r="K3474" t="str">
        <f>_xlfn.XLOOKUP(datos_ventas[[#This Row],[Ciudad]],Tabla2[Ciudades],Tabla2[Provincias],"no se encuentra")</f>
        <v>Málaga</v>
      </c>
      <c r="L3474" t="str">
        <f>_xlfn.XLOOKUP(datos_ventas[[#This Row],[Provincia]],Tabla2[Provincias],Tabla2[Comunidades],"no se encuentra")</f>
        <v>Andalucía</v>
      </c>
      <c r="M3474" t="s">
        <v>28</v>
      </c>
      <c r="N3474">
        <v>1</v>
      </c>
    </row>
    <row r="3475" spans="1:14" x14ac:dyDescent="0.25">
      <c r="A3475">
        <v>4474</v>
      </c>
      <c r="B3475" s="1">
        <v>45986</v>
      </c>
      <c r="C3475" s="4">
        <f>MONTH(datos_ventas[[#This Row],[Fecha]])</f>
        <v>11</v>
      </c>
      <c r="D3475" s="4">
        <f>WEEKNUM(datos_ventas[[#This Row],[Fecha]],2)</f>
        <v>48</v>
      </c>
      <c r="E3475" t="s">
        <v>10</v>
      </c>
      <c r="F3475" t="s">
        <v>11</v>
      </c>
      <c r="G3475">
        <v>2</v>
      </c>
      <c r="H3475">
        <v>62071</v>
      </c>
      <c r="I3475">
        <v>2239</v>
      </c>
      <c r="J3475" t="s">
        <v>31</v>
      </c>
      <c r="K3475" t="str">
        <f>_xlfn.XLOOKUP(datos_ventas[[#This Row],[Ciudad]],Tabla2[Ciudades],Tabla2[Provincias],"no se encuentra")</f>
        <v>Vizcaya</v>
      </c>
      <c r="L3475" t="str">
        <f>_xlfn.XLOOKUP(datos_ventas[[#This Row],[Provincia]],Tabla2[Provincias],Tabla2[Comunidades],"no se encuentra")</f>
        <v>País Vasco</v>
      </c>
      <c r="M3475" t="s">
        <v>13</v>
      </c>
      <c r="N3475">
        <v>1</v>
      </c>
    </row>
    <row r="3476" spans="1:14" x14ac:dyDescent="0.25">
      <c r="A3476">
        <v>4475</v>
      </c>
      <c r="B3476" s="1">
        <v>45853</v>
      </c>
      <c r="C3476" s="4">
        <f>MONTH(datos_ventas[[#This Row],[Fecha]])</f>
        <v>7</v>
      </c>
      <c r="D3476" s="4">
        <f>WEEKNUM(datos_ventas[[#This Row],[Fecha]],2)</f>
        <v>29</v>
      </c>
      <c r="E3476" t="s">
        <v>16</v>
      </c>
      <c r="F3476" t="s">
        <v>11</v>
      </c>
      <c r="G3476">
        <v>3</v>
      </c>
      <c r="H3476">
        <v>70345</v>
      </c>
      <c r="I3476">
        <v>1742</v>
      </c>
      <c r="J3476" t="s">
        <v>27</v>
      </c>
      <c r="K3476" t="str">
        <f>_xlfn.XLOOKUP(datos_ventas[[#This Row],[Ciudad]],Tabla2[Ciudades],Tabla2[Provincias],"no se encuentra")</f>
        <v>Sevilla</v>
      </c>
      <c r="L3476" t="str">
        <f>_xlfn.XLOOKUP(datos_ventas[[#This Row],[Provincia]],Tabla2[Provincias],Tabla2[Comunidades],"no se encuentra")</f>
        <v>Andalucía</v>
      </c>
      <c r="M3476" t="s">
        <v>15</v>
      </c>
      <c r="N3476">
        <v>2</v>
      </c>
    </row>
    <row r="3477" spans="1:14" x14ac:dyDescent="0.25">
      <c r="A3477">
        <v>4476</v>
      </c>
      <c r="B3477" s="1">
        <v>45818</v>
      </c>
      <c r="C3477" s="4">
        <f>MONTH(datos_ventas[[#This Row],[Fecha]])</f>
        <v>6</v>
      </c>
      <c r="D3477" s="4">
        <f>WEEKNUM(datos_ventas[[#This Row],[Fecha]],2)</f>
        <v>24</v>
      </c>
      <c r="E3477" t="s">
        <v>23</v>
      </c>
      <c r="F3477" t="s">
        <v>18</v>
      </c>
      <c r="G3477">
        <v>4</v>
      </c>
      <c r="H3477">
        <v>65097</v>
      </c>
      <c r="I3477">
        <v>2907</v>
      </c>
      <c r="J3477" t="s">
        <v>32</v>
      </c>
      <c r="K3477" t="str">
        <f>_xlfn.XLOOKUP(datos_ventas[[#This Row],[Ciudad]],Tabla2[Ciudades],Tabla2[Provincias],"no se encuentra")</f>
        <v>Barcelona</v>
      </c>
      <c r="L3477" t="str">
        <f>_xlfn.XLOOKUP(datos_ventas[[#This Row],[Provincia]],Tabla2[Provincias],Tabla2[Comunidades],"no se encuentra")</f>
        <v>Cataluña</v>
      </c>
      <c r="M3477" t="s">
        <v>28</v>
      </c>
      <c r="N3477">
        <v>4</v>
      </c>
    </row>
    <row r="3478" spans="1:14" x14ac:dyDescent="0.25">
      <c r="A3478">
        <v>4477</v>
      </c>
      <c r="B3478" s="1">
        <v>45934</v>
      </c>
      <c r="C3478" s="4">
        <f>MONTH(datos_ventas[[#This Row],[Fecha]])</f>
        <v>10</v>
      </c>
      <c r="D3478" s="4">
        <f>WEEKNUM(datos_ventas[[#This Row],[Fecha]],2)</f>
        <v>40</v>
      </c>
      <c r="E3478" t="s">
        <v>23</v>
      </c>
      <c r="F3478" t="s">
        <v>18</v>
      </c>
      <c r="G3478">
        <v>3</v>
      </c>
      <c r="H3478">
        <v>19741</v>
      </c>
      <c r="I3478">
        <v>444</v>
      </c>
      <c r="J3478" t="s">
        <v>12</v>
      </c>
      <c r="K3478" t="str">
        <f>_xlfn.XLOOKUP(datos_ventas[[#This Row],[Ciudad]],Tabla2[Ciudades],Tabla2[Provincias],"no se encuentra")</f>
        <v>Málaga</v>
      </c>
      <c r="L3478" t="str">
        <f>_xlfn.XLOOKUP(datos_ventas[[#This Row],[Provincia]],Tabla2[Provincias],Tabla2[Comunidades],"no se encuentra")</f>
        <v>Andalucía</v>
      </c>
      <c r="M3478" t="s">
        <v>15</v>
      </c>
      <c r="N3478">
        <v>4</v>
      </c>
    </row>
    <row r="3479" spans="1:14" x14ac:dyDescent="0.25">
      <c r="A3479">
        <v>4478</v>
      </c>
      <c r="B3479" s="1">
        <v>45758</v>
      </c>
      <c r="C3479" s="4">
        <f>MONTH(datos_ventas[[#This Row],[Fecha]])</f>
        <v>4</v>
      </c>
      <c r="D3479" s="4">
        <f>WEEKNUM(datos_ventas[[#This Row],[Fecha]],2)</f>
        <v>15</v>
      </c>
      <c r="E3479" t="s">
        <v>23</v>
      </c>
      <c r="F3479" t="s">
        <v>18</v>
      </c>
      <c r="G3479">
        <v>2</v>
      </c>
      <c r="H3479">
        <v>79382</v>
      </c>
      <c r="I3479">
        <v>1614</v>
      </c>
      <c r="J3479" t="s">
        <v>12</v>
      </c>
      <c r="K3479" t="str">
        <f>_xlfn.XLOOKUP(datos_ventas[[#This Row],[Ciudad]],Tabla2[Ciudades],Tabla2[Provincias],"no se encuentra")</f>
        <v>Málaga</v>
      </c>
      <c r="L3479" t="str">
        <f>_xlfn.XLOOKUP(datos_ventas[[#This Row],[Provincia]],Tabla2[Provincias],Tabla2[Comunidades],"no se encuentra")</f>
        <v>Andalucía</v>
      </c>
      <c r="M3479" t="s">
        <v>19</v>
      </c>
      <c r="N3479">
        <v>3</v>
      </c>
    </row>
    <row r="3480" spans="1:14" x14ac:dyDescent="0.25">
      <c r="A3480">
        <v>4479</v>
      </c>
      <c r="B3480" s="1">
        <v>45844</v>
      </c>
      <c r="C3480" s="4">
        <f>MONTH(datos_ventas[[#This Row],[Fecha]])</f>
        <v>7</v>
      </c>
      <c r="D3480" s="4">
        <f>WEEKNUM(datos_ventas[[#This Row],[Fecha]],2)</f>
        <v>27</v>
      </c>
      <c r="E3480" t="s">
        <v>26</v>
      </c>
      <c r="F3480" t="s">
        <v>18</v>
      </c>
      <c r="G3480">
        <v>4</v>
      </c>
      <c r="H3480">
        <v>52306</v>
      </c>
      <c r="I3480">
        <v>948</v>
      </c>
      <c r="J3480" t="s">
        <v>22</v>
      </c>
      <c r="K3480" t="str">
        <f>_xlfn.XLOOKUP(datos_ventas[[#This Row],[Ciudad]],Tabla2[Ciudades],Tabla2[Provincias],"no se encuentra")</f>
        <v>Valencia</v>
      </c>
      <c r="L3480" t="str">
        <f>_xlfn.XLOOKUP(datos_ventas[[#This Row],[Provincia]],Tabla2[Provincias],Tabla2[Comunidades],"no se encuentra")</f>
        <v>Comunidad Valenciana</v>
      </c>
      <c r="M3480" t="s">
        <v>13</v>
      </c>
      <c r="N3480">
        <v>2</v>
      </c>
    </row>
    <row r="3481" spans="1:14" x14ac:dyDescent="0.25">
      <c r="A3481">
        <v>4480</v>
      </c>
      <c r="B3481" s="1">
        <v>45983</v>
      </c>
      <c r="C3481" s="4">
        <f>MONTH(datos_ventas[[#This Row],[Fecha]])</f>
        <v>11</v>
      </c>
      <c r="D3481" s="4">
        <f>WEEKNUM(datos_ventas[[#This Row],[Fecha]],2)</f>
        <v>47</v>
      </c>
      <c r="E3481" t="s">
        <v>23</v>
      </c>
      <c r="F3481" t="s">
        <v>18</v>
      </c>
      <c r="G3481">
        <v>5</v>
      </c>
      <c r="H3481">
        <v>79424</v>
      </c>
      <c r="I3481">
        <v>857</v>
      </c>
      <c r="J3481" t="s">
        <v>12</v>
      </c>
      <c r="K3481" t="str">
        <f>_xlfn.XLOOKUP(datos_ventas[[#This Row],[Ciudad]],Tabla2[Ciudades],Tabla2[Provincias],"no se encuentra")</f>
        <v>Málaga</v>
      </c>
      <c r="L3481" t="str">
        <f>_xlfn.XLOOKUP(datos_ventas[[#This Row],[Provincia]],Tabla2[Provincias],Tabla2[Comunidades],"no se encuentra")</f>
        <v>Andalucía</v>
      </c>
      <c r="M3481" t="s">
        <v>13</v>
      </c>
      <c r="N3481">
        <v>2</v>
      </c>
    </row>
    <row r="3482" spans="1:14" x14ac:dyDescent="0.25">
      <c r="A3482">
        <v>4481</v>
      </c>
      <c r="B3482" s="1">
        <v>45674</v>
      </c>
      <c r="C3482" s="4">
        <f>MONTH(datos_ventas[[#This Row],[Fecha]])</f>
        <v>1</v>
      </c>
      <c r="D3482" s="4">
        <f>WEEKNUM(datos_ventas[[#This Row],[Fecha]],2)</f>
        <v>3</v>
      </c>
      <c r="E3482" t="s">
        <v>16</v>
      </c>
      <c r="F3482" t="s">
        <v>11</v>
      </c>
      <c r="G3482">
        <v>3</v>
      </c>
      <c r="H3482">
        <v>85063</v>
      </c>
      <c r="I3482">
        <v>2347</v>
      </c>
      <c r="J3482" t="s">
        <v>27</v>
      </c>
      <c r="K3482" t="str">
        <f>_xlfn.XLOOKUP(datos_ventas[[#This Row],[Ciudad]],Tabla2[Ciudades],Tabla2[Provincias],"no se encuentra")</f>
        <v>Sevilla</v>
      </c>
      <c r="L3482" t="str">
        <f>_xlfn.XLOOKUP(datos_ventas[[#This Row],[Provincia]],Tabla2[Provincias],Tabla2[Comunidades],"no se encuentra")</f>
        <v>Andalucía</v>
      </c>
      <c r="M3482" t="s">
        <v>15</v>
      </c>
      <c r="N3482">
        <v>3</v>
      </c>
    </row>
    <row r="3483" spans="1:14" x14ac:dyDescent="0.25">
      <c r="A3483">
        <v>4482</v>
      </c>
      <c r="B3483" s="1">
        <v>45735</v>
      </c>
      <c r="C3483" s="4">
        <f>MONTH(datos_ventas[[#This Row],[Fecha]])</f>
        <v>3</v>
      </c>
      <c r="D3483" s="4">
        <f>WEEKNUM(datos_ventas[[#This Row],[Fecha]],2)</f>
        <v>12</v>
      </c>
      <c r="E3483" t="s">
        <v>17</v>
      </c>
      <c r="F3483" t="s">
        <v>18</v>
      </c>
      <c r="G3483">
        <v>1</v>
      </c>
      <c r="H3483">
        <v>119468</v>
      </c>
      <c r="I3483">
        <v>3183</v>
      </c>
      <c r="J3483" t="s">
        <v>27</v>
      </c>
      <c r="K3483" t="str">
        <f>_xlfn.XLOOKUP(datos_ventas[[#This Row],[Ciudad]],Tabla2[Ciudades],Tabla2[Provincias],"no se encuentra")</f>
        <v>Sevilla</v>
      </c>
      <c r="L3483" t="str">
        <f>_xlfn.XLOOKUP(datos_ventas[[#This Row],[Provincia]],Tabla2[Provincias],Tabla2[Comunidades],"no se encuentra")</f>
        <v>Andalucía</v>
      </c>
      <c r="M3483" t="s">
        <v>19</v>
      </c>
      <c r="N3483">
        <v>5</v>
      </c>
    </row>
    <row r="3484" spans="1:14" x14ac:dyDescent="0.25">
      <c r="A3484">
        <v>4483</v>
      </c>
      <c r="B3484" s="1">
        <v>45992</v>
      </c>
      <c r="C3484" s="4">
        <f>MONTH(datos_ventas[[#This Row],[Fecha]])</f>
        <v>12</v>
      </c>
      <c r="D3484" s="4">
        <f>WEEKNUM(datos_ventas[[#This Row],[Fecha]],2)</f>
        <v>49</v>
      </c>
      <c r="E3484" t="s">
        <v>26</v>
      </c>
      <c r="F3484" t="s">
        <v>18</v>
      </c>
      <c r="G3484">
        <v>4</v>
      </c>
      <c r="H3484">
        <v>63441</v>
      </c>
      <c r="I3484">
        <v>1982</v>
      </c>
      <c r="J3484" t="s">
        <v>12</v>
      </c>
      <c r="K3484" t="str">
        <f>_xlfn.XLOOKUP(datos_ventas[[#This Row],[Ciudad]],Tabla2[Ciudades],Tabla2[Provincias],"no se encuentra")</f>
        <v>Málaga</v>
      </c>
      <c r="L3484" t="str">
        <f>_xlfn.XLOOKUP(datos_ventas[[#This Row],[Provincia]],Tabla2[Provincias],Tabla2[Comunidades],"no se encuentra")</f>
        <v>Andalucía</v>
      </c>
      <c r="M3484" t="s">
        <v>13</v>
      </c>
      <c r="N3484">
        <v>3</v>
      </c>
    </row>
    <row r="3485" spans="1:14" x14ac:dyDescent="0.25">
      <c r="A3485">
        <v>4484</v>
      </c>
      <c r="B3485" s="1">
        <v>46015</v>
      </c>
      <c r="C3485" s="4">
        <f>MONTH(datos_ventas[[#This Row],[Fecha]])</f>
        <v>12</v>
      </c>
      <c r="D3485" s="4">
        <f>WEEKNUM(datos_ventas[[#This Row],[Fecha]],2)</f>
        <v>52</v>
      </c>
      <c r="E3485" t="s">
        <v>26</v>
      </c>
      <c r="F3485" t="s">
        <v>18</v>
      </c>
      <c r="G3485">
        <v>1</v>
      </c>
      <c r="H3485">
        <v>14063</v>
      </c>
      <c r="I3485">
        <v>1464</v>
      </c>
      <c r="J3485" t="s">
        <v>31</v>
      </c>
      <c r="K3485" t="str">
        <f>_xlfn.XLOOKUP(datos_ventas[[#This Row],[Ciudad]],Tabla2[Ciudades],Tabla2[Provincias],"no se encuentra")</f>
        <v>Vizcaya</v>
      </c>
      <c r="L3485" t="str">
        <f>_xlfn.XLOOKUP(datos_ventas[[#This Row],[Provincia]],Tabla2[Provincias],Tabla2[Comunidades],"no se encuentra")</f>
        <v>País Vasco</v>
      </c>
      <c r="M3485" t="s">
        <v>15</v>
      </c>
      <c r="N3485">
        <v>1</v>
      </c>
    </row>
    <row r="3486" spans="1:14" x14ac:dyDescent="0.25">
      <c r="A3486">
        <v>4485</v>
      </c>
      <c r="B3486" s="1">
        <v>45775</v>
      </c>
      <c r="C3486" s="4">
        <f>MONTH(datos_ventas[[#This Row],[Fecha]])</f>
        <v>4</v>
      </c>
      <c r="D3486" s="4">
        <f>WEEKNUM(datos_ventas[[#This Row],[Fecha]],2)</f>
        <v>18</v>
      </c>
      <c r="E3486" t="s">
        <v>16</v>
      </c>
      <c r="F3486" t="s">
        <v>11</v>
      </c>
      <c r="G3486">
        <v>3</v>
      </c>
      <c r="H3486">
        <v>29468</v>
      </c>
      <c r="I3486">
        <v>4719</v>
      </c>
      <c r="J3486" t="s">
        <v>32</v>
      </c>
      <c r="K3486" t="str">
        <f>_xlfn.XLOOKUP(datos_ventas[[#This Row],[Ciudad]],Tabla2[Ciudades],Tabla2[Provincias],"no se encuentra")</f>
        <v>Barcelona</v>
      </c>
      <c r="L3486" t="str">
        <f>_xlfn.XLOOKUP(datos_ventas[[#This Row],[Provincia]],Tabla2[Provincias],Tabla2[Comunidades],"no se encuentra")</f>
        <v>Cataluña</v>
      </c>
      <c r="M3486" t="s">
        <v>28</v>
      </c>
      <c r="N3486">
        <v>1</v>
      </c>
    </row>
    <row r="3487" spans="1:14" x14ac:dyDescent="0.25">
      <c r="A3487">
        <v>4486</v>
      </c>
      <c r="B3487" s="1">
        <v>45966</v>
      </c>
      <c r="C3487" s="4">
        <f>MONTH(datos_ventas[[#This Row],[Fecha]])</f>
        <v>11</v>
      </c>
      <c r="D3487" s="4">
        <f>WEEKNUM(datos_ventas[[#This Row],[Fecha]],2)</f>
        <v>45</v>
      </c>
      <c r="E3487" t="s">
        <v>29</v>
      </c>
      <c r="F3487" t="s">
        <v>30</v>
      </c>
      <c r="G3487">
        <v>2</v>
      </c>
      <c r="H3487">
        <v>24529</v>
      </c>
      <c r="I3487">
        <v>4865</v>
      </c>
      <c r="J3487" t="s">
        <v>31</v>
      </c>
      <c r="K3487" t="str">
        <f>_xlfn.XLOOKUP(datos_ventas[[#This Row],[Ciudad]],Tabla2[Ciudades],Tabla2[Provincias],"no se encuentra")</f>
        <v>Vizcaya</v>
      </c>
      <c r="L3487" t="str">
        <f>_xlfn.XLOOKUP(datos_ventas[[#This Row],[Provincia]],Tabla2[Provincias],Tabla2[Comunidades],"no se encuentra")</f>
        <v>País Vasco</v>
      </c>
      <c r="M3487" t="s">
        <v>13</v>
      </c>
      <c r="N3487">
        <v>4</v>
      </c>
    </row>
    <row r="3488" spans="1:14" x14ac:dyDescent="0.25">
      <c r="A3488">
        <v>4487</v>
      </c>
      <c r="B3488" s="1">
        <v>45968</v>
      </c>
      <c r="C3488" s="4">
        <f>MONTH(datos_ventas[[#This Row],[Fecha]])</f>
        <v>11</v>
      </c>
      <c r="D3488" s="4">
        <f>WEEKNUM(datos_ventas[[#This Row],[Fecha]],2)</f>
        <v>45</v>
      </c>
      <c r="E3488" t="s">
        <v>17</v>
      </c>
      <c r="F3488" t="s">
        <v>18</v>
      </c>
      <c r="G3488">
        <v>4</v>
      </c>
      <c r="H3488">
        <v>803</v>
      </c>
      <c r="I3488">
        <v>225</v>
      </c>
      <c r="J3488" t="s">
        <v>22</v>
      </c>
      <c r="K3488" t="str">
        <f>_xlfn.XLOOKUP(datos_ventas[[#This Row],[Ciudad]],Tabla2[Ciudades],Tabla2[Provincias],"no se encuentra")</f>
        <v>Valencia</v>
      </c>
      <c r="L3488" t="str">
        <f>_xlfn.XLOOKUP(datos_ventas[[#This Row],[Provincia]],Tabla2[Provincias],Tabla2[Comunidades],"no se encuentra")</f>
        <v>Comunidad Valenciana</v>
      </c>
      <c r="M3488" t="s">
        <v>28</v>
      </c>
      <c r="N3488">
        <v>3</v>
      </c>
    </row>
    <row r="3489" spans="1:14" x14ac:dyDescent="0.25">
      <c r="A3489">
        <v>4488</v>
      </c>
      <c r="B3489" s="1">
        <v>45863</v>
      </c>
      <c r="C3489" s="4">
        <f>MONTH(datos_ventas[[#This Row],[Fecha]])</f>
        <v>7</v>
      </c>
      <c r="D3489" s="4">
        <f>WEEKNUM(datos_ventas[[#This Row],[Fecha]],2)</f>
        <v>30</v>
      </c>
      <c r="E3489" t="s">
        <v>29</v>
      </c>
      <c r="F3489" t="s">
        <v>30</v>
      </c>
      <c r="G3489">
        <v>4</v>
      </c>
      <c r="H3489">
        <v>2730</v>
      </c>
      <c r="I3489">
        <v>477</v>
      </c>
      <c r="J3489" t="s">
        <v>27</v>
      </c>
      <c r="K3489" t="str">
        <f>_xlfn.XLOOKUP(datos_ventas[[#This Row],[Ciudad]],Tabla2[Ciudades],Tabla2[Provincias],"no se encuentra")</f>
        <v>Sevilla</v>
      </c>
      <c r="L3489" t="str">
        <f>_xlfn.XLOOKUP(datos_ventas[[#This Row],[Provincia]],Tabla2[Provincias],Tabla2[Comunidades],"no se encuentra")</f>
        <v>Andalucía</v>
      </c>
      <c r="M3489" t="s">
        <v>28</v>
      </c>
      <c r="N3489">
        <v>3</v>
      </c>
    </row>
    <row r="3490" spans="1:14" x14ac:dyDescent="0.25">
      <c r="A3490">
        <v>4489</v>
      </c>
      <c r="B3490" s="1">
        <v>45713</v>
      </c>
      <c r="C3490" s="4">
        <f>MONTH(datos_ventas[[#This Row],[Fecha]])</f>
        <v>2</v>
      </c>
      <c r="D3490" s="4">
        <f>WEEKNUM(datos_ventas[[#This Row],[Fecha]],2)</f>
        <v>9</v>
      </c>
      <c r="E3490" t="s">
        <v>10</v>
      </c>
      <c r="F3490" t="s">
        <v>11</v>
      </c>
      <c r="G3490">
        <v>1</v>
      </c>
      <c r="H3490">
        <v>93432</v>
      </c>
      <c r="I3490">
        <v>300</v>
      </c>
      <c r="J3490" t="s">
        <v>32</v>
      </c>
      <c r="K3490" t="str">
        <f>_xlfn.XLOOKUP(datos_ventas[[#This Row],[Ciudad]],Tabla2[Ciudades],Tabla2[Provincias],"no se encuentra")</f>
        <v>Barcelona</v>
      </c>
      <c r="L3490" t="str">
        <f>_xlfn.XLOOKUP(datos_ventas[[#This Row],[Provincia]],Tabla2[Provincias],Tabla2[Comunidades],"no se encuentra")</f>
        <v>Cataluña</v>
      </c>
      <c r="M3490" t="s">
        <v>13</v>
      </c>
      <c r="N3490">
        <v>3</v>
      </c>
    </row>
    <row r="3491" spans="1:14" x14ac:dyDescent="0.25">
      <c r="A3491">
        <v>4490</v>
      </c>
      <c r="B3491" s="1">
        <v>45696</v>
      </c>
      <c r="C3491" s="4">
        <f>MONTH(datos_ventas[[#This Row],[Fecha]])</f>
        <v>2</v>
      </c>
      <c r="D3491" s="4">
        <f>WEEKNUM(datos_ventas[[#This Row],[Fecha]],2)</f>
        <v>6</v>
      </c>
      <c r="E3491" t="s">
        <v>24</v>
      </c>
      <c r="F3491" t="s">
        <v>25</v>
      </c>
      <c r="G3491">
        <v>1</v>
      </c>
      <c r="H3491">
        <v>98985</v>
      </c>
      <c r="I3491">
        <v>2191</v>
      </c>
      <c r="J3491" t="s">
        <v>22</v>
      </c>
      <c r="K3491" t="str">
        <f>_xlfn.XLOOKUP(datos_ventas[[#This Row],[Ciudad]],Tabla2[Ciudades],Tabla2[Provincias],"no se encuentra")</f>
        <v>Valencia</v>
      </c>
      <c r="L3491" t="str">
        <f>_xlfn.XLOOKUP(datos_ventas[[#This Row],[Provincia]],Tabla2[Provincias],Tabla2[Comunidades],"no se encuentra")</f>
        <v>Comunidad Valenciana</v>
      </c>
      <c r="M3491" t="s">
        <v>19</v>
      </c>
      <c r="N3491">
        <v>5</v>
      </c>
    </row>
    <row r="3492" spans="1:14" x14ac:dyDescent="0.25">
      <c r="A3492">
        <v>4491</v>
      </c>
      <c r="B3492" s="1">
        <v>45938</v>
      </c>
      <c r="C3492" s="4">
        <f>MONTH(datos_ventas[[#This Row],[Fecha]])</f>
        <v>10</v>
      </c>
      <c r="D3492" s="4">
        <f>WEEKNUM(datos_ventas[[#This Row],[Fecha]],2)</f>
        <v>41</v>
      </c>
      <c r="E3492" t="s">
        <v>26</v>
      </c>
      <c r="F3492" t="s">
        <v>18</v>
      </c>
      <c r="G3492">
        <v>2</v>
      </c>
      <c r="H3492">
        <v>58066</v>
      </c>
      <c r="I3492">
        <v>3357</v>
      </c>
      <c r="J3492" t="s">
        <v>27</v>
      </c>
      <c r="K3492" t="str">
        <f>_xlfn.XLOOKUP(datos_ventas[[#This Row],[Ciudad]],Tabla2[Ciudades],Tabla2[Provincias],"no se encuentra")</f>
        <v>Sevilla</v>
      </c>
      <c r="L3492" t="str">
        <f>_xlfn.XLOOKUP(datos_ventas[[#This Row],[Provincia]],Tabla2[Provincias],Tabla2[Comunidades],"no se encuentra")</f>
        <v>Andalucía</v>
      </c>
      <c r="M3492" t="s">
        <v>13</v>
      </c>
      <c r="N3492">
        <v>5</v>
      </c>
    </row>
    <row r="3493" spans="1:14" x14ac:dyDescent="0.25">
      <c r="A3493">
        <v>4492</v>
      </c>
      <c r="B3493" s="1">
        <v>45669</v>
      </c>
      <c r="C3493" s="4">
        <f>MONTH(datos_ventas[[#This Row],[Fecha]])</f>
        <v>1</v>
      </c>
      <c r="D3493" s="4">
        <f>WEEKNUM(datos_ventas[[#This Row],[Fecha]],2)</f>
        <v>2</v>
      </c>
      <c r="E3493" t="s">
        <v>29</v>
      </c>
      <c r="F3493" t="s">
        <v>30</v>
      </c>
      <c r="G3493">
        <v>3</v>
      </c>
      <c r="H3493">
        <v>44387</v>
      </c>
      <c r="I3493">
        <v>4111</v>
      </c>
      <c r="J3493" t="s">
        <v>14</v>
      </c>
      <c r="K3493" t="str">
        <f>_xlfn.XLOOKUP(datos_ventas[[#This Row],[Ciudad]],Tabla2[Ciudades],Tabla2[Provincias],"no se encuentra")</f>
        <v>Madrid</v>
      </c>
      <c r="L3493" t="str">
        <f>_xlfn.XLOOKUP(datos_ventas[[#This Row],[Provincia]],Tabla2[Provincias],Tabla2[Comunidades],"no se encuentra")</f>
        <v>Comunidad de Madrid</v>
      </c>
      <c r="M3493" t="s">
        <v>19</v>
      </c>
      <c r="N3493">
        <v>1</v>
      </c>
    </row>
    <row r="3494" spans="1:14" x14ac:dyDescent="0.25">
      <c r="A3494">
        <v>4493</v>
      </c>
      <c r="B3494" s="1">
        <v>45792</v>
      </c>
      <c r="C3494" s="4">
        <f>MONTH(datos_ventas[[#This Row],[Fecha]])</f>
        <v>5</v>
      </c>
      <c r="D3494" s="4">
        <f>WEEKNUM(datos_ventas[[#This Row],[Fecha]],2)</f>
        <v>20</v>
      </c>
      <c r="E3494" t="s">
        <v>23</v>
      </c>
      <c r="F3494" t="s">
        <v>18</v>
      </c>
      <c r="G3494">
        <v>3</v>
      </c>
      <c r="H3494">
        <v>93667</v>
      </c>
      <c r="I3494">
        <v>1007</v>
      </c>
      <c r="J3494" t="s">
        <v>31</v>
      </c>
      <c r="K3494" t="str">
        <f>_xlfn.XLOOKUP(datos_ventas[[#This Row],[Ciudad]],Tabla2[Ciudades],Tabla2[Provincias],"no se encuentra")</f>
        <v>Vizcaya</v>
      </c>
      <c r="L3494" t="str">
        <f>_xlfn.XLOOKUP(datos_ventas[[#This Row],[Provincia]],Tabla2[Provincias],Tabla2[Comunidades],"no se encuentra")</f>
        <v>País Vasco</v>
      </c>
      <c r="M3494" t="s">
        <v>19</v>
      </c>
      <c r="N3494">
        <v>2</v>
      </c>
    </row>
    <row r="3495" spans="1:14" x14ac:dyDescent="0.25">
      <c r="A3495">
        <v>4494</v>
      </c>
      <c r="B3495" s="1">
        <v>46018</v>
      </c>
      <c r="C3495" s="4">
        <f>MONTH(datos_ventas[[#This Row],[Fecha]])</f>
        <v>12</v>
      </c>
      <c r="D3495" s="4">
        <f>WEEKNUM(datos_ventas[[#This Row],[Fecha]],2)</f>
        <v>52</v>
      </c>
      <c r="E3495" t="s">
        <v>17</v>
      </c>
      <c r="F3495" t="s">
        <v>18</v>
      </c>
      <c r="G3495">
        <v>3</v>
      </c>
      <c r="H3495">
        <v>78057</v>
      </c>
      <c r="I3495">
        <v>4767</v>
      </c>
      <c r="J3495" t="s">
        <v>14</v>
      </c>
      <c r="K3495" t="str">
        <f>_xlfn.XLOOKUP(datos_ventas[[#This Row],[Ciudad]],Tabla2[Ciudades],Tabla2[Provincias],"no se encuentra")</f>
        <v>Madrid</v>
      </c>
      <c r="L3495" t="str">
        <f>_xlfn.XLOOKUP(datos_ventas[[#This Row],[Provincia]],Tabla2[Provincias],Tabla2[Comunidades],"no se encuentra")</f>
        <v>Comunidad de Madrid</v>
      </c>
      <c r="M3495" t="s">
        <v>13</v>
      </c>
      <c r="N3495">
        <v>5</v>
      </c>
    </row>
    <row r="3496" spans="1:14" x14ac:dyDescent="0.25">
      <c r="A3496">
        <v>4495</v>
      </c>
      <c r="B3496" s="1">
        <v>45721</v>
      </c>
      <c r="C3496" s="4">
        <f>MONTH(datos_ventas[[#This Row],[Fecha]])</f>
        <v>3</v>
      </c>
      <c r="D3496" s="4">
        <f>WEEKNUM(datos_ventas[[#This Row],[Fecha]],2)</f>
        <v>10</v>
      </c>
      <c r="E3496" t="s">
        <v>17</v>
      </c>
      <c r="F3496" t="s">
        <v>18</v>
      </c>
      <c r="G3496">
        <v>5</v>
      </c>
      <c r="H3496">
        <v>117901</v>
      </c>
      <c r="I3496">
        <v>1637</v>
      </c>
      <c r="J3496" t="s">
        <v>14</v>
      </c>
      <c r="K3496" t="str">
        <f>_xlfn.XLOOKUP(datos_ventas[[#This Row],[Ciudad]],Tabla2[Ciudades],Tabla2[Provincias],"no se encuentra")</f>
        <v>Madrid</v>
      </c>
      <c r="L3496" t="str">
        <f>_xlfn.XLOOKUP(datos_ventas[[#This Row],[Provincia]],Tabla2[Provincias],Tabla2[Comunidades],"no se encuentra")</f>
        <v>Comunidad de Madrid</v>
      </c>
      <c r="M3496" t="s">
        <v>28</v>
      </c>
      <c r="N3496">
        <v>4</v>
      </c>
    </row>
    <row r="3497" spans="1:14" x14ac:dyDescent="0.25">
      <c r="A3497">
        <v>4496</v>
      </c>
      <c r="B3497" s="1">
        <v>45770</v>
      </c>
      <c r="C3497" s="4">
        <f>MONTH(datos_ventas[[#This Row],[Fecha]])</f>
        <v>4</v>
      </c>
      <c r="D3497" s="4">
        <f>WEEKNUM(datos_ventas[[#This Row],[Fecha]],2)</f>
        <v>17</v>
      </c>
      <c r="E3497" t="s">
        <v>29</v>
      </c>
      <c r="F3497" t="s">
        <v>30</v>
      </c>
      <c r="G3497">
        <v>2</v>
      </c>
      <c r="H3497">
        <v>119847</v>
      </c>
      <c r="I3497">
        <v>3237</v>
      </c>
      <c r="J3497" t="s">
        <v>14</v>
      </c>
      <c r="K3497" t="str">
        <f>_xlfn.XLOOKUP(datos_ventas[[#This Row],[Ciudad]],Tabla2[Ciudades],Tabla2[Provincias],"no se encuentra")</f>
        <v>Madrid</v>
      </c>
      <c r="L3497" t="str">
        <f>_xlfn.XLOOKUP(datos_ventas[[#This Row],[Provincia]],Tabla2[Provincias],Tabla2[Comunidades],"no se encuentra")</f>
        <v>Comunidad de Madrid</v>
      </c>
      <c r="M3497" t="s">
        <v>19</v>
      </c>
      <c r="N3497">
        <v>1</v>
      </c>
    </row>
    <row r="3498" spans="1:14" x14ac:dyDescent="0.25">
      <c r="A3498">
        <v>4497</v>
      </c>
      <c r="B3498" s="1">
        <v>45989</v>
      </c>
      <c r="C3498" s="4">
        <f>MONTH(datos_ventas[[#This Row],[Fecha]])</f>
        <v>11</v>
      </c>
      <c r="D3498" s="4">
        <f>WEEKNUM(datos_ventas[[#This Row],[Fecha]],2)</f>
        <v>48</v>
      </c>
      <c r="E3498" t="s">
        <v>16</v>
      </c>
      <c r="F3498" t="s">
        <v>11</v>
      </c>
      <c r="G3498">
        <v>4</v>
      </c>
      <c r="H3498">
        <v>5399</v>
      </c>
      <c r="I3498">
        <v>342</v>
      </c>
      <c r="J3498" t="s">
        <v>27</v>
      </c>
      <c r="K3498" t="str">
        <f>_xlfn.XLOOKUP(datos_ventas[[#This Row],[Ciudad]],Tabla2[Ciudades],Tabla2[Provincias],"no se encuentra")</f>
        <v>Sevilla</v>
      </c>
      <c r="L3498" t="str">
        <f>_xlfn.XLOOKUP(datos_ventas[[#This Row],[Provincia]],Tabla2[Provincias],Tabla2[Comunidades],"no se encuentra")</f>
        <v>Andalucía</v>
      </c>
      <c r="M3498" t="s">
        <v>28</v>
      </c>
      <c r="N3498">
        <v>3</v>
      </c>
    </row>
    <row r="3499" spans="1:14" x14ac:dyDescent="0.25">
      <c r="A3499">
        <v>4498</v>
      </c>
      <c r="B3499" s="1">
        <v>46014</v>
      </c>
      <c r="C3499" s="4">
        <f>MONTH(datos_ventas[[#This Row],[Fecha]])</f>
        <v>12</v>
      </c>
      <c r="D3499" s="4">
        <f>WEEKNUM(datos_ventas[[#This Row],[Fecha]],2)</f>
        <v>52</v>
      </c>
      <c r="E3499" t="s">
        <v>20</v>
      </c>
      <c r="F3499" t="s">
        <v>21</v>
      </c>
      <c r="G3499">
        <v>3</v>
      </c>
      <c r="H3499">
        <v>9263</v>
      </c>
      <c r="I3499">
        <v>3288</v>
      </c>
      <c r="J3499" t="s">
        <v>12</v>
      </c>
      <c r="K3499" t="str">
        <f>_xlfn.XLOOKUP(datos_ventas[[#This Row],[Ciudad]],Tabla2[Ciudades],Tabla2[Provincias],"no se encuentra")</f>
        <v>Málaga</v>
      </c>
      <c r="L3499" t="str">
        <f>_xlfn.XLOOKUP(datos_ventas[[#This Row],[Provincia]],Tabla2[Provincias],Tabla2[Comunidades],"no se encuentra")</f>
        <v>Andalucía</v>
      </c>
      <c r="M3499" t="s">
        <v>15</v>
      </c>
      <c r="N3499">
        <v>2</v>
      </c>
    </row>
    <row r="3500" spans="1:14" x14ac:dyDescent="0.25">
      <c r="A3500">
        <v>4499</v>
      </c>
      <c r="B3500" s="1">
        <v>45941</v>
      </c>
      <c r="C3500" s="4">
        <f>MONTH(datos_ventas[[#This Row],[Fecha]])</f>
        <v>10</v>
      </c>
      <c r="D3500" s="4">
        <f>WEEKNUM(datos_ventas[[#This Row],[Fecha]],2)</f>
        <v>41</v>
      </c>
      <c r="E3500" t="s">
        <v>26</v>
      </c>
      <c r="F3500" t="s">
        <v>18</v>
      </c>
      <c r="G3500">
        <v>3</v>
      </c>
      <c r="H3500">
        <v>75551</v>
      </c>
      <c r="I3500">
        <v>2677</v>
      </c>
      <c r="J3500" t="s">
        <v>31</v>
      </c>
      <c r="K3500" t="str">
        <f>_xlfn.XLOOKUP(datos_ventas[[#This Row],[Ciudad]],Tabla2[Ciudades],Tabla2[Provincias],"no se encuentra")</f>
        <v>Vizcaya</v>
      </c>
      <c r="L3500" t="str">
        <f>_xlfn.XLOOKUP(datos_ventas[[#This Row],[Provincia]],Tabla2[Provincias],Tabla2[Comunidades],"no se encuentra")</f>
        <v>País Vasco</v>
      </c>
      <c r="M3500" t="s">
        <v>15</v>
      </c>
      <c r="N3500">
        <v>3</v>
      </c>
    </row>
    <row r="3501" spans="1:14" x14ac:dyDescent="0.25">
      <c r="A3501">
        <v>4500</v>
      </c>
      <c r="B3501" s="1">
        <v>45798</v>
      </c>
      <c r="C3501" s="4">
        <f>MONTH(datos_ventas[[#This Row],[Fecha]])</f>
        <v>5</v>
      </c>
      <c r="D3501" s="4">
        <f>WEEKNUM(datos_ventas[[#This Row],[Fecha]],2)</f>
        <v>21</v>
      </c>
      <c r="E3501" t="s">
        <v>24</v>
      </c>
      <c r="F3501" t="s">
        <v>25</v>
      </c>
      <c r="G3501">
        <v>2</v>
      </c>
      <c r="H3501">
        <v>41217</v>
      </c>
      <c r="I3501">
        <v>885</v>
      </c>
      <c r="J3501" t="s">
        <v>31</v>
      </c>
      <c r="K3501" t="str">
        <f>_xlfn.XLOOKUP(datos_ventas[[#This Row],[Ciudad]],Tabla2[Ciudades],Tabla2[Provincias],"no se encuentra")</f>
        <v>Vizcaya</v>
      </c>
      <c r="L3501" t="str">
        <f>_xlfn.XLOOKUP(datos_ventas[[#This Row],[Provincia]],Tabla2[Provincias],Tabla2[Comunidades],"no se encuentra")</f>
        <v>País Vasco</v>
      </c>
      <c r="M3501" t="s">
        <v>13</v>
      </c>
      <c r="N3501">
        <v>5</v>
      </c>
    </row>
    <row r="3502" spans="1:14" x14ac:dyDescent="0.25">
      <c r="A3502">
        <v>4501</v>
      </c>
      <c r="B3502" s="1">
        <v>45913</v>
      </c>
      <c r="C3502" s="4">
        <f>MONTH(datos_ventas[[#This Row],[Fecha]])</f>
        <v>9</v>
      </c>
      <c r="D3502" s="4">
        <f>WEEKNUM(datos_ventas[[#This Row],[Fecha]],2)</f>
        <v>37</v>
      </c>
      <c r="E3502" t="s">
        <v>16</v>
      </c>
      <c r="F3502" t="s">
        <v>11</v>
      </c>
      <c r="G3502">
        <v>3</v>
      </c>
      <c r="H3502">
        <v>90838</v>
      </c>
      <c r="I3502">
        <v>2443</v>
      </c>
      <c r="J3502" t="s">
        <v>22</v>
      </c>
      <c r="K3502" t="str">
        <f>_xlfn.XLOOKUP(datos_ventas[[#This Row],[Ciudad]],Tabla2[Ciudades],Tabla2[Provincias],"no se encuentra")</f>
        <v>Valencia</v>
      </c>
      <c r="L3502" t="str">
        <f>_xlfn.XLOOKUP(datos_ventas[[#This Row],[Provincia]],Tabla2[Provincias],Tabla2[Comunidades],"no se encuentra")</f>
        <v>Comunidad Valenciana</v>
      </c>
      <c r="M3502" t="s">
        <v>28</v>
      </c>
      <c r="N3502">
        <v>1</v>
      </c>
    </row>
    <row r="3503" spans="1:14" x14ac:dyDescent="0.25">
      <c r="A3503">
        <v>4502</v>
      </c>
      <c r="B3503" s="1">
        <v>45944</v>
      </c>
      <c r="C3503" s="4">
        <f>MONTH(datos_ventas[[#This Row],[Fecha]])</f>
        <v>10</v>
      </c>
      <c r="D3503" s="4">
        <f>WEEKNUM(datos_ventas[[#This Row],[Fecha]],2)</f>
        <v>42</v>
      </c>
      <c r="E3503" t="s">
        <v>26</v>
      </c>
      <c r="F3503" t="s">
        <v>18</v>
      </c>
      <c r="G3503">
        <v>5</v>
      </c>
      <c r="H3503">
        <v>53498</v>
      </c>
      <c r="I3503">
        <v>2847</v>
      </c>
      <c r="J3503" t="s">
        <v>22</v>
      </c>
      <c r="K3503" t="str">
        <f>_xlfn.XLOOKUP(datos_ventas[[#This Row],[Ciudad]],Tabla2[Ciudades],Tabla2[Provincias],"no se encuentra")</f>
        <v>Valencia</v>
      </c>
      <c r="L3503" t="str">
        <f>_xlfn.XLOOKUP(datos_ventas[[#This Row],[Provincia]],Tabla2[Provincias],Tabla2[Comunidades],"no se encuentra")</f>
        <v>Comunidad Valenciana</v>
      </c>
      <c r="M3503" t="s">
        <v>13</v>
      </c>
      <c r="N3503">
        <v>2</v>
      </c>
    </row>
    <row r="3504" spans="1:14" x14ac:dyDescent="0.25">
      <c r="A3504">
        <v>4503</v>
      </c>
      <c r="B3504" s="1">
        <v>45875</v>
      </c>
      <c r="C3504" s="4">
        <f>MONTH(datos_ventas[[#This Row],[Fecha]])</f>
        <v>8</v>
      </c>
      <c r="D3504" s="4">
        <f>WEEKNUM(datos_ventas[[#This Row],[Fecha]],2)</f>
        <v>32</v>
      </c>
      <c r="E3504" t="s">
        <v>20</v>
      </c>
      <c r="F3504" t="s">
        <v>21</v>
      </c>
      <c r="G3504">
        <v>3</v>
      </c>
      <c r="H3504">
        <v>104895</v>
      </c>
      <c r="I3504">
        <v>3083</v>
      </c>
      <c r="J3504" t="s">
        <v>14</v>
      </c>
      <c r="K3504" t="str">
        <f>_xlfn.XLOOKUP(datos_ventas[[#This Row],[Ciudad]],Tabla2[Ciudades],Tabla2[Provincias],"no se encuentra")</f>
        <v>Madrid</v>
      </c>
      <c r="L3504" t="str">
        <f>_xlfn.XLOOKUP(datos_ventas[[#This Row],[Provincia]],Tabla2[Provincias],Tabla2[Comunidades],"no se encuentra")</f>
        <v>Comunidad de Madrid</v>
      </c>
      <c r="M3504" t="s">
        <v>13</v>
      </c>
      <c r="N3504">
        <v>3</v>
      </c>
    </row>
    <row r="3505" spans="1:14" x14ac:dyDescent="0.25">
      <c r="A3505">
        <v>4504</v>
      </c>
      <c r="B3505" s="1">
        <v>45683</v>
      </c>
      <c r="C3505" s="4">
        <f>MONTH(datos_ventas[[#This Row],[Fecha]])</f>
        <v>1</v>
      </c>
      <c r="D3505" s="4">
        <f>WEEKNUM(datos_ventas[[#This Row],[Fecha]],2)</f>
        <v>4</v>
      </c>
      <c r="E3505" t="s">
        <v>16</v>
      </c>
      <c r="F3505" t="s">
        <v>11</v>
      </c>
      <c r="G3505">
        <v>5</v>
      </c>
      <c r="H3505">
        <v>55991</v>
      </c>
      <c r="I3505">
        <v>4336</v>
      </c>
      <c r="J3505" t="s">
        <v>14</v>
      </c>
      <c r="K3505" t="str">
        <f>_xlfn.XLOOKUP(datos_ventas[[#This Row],[Ciudad]],Tabla2[Ciudades],Tabla2[Provincias],"no se encuentra")</f>
        <v>Madrid</v>
      </c>
      <c r="L3505" t="str">
        <f>_xlfn.XLOOKUP(datos_ventas[[#This Row],[Provincia]],Tabla2[Provincias],Tabla2[Comunidades],"no se encuentra")</f>
        <v>Comunidad de Madrid</v>
      </c>
      <c r="M3505" t="s">
        <v>15</v>
      </c>
      <c r="N3505">
        <v>2</v>
      </c>
    </row>
    <row r="3506" spans="1:14" x14ac:dyDescent="0.25">
      <c r="A3506">
        <v>4505</v>
      </c>
      <c r="B3506" s="1">
        <v>45755</v>
      </c>
      <c r="C3506" s="4">
        <f>MONTH(datos_ventas[[#This Row],[Fecha]])</f>
        <v>4</v>
      </c>
      <c r="D3506" s="4">
        <f>WEEKNUM(datos_ventas[[#This Row],[Fecha]],2)</f>
        <v>15</v>
      </c>
      <c r="E3506" t="s">
        <v>20</v>
      </c>
      <c r="F3506" t="s">
        <v>21</v>
      </c>
      <c r="G3506">
        <v>1</v>
      </c>
      <c r="H3506">
        <v>33162</v>
      </c>
      <c r="I3506">
        <v>4682</v>
      </c>
      <c r="J3506" t="s">
        <v>27</v>
      </c>
      <c r="K3506" t="str">
        <f>_xlfn.XLOOKUP(datos_ventas[[#This Row],[Ciudad]],Tabla2[Ciudades],Tabla2[Provincias],"no se encuentra")</f>
        <v>Sevilla</v>
      </c>
      <c r="L3506" t="str">
        <f>_xlfn.XLOOKUP(datos_ventas[[#This Row],[Provincia]],Tabla2[Provincias],Tabla2[Comunidades],"no se encuentra")</f>
        <v>Andalucía</v>
      </c>
      <c r="M3506" t="s">
        <v>15</v>
      </c>
      <c r="N3506">
        <v>3</v>
      </c>
    </row>
    <row r="3507" spans="1:14" x14ac:dyDescent="0.25">
      <c r="A3507">
        <v>4506</v>
      </c>
      <c r="B3507" s="1">
        <v>45849</v>
      </c>
      <c r="C3507" s="4">
        <f>MONTH(datos_ventas[[#This Row],[Fecha]])</f>
        <v>7</v>
      </c>
      <c r="D3507" s="4">
        <f>WEEKNUM(datos_ventas[[#This Row],[Fecha]],2)</f>
        <v>28</v>
      </c>
      <c r="E3507" t="s">
        <v>10</v>
      </c>
      <c r="F3507" t="s">
        <v>11</v>
      </c>
      <c r="G3507">
        <v>2</v>
      </c>
      <c r="H3507">
        <v>35804</v>
      </c>
      <c r="I3507">
        <v>716</v>
      </c>
      <c r="J3507" t="s">
        <v>14</v>
      </c>
      <c r="K3507" t="str">
        <f>_xlfn.XLOOKUP(datos_ventas[[#This Row],[Ciudad]],Tabla2[Ciudades],Tabla2[Provincias],"no se encuentra")</f>
        <v>Madrid</v>
      </c>
      <c r="L3507" t="str">
        <f>_xlfn.XLOOKUP(datos_ventas[[#This Row],[Provincia]],Tabla2[Provincias],Tabla2[Comunidades],"no se encuentra")</f>
        <v>Comunidad de Madrid</v>
      </c>
      <c r="M3507" t="s">
        <v>13</v>
      </c>
      <c r="N3507">
        <v>4</v>
      </c>
    </row>
    <row r="3508" spans="1:14" x14ac:dyDescent="0.25">
      <c r="A3508">
        <v>4507</v>
      </c>
      <c r="B3508" s="1">
        <v>45737</v>
      </c>
      <c r="C3508" s="4">
        <f>MONTH(datos_ventas[[#This Row],[Fecha]])</f>
        <v>3</v>
      </c>
      <c r="D3508" s="4">
        <f>WEEKNUM(datos_ventas[[#This Row],[Fecha]],2)</f>
        <v>12</v>
      </c>
      <c r="E3508" t="s">
        <v>16</v>
      </c>
      <c r="F3508" t="s">
        <v>11</v>
      </c>
      <c r="G3508">
        <v>2</v>
      </c>
      <c r="H3508">
        <v>44658</v>
      </c>
      <c r="I3508">
        <v>1667</v>
      </c>
      <c r="J3508" t="s">
        <v>14</v>
      </c>
      <c r="K3508" t="str">
        <f>_xlfn.XLOOKUP(datos_ventas[[#This Row],[Ciudad]],Tabla2[Ciudades],Tabla2[Provincias],"no se encuentra")</f>
        <v>Madrid</v>
      </c>
      <c r="L3508" t="str">
        <f>_xlfn.XLOOKUP(datos_ventas[[#This Row],[Provincia]],Tabla2[Provincias],Tabla2[Comunidades],"no se encuentra")</f>
        <v>Comunidad de Madrid</v>
      </c>
      <c r="M3508" t="s">
        <v>28</v>
      </c>
      <c r="N3508">
        <v>4</v>
      </c>
    </row>
    <row r="3509" spans="1:14" x14ac:dyDescent="0.25">
      <c r="A3509">
        <v>4508</v>
      </c>
      <c r="B3509" s="1">
        <v>45867</v>
      </c>
      <c r="C3509" s="4">
        <f>MONTH(datos_ventas[[#This Row],[Fecha]])</f>
        <v>7</v>
      </c>
      <c r="D3509" s="4">
        <f>WEEKNUM(datos_ventas[[#This Row],[Fecha]],2)</f>
        <v>31</v>
      </c>
      <c r="E3509" t="s">
        <v>17</v>
      </c>
      <c r="F3509" t="s">
        <v>18</v>
      </c>
      <c r="G3509">
        <v>2</v>
      </c>
      <c r="H3509">
        <v>11910</v>
      </c>
      <c r="I3509">
        <v>496</v>
      </c>
      <c r="J3509" t="s">
        <v>12</v>
      </c>
      <c r="K3509" t="str">
        <f>_xlfn.XLOOKUP(datos_ventas[[#This Row],[Ciudad]],Tabla2[Ciudades],Tabla2[Provincias],"no se encuentra")</f>
        <v>Málaga</v>
      </c>
      <c r="L3509" t="str">
        <f>_xlfn.XLOOKUP(datos_ventas[[#This Row],[Provincia]],Tabla2[Provincias],Tabla2[Comunidades],"no se encuentra")</f>
        <v>Andalucía</v>
      </c>
      <c r="M3509" t="s">
        <v>15</v>
      </c>
      <c r="N3509">
        <v>1</v>
      </c>
    </row>
    <row r="3510" spans="1:14" x14ac:dyDescent="0.25">
      <c r="A3510">
        <v>4509</v>
      </c>
      <c r="B3510" s="1">
        <v>45731</v>
      </c>
      <c r="C3510" s="4">
        <f>MONTH(datos_ventas[[#This Row],[Fecha]])</f>
        <v>3</v>
      </c>
      <c r="D3510" s="4">
        <f>WEEKNUM(datos_ventas[[#This Row],[Fecha]],2)</f>
        <v>11</v>
      </c>
      <c r="E3510" t="s">
        <v>17</v>
      </c>
      <c r="F3510" t="s">
        <v>18</v>
      </c>
      <c r="G3510">
        <v>1</v>
      </c>
      <c r="H3510">
        <v>713</v>
      </c>
      <c r="I3510">
        <v>4814</v>
      </c>
      <c r="J3510" t="s">
        <v>22</v>
      </c>
      <c r="K3510" t="str">
        <f>_xlfn.XLOOKUP(datos_ventas[[#This Row],[Ciudad]],Tabla2[Ciudades],Tabla2[Provincias],"no se encuentra")</f>
        <v>Valencia</v>
      </c>
      <c r="L3510" t="str">
        <f>_xlfn.XLOOKUP(datos_ventas[[#This Row],[Provincia]],Tabla2[Provincias],Tabla2[Comunidades],"no se encuentra")</f>
        <v>Comunidad Valenciana</v>
      </c>
      <c r="M3510" t="s">
        <v>28</v>
      </c>
      <c r="N3510">
        <v>1</v>
      </c>
    </row>
    <row r="3511" spans="1:14" x14ac:dyDescent="0.25">
      <c r="A3511">
        <v>4510</v>
      </c>
      <c r="B3511" s="1">
        <v>45916</v>
      </c>
      <c r="C3511" s="4">
        <f>MONTH(datos_ventas[[#This Row],[Fecha]])</f>
        <v>9</v>
      </c>
      <c r="D3511" s="4">
        <f>WEEKNUM(datos_ventas[[#This Row],[Fecha]],2)</f>
        <v>38</v>
      </c>
      <c r="E3511" t="s">
        <v>24</v>
      </c>
      <c r="F3511" t="s">
        <v>25</v>
      </c>
      <c r="G3511">
        <v>1</v>
      </c>
      <c r="H3511">
        <v>10538</v>
      </c>
      <c r="I3511">
        <v>4412</v>
      </c>
      <c r="J3511" t="s">
        <v>31</v>
      </c>
      <c r="K3511" t="str">
        <f>_xlfn.XLOOKUP(datos_ventas[[#This Row],[Ciudad]],Tabla2[Ciudades],Tabla2[Provincias],"no se encuentra")</f>
        <v>Vizcaya</v>
      </c>
      <c r="L3511" t="str">
        <f>_xlfn.XLOOKUP(datos_ventas[[#This Row],[Provincia]],Tabla2[Provincias],Tabla2[Comunidades],"no se encuentra")</f>
        <v>País Vasco</v>
      </c>
      <c r="M3511" t="s">
        <v>15</v>
      </c>
      <c r="N3511">
        <v>2</v>
      </c>
    </row>
    <row r="3512" spans="1:14" x14ac:dyDescent="0.25">
      <c r="A3512">
        <v>4511</v>
      </c>
      <c r="B3512" s="1">
        <v>45840</v>
      </c>
      <c r="C3512" s="4">
        <f>MONTH(datos_ventas[[#This Row],[Fecha]])</f>
        <v>7</v>
      </c>
      <c r="D3512" s="4">
        <f>WEEKNUM(datos_ventas[[#This Row],[Fecha]],2)</f>
        <v>27</v>
      </c>
      <c r="E3512" t="s">
        <v>23</v>
      </c>
      <c r="F3512" t="s">
        <v>18</v>
      </c>
      <c r="G3512">
        <v>3</v>
      </c>
      <c r="H3512">
        <v>6307</v>
      </c>
      <c r="I3512">
        <v>3119</v>
      </c>
      <c r="J3512" t="s">
        <v>12</v>
      </c>
      <c r="K3512" t="str">
        <f>_xlfn.XLOOKUP(datos_ventas[[#This Row],[Ciudad]],Tabla2[Ciudades],Tabla2[Provincias],"no se encuentra")</f>
        <v>Málaga</v>
      </c>
      <c r="L3512" t="str">
        <f>_xlfn.XLOOKUP(datos_ventas[[#This Row],[Provincia]],Tabla2[Provincias],Tabla2[Comunidades],"no se encuentra")</f>
        <v>Andalucía</v>
      </c>
      <c r="M3512" t="s">
        <v>13</v>
      </c>
      <c r="N3512">
        <v>5</v>
      </c>
    </row>
    <row r="3513" spans="1:14" x14ac:dyDescent="0.25">
      <c r="A3513">
        <v>4512</v>
      </c>
      <c r="B3513" s="1">
        <v>45985</v>
      </c>
      <c r="C3513" s="4">
        <f>MONTH(datos_ventas[[#This Row],[Fecha]])</f>
        <v>11</v>
      </c>
      <c r="D3513" s="4">
        <f>WEEKNUM(datos_ventas[[#This Row],[Fecha]],2)</f>
        <v>48</v>
      </c>
      <c r="E3513" t="s">
        <v>24</v>
      </c>
      <c r="F3513" t="s">
        <v>25</v>
      </c>
      <c r="G3513">
        <v>3</v>
      </c>
      <c r="H3513">
        <v>61786</v>
      </c>
      <c r="I3513">
        <v>565</v>
      </c>
      <c r="J3513" t="s">
        <v>31</v>
      </c>
      <c r="K3513" t="str">
        <f>_xlfn.XLOOKUP(datos_ventas[[#This Row],[Ciudad]],Tabla2[Ciudades],Tabla2[Provincias],"no se encuentra")</f>
        <v>Vizcaya</v>
      </c>
      <c r="L3513" t="str">
        <f>_xlfn.XLOOKUP(datos_ventas[[#This Row],[Provincia]],Tabla2[Provincias],Tabla2[Comunidades],"no se encuentra")</f>
        <v>País Vasco</v>
      </c>
      <c r="M3513" t="s">
        <v>15</v>
      </c>
      <c r="N3513">
        <v>3</v>
      </c>
    </row>
    <row r="3514" spans="1:14" x14ac:dyDescent="0.25">
      <c r="A3514">
        <v>4513</v>
      </c>
      <c r="B3514" s="1">
        <v>45781</v>
      </c>
      <c r="C3514" s="4">
        <f>MONTH(datos_ventas[[#This Row],[Fecha]])</f>
        <v>5</v>
      </c>
      <c r="D3514" s="4">
        <f>WEEKNUM(datos_ventas[[#This Row],[Fecha]],2)</f>
        <v>18</v>
      </c>
      <c r="E3514" t="s">
        <v>29</v>
      </c>
      <c r="F3514" t="s">
        <v>30</v>
      </c>
      <c r="G3514">
        <v>3</v>
      </c>
      <c r="H3514">
        <v>53349</v>
      </c>
      <c r="I3514">
        <v>3892</v>
      </c>
      <c r="J3514" t="s">
        <v>27</v>
      </c>
      <c r="K3514" t="str">
        <f>_xlfn.XLOOKUP(datos_ventas[[#This Row],[Ciudad]],Tabla2[Ciudades],Tabla2[Provincias],"no se encuentra")</f>
        <v>Sevilla</v>
      </c>
      <c r="L3514" t="str">
        <f>_xlfn.XLOOKUP(datos_ventas[[#This Row],[Provincia]],Tabla2[Provincias],Tabla2[Comunidades],"no se encuentra")</f>
        <v>Andalucía</v>
      </c>
      <c r="M3514" t="s">
        <v>15</v>
      </c>
      <c r="N3514">
        <v>2</v>
      </c>
    </row>
    <row r="3515" spans="1:14" x14ac:dyDescent="0.25">
      <c r="A3515">
        <v>4514</v>
      </c>
      <c r="B3515" s="1">
        <v>45959</v>
      </c>
      <c r="C3515" s="4">
        <f>MONTH(datos_ventas[[#This Row],[Fecha]])</f>
        <v>10</v>
      </c>
      <c r="D3515" s="4">
        <f>WEEKNUM(datos_ventas[[#This Row],[Fecha]],2)</f>
        <v>44</v>
      </c>
      <c r="E3515" t="s">
        <v>24</v>
      </c>
      <c r="F3515" t="s">
        <v>25</v>
      </c>
      <c r="G3515">
        <v>1</v>
      </c>
      <c r="H3515">
        <v>36112</v>
      </c>
      <c r="I3515">
        <v>1748</v>
      </c>
      <c r="J3515" t="s">
        <v>27</v>
      </c>
      <c r="K3515" t="str">
        <f>_xlfn.XLOOKUP(datos_ventas[[#This Row],[Ciudad]],Tabla2[Ciudades],Tabla2[Provincias],"no se encuentra")</f>
        <v>Sevilla</v>
      </c>
      <c r="L3515" t="str">
        <f>_xlfn.XLOOKUP(datos_ventas[[#This Row],[Provincia]],Tabla2[Provincias],Tabla2[Comunidades],"no se encuentra")</f>
        <v>Andalucía</v>
      </c>
      <c r="M3515" t="s">
        <v>13</v>
      </c>
      <c r="N3515">
        <v>1</v>
      </c>
    </row>
    <row r="3516" spans="1:14" x14ac:dyDescent="0.25">
      <c r="A3516">
        <v>4515</v>
      </c>
      <c r="B3516" s="1">
        <v>45894</v>
      </c>
      <c r="C3516" s="4">
        <f>MONTH(datos_ventas[[#This Row],[Fecha]])</f>
        <v>8</v>
      </c>
      <c r="D3516" s="4">
        <f>WEEKNUM(datos_ventas[[#This Row],[Fecha]],2)</f>
        <v>35</v>
      </c>
      <c r="E3516" t="s">
        <v>23</v>
      </c>
      <c r="F3516" t="s">
        <v>18</v>
      </c>
      <c r="G3516">
        <v>4</v>
      </c>
      <c r="H3516">
        <v>39417</v>
      </c>
      <c r="I3516">
        <v>3609</v>
      </c>
      <c r="J3516" t="s">
        <v>32</v>
      </c>
      <c r="K3516" t="str">
        <f>_xlfn.XLOOKUP(datos_ventas[[#This Row],[Ciudad]],Tabla2[Ciudades],Tabla2[Provincias],"no se encuentra")</f>
        <v>Barcelona</v>
      </c>
      <c r="L3516" t="str">
        <f>_xlfn.XLOOKUP(datos_ventas[[#This Row],[Provincia]],Tabla2[Provincias],Tabla2[Comunidades],"no se encuentra")</f>
        <v>Cataluña</v>
      </c>
      <c r="M3516" t="s">
        <v>19</v>
      </c>
      <c r="N3516">
        <v>1</v>
      </c>
    </row>
    <row r="3517" spans="1:14" x14ac:dyDescent="0.25">
      <c r="A3517">
        <v>4516</v>
      </c>
      <c r="B3517" s="1">
        <v>45853</v>
      </c>
      <c r="C3517" s="4">
        <f>MONTH(datos_ventas[[#This Row],[Fecha]])</f>
        <v>7</v>
      </c>
      <c r="D3517" s="4">
        <f>WEEKNUM(datos_ventas[[#This Row],[Fecha]],2)</f>
        <v>29</v>
      </c>
      <c r="E3517" t="s">
        <v>29</v>
      </c>
      <c r="F3517" t="s">
        <v>30</v>
      </c>
      <c r="G3517">
        <v>5</v>
      </c>
      <c r="H3517">
        <v>12464</v>
      </c>
      <c r="I3517">
        <v>4656</v>
      </c>
      <c r="J3517" t="s">
        <v>27</v>
      </c>
      <c r="K3517" t="str">
        <f>_xlfn.XLOOKUP(datos_ventas[[#This Row],[Ciudad]],Tabla2[Ciudades],Tabla2[Provincias],"no se encuentra")</f>
        <v>Sevilla</v>
      </c>
      <c r="L3517" t="str">
        <f>_xlfn.XLOOKUP(datos_ventas[[#This Row],[Provincia]],Tabla2[Provincias],Tabla2[Comunidades],"no se encuentra")</f>
        <v>Andalucía</v>
      </c>
      <c r="M3517" t="s">
        <v>19</v>
      </c>
      <c r="N3517">
        <v>5</v>
      </c>
    </row>
    <row r="3518" spans="1:14" x14ac:dyDescent="0.25">
      <c r="A3518">
        <v>4517</v>
      </c>
      <c r="B3518" s="1">
        <v>45922</v>
      </c>
      <c r="C3518" s="4">
        <f>MONTH(datos_ventas[[#This Row],[Fecha]])</f>
        <v>9</v>
      </c>
      <c r="D3518" s="4">
        <f>WEEKNUM(datos_ventas[[#This Row],[Fecha]],2)</f>
        <v>39</v>
      </c>
      <c r="E3518" t="s">
        <v>16</v>
      </c>
      <c r="F3518" t="s">
        <v>11</v>
      </c>
      <c r="G3518">
        <v>4</v>
      </c>
      <c r="H3518">
        <v>9798</v>
      </c>
      <c r="I3518">
        <v>299</v>
      </c>
      <c r="J3518" t="s">
        <v>27</v>
      </c>
      <c r="K3518" t="str">
        <f>_xlfn.XLOOKUP(datos_ventas[[#This Row],[Ciudad]],Tabla2[Ciudades],Tabla2[Provincias],"no se encuentra")</f>
        <v>Sevilla</v>
      </c>
      <c r="L3518" t="str">
        <f>_xlfn.XLOOKUP(datos_ventas[[#This Row],[Provincia]],Tabla2[Provincias],Tabla2[Comunidades],"no se encuentra")</f>
        <v>Andalucía</v>
      </c>
      <c r="M3518" t="s">
        <v>15</v>
      </c>
      <c r="N3518">
        <v>4</v>
      </c>
    </row>
    <row r="3519" spans="1:14" x14ac:dyDescent="0.25">
      <c r="A3519">
        <v>4518</v>
      </c>
      <c r="B3519" s="1">
        <v>45894</v>
      </c>
      <c r="C3519" s="4">
        <f>MONTH(datos_ventas[[#This Row],[Fecha]])</f>
        <v>8</v>
      </c>
      <c r="D3519" s="4">
        <f>WEEKNUM(datos_ventas[[#This Row],[Fecha]],2)</f>
        <v>35</v>
      </c>
      <c r="E3519" t="s">
        <v>24</v>
      </c>
      <c r="F3519" t="s">
        <v>25</v>
      </c>
      <c r="G3519">
        <v>1</v>
      </c>
      <c r="H3519">
        <v>119609</v>
      </c>
      <c r="I3519">
        <v>3746</v>
      </c>
      <c r="J3519" t="s">
        <v>31</v>
      </c>
      <c r="K3519" t="str">
        <f>_xlfn.XLOOKUP(datos_ventas[[#This Row],[Ciudad]],Tabla2[Ciudades],Tabla2[Provincias],"no se encuentra")</f>
        <v>Vizcaya</v>
      </c>
      <c r="L3519" t="str">
        <f>_xlfn.XLOOKUP(datos_ventas[[#This Row],[Provincia]],Tabla2[Provincias],Tabla2[Comunidades],"no se encuentra")</f>
        <v>País Vasco</v>
      </c>
      <c r="M3519" t="s">
        <v>13</v>
      </c>
      <c r="N3519">
        <v>5</v>
      </c>
    </row>
    <row r="3520" spans="1:14" x14ac:dyDescent="0.25">
      <c r="A3520">
        <v>4519</v>
      </c>
      <c r="B3520" s="1">
        <v>45815</v>
      </c>
      <c r="C3520" s="4">
        <f>MONTH(datos_ventas[[#This Row],[Fecha]])</f>
        <v>6</v>
      </c>
      <c r="D3520" s="4">
        <f>WEEKNUM(datos_ventas[[#This Row],[Fecha]],2)</f>
        <v>23</v>
      </c>
      <c r="E3520" t="s">
        <v>24</v>
      </c>
      <c r="F3520" t="s">
        <v>25</v>
      </c>
      <c r="G3520">
        <v>3</v>
      </c>
      <c r="H3520">
        <v>48702</v>
      </c>
      <c r="I3520">
        <v>4659</v>
      </c>
      <c r="J3520" t="s">
        <v>27</v>
      </c>
      <c r="K3520" t="str">
        <f>_xlfn.XLOOKUP(datos_ventas[[#This Row],[Ciudad]],Tabla2[Ciudades],Tabla2[Provincias],"no se encuentra")</f>
        <v>Sevilla</v>
      </c>
      <c r="L3520" t="str">
        <f>_xlfn.XLOOKUP(datos_ventas[[#This Row],[Provincia]],Tabla2[Provincias],Tabla2[Comunidades],"no se encuentra")</f>
        <v>Andalucía</v>
      </c>
      <c r="M3520" t="s">
        <v>15</v>
      </c>
      <c r="N3520">
        <v>2</v>
      </c>
    </row>
    <row r="3521" spans="1:14" x14ac:dyDescent="0.25">
      <c r="A3521">
        <v>4520</v>
      </c>
      <c r="B3521" s="1">
        <v>45934</v>
      </c>
      <c r="C3521" s="4">
        <f>MONTH(datos_ventas[[#This Row],[Fecha]])</f>
        <v>10</v>
      </c>
      <c r="D3521" s="4">
        <f>WEEKNUM(datos_ventas[[#This Row],[Fecha]],2)</f>
        <v>40</v>
      </c>
      <c r="E3521" t="s">
        <v>24</v>
      </c>
      <c r="F3521" t="s">
        <v>25</v>
      </c>
      <c r="G3521">
        <v>4</v>
      </c>
      <c r="H3521">
        <v>68104</v>
      </c>
      <c r="I3521">
        <v>1464</v>
      </c>
      <c r="J3521" t="s">
        <v>22</v>
      </c>
      <c r="K3521" t="str">
        <f>_xlfn.XLOOKUP(datos_ventas[[#This Row],[Ciudad]],Tabla2[Ciudades],Tabla2[Provincias],"no se encuentra")</f>
        <v>Valencia</v>
      </c>
      <c r="L3521" t="str">
        <f>_xlfn.XLOOKUP(datos_ventas[[#This Row],[Provincia]],Tabla2[Provincias],Tabla2[Comunidades],"no se encuentra")</f>
        <v>Comunidad Valenciana</v>
      </c>
      <c r="M3521" t="s">
        <v>19</v>
      </c>
      <c r="N3521">
        <v>4</v>
      </c>
    </row>
    <row r="3522" spans="1:14" x14ac:dyDescent="0.25">
      <c r="A3522">
        <v>4521</v>
      </c>
      <c r="B3522" s="1">
        <v>45764</v>
      </c>
      <c r="C3522" s="4">
        <f>MONTH(datos_ventas[[#This Row],[Fecha]])</f>
        <v>4</v>
      </c>
      <c r="D3522" s="4">
        <f>WEEKNUM(datos_ventas[[#This Row],[Fecha]],2)</f>
        <v>16</v>
      </c>
      <c r="E3522" t="s">
        <v>17</v>
      </c>
      <c r="F3522" t="s">
        <v>18</v>
      </c>
      <c r="G3522">
        <v>4</v>
      </c>
      <c r="H3522">
        <v>14905</v>
      </c>
      <c r="I3522">
        <v>1188</v>
      </c>
      <c r="J3522" t="s">
        <v>27</v>
      </c>
      <c r="K3522" t="str">
        <f>_xlfn.XLOOKUP(datos_ventas[[#This Row],[Ciudad]],Tabla2[Ciudades],Tabla2[Provincias],"no se encuentra")</f>
        <v>Sevilla</v>
      </c>
      <c r="L3522" t="str">
        <f>_xlfn.XLOOKUP(datos_ventas[[#This Row],[Provincia]],Tabla2[Provincias],Tabla2[Comunidades],"no se encuentra")</f>
        <v>Andalucía</v>
      </c>
      <c r="M3522" t="s">
        <v>19</v>
      </c>
      <c r="N3522">
        <v>2</v>
      </c>
    </row>
    <row r="3523" spans="1:14" x14ac:dyDescent="0.25">
      <c r="A3523">
        <v>4522</v>
      </c>
      <c r="B3523" s="1">
        <v>45796</v>
      </c>
      <c r="C3523" s="4">
        <f>MONTH(datos_ventas[[#This Row],[Fecha]])</f>
        <v>5</v>
      </c>
      <c r="D3523" s="4">
        <f>WEEKNUM(datos_ventas[[#This Row],[Fecha]],2)</f>
        <v>21</v>
      </c>
      <c r="E3523" t="s">
        <v>23</v>
      </c>
      <c r="F3523" t="s">
        <v>18</v>
      </c>
      <c r="G3523">
        <v>2</v>
      </c>
      <c r="H3523">
        <v>8187</v>
      </c>
      <c r="I3523">
        <v>2162</v>
      </c>
      <c r="J3523" t="s">
        <v>12</v>
      </c>
      <c r="K3523" t="str">
        <f>_xlfn.XLOOKUP(datos_ventas[[#This Row],[Ciudad]],Tabla2[Ciudades],Tabla2[Provincias],"no se encuentra")</f>
        <v>Málaga</v>
      </c>
      <c r="L3523" t="str">
        <f>_xlfn.XLOOKUP(datos_ventas[[#This Row],[Provincia]],Tabla2[Provincias],Tabla2[Comunidades],"no se encuentra")</f>
        <v>Andalucía</v>
      </c>
      <c r="M3523" t="s">
        <v>19</v>
      </c>
      <c r="N3523">
        <v>5</v>
      </c>
    </row>
    <row r="3524" spans="1:14" x14ac:dyDescent="0.25">
      <c r="A3524">
        <v>4523</v>
      </c>
      <c r="B3524" s="1">
        <v>45706</v>
      </c>
      <c r="C3524" s="4">
        <f>MONTH(datos_ventas[[#This Row],[Fecha]])</f>
        <v>2</v>
      </c>
      <c r="D3524" s="4">
        <f>WEEKNUM(datos_ventas[[#This Row],[Fecha]],2)</f>
        <v>8</v>
      </c>
      <c r="E3524" t="s">
        <v>26</v>
      </c>
      <c r="F3524" t="s">
        <v>18</v>
      </c>
      <c r="G3524">
        <v>4</v>
      </c>
      <c r="H3524">
        <v>77604</v>
      </c>
      <c r="I3524">
        <v>3352</v>
      </c>
      <c r="J3524" t="s">
        <v>14</v>
      </c>
      <c r="K3524" t="str">
        <f>_xlfn.XLOOKUP(datos_ventas[[#This Row],[Ciudad]],Tabla2[Ciudades],Tabla2[Provincias],"no se encuentra")</f>
        <v>Madrid</v>
      </c>
      <c r="L3524" t="str">
        <f>_xlfn.XLOOKUP(datos_ventas[[#This Row],[Provincia]],Tabla2[Provincias],Tabla2[Comunidades],"no se encuentra")</f>
        <v>Comunidad de Madrid</v>
      </c>
      <c r="M3524" t="s">
        <v>13</v>
      </c>
      <c r="N3524">
        <v>1</v>
      </c>
    </row>
    <row r="3525" spans="1:14" x14ac:dyDescent="0.25">
      <c r="A3525">
        <v>4524</v>
      </c>
      <c r="B3525" s="1">
        <v>45807</v>
      </c>
      <c r="C3525" s="4">
        <f>MONTH(datos_ventas[[#This Row],[Fecha]])</f>
        <v>5</v>
      </c>
      <c r="D3525" s="4">
        <f>WEEKNUM(datos_ventas[[#This Row],[Fecha]],2)</f>
        <v>22</v>
      </c>
      <c r="E3525" t="s">
        <v>24</v>
      </c>
      <c r="F3525" t="s">
        <v>25</v>
      </c>
      <c r="G3525">
        <v>5</v>
      </c>
      <c r="H3525">
        <v>5221</v>
      </c>
      <c r="I3525">
        <v>2465</v>
      </c>
      <c r="J3525" t="s">
        <v>22</v>
      </c>
      <c r="K3525" t="str">
        <f>_xlfn.XLOOKUP(datos_ventas[[#This Row],[Ciudad]],Tabla2[Ciudades],Tabla2[Provincias],"no se encuentra")</f>
        <v>Valencia</v>
      </c>
      <c r="L3525" t="str">
        <f>_xlfn.XLOOKUP(datos_ventas[[#This Row],[Provincia]],Tabla2[Provincias],Tabla2[Comunidades],"no se encuentra")</f>
        <v>Comunidad Valenciana</v>
      </c>
      <c r="M3525" t="s">
        <v>15</v>
      </c>
      <c r="N3525">
        <v>4</v>
      </c>
    </row>
    <row r="3526" spans="1:14" x14ac:dyDescent="0.25">
      <c r="A3526">
        <v>4525</v>
      </c>
      <c r="B3526" s="1">
        <v>45783</v>
      </c>
      <c r="C3526" s="4">
        <f>MONTH(datos_ventas[[#This Row],[Fecha]])</f>
        <v>5</v>
      </c>
      <c r="D3526" s="4">
        <f>WEEKNUM(datos_ventas[[#This Row],[Fecha]],2)</f>
        <v>19</v>
      </c>
      <c r="E3526" t="s">
        <v>10</v>
      </c>
      <c r="F3526" t="s">
        <v>11</v>
      </c>
      <c r="G3526">
        <v>4</v>
      </c>
      <c r="H3526">
        <v>118316</v>
      </c>
      <c r="I3526">
        <v>2098</v>
      </c>
      <c r="J3526" t="s">
        <v>31</v>
      </c>
      <c r="K3526" t="str">
        <f>_xlfn.XLOOKUP(datos_ventas[[#This Row],[Ciudad]],Tabla2[Ciudades],Tabla2[Provincias],"no se encuentra")</f>
        <v>Vizcaya</v>
      </c>
      <c r="L3526" t="str">
        <f>_xlfn.XLOOKUP(datos_ventas[[#This Row],[Provincia]],Tabla2[Provincias],Tabla2[Comunidades],"no se encuentra")</f>
        <v>País Vasco</v>
      </c>
      <c r="M3526" t="s">
        <v>28</v>
      </c>
      <c r="N3526">
        <v>2</v>
      </c>
    </row>
    <row r="3527" spans="1:14" x14ac:dyDescent="0.25">
      <c r="A3527">
        <v>4526</v>
      </c>
      <c r="B3527" s="1">
        <v>45868</v>
      </c>
      <c r="C3527" s="4">
        <f>MONTH(datos_ventas[[#This Row],[Fecha]])</f>
        <v>7</v>
      </c>
      <c r="D3527" s="4">
        <f>WEEKNUM(datos_ventas[[#This Row],[Fecha]],2)</f>
        <v>31</v>
      </c>
      <c r="E3527" t="s">
        <v>23</v>
      </c>
      <c r="F3527" t="s">
        <v>18</v>
      </c>
      <c r="G3527">
        <v>4</v>
      </c>
      <c r="H3527">
        <v>51006</v>
      </c>
      <c r="I3527">
        <v>1355</v>
      </c>
      <c r="J3527" t="s">
        <v>14</v>
      </c>
      <c r="K3527" t="str">
        <f>_xlfn.XLOOKUP(datos_ventas[[#This Row],[Ciudad]],Tabla2[Ciudades],Tabla2[Provincias],"no se encuentra")</f>
        <v>Madrid</v>
      </c>
      <c r="L3527" t="str">
        <f>_xlfn.XLOOKUP(datos_ventas[[#This Row],[Provincia]],Tabla2[Provincias],Tabla2[Comunidades],"no se encuentra")</f>
        <v>Comunidad de Madrid</v>
      </c>
      <c r="M3527" t="s">
        <v>19</v>
      </c>
      <c r="N3527">
        <v>3</v>
      </c>
    </row>
    <row r="3528" spans="1:14" x14ac:dyDescent="0.25">
      <c r="A3528">
        <v>4527</v>
      </c>
      <c r="B3528" s="1">
        <v>45801</v>
      </c>
      <c r="C3528" s="4">
        <f>MONTH(datos_ventas[[#This Row],[Fecha]])</f>
        <v>5</v>
      </c>
      <c r="D3528" s="4">
        <f>WEEKNUM(datos_ventas[[#This Row],[Fecha]],2)</f>
        <v>21</v>
      </c>
      <c r="E3528" t="s">
        <v>17</v>
      </c>
      <c r="F3528" t="s">
        <v>18</v>
      </c>
      <c r="G3528">
        <v>3</v>
      </c>
      <c r="H3528">
        <v>85855</v>
      </c>
      <c r="I3528">
        <v>4073</v>
      </c>
      <c r="J3528" t="s">
        <v>31</v>
      </c>
      <c r="K3528" t="str">
        <f>_xlfn.XLOOKUP(datos_ventas[[#This Row],[Ciudad]],Tabla2[Ciudades],Tabla2[Provincias],"no se encuentra")</f>
        <v>Vizcaya</v>
      </c>
      <c r="L3528" t="str">
        <f>_xlfn.XLOOKUP(datos_ventas[[#This Row],[Provincia]],Tabla2[Provincias],Tabla2[Comunidades],"no se encuentra")</f>
        <v>País Vasco</v>
      </c>
      <c r="M3528" t="s">
        <v>15</v>
      </c>
      <c r="N3528">
        <v>2</v>
      </c>
    </row>
    <row r="3529" spans="1:14" x14ac:dyDescent="0.25">
      <c r="A3529">
        <v>4528</v>
      </c>
      <c r="B3529" s="1">
        <v>45972</v>
      </c>
      <c r="C3529" s="4">
        <f>MONTH(datos_ventas[[#This Row],[Fecha]])</f>
        <v>11</v>
      </c>
      <c r="D3529" s="4">
        <f>WEEKNUM(datos_ventas[[#This Row],[Fecha]],2)</f>
        <v>46</v>
      </c>
      <c r="E3529" t="s">
        <v>23</v>
      </c>
      <c r="F3529" t="s">
        <v>18</v>
      </c>
      <c r="G3529">
        <v>3</v>
      </c>
      <c r="H3529">
        <v>26051</v>
      </c>
      <c r="I3529">
        <v>3772</v>
      </c>
      <c r="J3529" t="s">
        <v>12</v>
      </c>
      <c r="K3529" t="str">
        <f>_xlfn.XLOOKUP(datos_ventas[[#This Row],[Ciudad]],Tabla2[Ciudades],Tabla2[Provincias],"no se encuentra")</f>
        <v>Málaga</v>
      </c>
      <c r="L3529" t="str">
        <f>_xlfn.XLOOKUP(datos_ventas[[#This Row],[Provincia]],Tabla2[Provincias],Tabla2[Comunidades],"no se encuentra")</f>
        <v>Andalucía</v>
      </c>
      <c r="M3529" t="s">
        <v>13</v>
      </c>
      <c r="N3529">
        <v>4</v>
      </c>
    </row>
    <row r="3530" spans="1:14" x14ac:dyDescent="0.25">
      <c r="A3530">
        <v>4529</v>
      </c>
      <c r="B3530" s="1">
        <v>45768</v>
      </c>
      <c r="C3530" s="4">
        <f>MONTH(datos_ventas[[#This Row],[Fecha]])</f>
        <v>4</v>
      </c>
      <c r="D3530" s="4">
        <f>WEEKNUM(datos_ventas[[#This Row],[Fecha]],2)</f>
        <v>17</v>
      </c>
      <c r="E3530" t="s">
        <v>10</v>
      </c>
      <c r="F3530" t="s">
        <v>11</v>
      </c>
      <c r="G3530">
        <v>3</v>
      </c>
      <c r="H3530">
        <v>44019</v>
      </c>
      <c r="I3530">
        <v>1808</v>
      </c>
      <c r="J3530" t="s">
        <v>32</v>
      </c>
      <c r="K3530" t="str">
        <f>_xlfn.XLOOKUP(datos_ventas[[#This Row],[Ciudad]],Tabla2[Ciudades],Tabla2[Provincias],"no se encuentra")</f>
        <v>Barcelona</v>
      </c>
      <c r="L3530" t="str">
        <f>_xlfn.XLOOKUP(datos_ventas[[#This Row],[Provincia]],Tabla2[Provincias],Tabla2[Comunidades],"no se encuentra")</f>
        <v>Cataluña</v>
      </c>
      <c r="M3530" t="s">
        <v>15</v>
      </c>
      <c r="N3530">
        <v>4</v>
      </c>
    </row>
    <row r="3531" spans="1:14" x14ac:dyDescent="0.25">
      <c r="A3531">
        <v>4530</v>
      </c>
      <c r="B3531" s="1">
        <v>45780</v>
      </c>
      <c r="C3531" s="4">
        <f>MONTH(datos_ventas[[#This Row],[Fecha]])</f>
        <v>5</v>
      </c>
      <c r="D3531" s="4">
        <f>WEEKNUM(datos_ventas[[#This Row],[Fecha]],2)</f>
        <v>18</v>
      </c>
      <c r="E3531" t="s">
        <v>29</v>
      </c>
      <c r="F3531" t="s">
        <v>30</v>
      </c>
      <c r="G3531">
        <v>5</v>
      </c>
      <c r="H3531">
        <v>108251</v>
      </c>
      <c r="I3531">
        <v>3701</v>
      </c>
      <c r="J3531" t="s">
        <v>31</v>
      </c>
      <c r="K3531" t="str">
        <f>_xlfn.XLOOKUP(datos_ventas[[#This Row],[Ciudad]],Tabla2[Ciudades],Tabla2[Provincias],"no se encuentra")</f>
        <v>Vizcaya</v>
      </c>
      <c r="L3531" t="str">
        <f>_xlfn.XLOOKUP(datos_ventas[[#This Row],[Provincia]],Tabla2[Provincias],Tabla2[Comunidades],"no se encuentra")</f>
        <v>País Vasco</v>
      </c>
      <c r="M3531" t="s">
        <v>28</v>
      </c>
      <c r="N3531">
        <v>1</v>
      </c>
    </row>
    <row r="3532" spans="1:14" x14ac:dyDescent="0.25">
      <c r="A3532">
        <v>4531</v>
      </c>
      <c r="B3532" s="1">
        <v>45804</v>
      </c>
      <c r="C3532" s="4">
        <f>MONTH(datos_ventas[[#This Row],[Fecha]])</f>
        <v>5</v>
      </c>
      <c r="D3532" s="4">
        <f>WEEKNUM(datos_ventas[[#This Row],[Fecha]],2)</f>
        <v>22</v>
      </c>
      <c r="E3532" t="s">
        <v>17</v>
      </c>
      <c r="F3532" t="s">
        <v>18</v>
      </c>
      <c r="G3532">
        <v>4</v>
      </c>
      <c r="H3532">
        <v>52052</v>
      </c>
      <c r="I3532">
        <v>121</v>
      </c>
      <c r="J3532" t="s">
        <v>22</v>
      </c>
      <c r="K3532" t="str">
        <f>_xlfn.XLOOKUP(datos_ventas[[#This Row],[Ciudad]],Tabla2[Ciudades],Tabla2[Provincias],"no se encuentra")</f>
        <v>Valencia</v>
      </c>
      <c r="L3532" t="str">
        <f>_xlfn.XLOOKUP(datos_ventas[[#This Row],[Provincia]],Tabla2[Provincias],Tabla2[Comunidades],"no se encuentra")</f>
        <v>Comunidad Valenciana</v>
      </c>
      <c r="M3532" t="s">
        <v>13</v>
      </c>
      <c r="N3532">
        <v>3</v>
      </c>
    </row>
    <row r="3533" spans="1:14" x14ac:dyDescent="0.25">
      <c r="A3533">
        <v>4532</v>
      </c>
      <c r="B3533" s="1">
        <v>45929</v>
      </c>
      <c r="C3533" s="4">
        <f>MONTH(datos_ventas[[#This Row],[Fecha]])</f>
        <v>9</v>
      </c>
      <c r="D3533" s="4">
        <f>WEEKNUM(datos_ventas[[#This Row],[Fecha]],2)</f>
        <v>40</v>
      </c>
      <c r="E3533" t="s">
        <v>26</v>
      </c>
      <c r="F3533" t="s">
        <v>18</v>
      </c>
      <c r="G3533">
        <v>1</v>
      </c>
      <c r="H3533">
        <v>84545</v>
      </c>
      <c r="I3533">
        <v>2184</v>
      </c>
      <c r="J3533" t="s">
        <v>14</v>
      </c>
      <c r="K3533" t="str">
        <f>_xlfn.XLOOKUP(datos_ventas[[#This Row],[Ciudad]],Tabla2[Ciudades],Tabla2[Provincias],"no se encuentra")</f>
        <v>Madrid</v>
      </c>
      <c r="L3533" t="str">
        <f>_xlfn.XLOOKUP(datos_ventas[[#This Row],[Provincia]],Tabla2[Provincias],Tabla2[Comunidades],"no se encuentra")</f>
        <v>Comunidad de Madrid</v>
      </c>
      <c r="M3533" t="s">
        <v>19</v>
      </c>
      <c r="N3533">
        <v>2</v>
      </c>
    </row>
    <row r="3534" spans="1:14" x14ac:dyDescent="0.25">
      <c r="A3534">
        <v>4533</v>
      </c>
      <c r="B3534" s="1">
        <v>45949</v>
      </c>
      <c r="C3534" s="4">
        <f>MONTH(datos_ventas[[#This Row],[Fecha]])</f>
        <v>10</v>
      </c>
      <c r="D3534" s="4">
        <f>WEEKNUM(datos_ventas[[#This Row],[Fecha]],2)</f>
        <v>42</v>
      </c>
      <c r="E3534" t="s">
        <v>24</v>
      </c>
      <c r="F3534" t="s">
        <v>25</v>
      </c>
      <c r="G3534">
        <v>5</v>
      </c>
      <c r="H3534">
        <v>6557</v>
      </c>
      <c r="I3534">
        <v>3899</v>
      </c>
      <c r="J3534" t="s">
        <v>31</v>
      </c>
      <c r="K3534" t="str">
        <f>_xlfn.XLOOKUP(datos_ventas[[#This Row],[Ciudad]],Tabla2[Ciudades],Tabla2[Provincias],"no se encuentra")</f>
        <v>Vizcaya</v>
      </c>
      <c r="L3534" t="str">
        <f>_xlfn.XLOOKUP(datos_ventas[[#This Row],[Provincia]],Tabla2[Provincias],Tabla2[Comunidades],"no se encuentra")</f>
        <v>País Vasco</v>
      </c>
      <c r="M3534" t="s">
        <v>19</v>
      </c>
      <c r="N3534">
        <v>5</v>
      </c>
    </row>
    <row r="3535" spans="1:14" x14ac:dyDescent="0.25">
      <c r="A3535">
        <v>4534</v>
      </c>
      <c r="B3535" s="1">
        <v>45748</v>
      </c>
      <c r="C3535" s="4">
        <f>MONTH(datos_ventas[[#This Row],[Fecha]])</f>
        <v>4</v>
      </c>
      <c r="D3535" s="4">
        <f>WEEKNUM(datos_ventas[[#This Row],[Fecha]],2)</f>
        <v>14</v>
      </c>
      <c r="E3535" t="s">
        <v>10</v>
      </c>
      <c r="F3535" t="s">
        <v>11</v>
      </c>
      <c r="G3535">
        <v>1</v>
      </c>
      <c r="H3535">
        <v>55515</v>
      </c>
      <c r="I3535">
        <v>666</v>
      </c>
      <c r="J3535" t="s">
        <v>22</v>
      </c>
      <c r="K3535" t="str">
        <f>_xlfn.XLOOKUP(datos_ventas[[#This Row],[Ciudad]],Tabla2[Ciudades],Tabla2[Provincias],"no se encuentra")</f>
        <v>Valencia</v>
      </c>
      <c r="L3535" t="str">
        <f>_xlfn.XLOOKUP(datos_ventas[[#This Row],[Provincia]],Tabla2[Provincias],Tabla2[Comunidades],"no se encuentra")</f>
        <v>Comunidad Valenciana</v>
      </c>
      <c r="M3535" t="s">
        <v>15</v>
      </c>
      <c r="N3535">
        <v>2</v>
      </c>
    </row>
    <row r="3536" spans="1:14" x14ac:dyDescent="0.25">
      <c r="A3536">
        <v>4535</v>
      </c>
      <c r="B3536" s="1">
        <v>46004</v>
      </c>
      <c r="C3536" s="4">
        <f>MONTH(datos_ventas[[#This Row],[Fecha]])</f>
        <v>12</v>
      </c>
      <c r="D3536" s="4">
        <f>WEEKNUM(datos_ventas[[#This Row],[Fecha]],2)</f>
        <v>50</v>
      </c>
      <c r="E3536" t="s">
        <v>24</v>
      </c>
      <c r="F3536" t="s">
        <v>25</v>
      </c>
      <c r="G3536">
        <v>5</v>
      </c>
      <c r="H3536">
        <v>102999</v>
      </c>
      <c r="I3536">
        <v>2386</v>
      </c>
      <c r="J3536" t="s">
        <v>14</v>
      </c>
      <c r="K3536" t="str">
        <f>_xlfn.XLOOKUP(datos_ventas[[#This Row],[Ciudad]],Tabla2[Ciudades],Tabla2[Provincias],"no se encuentra")</f>
        <v>Madrid</v>
      </c>
      <c r="L3536" t="str">
        <f>_xlfn.XLOOKUP(datos_ventas[[#This Row],[Provincia]],Tabla2[Provincias],Tabla2[Comunidades],"no se encuentra")</f>
        <v>Comunidad de Madrid</v>
      </c>
      <c r="M3536" t="s">
        <v>19</v>
      </c>
      <c r="N3536">
        <v>1</v>
      </c>
    </row>
    <row r="3537" spans="1:14" x14ac:dyDescent="0.25">
      <c r="A3537">
        <v>4536</v>
      </c>
      <c r="B3537" s="1">
        <v>45877</v>
      </c>
      <c r="C3537" s="4">
        <f>MONTH(datos_ventas[[#This Row],[Fecha]])</f>
        <v>8</v>
      </c>
      <c r="D3537" s="4">
        <f>WEEKNUM(datos_ventas[[#This Row],[Fecha]],2)</f>
        <v>32</v>
      </c>
      <c r="E3537" t="s">
        <v>29</v>
      </c>
      <c r="F3537" t="s">
        <v>30</v>
      </c>
      <c r="G3537">
        <v>1</v>
      </c>
      <c r="H3537">
        <v>12758</v>
      </c>
      <c r="I3537">
        <v>3869</v>
      </c>
      <c r="J3537" t="s">
        <v>27</v>
      </c>
      <c r="K3537" t="str">
        <f>_xlfn.XLOOKUP(datos_ventas[[#This Row],[Ciudad]],Tabla2[Ciudades],Tabla2[Provincias],"no se encuentra")</f>
        <v>Sevilla</v>
      </c>
      <c r="L3537" t="str">
        <f>_xlfn.XLOOKUP(datos_ventas[[#This Row],[Provincia]],Tabla2[Provincias],Tabla2[Comunidades],"no se encuentra")</f>
        <v>Andalucía</v>
      </c>
      <c r="M3537" t="s">
        <v>15</v>
      </c>
      <c r="N3537">
        <v>5</v>
      </c>
    </row>
    <row r="3538" spans="1:14" x14ac:dyDescent="0.25">
      <c r="A3538">
        <v>4537</v>
      </c>
      <c r="B3538" s="1">
        <v>45731</v>
      </c>
      <c r="C3538" s="4">
        <f>MONTH(datos_ventas[[#This Row],[Fecha]])</f>
        <v>3</v>
      </c>
      <c r="D3538" s="4">
        <f>WEEKNUM(datos_ventas[[#This Row],[Fecha]],2)</f>
        <v>11</v>
      </c>
      <c r="E3538" t="s">
        <v>16</v>
      </c>
      <c r="F3538" t="s">
        <v>11</v>
      </c>
      <c r="G3538">
        <v>3</v>
      </c>
      <c r="H3538">
        <v>1444</v>
      </c>
      <c r="I3538">
        <v>2019</v>
      </c>
      <c r="J3538" t="s">
        <v>12</v>
      </c>
      <c r="K3538" t="str">
        <f>_xlfn.XLOOKUP(datos_ventas[[#This Row],[Ciudad]],Tabla2[Ciudades],Tabla2[Provincias],"no se encuentra")</f>
        <v>Málaga</v>
      </c>
      <c r="L3538" t="str">
        <f>_xlfn.XLOOKUP(datos_ventas[[#This Row],[Provincia]],Tabla2[Provincias],Tabla2[Comunidades],"no se encuentra")</f>
        <v>Andalucía</v>
      </c>
      <c r="M3538" t="s">
        <v>15</v>
      </c>
      <c r="N3538">
        <v>5</v>
      </c>
    </row>
    <row r="3539" spans="1:14" x14ac:dyDescent="0.25">
      <c r="A3539">
        <v>4538</v>
      </c>
      <c r="B3539" s="1">
        <v>45913</v>
      </c>
      <c r="C3539" s="4">
        <f>MONTH(datos_ventas[[#This Row],[Fecha]])</f>
        <v>9</v>
      </c>
      <c r="D3539" s="4">
        <f>WEEKNUM(datos_ventas[[#This Row],[Fecha]],2)</f>
        <v>37</v>
      </c>
      <c r="E3539" t="s">
        <v>10</v>
      </c>
      <c r="F3539" t="s">
        <v>11</v>
      </c>
      <c r="G3539">
        <v>2</v>
      </c>
      <c r="H3539">
        <v>37657</v>
      </c>
      <c r="I3539">
        <v>2906</v>
      </c>
      <c r="J3539" t="s">
        <v>32</v>
      </c>
      <c r="K3539" t="str">
        <f>_xlfn.XLOOKUP(datos_ventas[[#This Row],[Ciudad]],Tabla2[Ciudades],Tabla2[Provincias],"no se encuentra")</f>
        <v>Barcelona</v>
      </c>
      <c r="L3539" t="str">
        <f>_xlfn.XLOOKUP(datos_ventas[[#This Row],[Provincia]],Tabla2[Provincias],Tabla2[Comunidades],"no se encuentra")</f>
        <v>Cataluña</v>
      </c>
      <c r="M3539" t="s">
        <v>28</v>
      </c>
      <c r="N3539">
        <v>3</v>
      </c>
    </row>
    <row r="3540" spans="1:14" x14ac:dyDescent="0.25">
      <c r="A3540">
        <v>4539</v>
      </c>
      <c r="B3540" s="1">
        <v>46005</v>
      </c>
      <c r="C3540" s="4">
        <f>MONTH(datos_ventas[[#This Row],[Fecha]])</f>
        <v>12</v>
      </c>
      <c r="D3540" s="4">
        <f>WEEKNUM(datos_ventas[[#This Row],[Fecha]],2)</f>
        <v>50</v>
      </c>
      <c r="E3540" t="s">
        <v>17</v>
      </c>
      <c r="F3540" t="s">
        <v>18</v>
      </c>
      <c r="G3540">
        <v>2</v>
      </c>
      <c r="H3540">
        <v>3138</v>
      </c>
      <c r="I3540">
        <v>2621</v>
      </c>
      <c r="J3540" t="s">
        <v>12</v>
      </c>
      <c r="K3540" t="str">
        <f>_xlfn.XLOOKUP(datos_ventas[[#This Row],[Ciudad]],Tabla2[Ciudades],Tabla2[Provincias],"no se encuentra")</f>
        <v>Málaga</v>
      </c>
      <c r="L3540" t="str">
        <f>_xlfn.XLOOKUP(datos_ventas[[#This Row],[Provincia]],Tabla2[Provincias],Tabla2[Comunidades],"no se encuentra")</f>
        <v>Andalucía</v>
      </c>
      <c r="M3540" t="s">
        <v>15</v>
      </c>
      <c r="N3540">
        <v>2</v>
      </c>
    </row>
    <row r="3541" spans="1:14" x14ac:dyDescent="0.25">
      <c r="A3541">
        <v>4540</v>
      </c>
      <c r="B3541" s="1">
        <v>45960</v>
      </c>
      <c r="C3541" s="4">
        <f>MONTH(datos_ventas[[#This Row],[Fecha]])</f>
        <v>10</v>
      </c>
      <c r="D3541" s="4">
        <f>WEEKNUM(datos_ventas[[#This Row],[Fecha]],2)</f>
        <v>44</v>
      </c>
      <c r="E3541" t="s">
        <v>29</v>
      </c>
      <c r="F3541" t="s">
        <v>30</v>
      </c>
      <c r="G3541">
        <v>3</v>
      </c>
      <c r="H3541">
        <v>1735</v>
      </c>
      <c r="I3541">
        <v>4108</v>
      </c>
      <c r="J3541" t="s">
        <v>14</v>
      </c>
      <c r="K3541" t="str">
        <f>_xlfn.XLOOKUP(datos_ventas[[#This Row],[Ciudad]],Tabla2[Ciudades],Tabla2[Provincias],"no se encuentra")</f>
        <v>Madrid</v>
      </c>
      <c r="L3541" t="str">
        <f>_xlfn.XLOOKUP(datos_ventas[[#This Row],[Provincia]],Tabla2[Provincias],Tabla2[Comunidades],"no se encuentra")</f>
        <v>Comunidad de Madrid</v>
      </c>
      <c r="M3541" t="s">
        <v>28</v>
      </c>
      <c r="N3541">
        <v>3</v>
      </c>
    </row>
    <row r="3542" spans="1:14" x14ac:dyDescent="0.25">
      <c r="A3542">
        <v>4541</v>
      </c>
      <c r="B3542" s="1">
        <v>45797</v>
      </c>
      <c r="C3542" s="4">
        <f>MONTH(datos_ventas[[#This Row],[Fecha]])</f>
        <v>5</v>
      </c>
      <c r="D3542" s="4">
        <f>WEEKNUM(datos_ventas[[#This Row],[Fecha]],2)</f>
        <v>21</v>
      </c>
      <c r="E3542" t="s">
        <v>29</v>
      </c>
      <c r="F3542" t="s">
        <v>30</v>
      </c>
      <c r="G3542">
        <v>3</v>
      </c>
      <c r="H3542">
        <v>109448</v>
      </c>
      <c r="I3542">
        <v>1145</v>
      </c>
      <c r="J3542" t="s">
        <v>31</v>
      </c>
      <c r="K3542" t="str">
        <f>_xlfn.XLOOKUP(datos_ventas[[#This Row],[Ciudad]],Tabla2[Ciudades],Tabla2[Provincias],"no se encuentra")</f>
        <v>Vizcaya</v>
      </c>
      <c r="L3542" t="str">
        <f>_xlfn.XLOOKUP(datos_ventas[[#This Row],[Provincia]],Tabla2[Provincias],Tabla2[Comunidades],"no se encuentra")</f>
        <v>País Vasco</v>
      </c>
      <c r="M3542" t="s">
        <v>28</v>
      </c>
      <c r="N3542">
        <v>1</v>
      </c>
    </row>
    <row r="3543" spans="1:14" x14ac:dyDescent="0.25">
      <c r="A3543">
        <v>4542</v>
      </c>
      <c r="B3543" s="1">
        <v>45844</v>
      </c>
      <c r="C3543" s="4">
        <f>MONTH(datos_ventas[[#This Row],[Fecha]])</f>
        <v>7</v>
      </c>
      <c r="D3543" s="4">
        <f>WEEKNUM(datos_ventas[[#This Row],[Fecha]],2)</f>
        <v>27</v>
      </c>
      <c r="E3543" t="s">
        <v>10</v>
      </c>
      <c r="F3543" t="s">
        <v>11</v>
      </c>
      <c r="G3543">
        <v>1</v>
      </c>
      <c r="H3543">
        <v>117733</v>
      </c>
      <c r="I3543">
        <v>672</v>
      </c>
      <c r="J3543" t="s">
        <v>32</v>
      </c>
      <c r="K3543" t="str">
        <f>_xlfn.XLOOKUP(datos_ventas[[#This Row],[Ciudad]],Tabla2[Ciudades],Tabla2[Provincias],"no se encuentra")</f>
        <v>Barcelona</v>
      </c>
      <c r="L3543" t="str">
        <f>_xlfn.XLOOKUP(datos_ventas[[#This Row],[Provincia]],Tabla2[Provincias],Tabla2[Comunidades],"no se encuentra")</f>
        <v>Cataluña</v>
      </c>
      <c r="M3543" t="s">
        <v>15</v>
      </c>
      <c r="N3543">
        <v>1</v>
      </c>
    </row>
    <row r="3544" spans="1:14" x14ac:dyDescent="0.25">
      <c r="A3544">
        <v>4543</v>
      </c>
      <c r="B3544" s="1">
        <v>46014</v>
      </c>
      <c r="C3544" s="4">
        <f>MONTH(datos_ventas[[#This Row],[Fecha]])</f>
        <v>12</v>
      </c>
      <c r="D3544" s="4">
        <f>WEEKNUM(datos_ventas[[#This Row],[Fecha]],2)</f>
        <v>52</v>
      </c>
      <c r="E3544" t="s">
        <v>10</v>
      </c>
      <c r="F3544" t="s">
        <v>11</v>
      </c>
      <c r="G3544">
        <v>3</v>
      </c>
      <c r="H3544">
        <v>91981</v>
      </c>
      <c r="I3544">
        <v>4887</v>
      </c>
      <c r="J3544" t="s">
        <v>22</v>
      </c>
      <c r="K3544" t="str">
        <f>_xlfn.XLOOKUP(datos_ventas[[#This Row],[Ciudad]],Tabla2[Ciudades],Tabla2[Provincias],"no se encuentra")</f>
        <v>Valencia</v>
      </c>
      <c r="L3544" t="str">
        <f>_xlfn.XLOOKUP(datos_ventas[[#This Row],[Provincia]],Tabla2[Provincias],Tabla2[Comunidades],"no se encuentra")</f>
        <v>Comunidad Valenciana</v>
      </c>
      <c r="M3544" t="s">
        <v>13</v>
      </c>
      <c r="N3544">
        <v>1</v>
      </c>
    </row>
    <row r="3545" spans="1:14" x14ac:dyDescent="0.25">
      <c r="A3545">
        <v>4544</v>
      </c>
      <c r="B3545" s="1">
        <v>45700</v>
      </c>
      <c r="C3545" s="4">
        <f>MONTH(datos_ventas[[#This Row],[Fecha]])</f>
        <v>2</v>
      </c>
      <c r="D3545" s="4">
        <f>WEEKNUM(datos_ventas[[#This Row],[Fecha]],2)</f>
        <v>7</v>
      </c>
      <c r="E3545" t="s">
        <v>26</v>
      </c>
      <c r="F3545" t="s">
        <v>18</v>
      </c>
      <c r="G3545">
        <v>5</v>
      </c>
      <c r="H3545">
        <v>44933</v>
      </c>
      <c r="I3545">
        <v>402</v>
      </c>
      <c r="J3545" t="s">
        <v>12</v>
      </c>
      <c r="K3545" t="str">
        <f>_xlfn.XLOOKUP(datos_ventas[[#This Row],[Ciudad]],Tabla2[Ciudades],Tabla2[Provincias],"no se encuentra")</f>
        <v>Málaga</v>
      </c>
      <c r="L3545" t="str">
        <f>_xlfn.XLOOKUP(datos_ventas[[#This Row],[Provincia]],Tabla2[Provincias],Tabla2[Comunidades],"no se encuentra")</f>
        <v>Andalucía</v>
      </c>
      <c r="M3545" t="s">
        <v>15</v>
      </c>
      <c r="N3545">
        <v>1</v>
      </c>
    </row>
    <row r="3546" spans="1:14" x14ac:dyDescent="0.25">
      <c r="A3546">
        <v>4545</v>
      </c>
      <c r="B3546" s="1">
        <v>45771</v>
      </c>
      <c r="C3546" s="4">
        <f>MONTH(datos_ventas[[#This Row],[Fecha]])</f>
        <v>4</v>
      </c>
      <c r="D3546" s="4">
        <f>WEEKNUM(datos_ventas[[#This Row],[Fecha]],2)</f>
        <v>17</v>
      </c>
      <c r="E3546" t="s">
        <v>29</v>
      </c>
      <c r="F3546" t="s">
        <v>30</v>
      </c>
      <c r="G3546">
        <v>2</v>
      </c>
      <c r="H3546">
        <v>33051</v>
      </c>
      <c r="I3546">
        <v>197</v>
      </c>
      <c r="J3546" t="s">
        <v>27</v>
      </c>
      <c r="K3546" t="str">
        <f>_xlfn.XLOOKUP(datos_ventas[[#This Row],[Ciudad]],Tabla2[Ciudades],Tabla2[Provincias],"no se encuentra")</f>
        <v>Sevilla</v>
      </c>
      <c r="L3546" t="str">
        <f>_xlfn.XLOOKUP(datos_ventas[[#This Row],[Provincia]],Tabla2[Provincias],Tabla2[Comunidades],"no se encuentra")</f>
        <v>Andalucía</v>
      </c>
      <c r="M3546" t="s">
        <v>13</v>
      </c>
      <c r="N3546">
        <v>1</v>
      </c>
    </row>
    <row r="3547" spans="1:14" x14ac:dyDescent="0.25">
      <c r="A3547">
        <v>4546</v>
      </c>
      <c r="B3547" s="1">
        <v>45882</v>
      </c>
      <c r="C3547" s="4">
        <f>MONTH(datos_ventas[[#This Row],[Fecha]])</f>
        <v>8</v>
      </c>
      <c r="D3547" s="4">
        <f>WEEKNUM(datos_ventas[[#This Row],[Fecha]],2)</f>
        <v>33</v>
      </c>
      <c r="E3547" t="s">
        <v>20</v>
      </c>
      <c r="F3547" t="s">
        <v>21</v>
      </c>
      <c r="G3547">
        <v>3</v>
      </c>
      <c r="H3547">
        <v>42182</v>
      </c>
      <c r="I3547">
        <v>2908</v>
      </c>
      <c r="J3547" t="s">
        <v>27</v>
      </c>
      <c r="K3547" t="str">
        <f>_xlfn.XLOOKUP(datos_ventas[[#This Row],[Ciudad]],Tabla2[Ciudades],Tabla2[Provincias],"no se encuentra")</f>
        <v>Sevilla</v>
      </c>
      <c r="L3547" t="str">
        <f>_xlfn.XLOOKUP(datos_ventas[[#This Row],[Provincia]],Tabla2[Provincias],Tabla2[Comunidades],"no se encuentra")</f>
        <v>Andalucía</v>
      </c>
      <c r="M3547" t="s">
        <v>13</v>
      </c>
      <c r="N3547">
        <v>1</v>
      </c>
    </row>
    <row r="3548" spans="1:14" x14ac:dyDescent="0.25">
      <c r="A3548">
        <v>4547</v>
      </c>
      <c r="B3548" s="1">
        <v>45865</v>
      </c>
      <c r="C3548" s="4">
        <f>MONTH(datos_ventas[[#This Row],[Fecha]])</f>
        <v>7</v>
      </c>
      <c r="D3548" s="4">
        <f>WEEKNUM(datos_ventas[[#This Row],[Fecha]],2)</f>
        <v>30</v>
      </c>
      <c r="E3548" t="s">
        <v>24</v>
      </c>
      <c r="F3548" t="s">
        <v>25</v>
      </c>
      <c r="G3548">
        <v>4</v>
      </c>
      <c r="H3548">
        <v>12772</v>
      </c>
      <c r="I3548">
        <v>2932</v>
      </c>
      <c r="J3548" t="s">
        <v>27</v>
      </c>
      <c r="K3548" t="str">
        <f>_xlfn.XLOOKUP(datos_ventas[[#This Row],[Ciudad]],Tabla2[Ciudades],Tabla2[Provincias],"no se encuentra")</f>
        <v>Sevilla</v>
      </c>
      <c r="L3548" t="str">
        <f>_xlfn.XLOOKUP(datos_ventas[[#This Row],[Provincia]],Tabla2[Provincias],Tabla2[Comunidades],"no se encuentra")</f>
        <v>Andalucía</v>
      </c>
      <c r="M3548" t="s">
        <v>19</v>
      </c>
      <c r="N3548">
        <v>5</v>
      </c>
    </row>
    <row r="3549" spans="1:14" x14ac:dyDescent="0.25">
      <c r="A3549">
        <v>4548</v>
      </c>
      <c r="B3549" s="1">
        <v>45880</v>
      </c>
      <c r="C3549" s="4">
        <f>MONTH(datos_ventas[[#This Row],[Fecha]])</f>
        <v>8</v>
      </c>
      <c r="D3549" s="4">
        <f>WEEKNUM(datos_ventas[[#This Row],[Fecha]],2)</f>
        <v>33</v>
      </c>
      <c r="E3549" t="s">
        <v>20</v>
      </c>
      <c r="F3549" t="s">
        <v>21</v>
      </c>
      <c r="G3549">
        <v>4</v>
      </c>
      <c r="H3549">
        <v>81627</v>
      </c>
      <c r="I3549">
        <v>622</v>
      </c>
      <c r="J3549" t="s">
        <v>22</v>
      </c>
      <c r="K3549" t="str">
        <f>_xlfn.XLOOKUP(datos_ventas[[#This Row],[Ciudad]],Tabla2[Ciudades],Tabla2[Provincias],"no se encuentra")</f>
        <v>Valencia</v>
      </c>
      <c r="L3549" t="str">
        <f>_xlfn.XLOOKUP(datos_ventas[[#This Row],[Provincia]],Tabla2[Provincias],Tabla2[Comunidades],"no se encuentra")</f>
        <v>Comunidad Valenciana</v>
      </c>
      <c r="M3549" t="s">
        <v>15</v>
      </c>
      <c r="N3549">
        <v>5</v>
      </c>
    </row>
    <row r="3550" spans="1:14" x14ac:dyDescent="0.25">
      <c r="A3550">
        <v>4549</v>
      </c>
      <c r="B3550" s="1">
        <v>45719</v>
      </c>
      <c r="C3550" s="4">
        <f>MONTH(datos_ventas[[#This Row],[Fecha]])</f>
        <v>3</v>
      </c>
      <c r="D3550" s="4">
        <f>WEEKNUM(datos_ventas[[#This Row],[Fecha]],2)</f>
        <v>10</v>
      </c>
      <c r="E3550" t="s">
        <v>26</v>
      </c>
      <c r="F3550" t="s">
        <v>18</v>
      </c>
      <c r="G3550">
        <v>1</v>
      </c>
      <c r="H3550">
        <v>16395</v>
      </c>
      <c r="I3550">
        <v>2611</v>
      </c>
      <c r="J3550" t="s">
        <v>32</v>
      </c>
      <c r="K3550" t="str">
        <f>_xlfn.XLOOKUP(datos_ventas[[#This Row],[Ciudad]],Tabla2[Ciudades],Tabla2[Provincias],"no se encuentra")</f>
        <v>Barcelona</v>
      </c>
      <c r="L3550" t="str">
        <f>_xlfn.XLOOKUP(datos_ventas[[#This Row],[Provincia]],Tabla2[Provincias],Tabla2[Comunidades],"no se encuentra")</f>
        <v>Cataluña</v>
      </c>
      <c r="M3550" t="s">
        <v>13</v>
      </c>
      <c r="N3550">
        <v>3</v>
      </c>
    </row>
    <row r="3551" spans="1:14" x14ac:dyDescent="0.25">
      <c r="A3551">
        <v>4550</v>
      </c>
      <c r="B3551" s="1">
        <v>45981</v>
      </c>
      <c r="C3551" s="4">
        <f>MONTH(datos_ventas[[#This Row],[Fecha]])</f>
        <v>11</v>
      </c>
      <c r="D3551" s="4">
        <f>WEEKNUM(datos_ventas[[#This Row],[Fecha]],2)</f>
        <v>47</v>
      </c>
      <c r="E3551" t="s">
        <v>10</v>
      </c>
      <c r="F3551" t="s">
        <v>11</v>
      </c>
      <c r="G3551">
        <v>4</v>
      </c>
      <c r="H3551">
        <v>26176</v>
      </c>
      <c r="I3551">
        <v>3331</v>
      </c>
      <c r="J3551" t="s">
        <v>22</v>
      </c>
      <c r="K3551" t="str">
        <f>_xlfn.XLOOKUP(datos_ventas[[#This Row],[Ciudad]],Tabla2[Ciudades],Tabla2[Provincias],"no se encuentra")</f>
        <v>Valencia</v>
      </c>
      <c r="L3551" t="str">
        <f>_xlfn.XLOOKUP(datos_ventas[[#This Row],[Provincia]],Tabla2[Provincias],Tabla2[Comunidades],"no se encuentra")</f>
        <v>Comunidad Valenciana</v>
      </c>
      <c r="M3551" t="s">
        <v>19</v>
      </c>
      <c r="N3551">
        <v>3</v>
      </c>
    </row>
    <row r="3552" spans="1:14" x14ac:dyDescent="0.25">
      <c r="A3552">
        <v>4551</v>
      </c>
      <c r="B3552" s="1">
        <v>45950</v>
      </c>
      <c r="C3552" s="4">
        <f>MONTH(datos_ventas[[#This Row],[Fecha]])</f>
        <v>10</v>
      </c>
      <c r="D3552" s="4">
        <f>WEEKNUM(datos_ventas[[#This Row],[Fecha]],2)</f>
        <v>43</v>
      </c>
      <c r="E3552" t="s">
        <v>24</v>
      </c>
      <c r="F3552" t="s">
        <v>25</v>
      </c>
      <c r="G3552">
        <v>2</v>
      </c>
      <c r="H3552">
        <v>117256</v>
      </c>
      <c r="I3552">
        <v>2772</v>
      </c>
      <c r="J3552" t="s">
        <v>12</v>
      </c>
      <c r="K3552" t="str">
        <f>_xlfn.XLOOKUP(datos_ventas[[#This Row],[Ciudad]],Tabla2[Ciudades],Tabla2[Provincias],"no se encuentra")</f>
        <v>Málaga</v>
      </c>
      <c r="L3552" t="str">
        <f>_xlfn.XLOOKUP(datos_ventas[[#This Row],[Provincia]],Tabla2[Provincias],Tabla2[Comunidades],"no se encuentra")</f>
        <v>Andalucía</v>
      </c>
      <c r="M3552" t="s">
        <v>13</v>
      </c>
      <c r="N3552">
        <v>5</v>
      </c>
    </row>
    <row r="3553" spans="1:14" x14ac:dyDescent="0.25">
      <c r="A3553">
        <v>4552</v>
      </c>
      <c r="B3553" s="1">
        <v>45805</v>
      </c>
      <c r="C3553" s="4">
        <f>MONTH(datos_ventas[[#This Row],[Fecha]])</f>
        <v>5</v>
      </c>
      <c r="D3553" s="4">
        <f>WEEKNUM(datos_ventas[[#This Row],[Fecha]],2)</f>
        <v>22</v>
      </c>
      <c r="E3553" t="s">
        <v>23</v>
      </c>
      <c r="F3553" t="s">
        <v>18</v>
      </c>
      <c r="G3553">
        <v>2</v>
      </c>
      <c r="H3553">
        <v>32994</v>
      </c>
      <c r="I3553">
        <v>4339</v>
      </c>
      <c r="J3553" t="s">
        <v>14</v>
      </c>
      <c r="K3553" t="str">
        <f>_xlfn.XLOOKUP(datos_ventas[[#This Row],[Ciudad]],Tabla2[Ciudades],Tabla2[Provincias],"no se encuentra")</f>
        <v>Madrid</v>
      </c>
      <c r="L3553" t="str">
        <f>_xlfn.XLOOKUP(datos_ventas[[#This Row],[Provincia]],Tabla2[Provincias],Tabla2[Comunidades],"no se encuentra")</f>
        <v>Comunidad de Madrid</v>
      </c>
      <c r="M3553" t="s">
        <v>13</v>
      </c>
      <c r="N3553">
        <v>2</v>
      </c>
    </row>
    <row r="3554" spans="1:14" x14ac:dyDescent="0.25">
      <c r="A3554">
        <v>4553</v>
      </c>
      <c r="B3554" s="1">
        <v>45686</v>
      </c>
      <c r="C3554" s="4">
        <f>MONTH(datos_ventas[[#This Row],[Fecha]])</f>
        <v>1</v>
      </c>
      <c r="D3554" s="4">
        <f>WEEKNUM(datos_ventas[[#This Row],[Fecha]],2)</f>
        <v>5</v>
      </c>
      <c r="E3554" t="s">
        <v>17</v>
      </c>
      <c r="F3554" t="s">
        <v>18</v>
      </c>
      <c r="G3554">
        <v>3</v>
      </c>
      <c r="H3554">
        <v>54791</v>
      </c>
      <c r="I3554">
        <v>4892</v>
      </c>
      <c r="J3554" t="s">
        <v>31</v>
      </c>
      <c r="K3554" t="str">
        <f>_xlfn.XLOOKUP(datos_ventas[[#This Row],[Ciudad]],Tabla2[Ciudades],Tabla2[Provincias],"no se encuentra")</f>
        <v>Vizcaya</v>
      </c>
      <c r="L3554" t="str">
        <f>_xlfn.XLOOKUP(datos_ventas[[#This Row],[Provincia]],Tabla2[Provincias],Tabla2[Comunidades],"no se encuentra")</f>
        <v>País Vasco</v>
      </c>
      <c r="M3554" t="s">
        <v>28</v>
      </c>
      <c r="N3554">
        <v>2</v>
      </c>
    </row>
    <row r="3555" spans="1:14" x14ac:dyDescent="0.25">
      <c r="A3555">
        <v>4554</v>
      </c>
      <c r="B3555" s="1">
        <v>45906</v>
      </c>
      <c r="C3555" s="4">
        <f>MONTH(datos_ventas[[#This Row],[Fecha]])</f>
        <v>9</v>
      </c>
      <c r="D3555" s="4">
        <f>WEEKNUM(datos_ventas[[#This Row],[Fecha]],2)</f>
        <v>36</v>
      </c>
      <c r="E3555" t="s">
        <v>10</v>
      </c>
      <c r="F3555" t="s">
        <v>11</v>
      </c>
      <c r="G3555">
        <v>1</v>
      </c>
      <c r="H3555">
        <v>88025</v>
      </c>
      <c r="I3555">
        <v>1414</v>
      </c>
      <c r="J3555" t="s">
        <v>27</v>
      </c>
      <c r="K3555" t="str">
        <f>_xlfn.XLOOKUP(datos_ventas[[#This Row],[Ciudad]],Tabla2[Ciudades],Tabla2[Provincias],"no se encuentra")</f>
        <v>Sevilla</v>
      </c>
      <c r="L3555" t="str">
        <f>_xlfn.XLOOKUP(datos_ventas[[#This Row],[Provincia]],Tabla2[Provincias],Tabla2[Comunidades],"no se encuentra")</f>
        <v>Andalucía</v>
      </c>
      <c r="M3555" t="s">
        <v>28</v>
      </c>
      <c r="N3555">
        <v>5</v>
      </c>
    </row>
    <row r="3556" spans="1:14" x14ac:dyDescent="0.25">
      <c r="A3556">
        <v>4555</v>
      </c>
      <c r="B3556" s="1">
        <v>45685</v>
      </c>
      <c r="C3556" s="4">
        <f>MONTH(datos_ventas[[#This Row],[Fecha]])</f>
        <v>1</v>
      </c>
      <c r="D3556" s="4">
        <f>WEEKNUM(datos_ventas[[#This Row],[Fecha]],2)</f>
        <v>5</v>
      </c>
      <c r="E3556" t="s">
        <v>29</v>
      </c>
      <c r="F3556" t="s">
        <v>30</v>
      </c>
      <c r="G3556">
        <v>4</v>
      </c>
      <c r="H3556">
        <v>59655</v>
      </c>
      <c r="I3556">
        <v>462</v>
      </c>
      <c r="J3556" t="s">
        <v>27</v>
      </c>
      <c r="K3556" t="str">
        <f>_xlfn.XLOOKUP(datos_ventas[[#This Row],[Ciudad]],Tabla2[Ciudades],Tabla2[Provincias],"no se encuentra")</f>
        <v>Sevilla</v>
      </c>
      <c r="L3556" t="str">
        <f>_xlfn.XLOOKUP(datos_ventas[[#This Row],[Provincia]],Tabla2[Provincias],Tabla2[Comunidades],"no se encuentra")</f>
        <v>Andalucía</v>
      </c>
      <c r="M3556" t="s">
        <v>28</v>
      </c>
      <c r="N3556">
        <v>3</v>
      </c>
    </row>
    <row r="3557" spans="1:14" x14ac:dyDescent="0.25">
      <c r="A3557">
        <v>4556</v>
      </c>
      <c r="B3557" s="1">
        <v>45878</v>
      </c>
      <c r="C3557" s="4">
        <f>MONTH(datos_ventas[[#This Row],[Fecha]])</f>
        <v>8</v>
      </c>
      <c r="D3557" s="4">
        <f>WEEKNUM(datos_ventas[[#This Row],[Fecha]],2)</f>
        <v>32</v>
      </c>
      <c r="E3557" t="s">
        <v>20</v>
      </c>
      <c r="F3557" t="s">
        <v>21</v>
      </c>
      <c r="G3557">
        <v>2</v>
      </c>
      <c r="H3557">
        <v>78654</v>
      </c>
      <c r="I3557">
        <v>1624</v>
      </c>
      <c r="J3557" t="s">
        <v>27</v>
      </c>
      <c r="K3557" t="str">
        <f>_xlfn.XLOOKUP(datos_ventas[[#This Row],[Ciudad]],Tabla2[Ciudades],Tabla2[Provincias],"no se encuentra")</f>
        <v>Sevilla</v>
      </c>
      <c r="L3557" t="str">
        <f>_xlfn.XLOOKUP(datos_ventas[[#This Row],[Provincia]],Tabla2[Provincias],Tabla2[Comunidades],"no se encuentra")</f>
        <v>Andalucía</v>
      </c>
      <c r="M3557" t="s">
        <v>28</v>
      </c>
      <c r="N3557">
        <v>3</v>
      </c>
    </row>
    <row r="3558" spans="1:14" x14ac:dyDescent="0.25">
      <c r="A3558">
        <v>4557</v>
      </c>
      <c r="B3558" s="1">
        <v>45826</v>
      </c>
      <c r="C3558" s="4">
        <f>MONTH(datos_ventas[[#This Row],[Fecha]])</f>
        <v>6</v>
      </c>
      <c r="D3558" s="4">
        <f>WEEKNUM(datos_ventas[[#This Row],[Fecha]],2)</f>
        <v>25</v>
      </c>
      <c r="E3558" t="s">
        <v>23</v>
      </c>
      <c r="F3558" t="s">
        <v>18</v>
      </c>
      <c r="G3558">
        <v>2</v>
      </c>
      <c r="H3558">
        <v>34643</v>
      </c>
      <c r="I3558">
        <v>3301</v>
      </c>
      <c r="J3558" t="s">
        <v>32</v>
      </c>
      <c r="K3558" t="str">
        <f>_xlfn.XLOOKUP(datos_ventas[[#This Row],[Ciudad]],Tabla2[Ciudades],Tabla2[Provincias],"no se encuentra")</f>
        <v>Barcelona</v>
      </c>
      <c r="L3558" t="str">
        <f>_xlfn.XLOOKUP(datos_ventas[[#This Row],[Provincia]],Tabla2[Provincias],Tabla2[Comunidades],"no se encuentra")</f>
        <v>Cataluña</v>
      </c>
      <c r="M3558" t="s">
        <v>28</v>
      </c>
      <c r="N3558">
        <v>5</v>
      </c>
    </row>
    <row r="3559" spans="1:14" x14ac:dyDescent="0.25">
      <c r="A3559">
        <v>4558</v>
      </c>
      <c r="B3559" s="1">
        <v>45970</v>
      </c>
      <c r="C3559" s="4">
        <f>MONTH(datos_ventas[[#This Row],[Fecha]])</f>
        <v>11</v>
      </c>
      <c r="D3559" s="4">
        <f>WEEKNUM(datos_ventas[[#This Row],[Fecha]],2)</f>
        <v>45</v>
      </c>
      <c r="E3559" t="s">
        <v>24</v>
      </c>
      <c r="F3559" t="s">
        <v>25</v>
      </c>
      <c r="G3559">
        <v>2</v>
      </c>
      <c r="H3559">
        <v>68335</v>
      </c>
      <c r="I3559">
        <v>4378</v>
      </c>
      <c r="J3559" t="s">
        <v>31</v>
      </c>
      <c r="K3559" t="str">
        <f>_xlfn.XLOOKUP(datos_ventas[[#This Row],[Ciudad]],Tabla2[Ciudades],Tabla2[Provincias],"no se encuentra")</f>
        <v>Vizcaya</v>
      </c>
      <c r="L3559" t="str">
        <f>_xlfn.XLOOKUP(datos_ventas[[#This Row],[Provincia]],Tabla2[Provincias],Tabla2[Comunidades],"no se encuentra")</f>
        <v>País Vasco</v>
      </c>
      <c r="M3559" t="s">
        <v>19</v>
      </c>
      <c r="N3559">
        <v>4</v>
      </c>
    </row>
    <row r="3560" spans="1:14" x14ac:dyDescent="0.25">
      <c r="A3560">
        <v>4559</v>
      </c>
      <c r="B3560" s="1">
        <v>45693</v>
      </c>
      <c r="C3560" s="4">
        <f>MONTH(datos_ventas[[#This Row],[Fecha]])</f>
        <v>2</v>
      </c>
      <c r="D3560" s="4">
        <f>WEEKNUM(datos_ventas[[#This Row],[Fecha]],2)</f>
        <v>6</v>
      </c>
      <c r="E3560" t="s">
        <v>16</v>
      </c>
      <c r="F3560" t="s">
        <v>11</v>
      </c>
      <c r="G3560">
        <v>5</v>
      </c>
      <c r="H3560">
        <v>67694</v>
      </c>
      <c r="I3560">
        <v>309</v>
      </c>
      <c r="J3560" t="s">
        <v>27</v>
      </c>
      <c r="K3560" t="str">
        <f>_xlfn.XLOOKUP(datos_ventas[[#This Row],[Ciudad]],Tabla2[Ciudades],Tabla2[Provincias],"no se encuentra")</f>
        <v>Sevilla</v>
      </c>
      <c r="L3560" t="str">
        <f>_xlfn.XLOOKUP(datos_ventas[[#This Row],[Provincia]],Tabla2[Provincias],Tabla2[Comunidades],"no se encuentra")</f>
        <v>Andalucía</v>
      </c>
      <c r="M3560" t="s">
        <v>13</v>
      </c>
      <c r="N3560">
        <v>1</v>
      </c>
    </row>
    <row r="3561" spans="1:14" x14ac:dyDescent="0.25">
      <c r="A3561">
        <v>4560</v>
      </c>
      <c r="B3561" s="1">
        <v>45740</v>
      </c>
      <c r="C3561" s="4">
        <f>MONTH(datos_ventas[[#This Row],[Fecha]])</f>
        <v>3</v>
      </c>
      <c r="D3561" s="4">
        <f>WEEKNUM(datos_ventas[[#This Row],[Fecha]],2)</f>
        <v>13</v>
      </c>
      <c r="E3561" t="s">
        <v>29</v>
      </c>
      <c r="F3561" t="s">
        <v>30</v>
      </c>
      <c r="G3561">
        <v>3</v>
      </c>
      <c r="H3561">
        <v>4291</v>
      </c>
      <c r="I3561">
        <v>4009</v>
      </c>
      <c r="J3561" t="s">
        <v>32</v>
      </c>
      <c r="K3561" t="str">
        <f>_xlfn.XLOOKUP(datos_ventas[[#This Row],[Ciudad]],Tabla2[Ciudades],Tabla2[Provincias],"no se encuentra")</f>
        <v>Barcelona</v>
      </c>
      <c r="L3561" t="str">
        <f>_xlfn.XLOOKUP(datos_ventas[[#This Row],[Provincia]],Tabla2[Provincias],Tabla2[Comunidades],"no se encuentra")</f>
        <v>Cataluña</v>
      </c>
      <c r="M3561" t="s">
        <v>28</v>
      </c>
      <c r="N3561">
        <v>5</v>
      </c>
    </row>
    <row r="3562" spans="1:14" x14ac:dyDescent="0.25">
      <c r="A3562">
        <v>4561</v>
      </c>
      <c r="B3562" s="1">
        <v>45861</v>
      </c>
      <c r="C3562" s="4">
        <f>MONTH(datos_ventas[[#This Row],[Fecha]])</f>
        <v>7</v>
      </c>
      <c r="D3562" s="4">
        <f>WEEKNUM(datos_ventas[[#This Row],[Fecha]],2)</f>
        <v>30</v>
      </c>
      <c r="E3562" t="s">
        <v>20</v>
      </c>
      <c r="F3562" t="s">
        <v>21</v>
      </c>
      <c r="G3562">
        <v>2</v>
      </c>
      <c r="H3562">
        <v>10243</v>
      </c>
      <c r="I3562">
        <v>2766</v>
      </c>
      <c r="J3562" t="s">
        <v>31</v>
      </c>
      <c r="K3562" t="str">
        <f>_xlfn.XLOOKUP(datos_ventas[[#This Row],[Ciudad]],Tabla2[Ciudades],Tabla2[Provincias],"no se encuentra")</f>
        <v>Vizcaya</v>
      </c>
      <c r="L3562" t="str">
        <f>_xlfn.XLOOKUP(datos_ventas[[#This Row],[Provincia]],Tabla2[Provincias],Tabla2[Comunidades],"no se encuentra")</f>
        <v>País Vasco</v>
      </c>
      <c r="M3562" t="s">
        <v>13</v>
      </c>
      <c r="N3562">
        <v>3</v>
      </c>
    </row>
    <row r="3563" spans="1:14" x14ac:dyDescent="0.25">
      <c r="A3563">
        <v>4562</v>
      </c>
      <c r="B3563" s="1">
        <v>45992</v>
      </c>
      <c r="C3563" s="4">
        <f>MONTH(datos_ventas[[#This Row],[Fecha]])</f>
        <v>12</v>
      </c>
      <c r="D3563" s="4">
        <f>WEEKNUM(datos_ventas[[#This Row],[Fecha]],2)</f>
        <v>49</v>
      </c>
      <c r="E3563" t="s">
        <v>29</v>
      </c>
      <c r="F3563" t="s">
        <v>30</v>
      </c>
      <c r="G3563">
        <v>1</v>
      </c>
      <c r="H3563">
        <v>58367</v>
      </c>
      <c r="I3563">
        <v>4221</v>
      </c>
      <c r="J3563" t="s">
        <v>12</v>
      </c>
      <c r="K3563" t="str">
        <f>_xlfn.XLOOKUP(datos_ventas[[#This Row],[Ciudad]],Tabla2[Ciudades],Tabla2[Provincias],"no se encuentra")</f>
        <v>Málaga</v>
      </c>
      <c r="L3563" t="str">
        <f>_xlfn.XLOOKUP(datos_ventas[[#This Row],[Provincia]],Tabla2[Provincias],Tabla2[Comunidades],"no se encuentra")</f>
        <v>Andalucía</v>
      </c>
      <c r="M3563" t="s">
        <v>15</v>
      </c>
      <c r="N3563">
        <v>3</v>
      </c>
    </row>
    <row r="3564" spans="1:14" x14ac:dyDescent="0.25">
      <c r="A3564">
        <v>4563</v>
      </c>
      <c r="B3564" s="1">
        <v>45942</v>
      </c>
      <c r="C3564" s="4">
        <f>MONTH(datos_ventas[[#This Row],[Fecha]])</f>
        <v>10</v>
      </c>
      <c r="D3564" s="4">
        <f>WEEKNUM(datos_ventas[[#This Row],[Fecha]],2)</f>
        <v>41</v>
      </c>
      <c r="E3564" t="s">
        <v>23</v>
      </c>
      <c r="F3564" t="s">
        <v>18</v>
      </c>
      <c r="G3564">
        <v>5</v>
      </c>
      <c r="H3564">
        <v>4419</v>
      </c>
      <c r="I3564">
        <v>1501</v>
      </c>
      <c r="J3564" t="s">
        <v>32</v>
      </c>
      <c r="K3564" t="str">
        <f>_xlfn.XLOOKUP(datos_ventas[[#This Row],[Ciudad]],Tabla2[Ciudades],Tabla2[Provincias],"no se encuentra")</f>
        <v>Barcelona</v>
      </c>
      <c r="L3564" t="str">
        <f>_xlfn.XLOOKUP(datos_ventas[[#This Row],[Provincia]],Tabla2[Provincias],Tabla2[Comunidades],"no se encuentra")</f>
        <v>Cataluña</v>
      </c>
      <c r="M3564" t="s">
        <v>13</v>
      </c>
      <c r="N3564">
        <v>2</v>
      </c>
    </row>
    <row r="3565" spans="1:14" x14ac:dyDescent="0.25">
      <c r="A3565">
        <v>4564</v>
      </c>
      <c r="B3565" s="1">
        <v>45948</v>
      </c>
      <c r="C3565" s="4">
        <f>MONTH(datos_ventas[[#This Row],[Fecha]])</f>
        <v>10</v>
      </c>
      <c r="D3565" s="4">
        <f>WEEKNUM(datos_ventas[[#This Row],[Fecha]],2)</f>
        <v>42</v>
      </c>
      <c r="E3565" t="s">
        <v>17</v>
      </c>
      <c r="F3565" t="s">
        <v>18</v>
      </c>
      <c r="G3565">
        <v>2</v>
      </c>
      <c r="H3565">
        <v>56139</v>
      </c>
      <c r="I3565">
        <v>4678</v>
      </c>
      <c r="J3565" t="s">
        <v>31</v>
      </c>
      <c r="K3565" t="str">
        <f>_xlfn.XLOOKUP(datos_ventas[[#This Row],[Ciudad]],Tabla2[Ciudades],Tabla2[Provincias],"no se encuentra")</f>
        <v>Vizcaya</v>
      </c>
      <c r="L3565" t="str">
        <f>_xlfn.XLOOKUP(datos_ventas[[#This Row],[Provincia]],Tabla2[Provincias],Tabla2[Comunidades],"no se encuentra")</f>
        <v>País Vasco</v>
      </c>
      <c r="M3565" t="s">
        <v>15</v>
      </c>
      <c r="N3565">
        <v>2</v>
      </c>
    </row>
    <row r="3566" spans="1:14" x14ac:dyDescent="0.25">
      <c r="A3566">
        <v>4565</v>
      </c>
      <c r="B3566" s="1">
        <v>45758</v>
      </c>
      <c r="C3566" s="4">
        <f>MONTH(datos_ventas[[#This Row],[Fecha]])</f>
        <v>4</v>
      </c>
      <c r="D3566" s="4">
        <f>WEEKNUM(datos_ventas[[#This Row],[Fecha]],2)</f>
        <v>15</v>
      </c>
      <c r="E3566" t="s">
        <v>16</v>
      </c>
      <c r="F3566" t="s">
        <v>11</v>
      </c>
      <c r="G3566">
        <v>2</v>
      </c>
      <c r="H3566">
        <v>47519</v>
      </c>
      <c r="I3566">
        <v>3295</v>
      </c>
      <c r="J3566" t="s">
        <v>27</v>
      </c>
      <c r="K3566" t="str">
        <f>_xlfn.XLOOKUP(datos_ventas[[#This Row],[Ciudad]],Tabla2[Ciudades],Tabla2[Provincias],"no se encuentra")</f>
        <v>Sevilla</v>
      </c>
      <c r="L3566" t="str">
        <f>_xlfn.XLOOKUP(datos_ventas[[#This Row],[Provincia]],Tabla2[Provincias],Tabla2[Comunidades],"no se encuentra")</f>
        <v>Andalucía</v>
      </c>
      <c r="M3566" t="s">
        <v>28</v>
      </c>
      <c r="N3566">
        <v>1</v>
      </c>
    </row>
    <row r="3567" spans="1:14" x14ac:dyDescent="0.25">
      <c r="A3567">
        <v>4566</v>
      </c>
      <c r="B3567" s="1">
        <v>45952</v>
      </c>
      <c r="C3567" s="4">
        <f>MONTH(datos_ventas[[#This Row],[Fecha]])</f>
        <v>10</v>
      </c>
      <c r="D3567" s="4">
        <f>WEEKNUM(datos_ventas[[#This Row],[Fecha]],2)</f>
        <v>43</v>
      </c>
      <c r="E3567" t="s">
        <v>29</v>
      </c>
      <c r="F3567" t="s">
        <v>30</v>
      </c>
      <c r="G3567">
        <v>1</v>
      </c>
      <c r="H3567">
        <v>44484</v>
      </c>
      <c r="I3567">
        <v>387</v>
      </c>
      <c r="J3567" t="s">
        <v>27</v>
      </c>
      <c r="K3567" t="str">
        <f>_xlfn.XLOOKUP(datos_ventas[[#This Row],[Ciudad]],Tabla2[Ciudades],Tabla2[Provincias],"no se encuentra")</f>
        <v>Sevilla</v>
      </c>
      <c r="L3567" t="str">
        <f>_xlfn.XLOOKUP(datos_ventas[[#This Row],[Provincia]],Tabla2[Provincias],Tabla2[Comunidades],"no se encuentra")</f>
        <v>Andalucía</v>
      </c>
      <c r="M3567" t="s">
        <v>19</v>
      </c>
      <c r="N3567">
        <v>3</v>
      </c>
    </row>
    <row r="3568" spans="1:14" x14ac:dyDescent="0.25">
      <c r="A3568">
        <v>4567</v>
      </c>
      <c r="B3568" s="1">
        <v>45694</v>
      </c>
      <c r="C3568" s="4">
        <f>MONTH(datos_ventas[[#This Row],[Fecha]])</f>
        <v>2</v>
      </c>
      <c r="D3568" s="4">
        <f>WEEKNUM(datos_ventas[[#This Row],[Fecha]],2)</f>
        <v>6</v>
      </c>
      <c r="E3568" t="s">
        <v>23</v>
      </c>
      <c r="F3568" t="s">
        <v>18</v>
      </c>
      <c r="G3568">
        <v>4</v>
      </c>
      <c r="H3568">
        <v>108252</v>
      </c>
      <c r="I3568">
        <v>4227</v>
      </c>
      <c r="J3568" t="s">
        <v>31</v>
      </c>
      <c r="K3568" t="str">
        <f>_xlfn.XLOOKUP(datos_ventas[[#This Row],[Ciudad]],Tabla2[Ciudades],Tabla2[Provincias],"no se encuentra")</f>
        <v>Vizcaya</v>
      </c>
      <c r="L3568" t="str">
        <f>_xlfn.XLOOKUP(datos_ventas[[#This Row],[Provincia]],Tabla2[Provincias],Tabla2[Comunidades],"no se encuentra")</f>
        <v>País Vasco</v>
      </c>
      <c r="M3568" t="s">
        <v>19</v>
      </c>
      <c r="N3568">
        <v>3</v>
      </c>
    </row>
    <row r="3569" spans="1:14" x14ac:dyDescent="0.25">
      <c r="A3569">
        <v>4568</v>
      </c>
      <c r="B3569" s="1">
        <v>45694</v>
      </c>
      <c r="C3569" s="4">
        <f>MONTH(datos_ventas[[#This Row],[Fecha]])</f>
        <v>2</v>
      </c>
      <c r="D3569" s="4">
        <f>WEEKNUM(datos_ventas[[#This Row],[Fecha]],2)</f>
        <v>6</v>
      </c>
      <c r="E3569" t="s">
        <v>23</v>
      </c>
      <c r="F3569" t="s">
        <v>18</v>
      </c>
      <c r="G3569">
        <v>2</v>
      </c>
      <c r="H3569">
        <v>5593</v>
      </c>
      <c r="I3569">
        <v>3895</v>
      </c>
      <c r="J3569" t="s">
        <v>14</v>
      </c>
      <c r="K3569" t="str">
        <f>_xlfn.XLOOKUP(datos_ventas[[#This Row],[Ciudad]],Tabla2[Ciudades],Tabla2[Provincias],"no se encuentra")</f>
        <v>Madrid</v>
      </c>
      <c r="L3569" t="str">
        <f>_xlfn.XLOOKUP(datos_ventas[[#This Row],[Provincia]],Tabla2[Provincias],Tabla2[Comunidades],"no se encuentra")</f>
        <v>Comunidad de Madrid</v>
      </c>
      <c r="M3569" t="s">
        <v>19</v>
      </c>
      <c r="N3569">
        <v>3</v>
      </c>
    </row>
    <row r="3570" spans="1:14" x14ac:dyDescent="0.25">
      <c r="A3570">
        <v>4569</v>
      </c>
      <c r="B3570" s="1">
        <v>45888</v>
      </c>
      <c r="C3570" s="4">
        <f>MONTH(datos_ventas[[#This Row],[Fecha]])</f>
        <v>8</v>
      </c>
      <c r="D3570" s="4">
        <f>WEEKNUM(datos_ventas[[#This Row],[Fecha]],2)</f>
        <v>34</v>
      </c>
      <c r="E3570" t="s">
        <v>29</v>
      </c>
      <c r="F3570" t="s">
        <v>30</v>
      </c>
      <c r="G3570">
        <v>4</v>
      </c>
      <c r="H3570">
        <v>67734</v>
      </c>
      <c r="I3570">
        <v>722</v>
      </c>
      <c r="J3570" t="s">
        <v>12</v>
      </c>
      <c r="K3570" t="str">
        <f>_xlfn.XLOOKUP(datos_ventas[[#This Row],[Ciudad]],Tabla2[Ciudades],Tabla2[Provincias],"no se encuentra")</f>
        <v>Málaga</v>
      </c>
      <c r="L3570" t="str">
        <f>_xlfn.XLOOKUP(datos_ventas[[#This Row],[Provincia]],Tabla2[Provincias],Tabla2[Comunidades],"no se encuentra")</f>
        <v>Andalucía</v>
      </c>
      <c r="M3570" t="s">
        <v>15</v>
      </c>
      <c r="N3570">
        <v>2</v>
      </c>
    </row>
    <row r="3571" spans="1:14" x14ac:dyDescent="0.25">
      <c r="A3571">
        <v>4570</v>
      </c>
      <c r="B3571" s="1">
        <v>45970</v>
      </c>
      <c r="C3571" s="4">
        <f>MONTH(datos_ventas[[#This Row],[Fecha]])</f>
        <v>11</v>
      </c>
      <c r="D3571" s="4">
        <f>WEEKNUM(datos_ventas[[#This Row],[Fecha]],2)</f>
        <v>45</v>
      </c>
      <c r="E3571" t="s">
        <v>20</v>
      </c>
      <c r="F3571" t="s">
        <v>21</v>
      </c>
      <c r="G3571">
        <v>3</v>
      </c>
      <c r="H3571">
        <v>57936</v>
      </c>
      <c r="I3571">
        <v>1395</v>
      </c>
      <c r="J3571" t="s">
        <v>22</v>
      </c>
      <c r="K3571" t="str">
        <f>_xlfn.XLOOKUP(datos_ventas[[#This Row],[Ciudad]],Tabla2[Ciudades],Tabla2[Provincias],"no se encuentra")</f>
        <v>Valencia</v>
      </c>
      <c r="L3571" t="str">
        <f>_xlfn.XLOOKUP(datos_ventas[[#This Row],[Provincia]],Tabla2[Provincias],Tabla2[Comunidades],"no se encuentra")</f>
        <v>Comunidad Valenciana</v>
      </c>
      <c r="M3571" t="s">
        <v>15</v>
      </c>
      <c r="N3571">
        <v>5</v>
      </c>
    </row>
    <row r="3572" spans="1:14" x14ac:dyDescent="0.25">
      <c r="A3572">
        <v>4571</v>
      </c>
      <c r="B3572" s="1">
        <v>45919</v>
      </c>
      <c r="C3572" s="4">
        <f>MONTH(datos_ventas[[#This Row],[Fecha]])</f>
        <v>9</v>
      </c>
      <c r="D3572" s="4">
        <f>WEEKNUM(datos_ventas[[#This Row],[Fecha]],2)</f>
        <v>38</v>
      </c>
      <c r="E3572" t="s">
        <v>20</v>
      </c>
      <c r="F3572" t="s">
        <v>21</v>
      </c>
      <c r="G3572">
        <v>2</v>
      </c>
      <c r="H3572">
        <v>23203</v>
      </c>
      <c r="I3572">
        <v>4326</v>
      </c>
      <c r="J3572" t="s">
        <v>14</v>
      </c>
      <c r="K3572" t="str">
        <f>_xlfn.XLOOKUP(datos_ventas[[#This Row],[Ciudad]],Tabla2[Ciudades],Tabla2[Provincias],"no se encuentra")</f>
        <v>Madrid</v>
      </c>
      <c r="L3572" t="str">
        <f>_xlfn.XLOOKUP(datos_ventas[[#This Row],[Provincia]],Tabla2[Provincias],Tabla2[Comunidades],"no se encuentra")</f>
        <v>Comunidad de Madrid</v>
      </c>
      <c r="M3572" t="s">
        <v>28</v>
      </c>
      <c r="N3572">
        <v>4</v>
      </c>
    </row>
    <row r="3573" spans="1:14" x14ac:dyDescent="0.25">
      <c r="A3573">
        <v>4572</v>
      </c>
      <c r="B3573" s="1">
        <v>45782</v>
      </c>
      <c r="C3573" s="4">
        <f>MONTH(datos_ventas[[#This Row],[Fecha]])</f>
        <v>5</v>
      </c>
      <c r="D3573" s="4">
        <f>WEEKNUM(datos_ventas[[#This Row],[Fecha]],2)</f>
        <v>19</v>
      </c>
      <c r="E3573" t="s">
        <v>20</v>
      </c>
      <c r="F3573" t="s">
        <v>21</v>
      </c>
      <c r="G3573">
        <v>2</v>
      </c>
      <c r="H3573">
        <v>118099</v>
      </c>
      <c r="I3573">
        <v>3124</v>
      </c>
      <c r="J3573" t="s">
        <v>27</v>
      </c>
      <c r="K3573" t="str">
        <f>_xlfn.XLOOKUP(datos_ventas[[#This Row],[Ciudad]],Tabla2[Ciudades],Tabla2[Provincias],"no se encuentra")</f>
        <v>Sevilla</v>
      </c>
      <c r="L3573" t="str">
        <f>_xlfn.XLOOKUP(datos_ventas[[#This Row],[Provincia]],Tabla2[Provincias],Tabla2[Comunidades],"no se encuentra")</f>
        <v>Andalucía</v>
      </c>
      <c r="M3573" t="s">
        <v>13</v>
      </c>
      <c r="N3573">
        <v>3</v>
      </c>
    </row>
    <row r="3574" spans="1:14" x14ac:dyDescent="0.25">
      <c r="A3574">
        <v>4573</v>
      </c>
      <c r="B3574" s="1">
        <v>45839</v>
      </c>
      <c r="C3574" s="4">
        <f>MONTH(datos_ventas[[#This Row],[Fecha]])</f>
        <v>7</v>
      </c>
      <c r="D3574" s="4">
        <f>WEEKNUM(datos_ventas[[#This Row],[Fecha]],2)</f>
        <v>27</v>
      </c>
      <c r="E3574" t="s">
        <v>26</v>
      </c>
      <c r="F3574" t="s">
        <v>18</v>
      </c>
      <c r="G3574">
        <v>2</v>
      </c>
      <c r="H3574">
        <v>6788</v>
      </c>
      <c r="I3574">
        <v>3534</v>
      </c>
      <c r="J3574" t="s">
        <v>32</v>
      </c>
      <c r="K3574" t="str">
        <f>_xlfn.XLOOKUP(datos_ventas[[#This Row],[Ciudad]],Tabla2[Ciudades],Tabla2[Provincias],"no se encuentra")</f>
        <v>Barcelona</v>
      </c>
      <c r="L3574" t="str">
        <f>_xlfn.XLOOKUP(datos_ventas[[#This Row],[Provincia]],Tabla2[Provincias],Tabla2[Comunidades],"no se encuentra")</f>
        <v>Cataluña</v>
      </c>
      <c r="M3574" t="s">
        <v>13</v>
      </c>
      <c r="N3574">
        <v>5</v>
      </c>
    </row>
    <row r="3575" spans="1:14" x14ac:dyDescent="0.25">
      <c r="A3575">
        <v>4574</v>
      </c>
      <c r="B3575" s="1">
        <v>45681</v>
      </c>
      <c r="C3575" s="4">
        <f>MONTH(datos_ventas[[#This Row],[Fecha]])</f>
        <v>1</v>
      </c>
      <c r="D3575" s="4">
        <f>WEEKNUM(datos_ventas[[#This Row],[Fecha]],2)</f>
        <v>4</v>
      </c>
      <c r="E3575" t="s">
        <v>24</v>
      </c>
      <c r="F3575" t="s">
        <v>25</v>
      </c>
      <c r="G3575">
        <v>5</v>
      </c>
      <c r="H3575">
        <v>102991</v>
      </c>
      <c r="I3575">
        <v>4369</v>
      </c>
      <c r="J3575" t="s">
        <v>32</v>
      </c>
      <c r="K3575" t="str">
        <f>_xlfn.XLOOKUP(datos_ventas[[#This Row],[Ciudad]],Tabla2[Ciudades],Tabla2[Provincias],"no se encuentra")</f>
        <v>Barcelona</v>
      </c>
      <c r="L3575" t="str">
        <f>_xlfn.XLOOKUP(datos_ventas[[#This Row],[Provincia]],Tabla2[Provincias],Tabla2[Comunidades],"no se encuentra")</f>
        <v>Cataluña</v>
      </c>
      <c r="M3575" t="s">
        <v>13</v>
      </c>
      <c r="N3575">
        <v>3</v>
      </c>
    </row>
    <row r="3576" spans="1:14" x14ac:dyDescent="0.25">
      <c r="A3576">
        <v>4575</v>
      </c>
      <c r="B3576" s="1">
        <v>45926</v>
      </c>
      <c r="C3576" s="4">
        <f>MONTH(datos_ventas[[#This Row],[Fecha]])</f>
        <v>9</v>
      </c>
      <c r="D3576" s="4">
        <f>WEEKNUM(datos_ventas[[#This Row],[Fecha]],2)</f>
        <v>39</v>
      </c>
      <c r="E3576" t="s">
        <v>29</v>
      </c>
      <c r="F3576" t="s">
        <v>30</v>
      </c>
      <c r="G3576">
        <v>3</v>
      </c>
      <c r="H3576">
        <v>107959</v>
      </c>
      <c r="I3576">
        <v>4213</v>
      </c>
      <c r="J3576" t="s">
        <v>27</v>
      </c>
      <c r="K3576" t="str">
        <f>_xlfn.XLOOKUP(datos_ventas[[#This Row],[Ciudad]],Tabla2[Ciudades],Tabla2[Provincias],"no se encuentra")</f>
        <v>Sevilla</v>
      </c>
      <c r="L3576" t="str">
        <f>_xlfn.XLOOKUP(datos_ventas[[#This Row],[Provincia]],Tabla2[Provincias],Tabla2[Comunidades],"no se encuentra")</f>
        <v>Andalucía</v>
      </c>
      <c r="M3576" t="s">
        <v>15</v>
      </c>
      <c r="N3576">
        <v>4</v>
      </c>
    </row>
    <row r="3577" spans="1:14" x14ac:dyDescent="0.25">
      <c r="A3577">
        <v>4576</v>
      </c>
      <c r="B3577" s="1">
        <v>45968</v>
      </c>
      <c r="C3577" s="4">
        <f>MONTH(datos_ventas[[#This Row],[Fecha]])</f>
        <v>11</v>
      </c>
      <c r="D3577" s="4">
        <f>WEEKNUM(datos_ventas[[#This Row],[Fecha]],2)</f>
        <v>45</v>
      </c>
      <c r="E3577" t="s">
        <v>24</v>
      </c>
      <c r="F3577" t="s">
        <v>25</v>
      </c>
      <c r="G3577">
        <v>5</v>
      </c>
      <c r="H3577">
        <v>60092</v>
      </c>
      <c r="I3577">
        <v>2665</v>
      </c>
      <c r="J3577" t="s">
        <v>31</v>
      </c>
      <c r="K3577" t="str">
        <f>_xlfn.XLOOKUP(datos_ventas[[#This Row],[Ciudad]],Tabla2[Ciudades],Tabla2[Provincias],"no se encuentra")</f>
        <v>Vizcaya</v>
      </c>
      <c r="L3577" t="str">
        <f>_xlfn.XLOOKUP(datos_ventas[[#This Row],[Provincia]],Tabla2[Provincias],Tabla2[Comunidades],"no se encuentra")</f>
        <v>País Vasco</v>
      </c>
      <c r="M3577" t="s">
        <v>28</v>
      </c>
      <c r="N3577">
        <v>3</v>
      </c>
    </row>
    <row r="3578" spans="1:14" x14ac:dyDescent="0.25">
      <c r="A3578">
        <v>4577</v>
      </c>
      <c r="B3578" s="1">
        <v>45823</v>
      </c>
      <c r="C3578" s="4">
        <f>MONTH(datos_ventas[[#This Row],[Fecha]])</f>
        <v>6</v>
      </c>
      <c r="D3578" s="4">
        <f>WEEKNUM(datos_ventas[[#This Row],[Fecha]],2)</f>
        <v>24</v>
      </c>
      <c r="E3578" t="s">
        <v>23</v>
      </c>
      <c r="F3578" t="s">
        <v>18</v>
      </c>
      <c r="G3578">
        <v>4</v>
      </c>
      <c r="H3578">
        <v>114179</v>
      </c>
      <c r="I3578">
        <v>2822</v>
      </c>
      <c r="J3578" t="s">
        <v>14</v>
      </c>
      <c r="K3578" t="str">
        <f>_xlfn.XLOOKUP(datos_ventas[[#This Row],[Ciudad]],Tabla2[Ciudades],Tabla2[Provincias],"no se encuentra")</f>
        <v>Madrid</v>
      </c>
      <c r="L3578" t="str">
        <f>_xlfn.XLOOKUP(datos_ventas[[#This Row],[Provincia]],Tabla2[Provincias],Tabla2[Comunidades],"no se encuentra")</f>
        <v>Comunidad de Madrid</v>
      </c>
      <c r="M3578" t="s">
        <v>28</v>
      </c>
      <c r="N3578">
        <v>2</v>
      </c>
    </row>
    <row r="3579" spans="1:14" x14ac:dyDescent="0.25">
      <c r="A3579">
        <v>4578</v>
      </c>
      <c r="B3579" s="1">
        <v>45798</v>
      </c>
      <c r="C3579" s="4">
        <f>MONTH(datos_ventas[[#This Row],[Fecha]])</f>
        <v>5</v>
      </c>
      <c r="D3579" s="4">
        <f>WEEKNUM(datos_ventas[[#This Row],[Fecha]],2)</f>
        <v>21</v>
      </c>
      <c r="E3579" t="s">
        <v>26</v>
      </c>
      <c r="F3579" t="s">
        <v>18</v>
      </c>
      <c r="G3579">
        <v>1</v>
      </c>
      <c r="H3579">
        <v>16311</v>
      </c>
      <c r="I3579">
        <v>3698</v>
      </c>
      <c r="J3579" t="s">
        <v>14</v>
      </c>
      <c r="K3579" t="str">
        <f>_xlfn.XLOOKUP(datos_ventas[[#This Row],[Ciudad]],Tabla2[Ciudades],Tabla2[Provincias],"no se encuentra")</f>
        <v>Madrid</v>
      </c>
      <c r="L3579" t="str">
        <f>_xlfn.XLOOKUP(datos_ventas[[#This Row],[Provincia]],Tabla2[Provincias],Tabla2[Comunidades],"no se encuentra")</f>
        <v>Comunidad de Madrid</v>
      </c>
      <c r="M3579" t="s">
        <v>13</v>
      </c>
      <c r="N3579">
        <v>2</v>
      </c>
    </row>
    <row r="3580" spans="1:14" x14ac:dyDescent="0.25">
      <c r="A3580">
        <v>4579</v>
      </c>
      <c r="B3580" s="1">
        <v>45973</v>
      </c>
      <c r="C3580" s="4">
        <f>MONTH(datos_ventas[[#This Row],[Fecha]])</f>
        <v>11</v>
      </c>
      <c r="D3580" s="4">
        <f>WEEKNUM(datos_ventas[[#This Row],[Fecha]],2)</f>
        <v>46</v>
      </c>
      <c r="E3580" t="s">
        <v>10</v>
      </c>
      <c r="F3580" t="s">
        <v>11</v>
      </c>
      <c r="G3580">
        <v>2</v>
      </c>
      <c r="H3580">
        <v>85499</v>
      </c>
      <c r="I3580">
        <v>4855</v>
      </c>
      <c r="J3580" t="s">
        <v>31</v>
      </c>
      <c r="K3580" t="str">
        <f>_xlfn.XLOOKUP(datos_ventas[[#This Row],[Ciudad]],Tabla2[Ciudades],Tabla2[Provincias],"no se encuentra")</f>
        <v>Vizcaya</v>
      </c>
      <c r="L3580" t="str">
        <f>_xlfn.XLOOKUP(datos_ventas[[#This Row],[Provincia]],Tabla2[Provincias],Tabla2[Comunidades],"no se encuentra")</f>
        <v>País Vasco</v>
      </c>
      <c r="M3580" t="s">
        <v>19</v>
      </c>
      <c r="N3580">
        <v>3</v>
      </c>
    </row>
    <row r="3581" spans="1:14" x14ac:dyDescent="0.25">
      <c r="A3581">
        <v>4580</v>
      </c>
      <c r="B3581" s="1">
        <v>46007</v>
      </c>
      <c r="C3581" s="4">
        <f>MONTH(datos_ventas[[#This Row],[Fecha]])</f>
        <v>12</v>
      </c>
      <c r="D3581" s="4">
        <f>WEEKNUM(datos_ventas[[#This Row],[Fecha]],2)</f>
        <v>51</v>
      </c>
      <c r="E3581" t="s">
        <v>26</v>
      </c>
      <c r="F3581" t="s">
        <v>18</v>
      </c>
      <c r="G3581">
        <v>4</v>
      </c>
      <c r="H3581">
        <v>117872</v>
      </c>
      <c r="I3581">
        <v>3672</v>
      </c>
      <c r="J3581" t="s">
        <v>32</v>
      </c>
      <c r="K3581" t="str">
        <f>_xlfn.XLOOKUP(datos_ventas[[#This Row],[Ciudad]],Tabla2[Ciudades],Tabla2[Provincias],"no se encuentra")</f>
        <v>Barcelona</v>
      </c>
      <c r="L3581" t="str">
        <f>_xlfn.XLOOKUP(datos_ventas[[#This Row],[Provincia]],Tabla2[Provincias],Tabla2[Comunidades],"no se encuentra")</f>
        <v>Cataluña</v>
      </c>
      <c r="M3581" t="s">
        <v>15</v>
      </c>
      <c r="N3581">
        <v>3</v>
      </c>
    </row>
    <row r="3582" spans="1:14" x14ac:dyDescent="0.25">
      <c r="A3582">
        <v>4581</v>
      </c>
      <c r="B3582" s="1">
        <v>45792</v>
      </c>
      <c r="C3582" s="4">
        <f>MONTH(datos_ventas[[#This Row],[Fecha]])</f>
        <v>5</v>
      </c>
      <c r="D3582" s="4">
        <f>WEEKNUM(datos_ventas[[#This Row],[Fecha]],2)</f>
        <v>20</v>
      </c>
      <c r="E3582" t="s">
        <v>26</v>
      </c>
      <c r="F3582" t="s">
        <v>18</v>
      </c>
      <c r="G3582">
        <v>3</v>
      </c>
      <c r="H3582">
        <v>18018</v>
      </c>
      <c r="I3582">
        <v>3323</v>
      </c>
      <c r="J3582" t="s">
        <v>31</v>
      </c>
      <c r="K3582" t="str">
        <f>_xlfn.XLOOKUP(datos_ventas[[#This Row],[Ciudad]],Tabla2[Ciudades],Tabla2[Provincias],"no se encuentra")</f>
        <v>Vizcaya</v>
      </c>
      <c r="L3582" t="str">
        <f>_xlfn.XLOOKUP(datos_ventas[[#This Row],[Provincia]],Tabla2[Provincias],Tabla2[Comunidades],"no se encuentra")</f>
        <v>País Vasco</v>
      </c>
      <c r="M3582" t="s">
        <v>13</v>
      </c>
      <c r="N3582">
        <v>3</v>
      </c>
    </row>
    <row r="3583" spans="1:14" x14ac:dyDescent="0.25">
      <c r="A3583">
        <v>4582</v>
      </c>
      <c r="B3583" s="1">
        <v>45669</v>
      </c>
      <c r="C3583" s="4">
        <f>MONTH(datos_ventas[[#This Row],[Fecha]])</f>
        <v>1</v>
      </c>
      <c r="D3583" s="4">
        <f>WEEKNUM(datos_ventas[[#This Row],[Fecha]],2)</f>
        <v>2</v>
      </c>
      <c r="E3583" t="s">
        <v>16</v>
      </c>
      <c r="F3583" t="s">
        <v>11</v>
      </c>
      <c r="G3583">
        <v>2</v>
      </c>
      <c r="H3583">
        <v>86852</v>
      </c>
      <c r="I3583">
        <v>3674</v>
      </c>
      <c r="J3583" t="s">
        <v>22</v>
      </c>
      <c r="K3583" t="str">
        <f>_xlfn.XLOOKUP(datos_ventas[[#This Row],[Ciudad]],Tabla2[Ciudades],Tabla2[Provincias],"no se encuentra")</f>
        <v>Valencia</v>
      </c>
      <c r="L3583" t="str">
        <f>_xlfn.XLOOKUP(datos_ventas[[#This Row],[Provincia]],Tabla2[Provincias],Tabla2[Comunidades],"no se encuentra")</f>
        <v>Comunidad Valenciana</v>
      </c>
      <c r="M3583" t="s">
        <v>15</v>
      </c>
      <c r="N3583">
        <v>1</v>
      </c>
    </row>
    <row r="3584" spans="1:14" x14ac:dyDescent="0.25">
      <c r="A3584">
        <v>4583</v>
      </c>
      <c r="B3584" s="1">
        <v>45715</v>
      </c>
      <c r="C3584" s="4">
        <f>MONTH(datos_ventas[[#This Row],[Fecha]])</f>
        <v>2</v>
      </c>
      <c r="D3584" s="4">
        <f>WEEKNUM(datos_ventas[[#This Row],[Fecha]],2)</f>
        <v>9</v>
      </c>
      <c r="E3584" t="s">
        <v>26</v>
      </c>
      <c r="F3584" t="s">
        <v>18</v>
      </c>
      <c r="G3584">
        <v>4</v>
      </c>
      <c r="H3584">
        <v>113076</v>
      </c>
      <c r="I3584">
        <v>554</v>
      </c>
      <c r="J3584" t="s">
        <v>22</v>
      </c>
      <c r="K3584" t="str">
        <f>_xlfn.XLOOKUP(datos_ventas[[#This Row],[Ciudad]],Tabla2[Ciudades],Tabla2[Provincias],"no se encuentra")</f>
        <v>Valencia</v>
      </c>
      <c r="L3584" t="str">
        <f>_xlfn.XLOOKUP(datos_ventas[[#This Row],[Provincia]],Tabla2[Provincias],Tabla2[Comunidades],"no se encuentra")</f>
        <v>Comunidad Valenciana</v>
      </c>
      <c r="M3584" t="s">
        <v>19</v>
      </c>
      <c r="N3584">
        <v>4</v>
      </c>
    </row>
    <row r="3585" spans="1:14" x14ac:dyDescent="0.25">
      <c r="A3585">
        <v>4584</v>
      </c>
      <c r="B3585" s="1">
        <v>45875</v>
      </c>
      <c r="C3585" s="4">
        <f>MONTH(datos_ventas[[#This Row],[Fecha]])</f>
        <v>8</v>
      </c>
      <c r="D3585" s="4">
        <f>WEEKNUM(datos_ventas[[#This Row],[Fecha]],2)</f>
        <v>32</v>
      </c>
      <c r="E3585" t="s">
        <v>16</v>
      </c>
      <c r="F3585" t="s">
        <v>11</v>
      </c>
      <c r="G3585">
        <v>2</v>
      </c>
      <c r="H3585">
        <v>29447</v>
      </c>
      <c r="I3585">
        <v>2884</v>
      </c>
      <c r="J3585" t="s">
        <v>12</v>
      </c>
      <c r="K3585" t="str">
        <f>_xlfn.XLOOKUP(datos_ventas[[#This Row],[Ciudad]],Tabla2[Ciudades],Tabla2[Provincias],"no se encuentra")</f>
        <v>Málaga</v>
      </c>
      <c r="L3585" t="str">
        <f>_xlfn.XLOOKUP(datos_ventas[[#This Row],[Provincia]],Tabla2[Provincias],Tabla2[Comunidades],"no se encuentra")</f>
        <v>Andalucía</v>
      </c>
      <c r="M3585" t="s">
        <v>13</v>
      </c>
      <c r="N3585">
        <v>5</v>
      </c>
    </row>
    <row r="3586" spans="1:14" x14ac:dyDescent="0.25">
      <c r="A3586">
        <v>4585</v>
      </c>
      <c r="B3586" s="1">
        <v>45678</v>
      </c>
      <c r="C3586" s="4">
        <f>MONTH(datos_ventas[[#This Row],[Fecha]])</f>
        <v>1</v>
      </c>
      <c r="D3586" s="4">
        <f>WEEKNUM(datos_ventas[[#This Row],[Fecha]],2)</f>
        <v>4</v>
      </c>
      <c r="E3586" t="s">
        <v>24</v>
      </c>
      <c r="F3586" t="s">
        <v>25</v>
      </c>
      <c r="G3586">
        <v>2</v>
      </c>
      <c r="H3586">
        <v>75651</v>
      </c>
      <c r="I3586">
        <v>2023</v>
      </c>
      <c r="J3586" t="s">
        <v>27</v>
      </c>
      <c r="K3586" t="str">
        <f>_xlfn.XLOOKUP(datos_ventas[[#This Row],[Ciudad]],Tabla2[Ciudades],Tabla2[Provincias],"no se encuentra")</f>
        <v>Sevilla</v>
      </c>
      <c r="L3586" t="str">
        <f>_xlfn.XLOOKUP(datos_ventas[[#This Row],[Provincia]],Tabla2[Provincias],Tabla2[Comunidades],"no se encuentra")</f>
        <v>Andalucía</v>
      </c>
      <c r="M3586" t="s">
        <v>28</v>
      </c>
      <c r="N3586">
        <v>2</v>
      </c>
    </row>
    <row r="3587" spans="1:14" x14ac:dyDescent="0.25">
      <c r="A3587">
        <v>4586</v>
      </c>
      <c r="B3587" s="1">
        <v>45779</v>
      </c>
      <c r="C3587" s="4">
        <f>MONTH(datos_ventas[[#This Row],[Fecha]])</f>
        <v>5</v>
      </c>
      <c r="D3587" s="4">
        <f>WEEKNUM(datos_ventas[[#This Row],[Fecha]],2)</f>
        <v>18</v>
      </c>
      <c r="E3587" t="s">
        <v>23</v>
      </c>
      <c r="F3587" t="s">
        <v>18</v>
      </c>
      <c r="G3587">
        <v>1</v>
      </c>
      <c r="H3587">
        <v>3804</v>
      </c>
      <c r="I3587">
        <v>935</v>
      </c>
      <c r="J3587" t="s">
        <v>32</v>
      </c>
      <c r="K3587" t="str">
        <f>_xlfn.XLOOKUP(datos_ventas[[#This Row],[Ciudad]],Tabla2[Ciudades],Tabla2[Provincias],"no se encuentra")</f>
        <v>Barcelona</v>
      </c>
      <c r="L3587" t="str">
        <f>_xlfn.XLOOKUP(datos_ventas[[#This Row],[Provincia]],Tabla2[Provincias],Tabla2[Comunidades],"no se encuentra")</f>
        <v>Cataluña</v>
      </c>
      <c r="M3587" t="s">
        <v>19</v>
      </c>
      <c r="N3587">
        <v>1</v>
      </c>
    </row>
    <row r="3588" spans="1:14" x14ac:dyDescent="0.25">
      <c r="A3588">
        <v>4587</v>
      </c>
      <c r="B3588" s="1">
        <v>45838</v>
      </c>
      <c r="C3588" s="4">
        <f>MONTH(datos_ventas[[#This Row],[Fecha]])</f>
        <v>6</v>
      </c>
      <c r="D3588" s="4">
        <f>WEEKNUM(datos_ventas[[#This Row],[Fecha]],2)</f>
        <v>27</v>
      </c>
      <c r="E3588" t="s">
        <v>16</v>
      </c>
      <c r="F3588" t="s">
        <v>11</v>
      </c>
      <c r="G3588">
        <v>4</v>
      </c>
      <c r="H3588">
        <v>111553</v>
      </c>
      <c r="I3588">
        <v>3241</v>
      </c>
      <c r="J3588" t="s">
        <v>27</v>
      </c>
      <c r="K3588" t="str">
        <f>_xlfn.XLOOKUP(datos_ventas[[#This Row],[Ciudad]],Tabla2[Ciudades],Tabla2[Provincias],"no se encuentra")</f>
        <v>Sevilla</v>
      </c>
      <c r="L3588" t="str">
        <f>_xlfn.XLOOKUP(datos_ventas[[#This Row],[Provincia]],Tabla2[Provincias],Tabla2[Comunidades],"no se encuentra")</f>
        <v>Andalucía</v>
      </c>
      <c r="M3588" t="s">
        <v>19</v>
      </c>
      <c r="N3588">
        <v>3</v>
      </c>
    </row>
    <row r="3589" spans="1:14" x14ac:dyDescent="0.25">
      <c r="A3589">
        <v>4588</v>
      </c>
      <c r="B3589" s="1">
        <v>45929</v>
      </c>
      <c r="C3589" s="4">
        <f>MONTH(datos_ventas[[#This Row],[Fecha]])</f>
        <v>9</v>
      </c>
      <c r="D3589" s="4">
        <f>WEEKNUM(datos_ventas[[#This Row],[Fecha]],2)</f>
        <v>40</v>
      </c>
      <c r="E3589" t="s">
        <v>17</v>
      </c>
      <c r="F3589" t="s">
        <v>18</v>
      </c>
      <c r="G3589">
        <v>1</v>
      </c>
      <c r="H3589">
        <v>23264</v>
      </c>
      <c r="I3589">
        <v>4745</v>
      </c>
      <c r="J3589" t="s">
        <v>27</v>
      </c>
      <c r="K3589" t="str">
        <f>_xlfn.XLOOKUP(datos_ventas[[#This Row],[Ciudad]],Tabla2[Ciudades],Tabla2[Provincias],"no se encuentra")</f>
        <v>Sevilla</v>
      </c>
      <c r="L3589" t="str">
        <f>_xlfn.XLOOKUP(datos_ventas[[#This Row],[Provincia]],Tabla2[Provincias],Tabla2[Comunidades],"no se encuentra")</f>
        <v>Andalucía</v>
      </c>
      <c r="M3589" t="s">
        <v>13</v>
      </c>
      <c r="N3589">
        <v>5</v>
      </c>
    </row>
    <row r="3590" spans="1:14" x14ac:dyDescent="0.25">
      <c r="A3590">
        <v>4589</v>
      </c>
      <c r="B3590" s="1">
        <v>45819</v>
      </c>
      <c r="C3590" s="4">
        <f>MONTH(datos_ventas[[#This Row],[Fecha]])</f>
        <v>6</v>
      </c>
      <c r="D3590" s="4">
        <f>WEEKNUM(datos_ventas[[#This Row],[Fecha]],2)</f>
        <v>24</v>
      </c>
      <c r="E3590" t="s">
        <v>17</v>
      </c>
      <c r="F3590" t="s">
        <v>18</v>
      </c>
      <c r="G3590">
        <v>5</v>
      </c>
      <c r="H3590">
        <v>41636</v>
      </c>
      <c r="I3590">
        <v>4745</v>
      </c>
      <c r="J3590" t="s">
        <v>14</v>
      </c>
      <c r="K3590" t="str">
        <f>_xlfn.XLOOKUP(datos_ventas[[#This Row],[Ciudad]],Tabla2[Ciudades],Tabla2[Provincias],"no se encuentra")</f>
        <v>Madrid</v>
      </c>
      <c r="L3590" t="str">
        <f>_xlfn.XLOOKUP(datos_ventas[[#This Row],[Provincia]],Tabla2[Provincias],Tabla2[Comunidades],"no se encuentra")</f>
        <v>Comunidad de Madrid</v>
      </c>
      <c r="M3590" t="s">
        <v>28</v>
      </c>
      <c r="N3590">
        <v>5</v>
      </c>
    </row>
    <row r="3591" spans="1:14" x14ac:dyDescent="0.25">
      <c r="A3591">
        <v>4590</v>
      </c>
      <c r="B3591" s="1">
        <v>45883</v>
      </c>
      <c r="C3591" s="4">
        <f>MONTH(datos_ventas[[#This Row],[Fecha]])</f>
        <v>8</v>
      </c>
      <c r="D3591" s="4">
        <f>WEEKNUM(datos_ventas[[#This Row],[Fecha]],2)</f>
        <v>33</v>
      </c>
      <c r="E3591" t="s">
        <v>17</v>
      </c>
      <c r="F3591" t="s">
        <v>18</v>
      </c>
      <c r="G3591">
        <v>3</v>
      </c>
      <c r="H3591">
        <v>89241</v>
      </c>
      <c r="I3591">
        <v>4133</v>
      </c>
      <c r="J3591" t="s">
        <v>27</v>
      </c>
      <c r="K3591" t="str">
        <f>_xlfn.XLOOKUP(datos_ventas[[#This Row],[Ciudad]],Tabla2[Ciudades],Tabla2[Provincias],"no se encuentra")</f>
        <v>Sevilla</v>
      </c>
      <c r="L3591" t="str">
        <f>_xlfn.XLOOKUP(datos_ventas[[#This Row],[Provincia]],Tabla2[Provincias],Tabla2[Comunidades],"no se encuentra")</f>
        <v>Andalucía</v>
      </c>
      <c r="M3591" t="s">
        <v>28</v>
      </c>
      <c r="N3591">
        <v>1</v>
      </c>
    </row>
    <row r="3592" spans="1:14" x14ac:dyDescent="0.25">
      <c r="A3592">
        <v>4591</v>
      </c>
      <c r="B3592" s="1">
        <v>45849</v>
      </c>
      <c r="C3592" s="4">
        <f>MONTH(datos_ventas[[#This Row],[Fecha]])</f>
        <v>7</v>
      </c>
      <c r="D3592" s="4">
        <f>WEEKNUM(datos_ventas[[#This Row],[Fecha]],2)</f>
        <v>28</v>
      </c>
      <c r="E3592" t="s">
        <v>26</v>
      </c>
      <c r="F3592" t="s">
        <v>18</v>
      </c>
      <c r="G3592">
        <v>4</v>
      </c>
      <c r="H3592">
        <v>58872</v>
      </c>
      <c r="I3592">
        <v>2245</v>
      </c>
      <c r="J3592" t="s">
        <v>12</v>
      </c>
      <c r="K3592" t="str">
        <f>_xlfn.XLOOKUP(datos_ventas[[#This Row],[Ciudad]],Tabla2[Ciudades],Tabla2[Provincias],"no se encuentra")</f>
        <v>Málaga</v>
      </c>
      <c r="L3592" t="str">
        <f>_xlfn.XLOOKUP(datos_ventas[[#This Row],[Provincia]],Tabla2[Provincias],Tabla2[Comunidades],"no se encuentra")</f>
        <v>Andalucía</v>
      </c>
      <c r="M3592" t="s">
        <v>28</v>
      </c>
      <c r="N3592">
        <v>4</v>
      </c>
    </row>
    <row r="3593" spans="1:14" x14ac:dyDescent="0.25">
      <c r="A3593">
        <v>4592</v>
      </c>
      <c r="B3593" s="1">
        <v>45704</v>
      </c>
      <c r="C3593" s="4">
        <f>MONTH(datos_ventas[[#This Row],[Fecha]])</f>
        <v>2</v>
      </c>
      <c r="D3593" s="4">
        <f>WEEKNUM(datos_ventas[[#This Row],[Fecha]],2)</f>
        <v>7</v>
      </c>
      <c r="E3593" t="s">
        <v>16</v>
      </c>
      <c r="F3593" t="s">
        <v>11</v>
      </c>
      <c r="G3593">
        <v>3</v>
      </c>
      <c r="H3593">
        <v>74222</v>
      </c>
      <c r="I3593">
        <v>208</v>
      </c>
      <c r="J3593" t="s">
        <v>22</v>
      </c>
      <c r="K3593" t="str">
        <f>_xlfn.XLOOKUP(datos_ventas[[#This Row],[Ciudad]],Tabla2[Ciudades],Tabla2[Provincias],"no se encuentra")</f>
        <v>Valencia</v>
      </c>
      <c r="L3593" t="str">
        <f>_xlfn.XLOOKUP(datos_ventas[[#This Row],[Provincia]],Tabla2[Provincias],Tabla2[Comunidades],"no se encuentra")</f>
        <v>Comunidad Valenciana</v>
      </c>
      <c r="M3593" t="s">
        <v>13</v>
      </c>
      <c r="N3593">
        <v>2</v>
      </c>
    </row>
    <row r="3594" spans="1:14" x14ac:dyDescent="0.25">
      <c r="A3594">
        <v>4593</v>
      </c>
      <c r="B3594" s="1">
        <v>45666</v>
      </c>
      <c r="C3594" s="4">
        <f>MONTH(datos_ventas[[#This Row],[Fecha]])</f>
        <v>1</v>
      </c>
      <c r="D3594" s="4">
        <f>WEEKNUM(datos_ventas[[#This Row],[Fecha]],2)</f>
        <v>2</v>
      </c>
      <c r="E3594" t="s">
        <v>16</v>
      </c>
      <c r="F3594" t="s">
        <v>11</v>
      </c>
      <c r="G3594">
        <v>3</v>
      </c>
      <c r="H3594">
        <v>97372</v>
      </c>
      <c r="I3594">
        <v>686</v>
      </c>
      <c r="J3594" t="s">
        <v>32</v>
      </c>
      <c r="K3594" t="str">
        <f>_xlfn.XLOOKUP(datos_ventas[[#This Row],[Ciudad]],Tabla2[Ciudades],Tabla2[Provincias],"no se encuentra")</f>
        <v>Barcelona</v>
      </c>
      <c r="L3594" t="str">
        <f>_xlfn.XLOOKUP(datos_ventas[[#This Row],[Provincia]],Tabla2[Provincias],Tabla2[Comunidades],"no se encuentra")</f>
        <v>Cataluña</v>
      </c>
      <c r="M3594" t="s">
        <v>28</v>
      </c>
      <c r="N3594">
        <v>2</v>
      </c>
    </row>
    <row r="3595" spans="1:14" x14ac:dyDescent="0.25">
      <c r="A3595">
        <v>4594</v>
      </c>
      <c r="B3595" s="1">
        <v>45732</v>
      </c>
      <c r="C3595" s="4">
        <f>MONTH(datos_ventas[[#This Row],[Fecha]])</f>
        <v>3</v>
      </c>
      <c r="D3595" s="4">
        <f>WEEKNUM(datos_ventas[[#This Row],[Fecha]],2)</f>
        <v>11</v>
      </c>
      <c r="E3595" t="s">
        <v>29</v>
      </c>
      <c r="F3595" t="s">
        <v>30</v>
      </c>
      <c r="G3595">
        <v>3</v>
      </c>
      <c r="H3595">
        <v>80611</v>
      </c>
      <c r="I3595">
        <v>3593</v>
      </c>
      <c r="J3595" t="s">
        <v>22</v>
      </c>
      <c r="K3595" t="str">
        <f>_xlfn.XLOOKUP(datos_ventas[[#This Row],[Ciudad]],Tabla2[Ciudades],Tabla2[Provincias],"no se encuentra")</f>
        <v>Valencia</v>
      </c>
      <c r="L3595" t="str">
        <f>_xlfn.XLOOKUP(datos_ventas[[#This Row],[Provincia]],Tabla2[Provincias],Tabla2[Comunidades],"no se encuentra")</f>
        <v>Comunidad Valenciana</v>
      </c>
      <c r="M3595" t="s">
        <v>13</v>
      </c>
      <c r="N3595">
        <v>5</v>
      </c>
    </row>
    <row r="3596" spans="1:14" x14ac:dyDescent="0.25">
      <c r="A3596">
        <v>4595</v>
      </c>
      <c r="B3596" s="1">
        <v>45800</v>
      </c>
      <c r="C3596" s="4">
        <f>MONTH(datos_ventas[[#This Row],[Fecha]])</f>
        <v>5</v>
      </c>
      <c r="D3596" s="4">
        <f>WEEKNUM(datos_ventas[[#This Row],[Fecha]],2)</f>
        <v>21</v>
      </c>
      <c r="E3596" t="s">
        <v>16</v>
      </c>
      <c r="F3596" t="s">
        <v>11</v>
      </c>
      <c r="G3596">
        <v>2</v>
      </c>
      <c r="H3596">
        <v>67457</v>
      </c>
      <c r="I3596">
        <v>130</v>
      </c>
      <c r="J3596" t="s">
        <v>32</v>
      </c>
      <c r="K3596" t="str">
        <f>_xlfn.XLOOKUP(datos_ventas[[#This Row],[Ciudad]],Tabla2[Ciudades],Tabla2[Provincias],"no se encuentra")</f>
        <v>Barcelona</v>
      </c>
      <c r="L3596" t="str">
        <f>_xlfn.XLOOKUP(datos_ventas[[#This Row],[Provincia]],Tabla2[Provincias],Tabla2[Comunidades],"no se encuentra")</f>
        <v>Cataluña</v>
      </c>
      <c r="M3596" t="s">
        <v>15</v>
      </c>
      <c r="N3596">
        <v>2</v>
      </c>
    </row>
    <row r="3597" spans="1:14" x14ac:dyDescent="0.25">
      <c r="A3597">
        <v>4596</v>
      </c>
      <c r="B3597" s="1">
        <v>46010</v>
      </c>
      <c r="C3597" s="4">
        <f>MONTH(datos_ventas[[#This Row],[Fecha]])</f>
        <v>12</v>
      </c>
      <c r="D3597" s="4">
        <f>WEEKNUM(datos_ventas[[#This Row],[Fecha]],2)</f>
        <v>51</v>
      </c>
      <c r="E3597" t="s">
        <v>20</v>
      </c>
      <c r="F3597" t="s">
        <v>21</v>
      </c>
      <c r="G3597">
        <v>4</v>
      </c>
      <c r="H3597">
        <v>76413</v>
      </c>
      <c r="I3597">
        <v>3681</v>
      </c>
      <c r="J3597" t="s">
        <v>32</v>
      </c>
      <c r="K3597" t="str">
        <f>_xlfn.XLOOKUP(datos_ventas[[#This Row],[Ciudad]],Tabla2[Ciudades],Tabla2[Provincias],"no se encuentra")</f>
        <v>Barcelona</v>
      </c>
      <c r="L3597" t="str">
        <f>_xlfn.XLOOKUP(datos_ventas[[#This Row],[Provincia]],Tabla2[Provincias],Tabla2[Comunidades],"no se encuentra")</f>
        <v>Cataluña</v>
      </c>
      <c r="M3597" t="s">
        <v>19</v>
      </c>
      <c r="N3597">
        <v>3</v>
      </c>
    </row>
    <row r="3598" spans="1:14" x14ac:dyDescent="0.25">
      <c r="A3598">
        <v>4597</v>
      </c>
      <c r="B3598" s="1">
        <v>46010</v>
      </c>
      <c r="C3598" s="4">
        <f>MONTH(datos_ventas[[#This Row],[Fecha]])</f>
        <v>12</v>
      </c>
      <c r="D3598" s="4">
        <f>WEEKNUM(datos_ventas[[#This Row],[Fecha]],2)</f>
        <v>51</v>
      </c>
      <c r="E3598" t="s">
        <v>17</v>
      </c>
      <c r="F3598" t="s">
        <v>18</v>
      </c>
      <c r="G3598">
        <v>1</v>
      </c>
      <c r="H3598">
        <v>85016</v>
      </c>
      <c r="I3598">
        <v>2065</v>
      </c>
      <c r="J3598" t="s">
        <v>12</v>
      </c>
      <c r="K3598" t="str">
        <f>_xlfn.XLOOKUP(datos_ventas[[#This Row],[Ciudad]],Tabla2[Ciudades],Tabla2[Provincias],"no se encuentra")</f>
        <v>Málaga</v>
      </c>
      <c r="L3598" t="str">
        <f>_xlfn.XLOOKUP(datos_ventas[[#This Row],[Provincia]],Tabla2[Provincias],Tabla2[Comunidades],"no se encuentra")</f>
        <v>Andalucía</v>
      </c>
      <c r="M3598" t="s">
        <v>19</v>
      </c>
      <c r="N3598">
        <v>2</v>
      </c>
    </row>
    <row r="3599" spans="1:14" x14ac:dyDescent="0.25">
      <c r="A3599">
        <v>4598</v>
      </c>
      <c r="B3599" s="1">
        <v>45845</v>
      </c>
      <c r="C3599" s="4">
        <f>MONTH(datos_ventas[[#This Row],[Fecha]])</f>
        <v>7</v>
      </c>
      <c r="D3599" s="4">
        <f>WEEKNUM(datos_ventas[[#This Row],[Fecha]],2)</f>
        <v>28</v>
      </c>
      <c r="E3599" t="s">
        <v>29</v>
      </c>
      <c r="F3599" t="s">
        <v>30</v>
      </c>
      <c r="G3599">
        <v>1</v>
      </c>
      <c r="H3599">
        <v>109202</v>
      </c>
      <c r="I3599">
        <v>419</v>
      </c>
      <c r="J3599" t="s">
        <v>14</v>
      </c>
      <c r="K3599" t="str">
        <f>_xlfn.XLOOKUP(datos_ventas[[#This Row],[Ciudad]],Tabla2[Ciudades],Tabla2[Provincias],"no se encuentra")</f>
        <v>Madrid</v>
      </c>
      <c r="L3599" t="str">
        <f>_xlfn.XLOOKUP(datos_ventas[[#This Row],[Provincia]],Tabla2[Provincias],Tabla2[Comunidades],"no se encuentra")</f>
        <v>Comunidad de Madrid</v>
      </c>
      <c r="M3599" t="s">
        <v>28</v>
      </c>
      <c r="N3599">
        <v>2</v>
      </c>
    </row>
    <row r="3600" spans="1:14" x14ac:dyDescent="0.25">
      <c r="A3600">
        <v>4599</v>
      </c>
      <c r="B3600" s="1">
        <v>45718</v>
      </c>
      <c r="C3600" s="4">
        <f>MONTH(datos_ventas[[#This Row],[Fecha]])</f>
        <v>3</v>
      </c>
      <c r="D3600" s="4">
        <f>WEEKNUM(datos_ventas[[#This Row],[Fecha]],2)</f>
        <v>9</v>
      </c>
      <c r="E3600" t="s">
        <v>24</v>
      </c>
      <c r="F3600" t="s">
        <v>25</v>
      </c>
      <c r="G3600">
        <v>5</v>
      </c>
      <c r="H3600">
        <v>23981</v>
      </c>
      <c r="I3600">
        <v>4748</v>
      </c>
      <c r="J3600" t="s">
        <v>27</v>
      </c>
      <c r="K3600" t="str">
        <f>_xlfn.XLOOKUP(datos_ventas[[#This Row],[Ciudad]],Tabla2[Ciudades],Tabla2[Provincias],"no se encuentra")</f>
        <v>Sevilla</v>
      </c>
      <c r="L3600" t="str">
        <f>_xlfn.XLOOKUP(datos_ventas[[#This Row],[Provincia]],Tabla2[Provincias],Tabla2[Comunidades],"no se encuentra")</f>
        <v>Andalucía</v>
      </c>
      <c r="M3600" t="s">
        <v>28</v>
      </c>
      <c r="N3600">
        <v>1</v>
      </c>
    </row>
    <row r="3601" spans="1:14" x14ac:dyDescent="0.25">
      <c r="A3601">
        <v>4600</v>
      </c>
      <c r="B3601" s="1">
        <v>46001</v>
      </c>
      <c r="C3601" s="4">
        <f>MONTH(datos_ventas[[#This Row],[Fecha]])</f>
        <v>12</v>
      </c>
      <c r="D3601" s="4">
        <f>WEEKNUM(datos_ventas[[#This Row],[Fecha]],2)</f>
        <v>50</v>
      </c>
      <c r="E3601" t="s">
        <v>24</v>
      </c>
      <c r="F3601" t="s">
        <v>25</v>
      </c>
      <c r="G3601">
        <v>4</v>
      </c>
      <c r="H3601">
        <v>86479</v>
      </c>
      <c r="I3601">
        <v>2551</v>
      </c>
      <c r="J3601" t="s">
        <v>12</v>
      </c>
      <c r="K3601" t="str">
        <f>_xlfn.XLOOKUP(datos_ventas[[#This Row],[Ciudad]],Tabla2[Ciudades],Tabla2[Provincias],"no se encuentra")</f>
        <v>Málaga</v>
      </c>
      <c r="L3601" t="str">
        <f>_xlfn.XLOOKUP(datos_ventas[[#This Row],[Provincia]],Tabla2[Provincias],Tabla2[Comunidades],"no se encuentra")</f>
        <v>Andalucía</v>
      </c>
      <c r="M3601" t="s">
        <v>28</v>
      </c>
      <c r="N3601">
        <v>5</v>
      </c>
    </row>
    <row r="3602" spans="1:14" x14ac:dyDescent="0.25">
      <c r="A3602">
        <v>4601</v>
      </c>
      <c r="B3602" s="1">
        <v>45748</v>
      </c>
      <c r="C3602" s="4">
        <f>MONTH(datos_ventas[[#This Row],[Fecha]])</f>
        <v>4</v>
      </c>
      <c r="D3602" s="4">
        <f>WEEKNUM(datos_ventas[[#This Row],[Fecha]],2)</f>
        <v>14</v>
      </c>
      <c r="E3602" t="s">
        <v>29</v>
      </c>
      <c r="F3602" t="s">
        <v>30</v>
      </c>
      <c r="G3602">
        <v>4</v>
      </c>
      <c r="H3602">
        <v>67696</v>
      </c>
      <c r="I3602">
        <v>4938</v>
      </c>
      <c r="J3602" t="s">
        <v>12</v>
      </c>
      <c r="K3602" t="str">
        <f>_xlfn.XLOOKUP(datos_ventas[[#This Row],[Ciudad]],Tabla2[Ciudades],Tabla2[Provincias],"no se encuentra")</f>
        <v>Málaga</v>
      </c>
      <c r="L3602" t="str">
        <f>_xlfn.XLOOKUP(datos_ventas[[#This Row],[Provincia]],Tabla2[Provincias],Tabla2[Comunidades],"no se encuentra")</f>
        <v>Andalucía</v>
      </c>
      <c r="M3602" t="s">
        <v>15</v>
      </c>
      <c r="N3602">
        <v>5</v>
      </c>
    </row>
    <row r="3603" spans="1:14" x14ac:dyDescent="0.25">
      <c r="A3603">
        <v>4602</v>
      </c>
      <c r="B3603" s="1">
        <v>45973</v>
      </c>
      <c r="C3603" s="4">
        <f>MONTH(datos_ventas[[#This Row],[Fecha]])</f>
        <v>11</v>
      </c>
      <c r="D3603" s="4">
        <f>WEEKNUM(datos_ventas[[#This Row],[Fecha]],2)</f>
        <v>46</v>
      </c>
      <c r="E3603" t="s">
        <v>23</v>
      </c>
      <c r="F3603" t="s">
        <v>18</v>
      </c>
      <c r="G3603">
        <v>3</v>
      </c>
      <c r="H3603">
        <v>98818</v>
      </c>
      <c r="I3603">
        <v>2753</v>
      </c>
      <c r="J3603" t="s">
        <v>32</v>
      </c>
      <c r="K3603" t="str">
        <f>_xlfn.XLOOKUP(datos_ventas[[#This Row],[Ciudad]],Tabla2[Ciudades],Tabla2[Provincias],"no se encuentra")</f>
        <v>Barcelona</v>
      </c>
      <c r="L3603" t="str">
        <f>_xlfn.XLOOKUP(datos_ventas[[#This Row],[Provincia]],Tabla2[Provincias],Tabla2[Comunidades],"no se encuentra")</f>
        <v>Cataluña</v>
      </c>
      <c r="M3603" t="s">
        <v>19</v>
      </c>
      <c r="N3603">
        <v>3</v>
      </c>
    </row>
    <row r="3604" spans="1:14" x14ac:dyDescent="0.25">
      <c r="A3604">
        <v>4603</v>
      </c>
      <c r="B3604" s="1">
        <v>45864</v>
      </c>
      <c r="C3604" s="4">
        <f>MONTH(datos_ventas[[#This Row],[Fecha]])</f>
        <v>7</v>
      </c>
      <c r="D3604" s="4">
        <f>WEEKNUM(datos_ventas[[#This Row],[Fecha]],2)</f>
        <v>30</v>
      </c>
      <c r="E3604" t="s">
        <v>16</v>
      </c>
      <c r="F3604" t="s">
        <v>11</v>
      </c>
      <c r="G3604">
        <v>2</v>
      </c>
      <c r="H3604">
        <v>18924</v>
      </c>
      <c r="I3604">
        <v>242</v>
      </c>
      <c r="J3604" t="s">
        <v>12</v>
      </c>
      <c r="K3604" t="str">
        <f>_xlfn.XLOOKUP(datos_ventas[[#This Row],[Ciudad]],Tabla2[Ciudades],Tabla2[Provincias],"no se encuentra")</f>
        <v>Málaga</v>
      </c>
      <c r="L3604" t="str">
        <f>_xlfn.XLOOKUP(datos_ventas[[#This Row],[Provincia]],Tabla2[Provincias],Tabla2[Comunidades],"no se encuentra")</f>
        <v>Andalucía</v>
      </c>
      <c r="M3604" t="s">
        <v>13</v>
      </c>
      <c r="N3604">
        <v>2</v>
      </c>
    </row>
    <row r="3605" spans="1:14" x14ac:dyDescent="0.25">
      <c r="A3605">
        <v>4604</v>
      </c>
      <c r="B3605" s="1">
        <v>45957</v>
      </c>
      <c r="C3605" s="4">
        <f>MONTH(datos_ventas[[#This Row],[Fecha]])</f>
        <v>10</v>
      </c>
      <c r="D3605" s="4">
        <f>WEEKNUM(datos_ventas[[#This Row],[Fecha]],2)</f>
        <v>44</v>
      </c>
      <c r="E3605" t="s">
        <v>10</v>
      </c>
      <c r="F3605" t="s">
        <v>11</v>
      </c>
      <c r="G3605">
        <v>3</v>
      </c>
      <c r="H3605">
        <v>61906</v>
      </c>
      <c r="I3605">
        <v>3972</v>
      </c>
      <c r="J3605" t="s">
        <v>27</v>
      </c>
      <c r="K3605" t="str">
        <f>_xlfn.XLOOKUP(datos_ventas[[#This Row],[Ciudad]],Tabla2[Ciudades],Tabla2[Provincias],"no se encuentra")</f>
        <v>Sevilla</v>
      </c>
      <c r="L3605" t="str">
        <f>_xlfn.XLOOKUP(datos_ventas[[#This Row],[Provincia]],Tabla2[Provincias],Tabla2[Comunidades],"no se encuentra")</f>
        <v>Andalucía</v>
      </c>
      <c r="M3605" t="s">
        <v>13</v>
      </c>
      <c r="N3605">
        <v>4</v>
      </c>
    </row>
    <row r="3606" spans="1:14" x14ac:dyDescent="0.25">
      <c r="A3606">
        <v>4605</v>
      </c>
      <c r="B3606" s="1">
        <v>45922</v>
      </c>
      <c r="C3606" s="4">
        <f>MONTH(datos_ventas[[#This Row],[Fecha]])</f>
        <v>9</v>
      </c>
      <c r="D3606" s="4">
        <f>WEEKNUM(datos_ventas[[#This Row],[Fecha]],2)</f>
        <v>39</v>
      </c>
      <c r="E3606" t="s">
        <v>20</v>
      </c>
      <c r="F3606" t="s">
        <v>21</v>
      </c>
      <c r="G3606">
        <v>2</v>
      </c>
      <c r="H3606">
        <v>4627</v>
      </c>
      <c r="I3606">
        <v>1684</v>
      </c>
      <c r="J3606" t="s">
        <v>14</v>
      </c>
      <c r="K3606" t="str">
        <f>_xlfn.XLOOKUP(datos_ventas[[#This Row],[Ciudad]],Tabla2[Ciudades],Tabla2[Provincias],"no se encuentra")</f>
        <v>Madrid</v>
      </c>
      <c r="L3606" t="str">
        <f>_xlfn.XLOOKUP(datos_ventas[[#This Row],[Provincia]],Tabla2[Provincias],Tabla2[Comunidades],"no se encuentra")</f>
        <v>Comunidad de Madrid</v>
      </c>
      <c r="M3606" t="s">
        <v>15</v>
      </c>
      <c r="N3606">
        <v>2</v>
      </c>
    </row>
    <row r="3607" spans="1:14" x14ac:dyDescent="0.25">
      <c r="A3607">
        <v>4606</v>
      </c>
      <c r="B3607" s="1">
        <v>45725</v>
      </c>
      <c r="C3607" s="4">
        <f>MONTH(datos_ventas[[#This Row],[Fecha]])</f>
        <v>3</v>
      </c>
      <c r="D3607" s="4">
        <f>WEEKNUM(datos_ventas[[#This Row],[Fecha]],2)</f>
        <v>10</v>
      </c>
      <c r="E3607" t="s">
        <v>23</v>
      </c>
      <c r="F3607" t="s">
        <v>18</v>
      </c>
      <c r="G3607">
        <v>3</v>
      </c>
      <c r="H3607">
        <v>13574</v>
      </c>
      <c r="I3607">
        <v>121</v>
      </c>
      <c r="J3607" t="s">
        <v>14</v>
      </c>
      <c r="K3607" t="str">
        <f>_xlfn.XLOOKUP(datos_ventas[[#This Row],[Ciudad]],Tabla2[Ciudades],Tabla2[Provincias],"no se encuentra")</f>
        <v>Madrid</v>
      </c>
      <c r="L3607" t="str">
        <f>_xlfn.XLOOKUP(datos_ventas[[#This Row],[Provincia]],Tabla2[Provincias],Tabla2[Comunidades],"no se encuentra")</f>
        <v>Comunidad de Madrid</v>
      </c>
      <c r="M3607" t="s">
        <v>15</v>
      </c>
      <c r="N3607">
        <v>3</v>
      </c>
    </row>
    <row r="3608" spans="1:14" x14ac:dyDescent="0.25">
      <c r="A3608">
        <v>4607</v>
      </c>
      <c r="B3608" s="1">
        <v>45956</v>
      </c>
      <c r="C3608" s="4">
        <f>MONTH(datos_ventas[[#This Row],[Fecha]])</f>
        <v>10</v>
      </c>
      <c r="D3608" s="4">
        <f>WEEKNUM(datos_ventas[[#This Row],[Fecha]],2)</f>
        <v>43</v>
      </c>
      <c r="E3608" t="s">
        <v>20</v>
      </c>
      <c r="F3608" t="s">
        <v>21</v>
      </c>
      <c r="G3608">
        <v>4</v>
      </c>
      <c r="H3608">
        <v>105706</v>
      </c>
      <c r="I3608">
        <v>4782</v>
      </c>
      <c r="J3608" t="s">
        <v>27</v>
      </c>
      <c r="K3608" t="str">
        <f>_xlfn.XLOOKUP(datos_ventas[[#This Row],[Ciudad]],Tabla2[Ciudades],Tabla2[Provincias],"no se encuentra")</f>
        <v>Sevilla</v>
      </c>
      <c r="L3608" t="str">
        <f>_xlfn.XLOOKUP(datos_ventas[[#This Row],[Provincia]],Tabla2[Provincias],Tabla2[Comunidades],"no se encuentra")</f>
        <v>Andalucía</v>
      </c>
      <c r="M3608" t="s">
        <v>15</v>
      </c>
      <c r="N3608">
        <v>4</v>
      </c>
    </row>
    <row r="3609" spans="1:14" x14ac:dyDescent="0.25">
      <c r="A3609">
        <v>4608</v>
      </c>
      <c r="B3609" s="1">
        <v>45851</v>
      </c>
      <c r="C3609" s="4">
        <f>MONTH(datos_ventas[[#This Row],[Fecha]])</f>
        <v>7</v>
      </c>
      <c r="D3609" s="4">
        <f>WEEKNUM(datos_ventas[[#This Row],[Fecha]],2)</f>
        <v>28</v>
      </c>
      <c r="E3609" t="s">
        <v>29</v>
      </c>
      <c r="F3609" t="s">
        <v>30</v>
      </c>
      <c r="G3609">
        <v>5</v>
      </c>
      <c r="H3609">
        <v>60133</v>
      </c>
      <c r="I3609">
        <v>3093</v>
      </c>
      <c r="J3609" t="s">
        <v>14</v>
      </c>
      <c r="K3609" t="str">
        <f>_xlfn.XLOOKUP(datos_ventas[[#This Row],[Ciudad]],Tabla2[Ciudades],Tabla2[Provincias],"no se encuentra")</f>
        <v>Madrid</v>
      </c>
      <c r="L3609" t="str">
        <f>_xlfn.XLOOKUP(datos_ventas[[#This Row],[Provincia]],Tabla2[Provincias],Tabla2[Comunidades],"no se encuentra")</f>
        <v>Comunidad de Madrid</v>
      </c>
      <c r="M3609" t="s">
        <v>13</v>
      </c>
      <c r="N3609">
        <v>2</v>
      </c>
    </row>
    <row r="3610" spans="1:14" x14ac:dyDescent="0.25">
      <c r="A3610">
        <v>4609</v>
      </c>
      <c r="B3610" s="1">
        <v>45965</v>
      </c>
      <c r="C3610" s="4">
        <f>MONTH(datos_ventas[[#This Row],[Fecha]])</f>
        <v>11</v>
      </c>
      <c r="D3610" s="4">
        <f>WEEKNUM(datos_ventas[[#This Row],[Fecha]],2)</f>
        <v>45</v>
      </c>
      <c r="E3610" t="s">
        <v>29</v>
      </c>
      <c r="F3610" t="s">
        <v>30</v>
      </c>
      <c r="G3610">
        <v>2</v>
      </c>
      <c r="H3610">
        <v>57123</v>
      </c>
      <c r="I3610">
        <v>4702</v>
      </c>
      <c r="J3610" t="s">
        <v>22</v>
      </c>
      <c r="K3610" t="str">
        <f>_xlfn.XLOOKUP(datos_ventas[[#This Row],[Ciudad]],Tabla2[Ciudades],Tabla2[Provincias],"no se encuentra")</f>
        <v>Valencia</v>
      </c>
      <c r="L3610" t="str">
        <f>_xlfn.XLOOKUP(datos_ventas[[#This Row],[Provincia]],Tabla2[Provincias],Tabla2[Comunidades],"no se encuentra")</f>
        <v>Comunidad Valenciana</v>
      </c>
      <c r="M3610" t="s">
        <v>13</v>
      </c>
      <c r="N3610">
        <v>1</v>
      </c>
    </row>
    <row r="3611" spans="1:14" x14ac:dyDescent="0.25">
      <c r="A3611">
        <v>4610</v>
      </c>
      <c r="B3611" s="1">
        <v>45938</v>
      </c>
      <c r="C3611" s="4">
        <f>MONTH(datos_ventas[[#This Row],[Fecha]])</f>
        <v>10</v>
      </c>
      <c r="D3611" s="4">
        <f>WEEKNUM(datos_ventas[[#This Row],[Fecha]],2)</f>
        <v>41</v>
      </c>
      <c r="E3611" t="s">
        <v>17</v>
      </c>
      <c r="F3611" t="s">
        <v>18</v>
      </c>
      <c r="G3611">
        <v>5</v>
      </c>
      <c r="H3611">
        <v>10769</v>
      </c>
      <c r="I3611">
        <v>3026</v>
      </c>
      <c r="J3611" t="s">
        <v>32</v>
      </c>
      <c r="K3611" t="str">
        <f>_xlfn.XLOOKUP(datos_ventas[[#This Row],[Ciudad]],Tabla2[Ciudades],Tabla2[Provincias],"no se encuentra")</f>
        <v>Barcelona</v>
      </c>
      <c r="L3611" t="str">
        <f>_xlfn.XLOOKUP(datos_ventas[[#This Row],[Provincia]],Tabla2[Provincias],Tabla2[Comunidades],"no se encuentra")</f>
        <v>Cataluña</v>
      </c>
      <c r="M3611" t="s">
        <v>28</v>
      </c>
      <c r="N3611">
        <v>5</v>
      </c>
    </row>
    <row r="3612" spans="1:14" x14ac:dyDescent="0.25">
      <c r="A3612">
        <v>4611</v>
      </c>
      <c r="B3612" s="1">
        <v>45890</v>
      </c>
      <c r="C3612" s="4">
        <f>MONTH(datos_ventas[[#This Row],[Fecha]])</f>
        <v>8</v>
      </c>
      <c r="D3612" s="4">
        <f>WEEKNUM(datos_ventas[[#This Row],[Fecha]],2)</f>
        <v>34</v>
      </c>
      <c r="E3612" t="s">
        <v>16</v>
      </c>
      <c r="F3612" t="s">
        <v>11</v>
      </c>
      <c r="G3612">
        <v>2</v>
      </c>
      <c r="H3612">
        <v>72298</v>
      </c>
      <c r="I3612">
        <v>3645</v>
      </c>
      <c r="J3612" t="s">
        <v>14</v>
      </c>
      <c r="K3612" t="str">
        <f>_xlfn.XLOOKUP(datos_ventas[[#This Row],[Ciudad]],Tabla2[Ciudades],Tabla2[Provincias],"no se encuentra")</f>
        <v>Madrid</v>
      </c>
      <c r="L3612" t="str">
        <f>_xlfn.XLOOKUP(datos_ventas[[#This Row],[Provincia]],Tabla2[Provincias],Tabla2[Comunidades],"no se encuentra")</f>
        <v>Comunidad de Madrid</v>
      </c>
      <c r="M3612" t="s">
        <v>28</v>
      </c>
      <c r="N3612">
        <v>5</v>
      </c>
    </row>
    <row r="3613" spans="1:14" x14ac:dyDescent="0.25">
      <c r="A3613">
        <v>4612</v>
      </c>
      <c r="B3613" s="1">
        <v>45712</v>
      </c>
      <c r="C3613" s="4">
        <f>MONTH(datos_ventas[[#This Row],[Fecha]])</f>
        <v>2</v>
      </c>
      <c r="D3613" s="4">
        <f>WEEKNUM(datos_ventas[[#This Row],[Fecha]],2)</f>
        <v>9</v>
      </c>
      <c r="E3613" t="s">
        <v>16</v>
      </c>
      <c r="F3613" t="s">
        <v>11</v>
      </c>
      <c r="G3613">
        <v>5</v>
      </c>
      <c r="H3613">
        <v>98239</v>
      </c>
      <c r="I3613">
        <v>312</v>
      </c>
      <c r="J3613" t="s">
        <v>12</v>
      </c>
      <c r="K3613" t="str">
        <f>_xlfn.XLOOKUP(datos_ventas[[#This Row],[Ciudad]],Tabla2[Ciudades],Tabla2[Provincias],"no se encuentra")</f>
        <v>Málaga</v>
      </c>
      <c r="L3613" t="str">
        <f>_xlfn.XLOOKUP(datos_ventas[[#This Row],[Provincia]],Tabla2[Provincias],Tabla2[Comunidades],"no se encuentra")</f>
        <v>Andalucía</v>
      </c>
      <c r="M3613" t="s">
        <v>19</v>
      </c>
      <c r="N3613">
        <v>3</v>
      </c>
    </row>
    <row r="3614" spans="1:14" x14ac:dyDescent="0.25">
      <c r="A3614">
        <v>4613</v>
      </c>
      <c r="B3614" s="1">
        <v>45702</v>
      </c>
      <c r="C3614" s="4">
        <f>MONTH(datos_ventas[[#This Row],[Fecha]])</f>
        <v>2</v>
      </c>
      <c r="D3614" s="4">
        <f>WEEKNUM(datos_ventas[[#This Row],[Fecha]],2)</f>
        <v>7</v>
      </c>
      <c r="E3614" t="s">
        <v>23</v>
      </c>
      <c r="F3614" t="s">
        <v>18</v>
      </c>
      <c r="G3614">
        <v>1</v>
      </c>
      <c r="H3614">
        <v>61087</v>
      </c>
      <c r="I3614">
        <v>1707</v>
      </c>
      <c r="J3614" t="s">
        <v>14</v>
      </c>
      <c r="K3614" t="str">
        <f>_xlfn.XLOOKUP(datos_ventas[[#This Row],[Ciudad]],Tabla2[Ciudades],Tabla2[Provincias],"no se encuentra")</f>
        <v>Madrid</v>
      </c>
      <c r="L3614" t="str">
        <f>_xlfn.XLOOKUP(datos_ventas[[#This Row],[Provincia]],Tabla2[Provincias],Tabla2[Comunidades],"no se encuentra")</f>
        <v>Comunidad de Madrid</v>
      </c>
      <c r="M3614" t="s">
        <v>28</v>
      </c>
      <c r="N3614">
        <v>5</v>
      </c>
    </row>
    <row r="3615" spans="1:14" x14ac:dyDescent="0.25">
      <c r="A3615">
        <v>4614</v>
      </c>
      <c r="B3615" s="1">
        <v>45991</v>
      </c>
      <c r="C3615" s="4">
        <f>MONTH(datos_ventas[[#This Row],[Fecha]])</f>
        <v>11</v>
      </c>
      <c r="D3615" s="4">
        <f>WEEKNUM(datos_ventas[[#This Row],[Fecha]],2)</f>
        <v>48</v>
      </c>
      <c r="E3615" t="s">
        <v>16</v>
      </c>
      <c r="F3615" t="s">
        <v>11</v>
      </c>
      <c r="G3615">
        <v>1</v>
      </c>
      <c r="H3615">
        <v>39011</v>
      </c>
      <c r="I3615">
        <v>3148</v>
      </c>
      <c r="J3615" t="s">
        <v>22</v>
      </c>
      <c r="K3615" t="str">
        <f>_xlfn.XLOOKUP(datos_ventas[[#This Row],[Ciudad]],Tabla2[Ciudades],Tabla2[Provincias],"no se encuentra")</f>
        <v>Valencia</v>
      </c>
      <c r="L3615" t="str">
        <f>_xlfn.XLOOKUP(datos_ventas[[#This Row],[Provincia]],Tabla2[Provincias],Tabla2[Comunidades],"no se encuentra")</f>
        <v>Comunidad Valenciana</v>
      </c>
      <c r="M3615" t="s">
        <v>19</v>
      </c>
      <c r="N3615">
        <v>1</v>
      </c>
    </row>
    <row r="3616" spans="1:14" x14ac:dyDescent="0.25">
      <c r="A3616">
        <v>4615</v>
      </c>
      <c r="B3616" s="1">
        <v>45774</v>
      </c>
      <c r="C3616" s="4">
        <f>MONTH(datos_ventas[[#This Row],[Fecha]])</f>
        <v>4</v>
      </c>
      <c r="D3616" s="4">
        <f>WEEKNUM(datos_ventas[[#This Row],[Fecha]],2)</f>
        <v>17</v>
      </c>
      <c r="E3616" t="s">
        <v>16</v>
      </c>
      <c r="F3616" t="s">
        <v>11</v>
      </c>
      <c r="G3616">
        <v>5</v>
      </c>
      <c r="H3616">
        <v>4543</v>
      </c>
      <c r="I3616">
        <v>296</v>
      </c>
      <c r="J3616" t="s">
        <v>31</v>
      </c>
      <c r="K3616" t="str">
        <f>_xlfn.XLOOKUP(datos_ventas[[#This Row],[Ciudad]],Tabla2[Ciudades],Tabla2[Provincias],"no se encuentra")</f>
        <v>Vizcaya</v>
      </c>
      <c r="L3616" t="str">
        <f>_xlfn.XLOOKUP(datos_ventas[[#This Row],[Provincia]],Tabla2[Provincias],Tabla2[Comunidades],"no se encuentra")</f>
        <v>País Vasco</v>
      </c>
      <c r="M3616" t="s">
        <v>28</v>
      </c>
      <c r="N3616">
        <v>1</v>
      </c>
    </row>
    <row r="3617" spans="1:14" x14ac:dyDescent="0.25">
      <c r="A3617">
        <v>4616</v>
      </c>
      <c r="B3617" s="1">
        <v>45695</v>
      </c>
      <c r="C3617" s="4">
        <f>MONTH(datos_ventas[[#This Row],[Fecha]])</f>
        <v>2</v>
      </c>
      <c r="D3617" s="4">
        <f>WEEKNUM(datos_ventas[[#This Row],[Fecha]],2)</f>
        <v>6</v>
      </c>
      <c r="E3617" t="s">
        <v>23</v>
      </c>
      <c r="F3617" t="s">
        <v>18</v>
      </c>
      <c r="G3617">
        <v>5</v>
      </c>
      <c r="H3617">
        <v>42663</v>
      </c>
      <c r="I3617">
        <v>3896</v>
      </c>
      <c r="J3617" t="s">
        <v>12</v>
      </c>
      <c r="K3617" t="str">
        <f>_xlfn.XLOOKUP(datos_ventas[[#This Row],[Ciudad]],Tabla2[Ciudades],Tabla2[Provincias],"no se encuentra")</f>
        <v>Málaga</v>
      </c>
      <c r="L3617" t="str">
        <f>_xlfn.XLOOKUP(datos_ventas[[#This Row],[Provincia]],Tabla2[Provincias],Tabla2[Comunidades],"no se encuentra")</f>
        <v>Andalucía</v>
      </c>
      <c r="M3617" t="s">
        <v>15</v>
      </c>
      <c r="N3617">
        <v>1</v>
      </c>
    </row>
    <row r="3618" spans="1:14" x14ac:dyDescent="0.25">
      <c r="A3618">
        <v>4617</v>
      </c>
      <c r="B3618" s="1">
        <v>45849</v>
      </c>
      <c r="C3618" s="4">
        <f>MONTH(datos_ventas[[#This Row],[Fecha]])</f>
        <v>7</v>
      </c>
      <c r="D3618" s="4">
        <f>WEEKNUM(datos_ventas[[#This Row],[Fecha]],2)</f>
        <v>28</v>
      </c>
      <c r="E3618" t="s">
        <v>10</v>
      </c>
      <c r="F3618" t="s">
        <v>11</v>
      </c>
      <c r="G3618">
        <v>3</v>
      </c>
      <c r="H3618">
        <v>113955</v>
      </c>
      <c r="I3618">
        <v>772</v>
      </c>
      <c r="J3618" t="s">
        <v>22</v>
      </c>
      <c r="K3618" t="str">
        <f>_xlfn.XLOOKUP(datos_ventas[[#This Row],[Ciudad]],Tabla2[Ciudades],Tabla2[Provincias],"no se encuentra")</f>
        <v>Valencia</v>
      </c>
      <c r="L3618" t="str">
        <f>_xlfn.XLOOKUP(datos_ventas[[#This Row],[Provincia]],Tabla2[Provincias],Tabla2[Comunidades],"no se encuentra")</f>
        <v>Comunidad Valenciana</v>
      </c>
      <c r="M3618" t="s">
        <v>19</v>
      </c>
      <c r="N3618">
        <v>5</v>
      </c>
    </row>
    <row r="3619" spans="1:14" x14ac:dyDescent="0.25">
      <c r="A3619">
        <v>4618</v>
      </c>
      <c r="B3619" s="1">
        <v>46017</v>
      </c>
      <c r="C3619" s="4">
        <f>MONTH(datos_ventas[[#This Row],[Fecha]])</f>
        <v>12</v>
      </c>
      <c r="D3619" s="4">
        <f>WEEKNUM(datos_ventas[[#This Row],[Fecha]],2)</f>
        <v>52</v>
      </c>
      <c r="E3619" t="s">
        <v>23</v>
      </c>
      <c r="F3619" t="s">
        <v>18</v>
      </c>
      <c r="G3619">
        <v>4</v>
      </c>
      <c r="H3619">
        <v>28323</v>
      </c>
      <c r="I3619">
        <v>1786</v>
      </c>
      <c r="J3619" t="s">
        <v>27</v>
      </c>
      <c r="K3619" t="str">
        <f>_xlfn.XLOOKUP(datos_ventas[[#This Row],[Ciudad]],Tabla2[Ciudades],Tabla2[Provincias],"no se encuentra")</f>
        <v>Sevilla</v>
      </c>
      <c r="L3619" t="str">
        <f>_xlfn.XLOOKUP(datos_ventas[[#This Row],[Provincia]],Tabla2[Provincias],Tabla2[Comunidades],"no se encuentra")</f>
        <v>Andalucía</v>
      </c>
      <c r="M3619" t="s">
        <v>13</v>
      </c>
      <c r="N3619">
        <v>3</v>
      </c>
    </row>
    <row r="3620" spans="1:14" x14ac:dyDescent="0.25">
      <c r="A3620">
        <v>4619</v>
      </c>
      <c r="B3620" s="1">
        <v>45926</v>
      </c>
      <c r="C3620" s="4">
        <f>MONTH(datos_ventas[[#This Row],[Fecha]])</f>
        <v>9</v>
      </c>
      <c r="D3620" s="4">
        <f>WEEKNUM(datos_ventas[[#This Row],[Fecha]],2)</f>
        <v>39</v>
      </c>
      <c r="E3620" t="s">
        <v>17</v>
      </c>
      <c r="F3620" t="s">
        <v>18</v>
      </c>
      <c r="G3620">
        <v>5</v>
      </c>
      <c r="H3620">
        <v>108401</v>
      </c>
      <c r="I3620">
        <v>371</v>
      </c>
      <c r="J3620" t="s">
        <v>27</v>
      </c>
      <c r="K3620" t="str">
        <f>_xlfn.XLOOKUP(datos_ventas[[#This Row],[Ciudad]],Tabla2[Ciudades],Tabla2[Provincias],"no se encuentra")</f>
        <v>Sevilla</v>
      </c>
      <c r="L3620" t="str">
        <f>_xlfn.XLOOKUP(datos_ventas[[#This Row],[Provincia]],Tabla2[Provincias],Tabla2[Comunidades],"no se encuentra")</f>
        <v>Andalucía</v>
      </c>
      <c r="M3620" t="s">
        <v>19</v>
      </c>
      <c r="N3620">
        <v>1</v>
      </c>
    </row>
    <row r="3621" spans="1:14" x14ac:dyDescent="0.25">
      <c r="A3621">
        <v>4620</v>
      </c>
      <c r="B3621" s="1">
        <v>45787</v>
      </c>
      <c r="C3621" s="4">
        <f>MONTH(datos_ventas[[#This Row],[Fecha]])</f>
        <v>5</v>
      </c>
      <c r="D3621" s="4">
        <f>WEEKNUM(datos_ventas[[#This Row],[Fecha]],2)</f>
        <v>19</v>
      </c>
      <c r="E3621" t="s">
        <v>23</v>
      </c>
      <c r="F3621" t="s">
        <v>18</v>
      </c>
      <c r="G3621">
        <v>2</v>
      </c>
      <c r="H3621">
        <v>112619</v>
      </c>
      <c r="I3621">
        <v>4582</v>
      </c>
      <c r="J3621" t="s">
        <v>22</v>
      </c>
      <c r="K3621" t="str">
        <f>_xlfn.XLOOKUP(datos_ventas[[#This Row],[Ciudad]],Tabla2[Ciudades],Tabla2[Provincias],"no se encuentra")</f>
        <v>Valencia</v>
      </c>
      <c r="L3621" t="str">
        <f>_xlfn.XLOOKUP(datos_ventas[[#This Row],[Provincia]],Tabla2[Provincias],Tabla2[Comunidades],"no se encuentra")</f>
        <v>Comunidad Valenciana</v>
      </c>
      <c r="M3621" t="s">
        <v>13</v>
      </c>
      <c r="N3621">
        <v>4</v>
      </c>
    </row>
    <row r="3622" spans="1:14" x14ac:dyDescent="0.25">
      <c r="A3622">
        <v>4621</v>
      </c>
      <c r="B3622" s="1">
        <v>45699</v>
      </c>
      <c r="C3622" s="4">
        <f>MONTH(datos_ventas[[#This Row],[Fecha]])</f>
        <v>2</v>
      </c>
      <c r="D3622" s="4">
        <f>WEEKNUM(datos_ventas[[#This Row],[Fecha]],2)</f>
        <v>7</v>
      </c>
      <c r="E3622" t="s">
        <v>17</v>
      </c>
      <c r="F3622" t="s">
        <v>18</v>
      </c>
      <c r="G3622">
        <v>4</v>
      </c>
      <c r="H3622">
        <v>32693</v>
      </c>
      <c r="I3622">
        <v>3673</v>
      </c>
      <c r="J3622" t="s">
        <v>22</v>
      </c>
      <c r="K3622" t="str">
        <f>_xlfn.XLOOKUP(datos_ventas[[#This Row],[Ciudad]],Tabla2[Ciudades],Tabla2[Provincias],"no se encuentra")</f>
        <v>Valencia</v>
      </c>
      <c r="L3622" t="str">
        <f>_xlfn.XLOOKUP(datos_ventas[[#This Row],[Provincia]],Tabla2[Provincias],Tabla2[Comunidades],"no se encuentra")</f>
        <v>Comunidad Valenciana</v>
      </c>
      <c r="M3622" t="s">
        <v>19</v>
      </c>
      <c r="N3622">
        <v>3</v>
      </c>
    </row>
    <row r="3623" spans="1:14" x14ac:dyDescent="0.25">
      <c r="A3623">
        <v>4622</v>
      </c>
      <c r="B3623" s="1">
        <v>45846</v>
      </c>
      <c r="C3623" s="4">
        <f>MONTH(datos_ventas[[#This Row],[Fecha]])</f>
        <v>7</v>
      </c>
      <c r="D3623" s="4">
        <f>WEEKNUM(datos_ventas[[#This Row],[Fecha]],2)</f>
        <v>28</v>
      </c>
      <c r="E3623" t="s">
        <v>10</v>
      </c>
      <c r="F3623" t="s">
        <v>11</v>
      </c>
      <c r="G3623">
        <v>3</v>
      </c>
      <c r="H3623">
        <v>12783</v>
      </c>
      <c r="I3623">
        <v>1076</v>
      </c>
      <c r="J3623" t="s">
        <v>31</v>
      </c>
      <c r="K3623" t="str">
        <f>_xlfn.XLOOKUP(datos_ventas[[#This Row],[Ciudad]],Tabla2[Ciudades],Tabla2[Provincias],"no se encuentra")</f>
        <v>Vizcaya</v>
      </c>
      <c r="L3623" t="str">
        <f>_xlfn.XLOOKUP(datos_ventas[[#This Row],[Provincia]],Tabla2[Provincias],Tabla2[Comunidades],"no se encuentra")</f>
        <v>País Vasco</v>
      </c>
      <c r="M3623" t="s">
        <v>13</v>
      </c>
      <c r="N3623">
        <v>1</v>
      </c>
    </row>
    <row r="3624" spans="1:14" x14ac:dyDescent="0.25">
      <c r="A3624">
        <v>4623</v>
      </c>
      <c r="B3624" s="1">
        <v>45975</v>
      </c>
      <c r="C3624" s="4">
        <f>MONTH(datos_ventas[[#This Row],[Fecha]])</f>
        <v>11</v>
      </c>
      <c r="D3624" s="4">
        <f>WEEKNUM(datos_ventas[[#This Row],[Fecha]],2)</f>
        <v>46</v>
      </c>
      <c r="E3624" t="s">
        <v>29</v>
      </c>
      <c r="F3624" t="s">
        <v>30</v>
      </c>
      <c r="G3624">
        <v>5</v>
      </c>
      <c r="H3624">
        <v>67372</v>
      </c>
      <c r="I3624">
        <v>2427</v>
      </c>
      <c r="J3624" t="s">
        <v>31</v>
      </c>
      <c r="K3624" t="str">
        <f>_xlfn.XLOOKUP(datos_ventas[[#This Row],[Ciudad]],Tabla2[Ciudades],Tabla2[Provincias],"no se encuentra")</f>
        <v>Vizcaya</v>
      </c>
      <c r="L3624" t="str">
        <f>_xlfn.XLOOKUP(datos_ventas[[#This Row],[Provincia]],Tabla2[Provincias],Tabla2[Comunidades],"no se encuentra")</f>
        <v>País Vasco</v>
      </c>
      <c r="M3624" t="s">
        <v>19</v>
      </c>
      <c r="N3624">
        <v>3</v>
      </c>
    </row>
    <row r="3625" spans="1:14" x14ac:dyDescent="0.25">
      <c r="A3625">
        <v>4624</v>
      </c>
      <c r="B3625" s="1">
        <v>45871</v>
      </c>
      <c r="C3625" s="4">
        <f>MONTH(datos_ventas[[#This Row],[Fecha]])</f>
        <v>8</v>
      </c>
      <c r="D3625" s="4">
        <f>WEEKNUM(datos_ventas[[#This Row],[Fecha]],2)</f>
        <v>31</v>
      </c>
      <c r="E3625" t="s">
        <v>10</v>
      </c>
      <c r="F3625" t="s">
        <v>11</v>
      </c>
      <c r="G3625">
        <v>1</v>
      </c>
      <c r="H3625">
        <v>22193</v>
      </c>
      <c r="I3625">
        <v>1068</v>
      </c>
      <c r="J3625" t="s">
        <v>12</v>
      </c>
      <c r="K3625" t="str">
        <f>_xlfn.XLOOKUP(datos_ventas[[#This Row],[Ciudad]],Tabla2[Ciudades],Tabla2[Provincias],"no se encuentra")</f>
        <v>Málaga</v>
      </c>
      <c r="L3625" t="str">
        <f>_xlfn.XLOOKUP(datos_ventas[[#This Row],[Provincia]],Tabla2[Provincias],Tabla2[Comunidades],"no se encuentra")</f>
        <v>Andalucía</v>
      </c>
      <c r="M3625" t="s">
        <v>28</v>
      </c>
      <c r="N3625">
        <v>4</v>
      </c>
    </row>
    <row r="3626" spans="1:14" x14ac:dyDescent="0.25">
      <c r="A3626">
        <v>4625</v>
      </c>
      <c r="B3626" s="1">
        <v>45665</v>
      </c>
      <c r="C3626" s="4">
        <f>MONTH(datos_ventas[[#This Row],[Fecha]])</f>
        <v>1</v>
      </c>
      <c r="D3626" s="4">
        <f>WEEKNUM(datos_ventas[[#This Row],[Fecha]],2)</f>
        <v>2</v>
      </c>
      <c r="E3626" t="s">
        <v>20</v>
      </c>
      <c r="F3626" t="s">
        <v>21</v>
      </c>
      <c r="G3626">
        <v>1</v>
      </c>
      <c r="H3626">
        <v>25209</v>
      </c>
      <c r="I3626">
        <v>1752</v>
      </c>
      <c r="J3626" t="s">
        <v>31</v>
      </c>
      <c r="K3626" t="str">
        <f>_xlfn.XLOOKUP(datos_ventas[[#This Row],[Ciudad]],Tabla2[Ciudades],Tabla2[Provincias],"no se encuentra")</f>
        <v>Vizcaya</v>
      </c>
      <c r="L3626" t="str">
        <f>_xlfn.XLOOKUP(datos_ventas[[#This Row],[Provincia]],Tabla2[Provincias],Tabla2[Comunidades],"no se encuentra")</f>
        <v>País Vasco</v>
      </c>
      <c r="M3626" t="s">
        <v>13</v>
      </c>
      <c r="N3626">
        <v>3</v>
      </c>
    </row>
    <row r="3627" spans="1:14" x14ac:dyDescent="0.25">
      <c r="A3627">
        <v>4626</v>
      </c>
      <c r="B3627" s="1">
        <v>45891</v>
      </c>
      <c r="C3627" s="4">
        <f>MONTH(datos_ventas[[#This Row],[Fecha]])</f>
        <v>8</v>
      </c>
      <c r="D3627" s="4">
        <f>WEEKNUM(datos_ventas[[#This Row],[Fecha]],2)</f>
        <v>34</v>
      </c>
      <c r="E3627" t="s">
        <v>10</v>
      </c>
      <c r="F3627" t="s">
        <v>11</v>
      </c>
      <c r="G3627">
        <v>2</v>
      </c>
      <c r="H3627">
        <v>65636</v>
      </c>
      <c r="I3627">
        <v>3146</v>
      </c>
      <c r="J3627" t="s">
        <v>14</v>
      </c>
      <c r="K3627" t="str">
        <f>_xlfn.XLOOKUP(datos_ventas[[#This Row],[Ciudad]],Tabla2[Ciudades],Tabla2[Provincias],"no se encuentra")</f>
        <v>Madrid</v>
      </c>
      <c r="L3627" t="str">
        <f>_xlfn.XLOOKUP(datos_ventas[[#This Row],[Provincia]],Tabla2[Provincias],Tabla2[Comunidades],"no se encuentra")</f>
        <v>Comunidad de Madrid</v>
      </c>
      <c r="M3627" t="s">
        <v>28</v>
      </c>
      <c r="N3627">
        <v>4</v>
      </c>
    </row>
    <row r="3628" spans="1:14" x14ac:dyDescent="0.25">
      <c r="A3628">
        <v>4627</v>
      </c>
      <c r="B3628" s="1">
        <v>45875</v>
      </c>
      <c r="C3628" s="4">
        <f>MONTH(datos_ventas[[#This Row],[Fecha]])</f>
        <v>8</v>
      </c>
      <c r="D3628" s="4">
        <f>WEEKNUM(datos_ventas[[#This Row],[Fecha]],2)</f>
        <v>32</v>
      </c>
      <c r="E3628" t="s">
        <v>17</v>
      </c>
      <c r="F3628" t="s">
        <v>18</v>
      </c>
      <c r="G3628">
        <v>4</v>
      </c>
      <c r="H3628">
        <v>81719</v>
      </c>
      <c r="I3628">
        <v>3319</v>
      </c>
      <c r="J3628" t="s">
        <v>22</v>
      </c>
      <c r="K3628" t="str">
        <f>_xlfn.XLOOKUP(datos_ventas[[#This Row],[Ciudad]],Tabla2[Ciudades],Tabla2[Provincias],"no se encuentra")</f>
        <v>Valencia</v>
      </c>
      <c r="L3628" t="str">
        <f>_xlfn.XLOOKUP(datos_ventas[[#This Row],[Provincia]],Tabla2[Provincias],Tabla2[Comunidades],"no se encuentra")</f>
        <v>Comunidad Valenciana</v>
      </c>
      <c r="M3628" t="s">
        <v>28</v>
      </c>
      <c r="N3628">
        <v>3</v>
      </c>
    </row>
    <row r="3629" spans="1:14" x14ac:dyDescent="0.25">
      <c r="A3629">
        <v>4628</v>
      </c>
      <c r="B3629" s="1">
        <v>45883</v>
      </c>
      <c r="C3629" s="4">
        <f>MONTH(datos_ventas[[#This Row],[Fecha]])</f>
        <v>8</v>
      </c>
      <c r="D3629" s="4">
        <f>WEEKNUM(datos_ventas[[#This Row],[Fecha]],2)</f>
        <v>33</v>
      </c>
      <c r="E3629" t="s">
        <v>10</v>
      </c>
      <c r="F3629" t="s">
        <v>11</v>
      </c>
      <c r="G3629">
        <v>5</v>
      </c>
      <c r="H3629">
        <v>89722</v>
      </c>
      <c r="I3629">
        <v>3096</v>
      </c>
      <c r="J3629" t="s">
        <v>12</v>
      </c>
      <c r="K3629" t="str">
        <f>_xlfn.XLOOKUP(datos_ventas[[#This Row],[Ciudad]],Tabla2[Ciudades],Tabla2[Provincias],"no se encuentra")</f>
        <v>Málaga</v>
      </c>
      <c r="L3629" t="str">
        <f>_xlfn.XLOOKUP(datos_ventas[[#This Row],[Provincia]],Tabla2[Provincias],Tabla2[Comunidades],"no se encuentra")</f>
        <v>Andalucía</v>
      </c>
      <c r="M3629" t="s">
        <v>28</v>
      </c>
      <c r="N3629">
        <v>3</v>
      </c>
    </row>
    <row r="3630" spans="1:14" x14ac:dyDescent="0.25">
      <c r="A3630">
        <v>4629</v>
      </c>
      <c r="B3630" s="1">
        <v>45814</v>
      </c>
      <c r="C3630" s="4">
        <f>MONTH(datos_ventas[[#This Row],[Fecha]])</f>
        <v>6</v>
      </c>
      <c r="D3630" s="4">
        <f>WEEKNUM(datos_ventas[[#This Row],[Fecha]],2)</f>
        <v>23</v>
      </c>
      <c r="E3630" t="s">
        <v>29</v>
      </c>
      <c r="F3630" t="s">
        <v>30</v>
      </c>
      <c r="G3630">
        <v>2</v>
      </c>
      <c r="H3630">
        <v>29769</v>
      </c>
      <c r="I3630">
        <v>256</v>
      </c>
      <c r="J3630" t="s">
        <v>22</v>
      </c>
      <c r="K3630" t="str">
        <f>_xlfn.XLOOKUP(datos_ventas[[#This Row],[Ciudad]],Tabla2[Ciudades],Tabla2[Provincias],"no se encuentra")</f>
        <v>Valencia</v>
      </c>
      <c r="L3630" t="str">
        <f>_xlfn.XLOOKUP(datos_ventas[[#This Row],[Provincia]],Tabla2[Provincias],Tabla2[Comunidades],"no se encuentra")</f>
        <v>Comunidad Valenciana</v>
      </c>
      <c r="M3630" t="s">
        <v>15</v>
      </c>
      <c r="N3630">
        <v>4</v>
      </c>
    </row>
    <row r="3631" spans="1:14" x14ac:dyDescent="0.25">
      <c r="A3631">
        <v>4630</v>
      </c>
      <c r="B3631" s="1">
        <v>45765</v>
      </c>
      <c r="C3631" s="4">
        <f>MONTH(datos_ventas[[#This Row],[Fecha]])</f>
        <v>4</v>
      </c>
      <c r="D3631" s="4">
        <f>WEEKNUM(datos_ventas[[#This Row],[Fecha]],2)</f>
        <v>16</v>
      </c>
      <c r="E3631" t="s">
        <v>24</v>
      </c>
      <c r="F3631" t="s">
        <v>25</v>
      </c>
      <c r="G3631">
        <v>1</v>
      </c>
      <c r="H3631">
        <v>98987</v>
      </c>
      <c r="I3631">
        <v>4588</v>
      </c>
      <c r="J3631" t="s">
        <v>22</v>
      </c>
      <c r="K3631" t="str">
        <f>_xlfn.XLOOKUP(datos_ventas[[#This Row],[Ciudad]],Tabla2[Ciudades],Tabla2[Provincias],"no se encuentra")</f>
        <v>Valencia</v>
      </c>
      <c r="L3631" t="str">
        <f>_xlfn.XLOOKUP(datos_ventas[[#This Row],[Provincia]],Tabla2[Provincias],Tabla2[Comunidades],"no se encuentra")</f>
        <v>Comunidad Valenciana</v>
      </c>
      <c r="M3631" t="s">
        <v>19</v>
      </c>
      <c r="N3631">
        <v>3</v>
      </c>
    </row>
    <row r="3632" spans="1:14" x14ac:dyDescent="0.25">
      <c r="A3632">
        <v>4631</v>
      </c>
      <c r="B3632" s="1">
        <v>45787</v>
      </c>
      <c r="C3632" s="4">
        <f>MONTH(datos_ventas[[#This Row],[Fecha]])</f>
        <v>5</v>
      </c>
      <c r="D3632" s="4">
        <f>WEEKNUM(datos_ventas[[#This Row],[Fecha]],2)</f>
        <v>19</v>
      </c>
      <c r="E3632" t="s">
        <v>29</v>
      </c>
      <c r="F3632" t="s">
        <v>30</v>
      </c>
      <c r="G3632">
        <v>1</v>
      </c>
      <c r="H3632">
        <v>46284</v>
      </c>
      <c r="I3632">
        <v>4351</v>
      </c>
      <c r="J3632" t="s">
        <v>32</v>
      </c>
      <c r="K3632" t="str">
        <f>_xlfn.XLOOKUP(datos_ventas[[#This Row],[Ciudad]],Tabla2[Ciudades],Tabla2[Provincias],"no se encuentra")</f>
        <v>Barcelona</v>
      </c>
      <c r="L3632" t="str">
        <f>_xlfn.XLOOKUP(datos_ventas[[#This Row],[Provincia]],Tabla2[Provincias],Tabla2[Comunidades],"no se encuentra")</f>
        <v>Cataluña</v>
      </c>
      <c r="M3632" t="s">
        <v>19</v>
      </c>
      <c r="N3632">
        <v>4</v>
      </c>
    </row>
    <row r="3633" spans="1:14" x14ac:dyDescent="0.25">
      <c r="A3633">
        <v>4632</v>
      </c>
      <c r="B3633" s="1">
        <v>45683</v>
      </c>
      <c r="C3633" s="4">
        <f>MONTH(datos_ventas[[#This Row],[Fecha]])</f>
        <v>1</v>
      </c>
      <c r="D3633" s="4">
        <f>WEEKNUM(datos_ventas[[#This Row],[Fecha]],2)</f>
        <v>4</v>
      </c>
      <c r="E3633" t="s">
        <v>23</v>
      </c>
      <c r="F3633" t="s">
        <v>18</v>
      </c>
      <c r="G3633">
        <v>1</v>
      </c>
      <c r="H3633">
        <v>84535</v>
      </c>
      <c r="I3633">
        <v>4857</v>
      </c>
      <c r="J3633" t="s">
        <v>27</v>
      </c>
      <c r="K3633" t="str">
        <f>_xlfn.XLOOKUP(datos_ventas[[#This Row],[Ciudad]],Tabla2[Ciudades],Tabla2[Provincias],"no se encuentra")</f>
        <v>Sevilla</v>
      </c>
      <c r="L3633" t="str">
        <f>_xlfn.XLOOKUP(datos_ventas[[#This Row],[Provincia]],Tabla2[Provincias],Tabla2[Comunidades],"no se encuentra")</f>
        <v>Andalucía</v>
      </c>
      <c r="M3633" t="s">
        <v>28</v>
      </c>
      <c r="N3633">
        <v>1</v>
      </c>
    </row>
    <row r="3634" spans="1:14" x14ac:dyDescent="0.25">
      <c r="A3634">
        <v>4633</v>
      </c>
      <c r="B3634" s="1">
        <v>45974</v>
      </c>
      <c r="C3634" s="4">
        <f>MONTH(datos_ventas[[#This Row],[Fecha]])</f>
        <v>11</v>
      </c>
      <c r="D3634" s="4">
        <f>WEEKNUM(datos_ventas[[#This Row],[Fecha]],2)</f>
        <v>46</v>
      </c>
      <c r="E3634" t="s">
        <v>23</v>
      </c>
      <c r="F3634" t="s">
        <v>18</v>
      </c>
      <c r="G3634">
        <v>3</v>
      </c>
      <c r="H3634">
        <v>5193</v>
      </c>
      <c r="I3634">
        <v>3294</v>
      </c>
      <c r="J3634" t="s">
        <v>14</v>
      </c>
      <c r="K3634" t="str">
        <f>_xlfn.XLOOKUP(datos_ventas[[#This Row],[Ciudad]],Tabla2[Ciudades],Tabla2[Provincias],"no se encuentra")</f>
        <v>Madrid</v>
      </c>
      <c r="L3634" t="str">
        <f>_xlfn.XLOOKUP(datos_ventas[[#This Row],[Provincia]],Tabla2[Provincias],Tabla2[Comunidades],"no se encuentra")</f>
        <v>Comunidad de Madrid</v>
      </c>
      <c r="M3634" t="s">
        <v>13</v>
      </c>
      <c r="N3634">
        <v>4</v>
      </c>
    </row>
    <row r="3635" spans="1:14" x14ac:dyDescent="0.25">
      <c r="A3635">
        <v>4634</v>
      </c>
      <c r="B3635" s="1">
        <v>45850</v>
      </c>
      <c r="C3635" s="4">
        <f>MONTH(datos_ventas[[#This Row],[Fecha]])</f>
        <v>7</v>
      </c>
      <c r="D3635" s="4">
        <f>WEEKNUM(datos_ventas[[#This Row],[Fecha]],2)</f>
        <v>28</v>
      </c>
      <c r="E3635" t="s">
        <v>20</v>
      </c>
      <c r="F3635" t="s">
        <v>21</v>
      </c>
      <c r="G3635">
        <v>4</v>
      </c>
      <c r="H3635">
        <v>13754</v>
      </c>
      <c r="I3635">
        <v>1959</v>
      </c>
      <c r="J3635" t="s">
        <v>32</v>
      </c>
      <c r="K3635" t="str">
        <f>_xlfn.XLOOKUP(datos_ventas[[#This Row],[Ciudad]],Tabla2[Ciudades],Tabla2[Provincias],"no se encuentra")</f>
        <v>Barcelona</v>
      </c>
      <c r="L3635" t="str">
        <f>_xlfn.XLOOKUP(datos_ventas[[#This Row],[Provincia]],Tabla2[Provincias],Tabla2[Comunidades],"no se encuentra")</f>
        <v>Cataluña</v>
      </c>
      <c r="M3635" t="s">
        <v>28</v>
      </c>
      <c r="N3635">
        <v>5</v>
      </c>
    </row>
    <row r="3636" spans="1:14" x14ac:dyDescent="0.25">
      <c r="A3636">
        <v>4635</v>
      </c>
      <c r="B3636" s="1">
        <v>45877</v>
      </c>
      <c r="C3636" s="4">
        <f>MONTH(datos_ventas[[#This Row],[Fecha]])</f>
        <v>8</v>
      </c>
      <c r="D3636" s="4">
        <f>WEEKNUM(datos_ventas[[#This Row],[Fecha]],2)</f>
        <v>32</v>
      </c>
      <c r="E3636" t="s">
        <v>24</v>
      </c>
      <c r="F3636" t="s">
        <v>25</v>
      </c>
      <c r="G3636">
        <v>1</v>
      </c>
      <c r="H3636">
        <v>46573</v>
      </c>
      <c r="I3636">
        <v>1405</v>
      </c>
      <c r="J3636" t="s">
        <v>27</v>
      </c>
      <c r="K3636" t="str">
        <f>_xlfn.XLOOKUP(datos_ventas[[#This Row],[Ciudad]],Tabla2[Ciudades],Tabla2[Provincias],"no se encuentra")</f>
        <v>Sevilla</v>
      </c>
      <c r="L3636" t="str">
        <f>_xlfn.XLOOKUP(datos_ventas[[#This Row],[Provincia]],Tabla2[Provincias],Tabla2[Comunidades],"no se encuentra")</f>
        <v>Andalucía</v>
      </c>
      <c r="M3636" t="s">
        <v>28</v>
      </c>
      <c r="N3636">
        <v>5</v>
      </c>
    </row>
    <row r="3637" spans="1:14" x14ac:dyDescent="0.25">
      <c r="A3637">
        <v>4636</v>
      </c>
      <c r="B3637" s="1">
        <v>45787</v>
      </c>
      <c r="C3637" s="4">
        <f>MONTH(datos_ventas[[#This Row],[Fecha]])</f>
        <v>5</v>
      </c>
      <c r="D3637" s="4">
        <f>WEEKNUM(datos_ventas[[#This Row],[Fecha]],2)</f>
        <v>19</v>
      </c>
      <c r="E3637" t="s">
        <v>20</v>
      </c>
      <c r="F3637" t="s">
        <v>21</v>
      </c>
      <c r="G3637">
        <v>4</v>
      </c>
      <c r="H3637">
        <v>104354</v>
      </c>
      <c r="I3637">
        <v>2032</v>
      </c>
      <c r="J3637" t="s">
        <v>14</v>
      </c>
      <c r="K3637" t="str">
        <f>_xlfn.XLOOKUP(datos_ventas[[#This Row],[Ciudad]],Tabla2[Ciudades],Tabla2[Provincias],"no se encuentra")</f>
        <v>Madrid</v>
      </c>
      <c r="L3637" t="str">
        <f>_xlfn.XLOOKUP(datos_ventas[[#This Row],[Provincia]],Tabla2[Provincias],Tabla2[Comunidades],"no se encuentra")</f>
        <v>Comunidad de Madrid</v>
      </c>
      <c r="M3637" t="s">
        <v>15</v>
      </c>
      <c r="N3637">
        <v>3</v>
      </c>
    </row>
    <row r="3638" spans="1:14" x14ac:dyDescent="0.25">
      <c r="A3638">
        <v>4637</v>
      </c>
      <c r="B3638" s="1">
        <v>45852</v>
      </c>
      <c r="C3638" s="4">
        <f>MONTH(datos_ventas[[#This Row],[Fecha]])</f>
        <v>7</v>
      </c>
      <c r="D3638" s="4">
        <f>WEEKNUM(datos_ventas[[#This Row],[Fecha]],2)</f>
        <v>29</v>
      </c>
      <c r="E3638" t="s">
        <v>10</v>
      </c>
      <c r="F3638" t="s">
        <v>11</v>
      </c>
      <c r="G3638">
        <v>5</v>
      </c>
      <c r="H3638">
        <v>100259</v>
      </c>
      <c r="I3638">
        <v>2557</v>
      </c>
      <c r="J3638" t="s">
        <v>32</v>
      </c>
      <c r="K3638" t="str">
        <f>_xlfn.XLOOKUP(datos_ventas[[#This Row],[Ciudad]],Tabla2[Ciudades],Tabla2[Provincias],"no se encuentra")</f>
        <v>Barcelona</v>
      </c>
      <c r="L3638" t="str">
        <f>_xlfn.XLOOKUP(datos_ventas[[#This Row],[Provincia]],Tabla2[Provincias],Tabla2[Comunidades],"no se encuentra")</f>
        <v>Cataluña</v>
      </c>
      <c r="M3638" t="s">
        <v>13</v>
      </c>
      <c r="N3638">
        <v>1</v>
      </c>
    </row>
    <row r="3639" spans="1:14" x14ac:dyDescent="0.25">
      <c r="A3639">
        <v>4638</v>
      </c>
      <c r="B3639" s="1">
        <v>45976</v>
      </c>
      <c r="C3639" s="4">
        <f>MONTH(datos_ventas[[#This Row],[Fecha]])</f>
        <v>11</v>
      </c>
      <c r="D3639" s="4">
        <f>WEEKNUM(datos_ventas[[#This Row],[Fecha]],2)</f>
        <v>46</v>
      </c>
      <c r="E3639" t="s">
        <v>10</v>
      </c>
      <c r="F3639" t="s">
        <v>11</v>
      </c>
      <c r="G3639">
        <v>5</v>
      </c>
      <c r="H3639">
        <v>110813</v>
      </c>
      <c r="I3639">
        <v>3137</v>
      </c>
      <c r="J3639" t="s">
        <v>14</v>
      </c>
      <c r="K3639" t="str">
        <f>_xlfn.XLOOKUP(datos_ventas[[#This Row],[Ciudad]],Tabla2[Ciudades],Tabla2[Provincias],"no se encuentra")</f>
        <v>Madrid</v>
      </c>
      <c r="L3639" t="str">
        <f>_xlfn.XLOOKUP(datos_ventas[[#This Row],[Provincia]],Tabla2[Provincias],Tabla2[Comunidades],"no se encuentra")</f>
        <v>Comunidad de Madrid</v>
      </c>
      <c r="M3639" t="s">
        <v>28</v>
      </c>
      <c r="N3639">
        <v>2</v>
      </c>
    </row>
    <row r="3640" spans="1:14" x14ac:dyDescent="0.25">
      <c r="A3640">
        <v>4639</v>
      </c>
      <c r="B3640" s="1">
        <v>45859</v>
      </c>
      <c r="C3640" s="4">
        <f>MONTH(datos_ventas[[#This Row],[Fecha]])</f>
        <v>7</v>
      </c>
      <c r="D3640" s="4">
        <f>WEEKNUM(datos_ventas[[#This Row],[Fecha]],2)</f>
        <v>30</v>
      </c>
      <c r="E3640" t="s">
        <v>10</v>
      </c>
      <c r="F3640" t="s">
        <v>11</v>
      </c>
      <c r="G3640">
        <v>1</v>
      </c>
      <c r="H3640">
        <v>27994</v>
      </c>
      <c r="I3640">
        <v>2538</v>
      </c>
      <c r="J3640" t="s">
        <v>22</v>
      </c>
      <c r="K3640" t="str">
        <f>_xlfn.XLOOKUP(datos_ventas[[#This Row],[Ciudad]],Tabla2[Ciudades],Tabla2[Provincias],"no se encuentra")</f>
        <v>Valencia</v>
      </c>
      <c r="L3640" t="str">
        <f>_xlfn.XLOOKUP(datos_ventas[[#This Row],[Provincia]],Tabla2[Provincias],Tabla2[Comunidades],"no se encuentra")</f>
        <v>Comunidad Valenciana</v>
      </c>
      <c r="M3640" t="s">
        <v>13</v>
      </c>
      <c r="N3640">
        <v>4</v>
      </c>
    </row>
    <row r="3641" spans="1:14" x14ac:dyDescent="0.25">
      <c r="A3641">
        <v>4640</v>
      </c>
      <c r="B3641" s="1">
        <v>45888</v>
      </c>
      <c r="C3641" s="4">
        <f>MONTH(datos_ventas[[#This Row],[Fecha]])</f>
        <v>8</v>
      </c>
      <c r="D3641" s="4">
        <f>WEEKNUM(datos_ventas[[#This Row],[Fecha]],2)</f>
        <v>34</v>
      </c>
      <c r="E3641" t="s">
        <v>29</v>
      </c>
      <c r="F3641" t="s">
        <v>30</v>
      </c>
      <c r="G3641">
        <v>2</v>
      </c>
      <c r="H3641">
        <v>58872</v>
      </c>
      <c r="I3641">
        <v>1436</v>
      </c>
      <c r="J3641" t="s">
        <v>32</v>
      </c>
      <c r="K3641" t="str">
        <f>_xlfn.XLOOKUP(datos_ventas[[#This Row],[Ciudad]],Tabla2[Ciudades],Tabla2[Provincias],"no se encuentra")</f>
        <v>Barcelona</v>
      </c>
      <c r="L3641" t="str">
        <f>_xlfn.XLOOKUP(datos_ventas[[#This Row],[Provincia]],Tabla2[Provincias],Tabla2[Comunidades],"no se encuentra")</f>
        <v>Cataluña</v>
      </c>
      <c r="M3641" t="s">
        <v>13</v>
      </c>
      <c r="N3641">
        <v>5</v>
      </c>
    </row>
    <row r="3642" spans="1:14" x14ac:dyDescent="0.25">
      <c r="A3642">
        <v>4641</v>
      </c>
      <c r="B3642" s="1">
        <v>45915</v>
      </c>
      <c r="C3642" s="4">
        <f>MONTH(datos_ventas[[#This Row],[Fecha]])</f>
        <v>9</v>
      </c>
      <c r="D3642" s="4">
        <f>WEEKNUM(datos_ventas[[#This Row],[Fecha]],2)</f>
        <v>38</v>
      </c>
      <c r="E3642" t="s">
        <v>17</v>
      </c>
      <c r="F3642" t="s">
        <v>18</v>
      </c>
      <c r="G3642">
        <v>4</v>
      </c>
      <c r="H3642">
        <v>89253</v>
      </c>
      <c r="I3642">
        <v>985</v>
      </c>
      <c r="J3642" t="s">
        <v>31</v>
      </c>
      <c r="K3642" t="str">
        <f>_xlfn.XLOOKUP(datos_ventas[[#This Row],[Ciudad]],Tabla2[Ciudades],Tabla2[Provincias],"no se encuentra")</f>
        <v>Vizcaya</v>
      </c>
      <c r="L3642" t="str">
        <f>_xlfn.XLOOKUP(datos_ventas[[#This Row],[Provincia]],Tabla2[Provincias],Tabla2[Comunidades],"no se encuentra")</f>
        <v>País Vasco</v>
      </c>
      <c r="M3642" t="s">
        <v>19</v>
      </c>
      <c r="N3642">
        <v>1</v>
      </c>
    </row>
    <row r="3643" spans="1:14" x14ac:dyDescent="0.25">
      <c r="A3643">
        <v>4642</v>
      </c>
      <c r="B3643" s="1">
        <v>45700</v>
      </c>
      <c r="C3643" s="4">
        <f>MONTH(datos_ventas[[#This Row],[Fecha]])</f>
        <v>2</v>
      </c>
      <c r="D3643" s="4">
        <f>WEEKNUM(datos_ventas[[#This Row],[Fecha]],2)</f>
        <v>7</v>
      </c>
      <c r="E3643" t="s">
        <v>20</v>
      </c>
      <c r="F3643" t="s">
        <v>21</v>
      </c>
      <c r="G3643">
        <v>2</v>
      </c>
      <c r="H3643">
        <v>7013</v>
      </c>
      <c r="I3643">
        <v>2052</v>
      </c>
      <c r="J3643" t="s">
        <v>12</v>
      </c>
      <c r="K3643" t="str">
        <f>_xlfn.XLOOKUP(datos_ventas[[#This Row],[Ciudad]],Tabla2[Ciudades],Tabla2[Provincias],"no se encuentra")</f>
        <v>Málaga</v>
      </c>
      <c r="L3643" t="str">
        <f>_xlfn.XLOOKUP(datos_ventas[[#This Row],[Provincia]],Tabla2[Provincias],Tabla2[Comunidades],"no se encuentra")</f>
        <v>Andalucía</v>
      </c>
      <c r="M3643" t="s">
        <v>13</v>
      </c>
      <c r="N3643">
        <v>4</v>
      </c>
    </row>
    <row r="3644" spans="1:14" x14ac:dyDescent="0.25">
      <c r="A3644">
        <v>4643</v>
      </c>
      <c r="B3644" s="1">
        <v>45664</v>
      </c>
      <c r="C3644" s="4">
        <f>MONTH(datos_ventas[[#This Row],[Fecha]])</f>
        <v>1</v>
      </c>
      <c r="D3644" s="4">
        <f>WEEKNUM(datos_ventas[[#This Row],[Fecha]],2)</f>
        <v>2</v>
      </c>
      <c r="E3644" t="s">
        <v>24</v>
      </c>
      <c r="F3644" t="s">
        <v>25</v>
      </c>
      <c r="G3644">
        <v>1</v>
      </c>
      <c r="H3644">
        <v>36592</v>
      </c>
      <c r="I3644">
        <v>2523</v>
      </c>
      <c r="J3644" t="s">
        <v>22</v>
      </c>
      <c r="K3644" t="str">
        <f>_xlfn.XLOOKUP(datos_ventas[[#This Row],[Ciudad]],Tabla2[Ciudades],Tabla2[Provincias],"no se encuentra")</f>
        <v>Valencia</v>
      </c>
      <c r="L3644" t="str">
        <f>_xlfn.XLOOKUP(datos_ventas[[#This Row],[Provincia]],Tabla2[Provincias],Tabla2[Comunidades],"no se encuentra")</f>
        <v>Comunidad Valenciana</v>
      </c>
      <c r="M3644" t="s">
        <v>15</v>
      </c>
      <c r="N3644">
        <v>3</v>
      </c>
    </row>
    <row r="3645" spans="1:14" x14ac:dyDescent="0.25">
      <c r="A3645">
        <v>4644</v>
      </c>
      <c r="B3645" s="1">
        <v>45952</v>
      </c>
      <c r="C3645" s="4">
        <f>MONTH(datos_ventas[[#This Row],[Fecha]])</f>
        <v>10</v>
      </c>
      <c r="D3645" s="4">
        <f>WEEKNUM(datos_ventas[[#This Row],[Fecha]],2)</f>
        <v>43</v>
      </c>
      <c r="E3645" t="s">
        <v>23</v>
      </c>
      <c r="F3645" t="s">
        <v>18</v>
      </c>
      <c r="G3645">
        <v>1</v>
      </c>
      <c r="H3645">
        <v>20872</v>
      </c>
      <c r="I3645">
        <v>4758</v>
      </c>
      <c r="J3645" t="s">
        <v>31</v>
      </c>
      <c r="K3645" t="str">
        <f>_xlfn.XLOOKUP(datos_ventas[[#This Row],[Ciudad]],Tabla2[Ciudades],Tabla2[Provincias],"no se encuentra")</f>
        <v>Vizcaya</v>
      </c>
      <c r="L3645" t="str">
        <f>_xlfn.XLOOKUP(datos_ventas[[#This Row],[Provincia]],Tabla2[Provincias],Tabla2[Comunidades],"no se encuentra")</f>
        <v>País Vasco</v>
      </c>
      <c r="M3645" t="s">
        <v>19</v>
      </c>
      <c r="N3645">
        <v>3</v>
      </c>
    </row>
    <row r="3646" spans="1:14" x14ac:dyDescent="0.25">
      <c r="A3646">
        <v>4645</v>
      </c>
      <c r="B3646" s="1">
        <v>45839</v>
      </c>
      <c r="C3646" s="4">
        <f>MONTH(datos_ventas[[#This Row],[Fecha]])</f>
        <v>7</v>
      </c>
      <c r="D3646" s="4">
        <f>WEEKNUM(datos_ventas[[#This Row],[Fecha]],2)</f>
        <v>27</v>
      </c>
      <c r="E3646" t="s">
        <v>10</v>
      </c>
      <c r="F3646" t="s">
        <v>11</v>
      </c>
      <c r="G3646">
        <v>1</v>
      </c>
      <c r="H3646">
        <v>79243</v>
      </c>
      <c r="I3646">
        <v>4637</v>
      </c>
      <c r="J3646" t="s">
        <v>31</v>
      </c>
      <c r="K3646" t="str">
        <f>_xlfn.XLOOKUP(datos_ventas[[#This Row],[Ciudad]],Tabla2[Ciudades],Tabla2[Provincias],"no se encuentra")</f>
        <v>Vizcaya</v>
      </c>
      <c r="L3646" t="str">
        <f>_xlfn.XLOOKUP(datos_ventas[[#This Row],[Provincia]],Tabla2[Provincias],Tabla2[Comunidades],"no se encuentra")</f>
        <v>País Vasco</v>
      </c>
      <c r="M3646" t="s">
        <v>28</v>
      </c>
      <c r="N3646">
        <v>2</v>
      </c>
    </row>
    <row r="3647" spans="1:14" x14ac:dyDescent="0.25">
      <c r="A3647">
        <v>4646</v>
      </c>
      <c r="B3647" s="1">
        <v>46000</v>
      </c>
      <c r="C3647" s="4">
        <f>MONTH(datos_ventas[[#This Row],[Fecha]])</f>
        <v>12</v>
      </c>
      <c r="D3647" s="4">
        <f>WEEKNUM(datos_ventas[[#This Row],[Fecha]],2)</f>
        <v>50</v>
      </c>
      <c r="E3647" t="s">
        <v>16</v>
      </c>
      <c r="F3647" t="s">
        <v>11</v>
      </c>
      <c r="G3647">
        <v>4</v>
      </c>
      <c r="H3647">
        <v>92493</v>
      </c>
      <c r="I3647">
        <v>4391</v>
      </c>
      <c r="J3647" t="s">
        <v>22</v>
      </c>
      <c r="K3647" t="str">
        <f>_xlfn.XLOOKUP(datos_ventas[[#This Row],[Ciudad]],Tabla2[Ciudades],Tabla2[Provincias],"no se encuentra")</f>
        <v>Valencia</v>
      </c>
      <c r="L3647" t="str">
        <f>_xlfn.XLOOKUP(datos_ventas[[#This Row],[Provincia]],Tabla2[Provincias],Tabla2[Comunidades],"no se encuentra")</f>
        <v>Comunidad Valenciana</v>
      </c>
      <c r="M3647" t="s">
        <v>28</v>
      </c>
      <c r="N3647">
        <v>1</v>
      </c>
    </row>
    <row r="3648" spans="1:14" x14ac:dyDescent="0.25">
      <c r="A3648">
        <v>4647</v>
      </c>
      <c r="B3648" s="1">
        <v>45658</v>
      </c>
      <c r="C3648" s="4">
        <f>MONTH(datos_ventas[[#This Row],[Fecha]])</f>
        <v>1</v>
      </c>
      <c r="D3648" s="4">
        <f>WEEKNUM(datos_ventas[[#This Row],[Fecha]],2)</f>
        <v>1</v>
      </c>
      <c r="E3648" t="s">
        <v>23</v>
      </c>
      <c r="F3648" t="s">
        <v>18</v>
      </c>
      <c r="G3648">
        <v>2</v>
      </c>
      <c r="H3648">
        <v>85529</v>
      </c>
      <c r="I3648">
        <v>545</v>
      </c>
      <c r="J3648" t="s">
        <v>14</v>
      </c>
      <c r="K3648" t="str">
        <f>_xlfn.XLOOKUP(datos_ventas[[#This Row],[Ciudad]],Tabla2[Ciudades],Tabla2[Provincias],"no se encuentra")</f>
        <v>Madrid</v>
      </c>
      <c r="L3648" t="str">
        <f>_xlfn.XLOOKUP(datos_ventas[[#This Row],[Provincia]],Tabla2[Provincias],Tabla2[Comunidades],"no se encuentra")</f>
        <v>Comunidad de Madrid</v>
      </c>
      <c r="M3648" t="s">
        <v>28</v>
      </c>
      <c r="N3648">
        <v>5</v>
      </c>
    </row>
    <row r="3649" spans="1:14" x14ac:dyDescent="0.25">
      <c r="A3649">
        <v>4648</v>
      </c>
      <c r="B3649" s="1">
        <v>45673</v>
      </c>
      <c r="C3649" s="4">
        <f>MONTH(datos_ventas[[#This Row],[Fecha]])</f>
        <v>1</v>
      </c>
      <c r="D3649" s="4">
        <f>WEEKNUM(datos_ventas[[#This Row],[Fecha]],2)</f>
        <v>3</v>
      </c>
      <c r="E3649" t="s">
        <v>17</v>
      </c>
      <c r="F3649" t="s">
        <v>18</v>
      </c>
      <c r="G3649">
        <v>4</v>
      </c>
      <c r="H3649">
        <v>73728</v>
      </c>
      <c r="I3649">
        <v>2043</v>
      </c>
      <c r="J3649" t="s">
        <v>31</v>
      </c>
      <c r="K3649" t="str">
        <f>_xlfn.XLOOKUP(datos_ventas[[#This Row],[Ciudad]],Tabla2[Ciudades],Tabla2[Provincias],"no se encuentra")</f>
        <v>Vizcaya</v>
      </c>
      <c r="L3649" t="str">
        <f>_xlfn.XLOOKUP(datos_ventas[[#This Row],[Provincia]],Tabla2[Provincias],Tabla2[Comunidades],"no se encuentra")</f>
        <v>País Vasco</v>
      </c>
      <c r="M3649" t="s">
        <v>15</v>
      </c>
      <c r="N3649">
        <v>4</v>
      </c>
    </row>
    <row r="3650" spans="1:14" x14ac:dyDescent="0.25">
      <c r="A3650">
        <v>4649</v>
      </c>
      <c r="B3650" s="1">
        <v>45830</v>
      </c>
      <c r="C3650" s="4">
        <f>MONTH(datos_ventas[[#This Row],[Fecha]])</f>
        <v>6</v>
      </c>
      <c r="D3650" s="4">
        <f>WEEKNUM(datos_ventas[[#This Row],[Fecha]],2)</f>
        <v>25</v>
      </c>
      <c r="E3650" t="s">
        <v>20</v>
      </c>
      <c r="F3650" t="s">
        <v>21</v>
      </c>
      <c r="G3650">
        <v>1</v>
      </c>
      <c r="H3650">
        <v>18105</v>
      </c>
      <c r="I3650">
        <v>4714</v>
      </c>
      <c r="J3650" t="s">
        <v>32</v>
      </c>
      <c r="K3650" t="str">
        <f>_xlfn.XLOOKUP(datos_ventas[[#This Row],[Ciudad]],Tabla2[Ciudades],Tabla2[Provincias],"no se encuentra")</f>
        <v>Barcelona</v>
      </c>
      <c r="L3650" t="str">
        <f>_xlfn.XLOOKUP(datos_ventas[[#This Row],[Provincia]],Tabla2[Provincias],Tabla2[Comunidades],"no se encuentra")</f>
        <v>Cataluña</v>
      </c>
      <c r="M3650" t="s">
        <v>19</v>
      </c>
      <c r="N3650">
        <v>3</v>
      </c>
    </row>
    <row r="3651" spans="1:14" x14ac:dyDescent="0.25">
      <c r="A3651">
        <v>4650</v>
      </c>
      <c r="B3651" s="1">
        <v>45677</v>
      </c>
      <c r="C3651" s="4">
        <f>MONTH(datos_ventas[[#This Row],[Fecha]])</f>
        <v>1</v>
      </c>
      <c r="D3651" s="4">
        <f>WEEKNUM(datos_ventas[[#This Row],[Fecha]],2)</f>
        <v>4</v>
      </c>
      <c r="E3651" t="s">
        <v>24</v>
      </c>
      <c r="F3651" t="s">
        <v>25</v>
      </c>
      <c r="G3651">
        <v>2</v>
      </c>
      <c r="H3651">
        <v>85225</v>
      </c>
      <c r="I3651">
        <v>1038</v>
      </c>
      <c r="J3651" t="s">
        <v>32</v>
      </c>
      <c r="K3651" t="str">
        <f>_xlfn.XLOOKUP(datos_ventas[[#This Row],[Ciudad]],Tabla2[Ciudades],Tabla2[Provincias],"no se encuentra")</f>
        <v>Barcelona</v>
      </c>
      <c r="L3651" t="str">
        <f>_xlfn.XLOOKUP(datos_ventas[[#This Row],[Provincia]],Tabla2[Provincias],Tabla2[Comunidades],"no se encuentra")</f>
        <v>Cataluña</v>
      </c>
      <c r="M3651" t="s">
        <v>15</v>
      </c>
      <c r="N3651">
        <v>2</v>
      </c>
    </row>
    <row r="3652" spans="1:14" x14ac:dyDescent="0.25">
      <c r="A3652">
        <v>4651</v>
      </c>
      <c r="B3652" s="1">
        <v>45776</v>
      </c>
      <c r="C3652" s="4">
        <f>MONTH(datos_ventas[[#This Row],[Fecha]])</f>
        <v>4</v>
      </c>
      <c r="D3652" s="4">
        <f>WEEKNUM(datos_ventas[[#This Row],[Fecha]],2)</f>
        <v>18</v>
      </c>
      <c r="E3652" t="s">
        <v>24</v>
      </c>
      <c r="F3652" t="s">
        <v>25</v>
      </c>
      <c r="G3652">
        <v>2</v>
      </c>
      <c r="H3652">
        <v>34111</v>
      </c>
      <c r="I3652">
        <v>181</v>
      </c>
      <c r="J3652" t="s">
        <v>12</v>
      </c>
      <c r="K3652" t="str">
        <f>_xlfn.XLOOKUP(datos_ventas[[#This Row],[Ciudad]],Tabla2[Ciudades],Tabla2[Provincias],"no se encuentra")</f>
        <v>Málaga</v>
      </c>
      <c r="L3652" t="str">
        <f>_xlfn.XLOOKUP(datos_ventas[[#This Row],[Provincia]],Tabla2[Provincias],Tabla2[Comunidades],"no se encuentra")</f>
        <v>Andalucía</v>
      </c>
      <c r="M3652" t="s">
        <v>19</v>
      </c>
      <c r="N3652">
        <v>3</v>
      </c>
    </row>
    <row r="3653" spans="1:14" x14ac:dyDescent="0.25">
      <c r="A3653">
        <v>4652</v>
      </c>
      <c r="B3653" s="1">
        <v>45687</v>
      </c>
      <c r="C3653" s="4">
        <f>MONTH(datos_ventas[[#This Row],[Fecha]])</f>
        <v>1</v>
      </c>
      <c r="D3653" s="4">
        <f>WEEKNUM(datos_ventas[[#This Row],[Fecha]],2)</f>
        <v>5</v>
      </c>
      <c r="E3653" t="s">
        <v>29</v>
      </c>
      <c r="F3653" t="s">
        <v>30</v>
      </c>
      <c r="G3653">
        <v>5</v>
      </c>
      <c r="H3653">
        <v>114623</v>
      </c>
      <c r="I3653">
        <v>2071</v>
      </c>
      <c r="J3653" t="s">
        <v>27</v>
      </c>
      <c r="K3653" t="str">
        <f>_xlfn.XLOOKUP(datos_ventas[[#This Row],[Ciudad]],Tabla2[Ciudades],Tabla2[Provincias],"no se encuentra")</f>
        <v>Sevilla</v>
      </c>
      <c r="L3653" t="str">
        <f>_xlfn.XLOOKUP(datos_ventas[[#This Row],[Provincia]],Tabla2[Provincias],Tabla2[Comunidades],"no se encuentra")</f>
        <v>Andalucía</v>
      </c>
      <c r="M3653" t="s">
        <v>28</v>
      </c>
      <c r="N3653">
        <v>3</v>
      </c>
    </row>
    <row r="3654" spans="1:14" x14ac:dyDescent="0.25">
      <c r="A3654">
        <v>4653</v>
      </c>
      <c r="B3654" s="1">
        <v>45797</v>
      </c>
      <c r="C3654" s="4">
        <f>MONTH(datos_ventas[[#This Row],[Fecha]])</f>
        <v>5</v>
      </c>
      <c r="D3654" s="4">
        <f>WEEKNUM(datos_ventas[[#This Row],[Fecha]],2)</f>
        <v>21</v>
      </c>
      <c r="E3654" t="s">
        <v>24</v>
      </c>
      <c r="F3654" t="s">
        <v>25</v>
      </c>
      <c r="G3654">
        <v>3</v>
      </c>
      <c r="H3654">
        <v>106571</v>
      </c>
      <c r="I3654">
        <v>4969</v>
      </c>
      <c r="J3654" t="s">
        <v>31</v>
      </c>
      <c r="K3654" t="str">
        <f>_xlfn.XLOOKUP(datos_ventas[[#This Row],[Ciudad]],Tabla2[Ciudades],Tabla2[Provincias],"no se encuentra")</f>
        <v>Vizcaya</v>
      </c>
      <c r="L3654" t="str">
        <f>_xlfn.XLOOKUP(datos_ventas[[#This Row],[Provincia]],Tabla2[Provincias],Tabla2[Comunidades],"no se encuentra")</f>
        <v>País Vasco</v>
      </c>
      <c r="M3654" t="s">
        <v>19</v>
      </c>
      <c r="N3654">
        <v>3</v>
      </c>
    </row>
    <row r="3655" spans="1:14" x14ac:dyDescent="0.25">
      <c r="A3655">
        <v>4654</v>
      </c>
      <c r="B3655" s="1">
        <v>45700</v>
      </c>
      <c r="C3655" s="4">
        <f>MONTH(datos_ventas[[#This Row],[Fecha]])</f>
        <v>2</v>
      </c>
      <c r="D3655" s="4">
        <f>WEEKNUM(datos_ventas[[#This Row],[Fecha]],2)</f>
        <v>7</v>
      </c>
      <c r="E3655" t="s">
        <v>24</v>
      </c>
      <c r="F3655" t="s">
        <v>25</v>
      </c>
      <c r="G3655">
        <v>3</v>
      </c>
      <c r="H3655">
        <v>20982</v>
      </c>
      <c r="I3655">
        <v>3945</v>
      </c>
      <c r="J3655" t="s">
        <v>32</v>
      </c>
      <c r="K3655" t="str">
        <f>_xlfn.XLOOKUP(datos_ventas[[#This Row],[Ciudad]],Tabla2[Ciudades],Tabla2[Provincias],"no se encuentra")</f>
        <v>Barcelona</v>
      </c>
      <c r="L3655" t="str">
        <f>_xlfn.XLOOKUP(datos_ventas[[#This Row],[Provincia]],Tabla2[Provincias],Tabla2[Comunidades],"no se encuentra")</f>
        <v>Cataluña</v>
      </c>
      <c r="M3655" t="s">
        <v>28</v>
      </c>
      <c r="N3655">
        <v>1</v>
      </c>
    </row>
    <row r="3656" spans="1:14" x14ac:dyDescent="0.25">
      <c r="A3656">
        <v>4655</v>
      </c>
      <c r="B3656" s="1">
        <v>45754</v>
      </c>
      <c r="C3656" s="4">
        <f>MONTH(datos_ventas[[#This Row],[Fecha]])</f>
        <v>4</v>
      </c>
      <c r="D3656" s="4">
        <f>WEEKNUM(datos_ventas[[#This Row],[Fecha]],2)</f>
        <v>15</v>
      </c>
      <c r="E3656" t="s">
        <v>20</v>
      </c>
      <c r="F3656" t="s">
        <v>21</v>
      </c>
      <c r="G3656">
        <v>2</v>
      </c>
      <c r="H3656">
        <v>55736</v>
      </c>
      <c r="I3656">
        <v>2745</v>
      </c>
      <c r="J3656" t="s">
        <v>22</v>
      </c>
      <c r="K3656" t="str">
        <f>_xlfn.XLOOKUP(datos_ventas[[#This Row],[Ciudad]],Tabla2[Ciudades],Tabla2[Provincias],"no se encuentra")</f>
        <v>Valencia</v>
      </c>
      <c r="L3656" t="str">
        <f>_xlfn.XLOOKUP(datos_ventas[[#This Row],[Provincia]],Tabla2[Provincias],Tabla2[Comunidades],"no se encuentra")</f>
        <v>Comunidad Valenciana</v>
      </c>
      <c r="M3656" t="s">
        <v>13</v>
      </c>
      <c r="N3656">
        <v>2</v>
      </c>
    </row>
    <row r="3657" spans="1:14" x14ac:dyDescent="0.25">
      <c r="A3657">
        <v>4656</v>
      </c>
      <c r="B3657" s="1">
        <v>45768</v>
      </c>
      <c r="C3657" s="4">
        <f>MONTH(datos_ventas[[#This Row],[Fecha]])</f>
        <v>4</v>
      </c>
      <c r="D3657" s="4">
        <f>WEEKNUM(datos_ventas[[#This Row],[Fecha]],2)</f>
        <v>17</v>
      </c>
      <c r="E3657" t="s">
        <v>16</v>
      </c>
      <c r="F3657" t="s">
        <v>11</v>
      </c>
      <c r="G3657">
        <v>4</v>
      </c>
      <c r="H3657">
        <v>58153</v>
      </c>
      <c r="I3657">
        <v>3596</v>
      </c>
      <c r="J3657" t="s">
        <v>14</v>
      </c>
      <c r="K3657" t="str">
        <f>_xlfn.XLOOKUP(datos_ventas[[#This Row],[Ciudad]],Tabla2[Ciudades],Tabla2[Provincias],"no se encuentra")</f>
        <v>Madrid</v>
      </c>
      <c r="L3657" t="str">
        <f>_xlfn.XLOOKUP(datos_ventas[[#This Row],[Provincia]],Tabla2[Provincias],Tabla2[Comunidades],"no se encuentra")</f>
        <v>Comunidad de Madrid</v>
      </c>
      <c r="M3657" t="s">
        <v>13</v>
      </c>
      <c r="N3657">
        <v>1</v>
      </c>
    </row>
    <row r="3658" spans="1:14" x14ac:dyDescent="0.25">
      <c r="A3658">
        <v>4657</v>
      </c>
      <c r="B3658" s="1">
        <v>45892</v>
      </c>
      <c r="C3658" s="4">
        <f>MONTH(datos_ventas[[#This Row],[Fecha]])</f>
        <v>8</v>
      </c>
      <c r="D3658" s="4">
        <f>WEEKNUM(datos_ventas[[#This Row],[Fecha]],2)</f>
        <v>34</v>
      </c>
      <c r="E3658" t="s">
        <v>10</v>
      </c>
      <c r="F3658" t="s">
        <v>11</v>
      </c>
      <c r="G3658">
        <v>5</v>
      </c>
      <c r="H3658">
        <v>6545</v>
      </c>
      <c r="I3658">
        <v>1522</v>
      </c>
      <c r="J3658" t="s">
        <v>32</v>
      </c>
      <c r="K3658" t="str">
        <f>_xlfn.XLOOKUP(datos_ventas[[#This Row],[Ciudad]],Tabla2[Ciudades],Tabla2[Provincias],"no se encuentra")</f>
        <v>Barcelona</v>
      </c>
      <c r="L3658" t="str">
        <f>_xlfn.XLOOKUP(datos_ventas[[#This Row],[Provincia]],Tabla2[Provincias],Tabla2[Comunidades],"no se encuentra")</f>
        <v>Cataluña</v>
      </c>
      <c r="M3658" t="s">
        <v>28</v>
      </c>
      <c r="N3658">
        <v>3</v>
      </c>
    </row>
    <row r="3659" spans="1:14" x14ac:dyDescent="0.25">
      <c r="A3659">
        <v>4658</v>
      </c>
      <c r="B3659" s="1">
        <v>45817</v>
      </c>
      <c r="C3659" s="4">
        <f>MONTH(datos_ventas[[#This Row],[Fecha]])</f>
        <v>6</v>
      </c>
      <c r="D3659" s="4">
        <f>WEEKNUM(datos_ventas[[#This Row],[Fecha]],2)</f>
        <v>24</v>
      </c>
      <c r="E3659" t="s">
        <v>29</v>
      </c>
      <c r="F3659" t="s">
        <v>30</v>
      </c>
      <c r="G3659">
        <v>3</v>
      </c>
      <c r="H3659">
        <v>65313</v>
      </c>
      <c r="I3659">
        <v>2284</v>
      </c>
      <c r="J3659" t="s">
        <v>14</v>
      </c>
      <c r="K3659" t="str">
        <f>_xlfn.XLOOKUP(datos_ventas[[#This Row],[Ciudad]],Tabla2[Ciudades],Tabla2[Provincias],"no se encuentra")</f>
        <v>Madrid</v>
      </c>
      <c r="L3659" t="str">
        <f>_xlfn.XLOOKUP(datos_ventas[[#This Row],[Provincia]],Tabla2[Provincias],Tabla2[Comunidades],"no se encuentra")</f>
        <v>Comunidad de Madrid</v>
      </c>
      <c r="M3659" t="s">
        <v>28</v>
      </c>
      <c r="N3659">
        <v>1</v>
      </c>
    </row>
    <row r="3660" spans="1:14" x14ac:dyDescent="0.25">
      <c r="A3660">
        <v>4659</v>
      </c>
      <c r="B3660" s="1">
        <v>45705</v>
      </c>
      <c r="C3660" s="4">
        <f>MONTH(datos_ventas[[#This Row],[Fecha]])</f>
        <v>2</v>
      </c>
      <c r="D3660" s="4">
        <f>WEEKNUM(datos_ventas[[#This Row],[Fecha]],2)</f>
        <v>8</v>
      </c>
      <c r="E3660" t="s">
        <v>16</v>
      </c>
      <c r="F3660" t="s">
        <v>11</v>
      </c>
      <c r="G3660">
        <v>2</v>
      </c>
      <c r="H3660">
        <v>69851</v>
      </c>
      <c r="I3660">
        <v>2746</v>
      </c>
      <c r="J3660" t="s">
        <v>31</v>
      </c>
      <c r="K3660" t="str">
        <f>_xlfn.XLOOKUP(datos_ventas[[#This Row],[Ciudad]],Tabla2[Ciudades],Tabla2[Provincias],"no se encuentra")</f>
        <v>Vizcaya</v>
      </c>
      <c r="L3660" t="str">
        <f>_xlfn.XLOOKUP(datos_ventas[[#This Row],[Provincia]],Tabla2[Provincias],Tabla2[Comunidades],"no se encuentra")</f>
        <v>País Vasco</v>
      </c>
      <c r="M3660" t="s">
        <v>19</v>
      </c>
      <c r="N3660">
        <v>5</v>
      </c>
    </row>
    <row r="3661" spans="1:14" x14ac:dyDescent="0.25">
      <c r="A3661">
        <v>4660</v>
      </c>
      <c r="B3661" s="1">
        <v>45774</v>
      </c>
      <c r="C3661" s="4">
        <f>MONTH(datos_ventas[[#This Row],[Fecha]])</f>
        <v>4</v>
      </c>
      <c r="D3661" s="4">
        <f>WEEKNUM(datos_ventas[[#This Row],[Fecha]],2)</f>
        <v>17</v>
      </c>
      <c r="E3661" t="s">
        <v>26</v>
      </c>
      <c r="F3661" t="s">
        <v>18</v>
      </c>
      <c r="G3661">
        <v>4</v>
      </c>
      <c r="H3661">
        <v>73917</v>
      </c>
      <c r="I3661">
        <v>2997</v>
      </c>
      <c r="J3661" t="s">
        <v>14</v>
      </c>
      <c r="K3661" t="str">
        <f>_xlfn.XLOOKUP(datos_ventas[[#This Row],[Ciudad]],Tabla2[Ciudades],Tabla2[Provincias],"no se encuentra")</f>
        <v>Madrid</v>
      </c>
      <c r="L3661" t="str">
        <f>_xlfn.XLOOKUP(datos_ventas[[#This Row],[Provincia]],Tabla2[Provincias],Tabla2[Comunidades],"no se encuentra")</f>
        <v>Comunidad de Madrid</v>
      </c>
      <c r="M3661" t="s">
        <v>15</v>
      </c>
      <c r="N3661">
        <v>2</v>
      </c>
    </row>
    <row r="3662" spans="1:14" x14ac:dyDescent="0.25">
      <c r="A3662">
        <v>4661</v>
      </c>
      <c r="B3662" s="1">
        <v>46013</v>
      </c>
      <c r="C3662" s="4">
        <f>MONTH(datos_ventas[[#This Row],[Fecha]])</f>
        <v>12</v>
      </c>
      <c r="D3662" s="4">
        <f>WEEKNUM(datos_ventas[[#This Row],[Fecha]],2)</f>
        <v>52</v>
      </c>
      <c r="E3662" t="s">
        <v>17</v>
      </c>
      <c r="F3662" t="s">
        <v>18</v>
      </c>
      <c r="G3662">
        <v>4</v>
      </c>
      <c r="H3662">
        <v>21828</v>
      </c>
      <c r="I3662">
        <v>1551</v>
      </c>
      <c r="J3662" t="s">
        <v>12</v>
      </c>
      <c r="K3662" t="str">
        <f>_xlfn.XLOOKUP(datos_ventas[[#This Row],[Ciudad]],Tabla2[Ciudades],Tabla2[Provincias],"no se encuentra")</f>
        <v>Málaga</v>
      </c>
      <c r="L3662" t="str">
        <f>_xlfn.XLOOKUP(datos_ventas[[#This Row],[Provincia]],Tabla2[Provincias],Tabla2[Comunidades],"no se encuentra")</f>
        <v>Andalucía</v>
      </c>
      <c r="M3662" t="s">
        <v>15</v>
      </c>
      <c r="N3662">
        <v>4</v>
      </c>
    </row>
    <row r="3663" spans="1:14" x14ac:dyDescent="0.25">
      <c r="A3663">
        <v>4662</v>
      </c>
      <c r="B3663" s="1">
        <v>45679</v>
      </c>
      <c r="C3663" s="4">
        <f>MONTH(datos_ventas[[#This Row],[Fecha]])</f>
        <v>1</v>
      </c>
      <c r="D3663" s="4">
        <f>WEEKNUM(datos_ventas[[#This Row],[Fecha]],2)</f>
        <v>4</v>
      </c>
      <c r="E3663" t="s">
        <v>20</v>
      </c>
      <c r="F3663" t="s">
        <v>21</v>
      </c>
      <c r="G3663">
        <v>1</v>
      </c>
      <c r="H3663">
        <v>10218</v>
      </c>
      <c r="I3663">
        <v>2505</v>
      </c>
      <c r="J3663" t="s">
        <v>32</v>
      </c>
      <c r="K3663" t="str">
        <f>_xlfn.XLOOKUP(datos_ventas[[#This Row],[Ciudad]],Tabla2[Ciudades],Tabla2[Provincias],"no se encuentra")</f>
        <v>Barcelona</v>
      </c>
      <c r="L3663" t="str">
        <f>_xlfn.XLOOKUP(datos_ventas[[#This Row],[Provincia]],Tabla2[Provincias],Tabla2[Comunidades],"no se encuentra")</f>
        <v>Cataluña</v>
      </c>
      <c r="M3663" t="s">
        <v>13</v>
      </c>
      <c r="N3663">
        <v>5</v>
      </c>
    </row>
    <row r="3664" spans="1:14" x14ac:dyDescent="0.25">
      <c r="A3664">
        <v>4663</v>
      </c>
      <c r="B3664" s="1">
        <v>45796</v>
      </c>
      <c r="C3664" s="4">
        <f>MONTH(datos_ventas[[#This Row],[Fecha]])</f>
        <v>5</v>
      </c>
      <c r="D3664" s="4">
        <f>WEEKNUM(datos_ventas[[#This Row],[Fecha]],2)</f>
        <v>21</v>
      </c>
      <c r="E3664" t="s">
        <v>29</v>
      </c>
      <c r="F3664" t="s">
        <v>30</v>
      </c>
      <c r="G3664">
        <v>3</v>
      </c>
      <c r="H3664">
        <v>103837</v>
      </c>
      <c r="I3664">
        <v>3154</v>
      </c>
      <c r="J3664" t="s">
        <v>14</v>
      </c>
      <c r="K3664" t="str">
        <f>_xlfn.XLOOKUP(datos_ventas[[#This Row],[Ciudad]],Tabla2[Ciudades],Tabla2[Provincias],"no se encuentra")</f>
        <v>Madrid</v>
      </c>
      <c r="L3664" t="str">
        <f>_xlfn.XLOOKUP(datos_ventas[[#This Row],[Provincia]],Tabla2[Provincias],Tabla2[Comunidades],"no se encuentra")</f>
        <v>Comunidad de Madrid</v>
      </c>
      <c r="M3664" t="s">
        <v>28</v>
      </c>
      <c r="N3664">
        <v>2</v>
      </c>
    </row>
    <row r="3665" spans="1:14" x14ac:dyDescent="0.25">
      <c r="A3665">
        <v>4664</v>
      </c>
      <c r="B3665" s="1">
        <v>45889</v>
      </c>
      <c r="C3665" s="4">
        <f>MONTH(datos_ventas[[#This Row],[Fecha]])</f>
        <v>8</v>
      </c>
      <c r="D3665" s="4">
        <f>WEEKNUM(datos_ventas[[#This Row],[Fecha]],2)</f>
        <v>34</v>
      </c>
      <c r="E3665" t="s">
        <v>20</v>
      </c>
      <c r="F3665" t="s">
        <v>21</v>
      </c>
      <c r="G3665">
        <v>4</v>
      </c>
      <c r="H3665">
        <v>56602</v>
      </c>
      <c r="I3665">
        <v>1376</v>
      </c>
      <c r="J3665" t="s">
        <v>27</v>
      </c>
      <c r="K3665" t="str">
        <f>_xlfn.XLOOKUP(datos_ventas[[#This Row],[Ciudad]],Tabla2[Ciudades],Tabla2[Provincias],"no se encuentra")</f>
        <v>Sevilla</v>
      </c>
      <c r="L3665" t="str">
        <f>_xlfn.XLOOKUP(datos_ventas[[#This Row],[Provincia]],Tabla2[Provincias],Tabla2[Comunidades],"no se encuentra")</f>
        <v>Andalucía</v>
      </c>
      <c r="M3665" t="s">
        <v>28</v>
      </c>
      <c r="N3665">
        <v>5</v>
      </c>
    </row>
    <row r="3666" spans="1:14" x14ac:dyDescent="0.25">
      <c r="A3666">
        <v>4665</v>
      </c>
      <c r="B3666" s="1">
        <v>45730</v>
      </c>
      <c r="C3666" s="4">
        <f>MONTH(datos_ventas[[#This Row],[Fecha]])</f>
        <v>3</v>
      </c>
      <c r="D3666" s="4">
        <f>WEEKNUM(datos_ventas[[#This Row],[Fecha]],2)</f>
        <v>11</v>
      </c>
      <c r="E3666" t="s">
        <v>10</v>
      </c>
      <c r="F3666" t="s">
        <v>11</v>
      </c>
      <c r="G3666">
        <v>1</v>
      </c>
      <c r="H3666">
        <v>84244</v>
      </c>
      <c r="I3666">
        <v>3619</v>
      </c>
      <c r="J3666" t="s">
        <v>22</v>
      </c>
      <c r="K3666" t="str">
        <f>_xlfn.XLOOKUP(datos_ventas[[#This Row],[Ciudad]],Tabla2[Ciudades],Tabla2[Provincias],"no se encuentra")</f>
        <v>Valencia</v>
      </c>
      <c r="L3666" t="str">
        <f>_xlfn.XLOOKUP(datos_ventas[[#This Row],[Provincia]],Tabla2[Provincias],Tabla2[Comunidades],"no se encuentra")</f>
        <v>Comunidad Valenciana</v>
      </c>
      <c r="M3666" t="s">
        <v>15</v>
      </c>
      <c r="N3666">
        <v>4</v>
      </c>
    </row>
    <row r="3667" spans="1:14" x14ac:dyDescent="0.25">
      <c r="A3667">
        <v>4666</v>
      </c>
      <c r="B3667" s="1">
        <v>45783</v>
      </c>
      <c r="C3667" s="4">
        <f>MONTH(datos_ventas[[#This Row],[Fecha]])</f>
        <v>5</v>
      </c>
      <c r="D3667" s="4">
        <f>WEEKNUM(datos_ventas[[#This Row],[Fecha]],2)</f>
        <v>19</v>
      </c>
      <c r="E3667" t="s">
        <v>17</v>
      </c>
      <c r="F3667" t="s">
        <v>18</v>
      </c>
      <c r="G3667">
        <v>5</v>
      </c>
      <c r="H3667">
        <v>9021</v>
      </c>
      <c r="I3667">
        <v>3844</v>
      </c>
      <c r="J3667" t="s">
        <v>31</v>
      </c>
      <c r="K3667" t="str">
        <f>_xlfn.XLOOKUP(datos_ventas[[#This Row],[Ciudad]],Tabla2[Ciudades],Tabla2[Provincias],"no se encuentra")</f>
        <v>Vizcaya</v>
      </c>
      <c r="L3667" t="str">
        <f>_xlfn.XLOOKUP(datos_ventas[[#This Row],[Provincia]],Tabla2[Provincias],Tabla2[Comunidades],"no se encuentra")</f>
        <v>País Vasco</v>
      </c>
      <c r="M3667" t="s">
        <v>19</v>
      </c>
      <c r="N3667">
        <v>4</v>
      </c>
    </row>
    <row r="3668" spans="1:14" x14ac:dyDescent="0.25">
      <c r="A3668">
        <v>4667</v>
      </c>
      <c r="B3668" s="1">
        <v>45847</v>
      </c>
      <c r="C3668" s="4">
        <f>MONTH(datos_ventas[[#This Row],[Fecha]])</f>
        <v>7</v>
      </c>
      <c r="D3668" s="4">
        <f>WEEKNUM(datos_ventas[[#This Row],[Fecha]],2)</f>
        <v>28</v>
      </c>
      <c r="E3668" t="s">
        <v>29</v>
      </c>
      <c r="F3668" t="s">
        <v>30</v>
      </c>
      <c r="G3668">
        <v>2</v>
      </c>
      <c r="H3668">
        <v>10754</v>
      </c>
      <c r="I3668">
        <v>2125</v>
      </c>
      <c r="J3668" t="s">
        <v>32</v>
      </c>
      <c r="K3668" t="str">
        <f>_xlfn.XLOOKUP(datos_ventas[[#This Row],[Ciudad]],Tabla2[Ciudades],Tabla2[Provincias],"no se encuentra")</f>
        <v>Barcelona</v>
      </c>
      <c r="L3668" t="str">
        <f>_xlfn.XLOOKUP(datos_ventas[[#This Row],[Provincia]],Tabla2[Provincias],Tabla2[Comunidades],"no se encuentra")</f>
        <v>Cataluña</v>
      </c>
      <c r="M3668" t="s">
        <v>13</v>
      </c>
      <c r="N3668">
        <v>1</v>
      </c>
    </row>
    <row r="3669" spans="1:14" x14ac:dyDescent="0.25">
      <c r="A3669">
        <v>4668</v>
      </c>
      <c r="B3669" s="1">
        <v>46003</v>
      </c>
      <c r="C3669" s="4">
        <f>MONTH(datos_ventas[[#This Row],[Fecha]])</f>
        <v>12</v>
      </c>
      <c r="D3669" s="4">
        <f>WEEKNUM(datos_ventas[[#This Row],[Fecha]],2)</f>
        <v>50</v>
      </c>
      <c r="E3669" t="s">
        <v>23</v>
      </c>
      <c r="F3669" t="s">
        <v>18</v>
      </c>
      <c r="G3669">
        <v>1</v>
      </c>
      <c r="H3669">
        <v>117815</v>
      </c>
      <c r="I3669">
        <v>4344</v>
      </c>
      <c r="J3669" t="s">
        <v>22</v>
      </c>
      <c r="K3669" t="str">
        <f>_xlfn.XLOOKUP(datos_ventas[[#This Row],[Ciudad]],Tabla2[Ciudades],Tabla2[Provincias],"no se encuentra")</f>
        <v>Valencia</v>
      </c>
      <c r="L3669" t="str">
        <f>_xlfn.XLOOKUP(datos_ventas[[#This Row],[Provincia]],Tabla2[Provincias],Tabla2[Comunidades],"no se encuentra")</f>
        <v>Comunidad Valenciana</v>
      </c>
      <c r="M3669" t="s">
        <v>28</v>
      </c>
      <c r="N3669">
        <v>2</v>
      </c>
    </row>
    <row r="3670" spans="1:14" x14ac:dyDescent="0.25">
      <c r="A3670">
        <v>4669</v>
      </c>
      <c r="B3670" s="1">
        <v>46014</v>
      </c>
      <c r="C3670" s="4">
        <f>MONTH(datos_ventas[[#This Row],[Fecha]])</f>
        <v>12</v>
      </c>
      <c r="D3670" s="4">
        <f>WEEKNUM(datos_ventas[[#This Row],[Fecha]],2)</f>
        <v>52</v>
      </c>
      <c r="E3670" t="s">
        <v>26</v>
      </c>
      <c r="F3670" t="s">
        <v>18</v>
      </c>
      <c r="G3670">
        <v>4</v>
      </c>
      <c r="H3670">
        <v>3309</v>
      </c>
      <c r="I3670">
        <v>477</v>
      </c>
      <c r="J3670" t="s">
        <v>12</v>
      </c>
      <c r="K3670" t="str">
        <f>_xlfn.XLOOKUP(datos_ventas[[#This Row],[Ciudad]],Tabla2[Ciudades],Tabla2[Provincias],"no se encuentra")</f>
        <v>Málaga</v>
      </c>
      <c r="L3670" t="str">
        <f>_xlfn.XLOOKUP(datos_ventas[[#This Row],[Provincia]],Tabla2[Provincias],Tabla2[Comunidades],"no se encuentra")</f>
        <v>Andalucía</v>
      </c>
      <c r="M3670" t="s">
        <v>15</v>
      </c>
      <c r="N3670">
        <v>1</v>
      </c>
    </row>
    <row r="3671" spans="1:14" x14ac:dyDescent="0.25">
      <c r="A3671">
        <v>4670</v>
      </c>
      <c r="B3671" s="1">
        <v>45919</v>
      </c>
      <c r="C3671" s="4">
        <f>MONTH(datos_ventas[[#This Row],[Fecha]])</f>
        <v>9</v>
      </c>
      <c r="D3671" s="4">
        <f>WEEKNUM(datos_ventas[[#This Row],[Fecha]],2)</f>
        <v>38</v>
      </c>
      <c r="E3671" t="s">
        <v>29</v>
      </c>
      <c r="F3671" t="s">
        <v>30</v>
      </c>
      <c r="G3671">
        <v>3</v>
      </c>
      <c r="H3671">
        <v>57714</v>
      </c>
      <c r="I3671">
        <v>2037</v>
      </c>
      <c r="J3671" t="s">
        <v>27</v>
      </c>
      <c r="K3671" t="str">
        <f>_xlfn.XLOOKUP(datos_ventas[[#This Row],[Ciudad]],Tabla2[Ciudades],Tabla2[Provincias],"no se encuentra")</f>
        <v>Sevilla</v>
      </c>
      <c r="L3671" t="str">
        <f>_xlfn.XLOOKUP(datos_ventas[[#This Row],[Provincia]],Tabla2[Provincias],Tabla2[Comunidades],"no se encuentra")</f>
        <v>Andalucía</v>
      </c>
      <c r="M3671" t="s">
        <v>13</v>
      </c>
      <c r="N3671">
        <v>2</v>
      </c>
    </row>
    <row r="3672" spans="1:14" x14ac:dyDescent="0.25">
      <c r="A3672">
        <v>4671</v>
      </c>
      <c r="B3672" s="1">
        <v>46009</v>
      </c>
      <c r="C3672" s="4">
        <f>MONTH(datos_ventas[[#This Row],[Fecha]])</f>
        <v>12</v>
      </c>
      <c r="D3672" s="4">
        <f>WEEKNUM(datos_ventas[[#This Row],[Fecha]],2)</f>
        <v>51</v>
      </c>
      <c r="E3672" t="s">
        <v>20</v>
      </c>
      <c r="F3672" t="s">
        <v>21</v>
      </c>
      <c r="G3672">
        <v>2</v>
      </c>
      <c r="H3672">
        <v>17992</v>
      </c>
      <c r="I3672">
        <v>4666</v>
      </c>
      <c r="J3672" t="s">
        <v>14</v>
      </c>
      <c r="K3672" t="str">
        <f>_xlfn.XLOOKUP(datos_ventas[[#This Row],[Ciudad]],Tabla2[Ciudades],Tabla2[Provincias],"no se encuentra")</f>
        <v>Madrid</v>
      </c>
      <c r="L3672" t="str">
        <f>_xlfn.XLOOKUP(datos_ventas[[#This Row],[Provincia]],Tabla2[Provincias],Tabla2[Comunidades],"no se encuentra")</f>
        <v>Comunidad de Madrid</v>
      </c>
      <c r="M3672" t="s">
        <v>19</v>
      </c>
      <c r="N3672">
        <v>4</v>
      </c>
    </row>
    <row r="3673" spans="1:14" x14ac:dyDescent="0.25">
      <c r="A3673">
        <v>4672</v>
      </c>
      <c r="B3673" s="1">
        <v>45844</v>
      </c>
      <c r="C3673" s="4">
        <f>MONTH(datos_ventas[[#This Row],[Fecha]])</f>
        <v>7</v>
      </c>
      <c r="D3673" s="4">
        <f>WEEKNUM(datos_ventas[[#This Row],[Fecha]],2)</f>
        <v>27</v>
      </c>
      <c r="E3673" t="s">
        <v>10</v>
      </c>
      <c r="F3673" t="s">
        <v>11</v>
      </c>
      <c r="G3673">
        <v>1</v>
      </c>
      <c r="H3673">
        <v>86169</v>
      </c>
      <c r="I3673">
        <v>685</v>
      </c>
      <c r="J3673" t="s">
        <v>22</v>
      </c>
      <c r="K3673" t="str">
        <f>_xlfn.XLOOKUP(datos_ventas[[#This Row],[Ciudad]],Tabla2[Ciudades],Tabla2[Provincias],"no se encuentra")</f>
        <v>Valencia</v>
      </c>
      <c r="L3673" t="str">
        <f>_xlfn.XLOOKUP(datos_ventas[[#This Row],[Provincia]],Tabla2[Provincias],Tabla2[Comunidades],"no se encuentra")</f>
        <v>Comunidad Valenciana</v>
      </c>
      <c r="M3673" t="s">
        <v>28</v>
      </c>
      <c r="N3673">
        <v>2</v>
      </c>
    </row>
    <row r="3674" spans="1:14" x14ac:dyDescent="0.25">
      <c r="A3674">
        <v>4673</v>
      </c>
      <c r="B3674" s="1">
        <v>45981</v>
      </c>
      <c r="C3674" s="4">
        <f>MONTH(datos_ventas[[#This Row],[Fecha]])</f>
        <v>11</v>
      </c>
      <c r="D3674" s="4">
        <f>WEEKNUM(datos_ventas[[#This Row],[Fecha]],2)</f>
        <v>47</v>
      </c>
      <c r="E3674" t="s">
        <v>16</v>
      </c>
      <c r="F3674" t="s">
        <v>11</v>
      </c>
      <c r="G3674">
        <v>2</v>
      </c>
      <c r="H3674">
        <v>88659</v>
      </c>
      <c r="I3674">
        <v>669</v>
      </c>
      <c r="J3674" t="s">
        <v>12</v>
      </c>
      <c r="K3674" t="str">
        <f>_xlfn.XLOOKUP(datos_ventas[[#This Row],[Ciudad]],Tabla2[Ciudades],Tabla2[Provincias],"no se encuentra")</f>
        <v>Málaga</v>
      </c>
      <c r="L3674" t="str">
        <f>_xlfn.XLOOKUP(datos_ventas[[#This Row],[Provincia]],Tabla2[Provincias],Tabla2[Comunidades],"no se encuentra")</f>
        <v>Andalucía</v>
      </c>
      <c r="M3674" t="s">
        <v>13</v>
      </c>
      <c r="N3674">
        <v>1</v>
      </c>
    </row>
    <row r="3675" spans="1:14" x14ac:dyDescent="0.25">
      <c r="A3675">
        <v>4674</v>
      </c>
      <c r="B3675" s="1">
        <v>45975</v>
      </c>
      <c r="C3675" s="4">
        <f>MONTH(datos_ventas[[#This Row],[Fecha]])</f>
        <v>11</v>
      </c>
      <c r="D3675" s="4">
        <f>WEEKNUM(datos_ventas[[#This Row],[Fecha]],2)</f>
        <v>46</v>
      </c>
      <c r="E3675" t="s">
        <v>24</v>
      </c>
      <c r="F3675" t="s">
        <v>25</v>
      </c>
      <c r="G3675">
        <v>5</v>
      </c>
      <c r="H3675">
        <v>7423</v>
      </c>
      <c r="I3675">
        <v>4308</v>
      </c>
      <c r="J3675" t="s">
        <v>12</v>
      </c>
      <c r="K3675" t="str">
        <f>_xlfn.XLOOKUP(datos_ventas[[#This Row],[Ciudad]],Tabla2[Ciudades],Tabla2[Provincias],"no se encuentra")</f>
        <v>Málaga</v>
      </c>
      <c r="L3675" t="str">
        <f>_xlfn.XLOOKUP(datos_ventas[[#This Row],[Provincia]],Tabla2[Provincias],Tabla2[Comunidades],"no se encuentra")</f>
        <v>Andalucía</v>
      </c>
      <c r="M3675" t="s">
        <v>13</v>
      </c>
      <c r="N3675">
        <v>5</v>
      </c>
    </row>
    <row r="3676" spans="1:14" x14ac:dyDescent="0.25">
      <c r="A3676">
        <v>4675</v>
      </c>
      <c r="B3676" s="1">
        <v>45840</v>
      </c>
      <c r="C3676" s="4">
        <f>MONTH(datos_ventas[[#This Row],[Fecha]])</f>
        <v>7</v>
      </c>
      <c r="D3676" s="4">
        <f>WEEKNUM(datos_ventas[[#This Row],[Fecha]],2)</f>
        <v>27</v>
      </c>
      <c r="E3676" t="s">
        <v>29</v>
      </c>
      <c r="F3676" t="s">
        <v>30</v>
      </c>
      <c r="G3676">
        <v>5</v>
      </c>
      <c r="H3676">
        <v>28157</v>
      </c>
      <c r="I3676">
        <v>3207</v>
      </c>
      <c r="J3676" t="s">
        <v>31</v>
      </c>
      <c r="K3676" t="str">
        <f>_xlfn.XLOOKUP(datos_ventas[[#This Row],[Ciudad]],Tabla2[Ciudades],Tabla2[Provincias],"no se encuentra")</f>
        <v>Vizcaya</v>
      </c>
      <c r="L3676" t="str">
        <f>_xlfn.XLOOKUP(datos_ventas[[#This Row],[Provincia]],Tabla2[Provincias],Tabla2[Comunidades],"no se encuentra")</f>
        <v>País Vasco</v>
      </c>
      <c r="M3676" t="s">
        <v>19</v>
      </c>
      <c r="N3676">
        <v>3</v>
      </c>
    </row>
    <row r="3677" spans="1:14" x14ac:dyDescent="0.25">
      <c r="A3677">
        <v>4676</v>
      </c>
      <c r="B3677" s="1">
        <v>45900</v>
      </c>
      <c r="C3677" s="4">
        <f>MONTH(datos_ventas[[#This Row],[Fecha]])</f>
        <v>8</v>
      </c>
      <c r="D3677" s="4">
        <f>WEEKNUM(datos_ventas[[#This Row],[Fecha]],2)</f>
        <v>35</v>
      </c>
      <c r="E3677" t="s">
        <v>20</v>
      </c>
      <c r="F3677" t="s">
        <v>21</v>
      </c>
      <c r="G3677">
        <v>5</v>
      </c>
      <c r="H3677">
        <v>4001</v>
      </c>
      <c r="I3677">
        <v>3101</v>
      </c>
      <c r="J3677" t="s">
        <v>32</v>
      </c>
      <c r="K3677" t="str">
        <f>_xlfn.XLOOKUP(datos_ventas[[#This Row],[Ciudad]],Tabla2[Ciudades],Tabla2[Provincias],"no se encuentra")</f>
        <v>Barcelona</v>
      </c>
      <c r="L3677" t="str">
        <f>_xlfn.XLOOKUP(datos_ventas[[#This Row],[Provincia]],Tabla2[Provincias],Tabla2[Comunidades],"no se encuentra")</f>
        <v>Cataluña</v>
      </c>
      <c r="M3677" t="s">
        <v>28</v>
      </c>
      <c r="N3677">
        <v>1</v>
      </c>
    </row>
    <row r="3678" spans="1:14" x14ac:dyDescent="0.25">
      <c r="A3678">
        <v>4677</v>
      </c>
      <c r="B3678" s="1">
        <v>45961</v>
      </c>
      <c r="C3678" s="4">
        <f>MONTH(datos_ventas[[#This Row],[Fecha]])</f>
        <v>10</v>
      </c>
      <c r="D3678" s="4">
        <f>WEEKNUM(datos_ventas[[#This Row],[Fecha]],2)</f>
        <v>44</v>
      </c>
      <c r="E3678" t="s">
        <v>10</v>
      </c>
      <c r="F3678" t="s">
        <v>11</v>
      </c>
      <c r="G3678">
        <v>3</v>
      </c>
      <c r="H3678">
        <v>51866</v>
      </c>
      <c r="I3678">
        <v>1566</v>
      </c>
      <c r="J3678" t="s">
        <v>14</v>
      </c>
      <c r="K3678" t="str">
        <f>_xlfn.XLOOKUP(datos_ventas[[#This Row],[Ciudad]],Tabla2[Ciudades],Tabla2[Provincias],"no se encuentra")</f>
        <v>Madrid</v>
      </c>
      <c r="L3678" t="str">
        <f>_xlfn.XLOOKUP(datos_ventas[[#This Row],[Provincia]],Tabla2[Provincias],Tabla2[Comunidades],"no se encuentra")</f>
        <v>Comunidad de Madrid</v>
      </c>
      <c r="M3678" t="s">
        <v>28</v>
      </c>
      <c r="N3678">
        <v>5</v>
      </c>
    </row>
    <row r="3679" spans="1:14" x14ac:dyDescent="0.25">
      <c r="A3679">
        <v>4678</v>
      </c>
      <c r="B3679" s="1">
        <v>45789</v>
      </c>
      <c r="C3679" s="4">
        <f>MONTH(datos_ventas[[#This Row],[Fecha]])</f>
        <v>5</v>
      </c>
      <c r="D3679" s="4">
        <f>WEEKNUM(datos_ventas[[#This Row],[Fecha]],2)</f>
        <v>20</v>
      </c>
      <c r="E3679" t="s">
        <v>29</v>
      </c>
      <c r="F3679" t="s">
        <v>30</v>
      </c>
      <c r="G3679">
        <v>5</v>
      </c>
      <c r="H3679">
        <v>24224</v>
      </c>
      <c r="I3679">
        <v>4185</v>
      </c>
      <c r="J3679" t="s">
        <v>32</v>
      </c>
      <c r="K3679" t="str">
        <f>_xlfn.XLOOKUP(datos_ventas[[#This Row],[Ciudad]],Tabla2[Ciudades],Tabla2[Provincias],"no se encuentra")</f>
        <v>Barcelona</v>
      </c>
      <c r="L3679" t="str">
        <f>_xlfn.XLOOKUP(datos_ventas[[#This Row],[Provincia]],Tabla2[Provincias],Tabla2[Comunidades],"no se encuentra")</f>
        <v>Cataluña</v>
      </c>
      <c r="M3679" t="s">
        <v>28</v>
      </c>
      <c r="N3679">
        <v>5</v>
      </c>
    </row>
    <row r="3680" spans="1:14" x14ac:dyDescent="0.25">
      <c r="A3680">
        <v>4679</v>
      </c>
      <c r="B3680" s="1">
        <v>45827</v>
      </c>
      <c r="C3680" s="4">
        <f>MONTH(datos_ventas[[#This Row],[Fecha]])</f>
        <v>6</v>
      </c>
      <c r="D3680" s="4">
        <f>WEEKNUM(datos_ventas[[#This Row],[Fecha]],2)</f>
        <v>25</v>
      </c>
      <c r="E3680" t="s">
        <v>26</v>
      </c>
      <c r="F3680" t="s">
        <v>18</v>
      </c>
      <c r="G3680">
        <v>5</v>
      </c>
      <c r="H3680">
        <v>15404</v>
      </c>
      <c r="I3680">
        <v>2389</v>
      </c>
      <c r="J3680" t="s">
        <v>22</v>
      </c>
      <c r="K3680" t="str">
        <f>_xlfn.XLOOKUP(datos_ventas[[#This Row],[Ciudad]],Tabla2[Ciudades],Tabla2[Provincias],"no se encuentra")</f>
        <v>Valencia</v>
      </c>
      <c r="L3680" t="str">
        <f>_xlfn.XLOOKUP(datos_ventas[[#This Row],[Provincia]],Tabla2[Provincias],Tabla2[Comunidades],"no se encuentra")</f>
        <v>Comunidad Valenciana</v>
      </c>
      <c r="M3680" t="s">
        <v>19</v>
      </c>
      <c r="N3680">
        <v>4</v>
      </c>
    </row>
    <row r="3681" spans="1:14" x14ac:dyDescent="0.25">
      <c r="A3681">
        <v>4680</v>
      </c>
      <c r="B3681" s="1">
        <v>45995</v>
      </c>
      <c r="C3681" s="4">
        <f>MONTH(datos_ventas[[#This Row],[Fecha]])</f>
        <v>12</v>
      </c>
      <c r="D3681" s="4">
        <f>WEEKNUM(datos_ventas[[#This Row],[Fecha]],2)</f>
        <v>49</v>
      </c>
      <c r="E3681" t="s">
        <v>10</v>
      </c>
      <c r="F3681" t="s">
        <v>11</v>
      </c>
      <c r="G3681">
        <v>3</v>
      </c>
      <c r="H3681">
        <v>6347</v>
      </c>
      <c r="I3681">
        <v>2206</v>
      </c>
      <c r="J3681" t="s">
        <v>12</v>
      </c>
      <c r="K3681" t="str">
        <f>_xlfn.XLOOKUP(datos_ventas[[#This Row],[Ciudad]],Tabla2[Ciudades],Tabla2[Provincias],"no se encuentra")</f>
        <v>Málaga</v>
      </c>
      <c r="L3681" t="str">
        <f>_xlfn.XLOOKUP(datos_ventas[[#This Row],[Provincia]],Tabla2[Provincias],Tabla2[Comunidades],"no se encuentra")</f>
        <v>Andalucía</v>
      </c>
      <c r="M3681" t="s">
        <v>19</v>
      </c>
      <c r="N3681">
        <v>1</v>
      </c>
    </row>
    <row r="3682" spans="1:14" x14ac:dyDescent="0.25">
      <c r="A3682">
        <v>4681</v>
      </c>
      <c r="B3682" s="1">
        <v>45976</v>
      </c>
      <c r="C3682" s="4">
        <f>MONTH(datos_ventas[[#This Row],[Fecha]])</f>
        <v>11</v>
      </c>
      <c r="D3682" s="4">
        <f>WEEKNUM(datos_ventas[[#This Row],[Fecha]],2)</f>
        <v>46</v>
      </c>
      <c r="E3682" t="s">
        <v>24</v>
      </c>
      <c r="F3682" t="s">
        <v>25</v>
      </c>
      <c r="G3682">
        <v>4</v>
      </c>
      <c r="H3682">
        <v>54197</v>
      </c>
      <c r="I3682">
        <v>3013</v>
      </c>
      <c r="J3682" t="s">
        <v>14</v>
      </c>
      <c r="K3682" t="str">
        <f>_xlfn.XLOOKUP(datos_ventas[[#This Row],[Ciudad]],Tabla2[Ciudades],Tabla2[Provincias],"no se encuentra")</f>
        <v>Madrid</v>
      </c>
      <c r="L3682" t="str">
        <f>_xlfn.XLOOKUP(datos_ventas[[#This Row],[Provincia]],Tabla2[Provincias],Tabla2[Comunidades],"no se encuentra")</f>
        <v>Comunidad de Madrid</v>
      </c>
      <c r="M3682" t="s">
        <v>19</v>
      </c>
      <c r="N3682">
        <v>3</v>
      </c>
    </row>
    <row r="3683" spans="1:14" x14ac:dyDescent="0.25">
      <c r="A3683">
        <v>4682</v>
      </c>
      <c r="B3683" s="1">
        <v>45986</v>
      </c>
      <c r="C3683" s="4">
        <f>MONTH(datos_ventas[[#This Row],[Fecha]])</f>
        <v>11</v>
      </c>
      <c r="D3683" s="4">
        <f>WEEKNUM(datos_ventas[[#This Row],[Fecha]],2)</f>
        <v>48</v>
      </c>
      <c r="E3683" t="s">
        <v>26</v>
      </c>
      <c r="F3683" t="s">
        <v>18</v>
      </c>
      <c r="G3683">
        <v>4</v>
      </c>
      <c r="H3683">
        <v>8858</v>
      </c>
      <c r="I3683">
        <v>4652</v>
      </c>
      <c r="J3683" t="s">
        <v>27</v>
      </c>
      <c r="K3683" t="str">
        <f>_xlfn.XLOOKUP(datos_ventas[[#This Row],[Ciudad]],Tabla2[Ciudades],Tabla2[Provincias],"no se encuentra")</f>
        <v>Sevilla</v>
      </c>
      <c r="L3683" t="str">
        <f>_xlfn.XLOOKUP(datos_ventas[[#This Row],[Provincia]],Tabla2[Provincias],Tabla2[Comunidades],"no se encuentra")</f>
        <v>Andalucía</v>
      </c>
      <c r="M3683" t="s">
        <v>15</v>
      </c>
      <c r="N3683">
        <v>3</v>
      </c>
    </row>
    <row r="3684" spans="1:14" x14ac:dyDescent="0.25">
      <c r="A3684">
        <v>4683</v>
      </c>
      <c r="B3684" s="1">
        <v>45930</v>
      </c>
      <c r="C3684" s="4">
        <f>MONTH(datos_ventas[[#This Row],[Fecha]])</f>
        <v>9</v>
      </c>
      <c r="D3684" s="4">
        <f>WEEKNUM(datos_ventas[[#This Row],[Fecha]],2)</f>
        <v>40</v>
      </c>
      <c r="E3684" t="s">
        <v>16</v>
      </c>
      <c r="F3684" t="s">
        <v>11</v>
      </c>
      <c r="G3684">
        <v>2</v>
      </c>
      <c r="H3684">
        <v>67113</v>
      </c>
      <c r="I3684">
        <v>3246</v>
      </c>
      <c r="J3684" t="s">
        <v>31</v>
      </c>
      <c r="K3684" t="str">
        <f>_xlfn.XLOOKUP(datos_ventas[[#This Row],[Ciudad]],Tabla2[Ciudades],Tabla2[Provincias],"no se encuentra")</f>
        <v>Vizcaya</v>
      </c>
      <c r="L3684" t="str">
        <f>_xlfn.XLOOKUP(datos_ventas[[#This Row],[Provincia]],Tabla2[Provincias],Tabla2[Comunidades],"no se encuentra")</f>
        <v>País Vasco</v>
      </c>
      <c r="M3684" t="s">
        <v>13</v>
      </c>
      <c r="N3684">
        <v>5</v>
      </c>
    </row>
    <row r="3685" spans="1:14" x14ac:dyDescent="0.25">
      <c r="A3685">
        <v>4684</v>
      </c>
      <c r="B3685" s="1">
        <v>45772</v>
      </c>
      <c r="C3685" s="4">
        <f>MONTH(datos_ventas[[#This Row],[Fecha]])</f>
        <v>4</v>
      </c>
      <c r="D3685" s="4">
        <f>WEEKNUM(datos_ventas[[#This Row],[Fecha]],2)</f>
        <v>17</v>
      </c>
      <c r="E3685" t="s">
        <v>17</v>
      </c>
      <c r="F3685" t="s">
        <v>18</v>
      </c>
      <c r="G3685">
        <v>5</v>
      </c>
      <c r="H3685">
        <v>90178</v>
      </c>
      <c r="I3685">
        <v>2771</v>
      </c>
      <c r="J3685" t="s">
        <v>31</v>
      </c>
      <c r="K3685" t="str">
        <f>_xlfn.XLOOKUP(datos_ventas[[#This Row],[Ciudad]],Tabla2[Ciudades],Tabla2[Provincias],"no se encuentra")</f>
        <v>Vizcaya</v>
      </c>
      <c r="L3685" t="str">
        <f>_xlfn.XLOOKUP(datos_ventas[[#This Row],[Provincia]],Tabla2[Provincias],Tabla2[Comunidades],"no se encuentra")</f>
        <v>País Vasco</v>
      </c>
      <c r="M3685" t="s">
        <v>15</v>
      </c>
      <c r="N3685">
        <v>1</v>
      </c>
    </row>
    <row r="3686" spans="1:14" x14ac:dyDescent="0.25">
      <c r="A3686">
        <v>4685</v>
      </c>
      <c r="B3686" s="1">
        <v>45805</v>
      </c>
      <c r="C3686" s="4">
        <f>MONTH(datos_ventas[[#This Row],[Fecha]])</f>
        <v>5</v>
      </c>
      <c r="D3686" s="4">
        <f>WEEKNUM(datos_ventas[[#This Row],[Fecha]],2)</f>
        <v>22</v>
      </c>
      <c r="E3686" t="s">
        <v>17</v>
      </c>
      <c r="F3686" t="s">
        <v>18</v>
      </c>
      <c r="G3686">
        <v>5</v>
      </c>
      <c r="H3686">
        <v>32192</v>
      </c>
      <c r="I3686">
        <v>3852</v>
      </c>
      <c r="J3686" t="s">
        <v>22</v>
      </c>
      <c r="K3686" t="str">
        <f>_xlfn.XLOOKUP(datos_ventas[[#This Row],[Ciudad]],Tabla2[Ciudades],Tabla2[Provincias],"no se encuentra")</f>
        <v>Valencia</v>
      </c>
      <c r="L3686" t="str">
        <f>_xlfn.XLOOKUP(datos_ventas[[#This Row],[Provincia]],Tabla2[Provincias],Tabla2[Comunidades],"no se encuentra")</f>
        <v>Comunidad Valenciana</v>
      </c>
      <c r="M3686" t="s">
        <v>13</v>
      </c>
      <c r="N3686">
        <v>4</v>
      </c>
    </row>
    <row r="3687" spans="1:14" x14ac:dyDescent="0.25">
      <c r="A3687">
        <v>4686</v>
      </c>
      <c r="B3687" s="1">
        <v>45850</v>
      </c>
      <c r="C3687" s="4">
        <f>MONTH(datos_ventas[[#This Row],[Fecha]])</f>
        <v>7</v>
      </c>
      <c r="D3687" s="4">
        <f>WEEKNUM(datos_ventas[[#This Row],[Fecha]],2)</f>
        <v>28</v>
      </c>
      <c r="E3687" t="s">
        <v>24</v>
      </c>
      <c r="F3687" t="s">
        <v>25</v>
      </c>
      <c r="G3687">
        <v>3</v>
      </c>
      <c r="H3687">
        <v>18998</v>
      </c>
      <c r="I3687">
        <v>2882</v>
      </c>
      <c r="J3687" t="s">
        <v>27</v>
      </c>
      <c r="K3687" t="str">
        <f>_xlfn.XLOOKUP(datos_ventas[[#This Row],[Ciudad]],Tabla2[Ciudades],Tabla2[Provincias],"no se encuentra")</f>
        <v>Sevilla</v>
      </c>
      <c r="L3687" t="str">
        <f>_xlfn.XLOOKUP(datos_ventas[[#This Row],[Provincia]],Tabla2[Provincias],Tabla2[Comunidades],"no se encuentra")</f>
        <v>Andalucía</v>
      </c>
      <c r="M3687" t="s">
        <v>15</v>
      </c>
      <c r="N3687">
        <v>3</v>
      </c>
    </row>
    <row r="3688" spans="1:14" x14ac:dyDescent="0.25">
      <c r="A3688">
        <v>4687</v>
      </c>
      <c r="B3688" s="1">
        <v>45658</v>
      </c>
      <c r="C3688" s="4">
        <f>MONTH(datos_ventas[[#This Row],[Fecha]])</f>
        <v>1</v>
      </c>
      <c r="D3688" s="4">
        <f>WEEKNUM(datos_ventas[[#This Row],[Fecha]],2)</f>
        <v>1</v>
      </c>
      <c r="E3688" t="s">
        <v>16</v>
      </c>
      <c r="F3688" t="s">
        <v>11</v>
      </c>
      <c r="G3688">
        <v>3</v>
      </c>
      <c r="H3688">
        <v>45876</v>
      </c>
      <c r="I3688">
        <v>359</v>
      </c>
      <c r="J3688" t="s">
        <v>31</v>
      </c>
      <c r="K3688" t="str">
        <f>_xlfn.XLOOKUP(datos_ventas[[#This Row],[Ciudad]],Tabla2[Ciudades],Tabla2[Provincias],"no se encuentra")</f>
        <v>Vizcaya</v>
      </c>
      <c r="L3688" t="str">
        <f>_xlfn.XLOOKUP(datos_ventas[[#This Row],[Provincia]],Tabla2[Provincias],Tabla2[Comunidades],"no se encuentra")</f>
        <v>País Vasco</v>
      </c>
      <c r="M3688" t="s">
        <v>15</v>
      </c>
      <c r="N3688">
        <v>2</v>
      </c>
    </row>
    <row r="3689" spans="1:14" x14ac:dyDescent="0.25">
      <c r="A3689">
        <v>4688</v>
      </c>
      <c r="B3689" s="1">
        <v>45730</v>
      </c>
      <c r="C3689" s="4">
        <f>MONTH(datos_ventas[[#This Row],[Fecha]])</f>
        <v>3</v>
      </c>
      <c r="D3689" s="4">
        <f>WEEKNUM(datos_ventas[[#This Row],[Fecha]],2)</f>
        <v>11</v>
      </c>
      <c r="E3689" t="s">
        <v>20</v>
      </c>
      <c r="F3689" t="s">
        <v>21</v>
      </c>
      <c r="G3689">
        <v>3</v>
      </c>
      <c r="H3689">
        <v>27447</v>
      </c>
      <c r="I3689">
        <v>2616</v>
      </c>
      <c r="J3689" t="s">
        <v>32</v>
      </c>
      <c r="K3689" t="str">
        <f>_xlfn.XLOOKUP(datos_ventas[[#This Row],[Ciudad]],Tabla2[Ciudades],Tabla2[Provincias],"no se encuentra")</f>
        <v>Barcelona</v>
      </c>
      <c r="L3689" t="str">
        <f>_xlfn.XLOOKUP(datos_ventas[[#This Row],[Provincia]],Tabla2[Provincias],Tabla2[Comunidades],"no se encuentra")</f>
        <v>Cataluña</v>
      </c>
      <c r="M3689" t="s">
        <v>15</v>
      </c>
      <c r="N3689">
        <v>3</v>
      </c>
    </row>
    <row r="3690" spans="1:14" x14ac:dyDescent="0.25">
      <c r="A3690">
        <v>4689</v>
      </c>
      <c r="B3690" s="1">
        <v>45813</v>
      </c>
      <c r="C3690" s="4">
        <f>MONTH(datos_ventas[[#This Row],[Fecha]])</f>
        <v>6</v>
      </c>
      <c r="D3690" s="4">
        <f>WEEKNUM(datos_ventas[[#This Row],[Fecha]],2)</f>
        <v>23</v>
      </c>
      <c r="E3690" t="s">
        <v>29</v>
      </c>
      <c r="F3690" t="s">
        <v>30</v>
      </c>
      <c r="G3690">
        <v>5</v>
      </c>
      <c r="H3690">
        <v>17421</v>
      </c>
      <c r="I3690">
        <v>2242</v>
      </c>
      <c r="J3690" t="s">
        <v>27</v>
      </c>
      <c r="K3690" t="str">
        <f>_xlfn.XLOOKUP(datos_ventas[[#This Row],[Ciudad]],Tabla2[Ciudades],Tabla2[Provincias],"no se encuentra")</f>
        <v>Sevilla</v>
      </c>
      <c r="L3690" t="str">
        <f>_xlfn.XLOOKUP(datos_ventas[[#This Row],[Provincia]],Tabla2[Provincias],Tabla2[Comunidades],"no se encuentra")</f>
        <v>Andalucía</v>
      </c>
      <c r="M3690" t="s">
        <v>28</v>
      </c>
      <c r="N3690">
        <v>1</v>
      </c>
    </row>
    <row r="3691" spans="1:14" x14ac:dyDescent="0.25">
      <c r="A3691">
        <v>4690</v>
      </c>
      <c r="B3691" s="1">
        <v>45701</v>
      </c>
      <c r="C3691" s="4">
        <f>MONTH(datos_ventas[[#This Row],[Fecha]])</f>
        <v>2</v>
      </c>
      <c r="D3691" s="4">
        <f>WEEKNUM(datos_ventas[[#This Row],[Fecha]],2)</f>
        <v>7</v>
      </c>
      <c r="E3691" t="s">
        <v>16</v>
      </c>
      <c r="F3691" t="s">
        <v>11</v>
      </c>
      <c r="G3691">
        <v>1</v>
      </c>
      <c r="H3691">
        <v>61099</v>
      </c>
      <c r="I3691">
        <v>83</v>
      </c>
      <c r="J3691" t="s">
        <v>12</v>
      </c>
      <c r="K3691" t="str">
        <f>_xlfn.XLOOKUP(datos_ventas[[#This Row],[Ciudad]],Tabla2[Ciudades],Tabla2[Provincias],"no se encuentra")</f>
        <v>Málaga</v>
      </c>
      <c r="L3691" t="str">
        <f>_xlfn.XLOOKUP(datos_ventas[[#This Row],[Provincia]],Tabla2[Provincias],Tabla2[Comunidades],"no se encuentra")</f>
        <v>Andalucía</v>
      </c>
      <c r="M3691" t="s">
        <v>15</v>
      </c>
      <c r="N3691">
        <v>5</v>
      </c>
    </row>
    <row r="3692" spans="1:14" x14ac:dyDescent="0.25">
      <c r="A3692">
        <v>4691</v>
      </c>
      <c r="B3692" s="1">
        <v>45713</v>
      </c>
      <c r="C3692" s="4">
        <f>MONTH(datos_ventas[[#This Row],[Fecha]])</f>
        <v>2</v>
      </c>
      <c r="D3692" s="4">
        <f>WEEKNUM(datos_ventas[[#This Row],[Fecha]],2)</f>
        <v>9</v>
      </c>
      <c r="E3692" t="s">
        <v>10</v>
      </c>
      <c r="F3692" t="s">
        <v>11</v>
      </c>
      <c r="G3692">
        <v>1</v>
      </c>
      <c r="H3692">
        <v>6296</v>
      </c>
      <c r="I3692">
        <v>3288</v>
      </c>
      <c r="J3692" t="s">
        <v>22</v>
      </c>
      <c r="K3692" t="str">
        <f>_xlfn.XLOOKUP(datos_ventas[[#This Row],[Ciudad]],Tabla2[Ciudades],Tabla2[Provincias],"no se encuentra")</f>
        <v>Valencia</v>
      </c>
      <c r="L3692" t="str">
        <f>_xlfn.XLOOKUP(datos_ventas[[#This Row],[Provincia]],Tabla2[Provincias],Tabla2[Comunidades],"no se encuentra")</f>
        <v>Comunidad Valenciana</v>
      </c>
      <c r="M3692" t="s">
        <v>28</v>
      </c>
      <c r="N3692">
        <v>2</v>
      </c>
    </row>
    <row r="3693" spans="1:14" x14ac:dyDescent="0.25">
      <c r="A3693">
        <v>4692</v>
      </c>
      <c r="B3693" s="1">
        <v>45951</v>
      </c>
      <c r="C3693" s="4">
        <f>MONTH(datos_ventas[[#This Row],[Fecha]])</f>
        <v>10</v>
      </c>
      <c r="D3693" s="4">
        <f>WEEKNUM(datos_ventas[[#This Row],[Fecha]],2)</f>
        <v>43</v>
      </c>
      <c r="E3693" t="s">
        <v>29</v>
      </c>
      <c r="F3693" t="s">
        <v>30</v>
      </c>
      <c r="G3693">
        <v>5</v>
      </c>
      <c r="H3693">
        <v>111906</v>
      </c>
      <c r="I3693">
        <v>285</v>
      </c>
      <c r="J3693" t="s">
        <v>32</v>
      </c>
      <c r="K3693" t="str">
        <f>_xlfn.XLOOKUP(datos_ventas[[#This Row],[Ciudad]],Tabla2[Ciudades],Tabla2[Provincias],"no se encuentra")</f>
        <v>Barcelona</v>
      </c>
      <c r="L3693" t="str">
        <f>_xlfn.XLOOKUP(datos_ventas[[#This Row],[Provincia]],Tabla2[Provincias],Tabla2[Comunidades],"no se encuentra")</f>
        <v>Cataluña</v>
      </c>
      <c r="M3693" t="s">
        <v>13</v>
      </c>
      <c r="N3693">
        <v>5</v>
      </c>
    </row>
    <row r="3694" spans="1:14" x14ac:dyDescent="0.25">
      <c r="A3694">
        <v>4693</v>
      </c>
      <c r="B3694" s="1">
        <v>45812</v>
      </c>
      <c r="C3694" s="4">
        <f>MONTH(datos_ventas[[#This Row],[Fecha]])</f>
        <v>6</v>
      </c>
      <c r="D3694" s="4">
        <f>WEEKNUM(datos_ventas[[#This Row],[Fecha]],2)</f>
        <v>23</v>
      </c>
      <c r="E3694" t="s">
        <v>20</v>
      </c>
      <c r="F3694" t="s">
        <v>21</v>
      </c>
      <c r="G3694">
        <v>3</v>
      </c>
      <c r="H3694">
        <v>59495</v>
      </c>
      <c r="I3694">
        <v>2052</v>
      </c>
      <c r="J3694" t="s">
        <v>32</v>
      </c>
      <c r="K3694" t="str">
        <f>_xlfn.XLOOKUP(datos_ventas[[#This Row],[Ciudad]],Tabla2[Ciudades],Tabla2[Provincias],"no se encuentra")</f>
        <v>Barcelona</v>
      </c>
      <c r="L3694" t="str">
        <f>_xlfn.XLOOKUP(datos_ventas[[#This Row],[Provincia]],Tabla2[Provincias],Tabla2[Comunidades],"no se encuentra")</f>
        <v>Cataluña</v>
      </c>
      <c r="M3694" t="s">
        <v>15</v>
      </c>
      <c r="N3694">
        <v>4</v>
      </c>
    </row>
    <row r="3695" spans="1:14" x14ac:dyDescent="0.25">
      <c r="A3695">
        <v>4694</v>
      </c>
      <c r="B3695" s="1">
        <v>45942</v>
      </c>
      <c r="C3695" s="4">
        <f>MONTH(datos_ventas[[#This Row],[Fecha]])</f>
        <v>10</v>
      </c>
      <c r="D3695" s="4">
        <f>WEEKNUM(datos_ventas[[#This Row],[Fecha]],2)</f>
        <v>41</v>
      </c>
      <c r="E3695" t="s">
        <v>10</v>
      </c>
      <c r="F3695" t="s">
        <v>11</v>
      </c>
      <c r="G3695">
        <v>3</v>
      </c>
      <c r="H3695">
        <v>1149</v>
      </c>
      <c r="I3695">
        <v>2928</v>
      </c>
      <c r="J3695" t="s">
        <v>12</v>
      </c>
      <c r="K3695" t="str">
        <f>_xlfn.XLOOKUP(datos_ventas[[#This Row],[Ciudad]],Tabla2[Ciudades],Tabla2[Provincias],"no se encuentra")</f>
        <v>Málaga</v>
      </c>
      <c r="L3695" t="str">
        <f>_xlfn.XLOOKUP(datos_ventas[[#This Row],[Provincia]],Tabla2[Provincias],Tabla2[Comunidades],"no se encuentra")</f>
        <v>Andalucía</v>
      </c>
      <c r="M3695" t="s">
        <v>28</v>
      </c>
      <c r="N3695">
        <v>3</v>
      </c>
    </row>
    <row r="3696" spans="1:14" x14ac:dyDescent="0.25">
      <c r="A3696">
        <v>4695</v>
      </c>
      <c r="B3696" s="1">
        <v>46006</v>
      </c>
      <c r="C3696" s="4">
        <f>MONTH(datos_ventas[[#This Row],[Fecha]])</f>
        <v>12</v>
      </c>
      <c r="D3696" s="4">
        <f>WEEKNUM(datos_ventas[[#This Row],[Fecha]],2)</f>
        <v>51</v>
      </c>
      <c r="E3696" t="s">
        <v>24</v>
      </c>
      <c r="F3696" t="s">
        <v>25</v>
      </c>
      <c r="G3696">
        <v>3</v>
      </c>
      <c r="H3696">
        <v>10124</v>
      </c>
      <c r="I3696">
        <v>3575</v>
      </c>
      <c r="J3696" t="s">
        <v>32</v>
      </c>
      <c r="K3696" t="str">
        <f>_xlfn.XLOOKUP(datos_ventas[[#This Row],[Ciudad]],Tabla2[Ciudades],Tabla2[Provincias],"no se encuentra")</f>
        <v>Barcelona</v>
      </c>
      <c r="L3696" t="str">
        <f>_xlfn.XLOOKUP(datos_ventas[[#This Row],[Provincia]],Tabla2[Provincias],Tabla2[Comunidades],"no se encuentra")</f>
        <v>Cataluña</v>
      </c>
      <c r="M3696" t="s">
        <v>15</v>
      </c>
      <c r="N3696">
        <v>2</v>
      </c>
    </row>
    <row r="3697" spans="1:14" x14ac:dyDescent="0.25">
      <c r="A3697">
        <v>4696</v>
      </c>
      <c r="B3697" s="1">
        <v>45951</v>
      </c>
      <c r="C3697" s="4">
        <f>MONTH(datos_ventas[[#This Row],[Fecha]])</f>
        <v>10</v>
      </c>
      <c r="D3697" s="4">
        <f>WEEKNUM(datos_ventas[[#This Row],[Fecha]],2)</f>
        <v>43</v>
      </c>
      <c r="E3697" t="s">
        <v>20</v>
      </c>
      <c r="F3697" t="s">
        <v>21</v>
      </c>
      <c r="G3697">
        <v>5</v>
      </c>
      <c r="H3697">
        <v>108376</v>
      </c>
      <c r="I3697">
        <v>3981</v>
      </c>
      <c r="J3697" t="s">
        <v>14</v>
      </c>
      <c r="K3697" t="str">
        <f>_xlfn.XLOOKUP(datos_ventas[[#This Row],[Ciudad]],Tabla2[Ciudades],Tabla2[Provincias],"no se encuentra")</f>
        <v>Madrid</v>
      </c>
      <c r="L3697" t="str">
        <f>_xlfn.XLOOKUP(datos_ventas[[#This Row],[Provincia]],Tabla2[Provincias],Tabla2[Comunidades],"no se encuentra")</f>
        <v>Comunidad de Madrid</v>
      </c>
      <c r="M3697" t="s">
        <v>13</v>
      </c>
      <c r="N3697">
        <v>2</v>
      </c>
    </row>
    <row r="3698" spans="1:14" x14ac:dyDescent="0.25">
      <c r="A3698">
        <v>4697</v>
      </c>
      <c r="B3698" s="1">
        <v>45777</v>
      </c>
      <c r="C3698" s="4">
        <f>MONTH(datos_ventas[[#This Row],[Fecha]])</f>
        <v>4</v>
      </c>
      <c r="D3698" s="4">
        <f>WEEKNUM(datos_ventas[[#This Row],[Fecha]],2)</f>
        <v>18</v>
      </c>
      <c r="E3698" t="s">
        <v>20</v>
      </c>
      <c r="F3698" t="s">
        <v>21</v>
      </c>
      <c r="G3698">
        <v>1</v>
      </c>
      <c r="H3698">
        <v>104815</v>
      </c>
      <c r="I3698">
        <v>506</v>
      </c>
      <c r="J3698" t="s">
        <v>14</v>
      </c>
      <c r="K3698" t="str">
        <f>_xlfn.XLOOKUP(datos_ventas[[#This Row],[Ciudad]],Tabla2[Ciudades],Tabla2[Provincias],"no se encuentra")</f>
        <v>Madrid</v>
      </c>
      <c r="L3698" t="str">
        <f>_xlfn.XLOOKUP(datos_ventas[[#This Row],[Provincia]],Tabla2[Provincias],Tabla2[Comunidades],"no se encuentra")</f>
        <v>Comunidad de Madrid</v>
      </c>
      <c r="M3698" t="s">
        <v>15</v>
      </c>
      <c r="N3698">
        <v>3</v>
      </c>
    </row>
    <row r="3699" spans="1:14" x14ac:dyDescent="0.25">
      <c r="A3699">
        <v>4698</v>
      </c>
      <c r="B3699" s="1">
        <v>45680</v>
      </c>
      <c r="C3699" s="4">
        <f>MONTH(datos_ventas[[#This Row],[Fecha]])</f>
        <v>1</v>
      </c>
      <c r="D3699" s="4">
        <f>WEEKNUM(datos_ventas[[#This Row],[Fecha]],2)</f>
        <v>4</v>
      </c>
      <c r="E3699" t="s">
        <v>26</v>
      </c>
      <c r="F3699" t="s">
        <v>18</v>
      </c>
      <c r="G3699">
        <v>2</v>
      </c>
      <c r="H3699">
        <v>32878</v>
      </c>
      <c r="I3699">
        <v>1642</v>
      </c>
      <c r="J3699" t="s">
        <v>31</v>
      </c>
      <c r="K3699" t="str">
        <f>_xlfn.XLOOKUP(datos_ventas[[#This Row],[Ciudad]],Tabla2[Ciudades],Tabla2[Provincias],"no se encuentra")</f>
        <v>Vizcaya</v>
      </c>
      <c r="L3699" t="str">
        <f>_xlfn.XLOOKUP(datos_ventas[[#This Row],[Provincia]],Tabla2[Provincias],Tabla2[Comunidades],"no se encuentra")</f>
        <v>País Vasco</v>
      </c>
      <c r="M3699" t="s">
        <v>13</v>
      </c>
      <c r="N3699">
        <v>3</v>
      </c>
    </row>
    <row r="3700" spans="1:14" x14ac:dyDescent="0.25">
      <c r="A3700">
        <v>4699</v>
      </c>
      <c r="B3700" s="1">
        <v>45841</v>
      </c>
      <c r="C3700" s="4">
        <f>MONTH(datos_ventas[[#This Row],[Fecha]])</f>
        <v>7</v>
      </c>
      <c r="D3700" s="4">
        <f>WEEKNUM(datos_ventas[[#This Row],[Fecha]],2)</f>
        <v>27</v>
      </c>
      <c r="E3700" t="s">
        <v>16</v>
      </c>
      <c r="F3700" t="s">
        <v>11</v>
      </c>
      <c r="G3700">
        <v>3</v>
      </c>
      <c r="H3700">
        <v>80106</v>
      </c>
      <c r="I3700">
        <v>3753</v>
      </c>
      <c r="J3700" t="s">
        <v>31</v>
      </c>
      <c r="K3700" t="str">
        <f>_xlfn.XLOOKUP(datos_ventas[[#This Row],[Ciudad]],Tabla2[Ciudades],Tabla2[Provincias],"no se encuentra")</f>
        <v>Vizcaya</v>
      </c>
      <c r="L3700" t="str">
        <f>_xlfn.XLOOKUP(datos_ventas[[#This Row],[Provincia]],Tabla2[Provincias],Tabla2[Comunidades],"no se encuentra")</f>
        <v>País Vasco</v>
      </c>
      <c r="M3700" t="s">
        <v>13</v>
      </c>
      <c r="N3700">
        <v>2</v>
      </c>
    </row>
    <row r="3701" spans="1:14" x14ac:dyDescent="0.25">
      <c r="A3701">
        <v>4700</v>
      </c>
      <c r="B3701" s="1">
        <v>45798</v>
      </c>
      <c r="C3701" s="4">
        <f>MONTH(datos_ventas[[#This Row],[Fecha]])</f>
        <v>5</v>
      </c>
      <c r="D3701" s="4">
        <f>WEEKNUM(datos_ventas[[#This Row],[Fecha]],2)</f>
        <v>21</v>
      </c>
      <c r="E3701" t="s">
        <v>23</v>
      </c>
      <c r="F3701" t="s">
        <v>18</v>
      </c>
      <c r="G3701">
        <v>4</v>
      </c>
      <c r="H3701">
        <v>8408</v>
      </c>
      <c r="I3701">
        <v>240</v>
      </c>
      <c r="J3701" t="s">
        <v>31</v>
      </c>
      <c r="K3701" t="str">
        <f>_xlfn.XLOOKUP(datos_ventas[[#This Row],[Ciudad]],Tabla2[Ciudades],Tabla2[Provincias],"no se encuentra")</f>
        <v>Vizcaya</v>
      </c>
      <c r="L3701" t="str">
        <f>_xlfn.XLOOKUP(datos_ventas[[#This Row],[Provincia]],Tabla2[Provincias],Tabla2[Comunidades],"no se encuentra")</f>
        <v>País Vasco</v>
      </c>
      <c r="M3701" t="s">
        <v>13</v>
      </c>
      <c r="N3701">
        <v>5</v>
      </c>
    </row>
    <row r="3702" spans="1:14" x14ac:dyDescent="0.25">
      <c r="A3702">
        <v>4701</v>
      </c>
      <c r="B3702" s="1">
        <v>45865</v>
      </c>
      <c r="C3702" s="4">
        <f>MONTH(datos_ventas[[#This Row],[Fecha]])</f>
        <v>7</v>
      </c>
      <c r="D3702" s="4">
        <f>WEEKNUM(datos_ventas[[#This Row],[Fecha]],2)</f>
        <v>30</v>
      </c>
      <c r="E3702" t="s">
        <v>10</v>
      </c>
      <c r="F3702" t="s">
        <v>11</v>
      </c>
      <c r="G3702">
        <v>4</v>
      </c>
      <c r="H3702">
        <v>30013</v>
      </c>
      <c r="I3702">
        <v>2815</v>
      </c>
      <c r="J3702" t="s">
        <v>22</v>
      </c>
      <c r="K3702" t="str">
        <f>_xlfn.XLOOKUP(datos_ventas[[#This Row],[Ciudad]],Tabla2[Ciudades],Tabla2[Provincias],"no se encuentra")</f>
        <v>Valencia</v>
      </c>
      <c r="L3702" t="str">
        <f>_xlfn.XLOOKUP(datos_ventas[[#This Row],[Provincia]],Tabla2[Provincias],Tabla2[Comunidades],"no se encuentra")</f>
        <v>Comunidad Valenciana</v>
      </c>
      <c r="M3702" t="s">
        <v>13</v>
      </c>
      <c r="N3702">
        <v>5</v>
      </c>
    </row>
    <row r="3703" spans="1:14" x14ac:dyDescent="0.25">
      <c r="A3703">
        <v>4702</v>
      </c>
      <c r="B3703" s="1">
        <v>45849</v>
      </c>
      <c r="C3703" s="4">
        <f>MONTH(datos_ventas[[#This Row],[Fecha]])</f>
        <v>7</v>
      </c>
      <c r="D3703" s="4">
        <f>WEEKNUM(datos_ventas[[#This Row],[Fecha]],2)</f>
        <v>28</v>
      </c>
      <c r="E3703" t="s">
        <v>23</v>
      </c>
      <c r="F3703" t="s">
        <v>18</v>
      </c>
      <c r="G3703">
        <v>1</v>
      </c>
      <c r="H3703">
        <v>88535</v>
      </c>
      <c r="I3703">
        <v>1049</v>
      </c>
      <c r="J3703" t="s">
        <v>27</v>
      </c>
      <c r="K3703" t="str">
        <f>_xlfn.XLOOKUP(datos_ventas[[#This Row],[Ciudad]],Tabla2[Ciudades],Tabla2[Provincias],"no se encuentra")</f>
        <v>Sevilla</v>
      </c>
      <c r="L3703" t="str">
        <f>_xlfn.XLOOKUP(datos_ventas[[#This Row],[Provincia]],Tabla2[Provincias],Tabla2[Comunidades],"no se encuentra")</f>
        <v>Andalucía</v>
      </c>
      <c r="M3703" t="s">
        <v>13</v>
      </c>
      <c r="N3703">
        <v>1</v>
      </c>
    </row>
    <row r="3704" spans="1:14" x14ac:dyDescent="0.25">
      <c r="A3704">
        <v>4703</v>
      </c>
      <c r="B3704" s="1">
        <v>45933</v>
      </c>
      <c r="C3704" s="4">
        <f>MONTH(datos_ventas[[#This Row],[Fecha]])</f>
        <v>10</v>
      </c>
      <c r="D3704" s="4">
        <f>WEEKNUM(datos_ventas[[#This Row],[Fecha]],2)</f>
        <v>40</v>
      </c>
      <c r="E3704" t="s">
        <v>26</v>
      </c>
      <c r="F3704" t="s">
        <v>18</v>
      </c>
      <c r="G3704">
        <v>2</v>
      </c>
      <c r="H3704">
        <v>99504</v>
      </c>
      <c r="I3704">
        <v>2761</v>
      </c>
      <c r="J3704" t="s">
        <v>14</v>
      </c>
      <c r="K3704" t="str">
        <f>_xlfn.XLOOKUP(datos_ventas[[#This Row],[Ciudad]],Tabla2[Ciudades],Tabla2[Provincias],"no se encuentra")</f>
        <v>Madrid</v>
      </c>
      <c r="L3704" t="str">
        <f>_xlfn.XLOOKUP(datos_ventas[[#This Row],[Provincia]],Tabla2[Provincias],Tabla2[Comunidades],"no se encuentra")</f>
        <v>Comunidad de Madrid</v>
      </c>
      <c r="M3704" t="s">
        <v>13</v>
      </c>
      <c r="N3704">
        <v>5</v>
      </c>
    </row>
    <row r="3705" spans="1:14" x14ac:dyDescent="0.25">
      <c r="A3705">
        <v>4704</v>
      </c>
      <c r="B3705" s="1">
        <v>45945</v>
      </c>
      <c r="C3705" s="4">
        <f>MONTH(datos_ventas[[#This Row],[Fecha]])</f>
        <v>10</v>
      </c>
      <c r="D3705" s="4">
        <f>WEEKNUM(datos_ventas[[#This Row],[Fecha]],2)</f>
        <v>42</v>
      </c>
      <c r="E3705" t="s">
        <v>26</v>
      </c>
      <c r="F3705" t="s">
        <v>18</v>
      </c>
      <c r="G3705">
        <v>2</v>
      </c>
      <c r="H3705">
        <v>66389</v>
      </c>
      <c r="I3705">
        <v>1401</v>
      </c>
      <c r="J3705" t="s">
        <v>27</v>
      </c>
      <c r="K3705" t="str">
        <f>_xlfn.XLOOKUP(datos_ventas[[#This Row],[Ciudad]],Tabla2[Ciudades],Tabla2[Provincias],"no se encuentra")</f>
        <v>Sevilla</v>
      </c>
      <c r="L3705" t="str">
        <f>_xlfn.XLOOKUP(datos_ventas[[#This Row],[Provincia]],Tabla2[Provincias],Tabla2[Comunidades],"no se encuentra")</f>
        <v>Andalucía</v>
      </c>
      <c r="M3705" t="s">
        <v>13</v>
      </c>
      <c r="N3705">
        <v>3</v>
      </c>
    </row>
    <row r="3706" spans="1:14" x14ac:dyDescent="0.25">
      <c r="A3706">
        <v>4705</v>
      </c>
      <c r="B3706" s="1">
        <v>45952</v>
      </c>
      <c r="C3706" s="4">
        <f>MONTH(datos_ventas[[#This Row],[Fecha]])</f>
        <v>10</v>
      </c>
      <c r="D3706" s="4">
        <f>WEEKNUM(datos_ventas[[#This Row],[Fecha]],2)</f>
        <v>43</v>
      </c>
      <c r="E3706" t="s">
        <v>26</v>
      </c>
      <c r="F3706" t="s">
        <v>18</v>
      </c>
      <c r="G3706">
        <v>3</v>
      </c>
      <c r="H3706">
        <v>23518</v>
      </c>
      <c r="I3706">
        <v>4989</v>
      </c>
      <c r="J3706" t="s">
        <v>27</v>
      </c>
      <c r="K3706" t="str">
        <f>_xlfn.XLOOKUP(datos_ventas[[#This Row],[Ciudad]],Tabla2[Ciudades],Tabla2[Provincias],"no se encuentra")</f>
        <v>Sevilla</v>
      </c>
      <c r="L3706" t="str">
        <f>_xlfn.XLOOKUP(datos_ventas[[#This Row],[Provincia]],Tabla2[Provincias],Tabla2[Comunidades],"no se encuentra")</f>
        <v>Andalucía</v>
      </c>
      <c r="M3706" t="s">
        <v>15</v>
      </c>
      <c r="N3706">
        <v>3</v>
      </c>
    </row>
    <row r="3707" spans="1:14" x14ac:dyDescent="0.25">
      <c r="A3707">
        <v>4706</v>
      </c>
      <c r="B3707" s="1">
        <v>45686</v>
      </c>
      <c r="C3707" s="4">
        <f>MONTH(datos_ventas[[#This Row],[Fecha]])</f>
        <v>1</v>
      </c>
      <c r="D3707" s="4">
        <f>WEEKNUM(datos_ventas[[#This Row],[Fecha]],2)</f>
        <v>5</v>
      </c>
      <c r="E3707" t="s">
        <v>16</v>
      </c>
      <c r="F3707" t="s">
        <v>11</v>
      </c>
      <c r="G3707">
        <v>5</v>
      </c>
      <c r="H3707">
        <v>68047</v>
      </c>
      <c r="I3707">
        <v>2685</v>
      </c>
      <c r="J3707" t="s">
        <v>32</v>
      </c>
      <c r="K3707" t="str">
        <f>_xlfn.XLOOKUP(datos_ventas[[#This Row],[Ciudad]],Tabla2[Ciudades],Tabla2[Provincias],"no se encuentra")</f>
        <v>Barcelona</v>
      </c>
      <c r="L3707" t="str">
        <f>_xlfn.XLOOKUP(datos_ventas[[#This Row],[Provincia]],Tabla2[Provincias],Tabla2[Comunidades],"no se encuentra")</f>
        <v>Cataluña</v>
      </c>
      <c r="M3707" t="s">
        <v>28</v>
      </c>
      <c r="N3707">
        <v>5</v>
      </c>
    </row>
    <row r="3708" spans="1:14" x14ac:dyDescent="0.25">
      <c r="A3708">
        <v>4707</v>
      </c>
      <c r="B3708" s="1">
        <v>45716</v>
      </c>
      <c r="C3708" s="4">
        <f>MONTH(datos_ventas[[#This Row],[Fecha]])</f>
        <v>2</v>
      </c>
      <c r="D3708" s="4">
        <f>WEEKNUM(datos_ventas[[#This Row],[Fecha]],2)</f>
        <v>9</v>
      </c>
      <c r="E3708" t="s">
        <v>23</v>
      </c>
      <c r="F3708" t="s">
        <v>18</v>
      </c>
      <c r="G3708">
        <v>3</v>
      </c>
      <c r="H3708">
        <v>10371</v>
      </c>
      <c r="I3708">
        <v>2712</v>
      </c>
      <c r="J3708" t="s">
        <v>32</v>
      </c>
      <c r="K3708" t="str">
        <f>_xlfn.XLOOKUP(datos_ventas[[#This Row],[Ciudad]],Tabla2[Ciudades],Tabla2[Provincias],"no se encuentra")</f>
        <v>Barcelona</v>
      </c>
      <c r="L3708" t="str">
        <f>_xlfn.XLOOKUP(datos_ventas[[#This Row],[Provincia]],Tabla2[Provincias],Tabla2[Comunidades],"no se encuentra")</f>
        <v>Cataluña</v>
      </c>
      <c r="M3708" t="s">
        <v>19</v>
      </c>
      <c r="N3708">
        <v>4</v>
      </c>
    </row>
    <row r="3709" spans="1:14" x14ac:dyDescent="0.25">
      <c r="A3709">
        <v>4708</v>
      </c>
      <c r="B3709" s="1">
        <v>45685</v>
      </c>
      <c r="C3709" s="4">
        <f>MONTH(datos_ventas[[#This Row],[Fecha]])</f>
        <v>1</v>
      </c>
      <c r="D3709" s="4">
        <f>WEEKNUM(datos_ventas[[#This Row],[Fecha]],2)</f>
        <v>5</v>
      </c>
      <c r="E3709" t="s">
        <v>10</v>
      </c>
      <c r="F3709" t="s">
        <v>11</v>
      </c>
      <c r="G3709">
        <v>4</v>
      </c>
      <c r="H3709">
        <v>88929</v>
      </c>
      <c r="I3709">
        <v>4616</v>
      </c>
      <c r="J3709" t="s">
        <v>31</v>
      </c>
      <c r="K3709" t="str">
        <f>_xlfn.XLOOKUP(datos_ventas[[#This Row],[Ciudad]],Tabla2[Ciudades],Tabla2[Provincias],"no se encuentra")</f>
        <v>Vizcaya</v>
      </c>
      <c r="L3709" t="str">
        <f>_xlfn.XLOOKUP(datos_ventas[[#This Row],[Provincia]],Tabla2[Provincias],Tabla2[Comunidades],"no se encuentra")</f>
        <v>País Vasco</v>
      </c>
      <c r="M3709" t="s">
        <v>28</v>
      </c>
      <c r="N3709">
        <v>1</v>
      </c>
    </row>
    <row r="3710" spans="1:14" x14ac:dyDescent="0.25">
      <c r="A3710">
        <v>4709</v>
      </c>
      <c r="B3710" s="1">
        <v>45969</v>
      </c>
      <c r="C3710" s="4">
        <f>MONTH(datos_ventas[[#This Row],[Fecha]])</f>
        <v>11</v>
      </c>
      <c r="D3710" s="4">
        <f>WEEKNUM(datos_ventas[[#This Row],[Fecha]],2)</f>
        <v>45</v>
      </c>
      <c r="E3710" t="s">
        <v>17</v>
      </c>
      <c r="F3710" t="s">
        <v>18</v>
      </c>
      <c r="G3710">
        <v>1</v>
      </c>
      <c r="H3710">
        <v>4641</v>
      </c>
      <c r="I3710">
        <v>2734</v>
      </c>
      <c r="J3710" t="s">
        <v>12</v>
      </c>
      <c r="K3710" t="str">
        <f>_xlfn.XLOOKUP(datos_ventas[[#This Row],[Ciudad]],Tabla2[Ciudades],Tabla2[Provincias],"no se encuentra")</f>
        <v>Málaga</v>
      </c>
      <c r="L3710" t="str">
        <f>_xlfn.XLOOKUP(datos_ventas[[#This Row],[Provincia]],Tabla2[Provincias],Tabla2[Comunidades],"no se encuentra")</f>
        <v>Andalucía</v>
      </c>
      <c r="M3710" t="s">
        <v>13</v>
      </c>
      <c r="N3710">
        <v>3</v>
      </c>
    </row>
    <row r="3711" spans="1:14" x14ac:dyDescent="0.25">
      <c r="A3711">
        <v>4710</v>
      </c>
      <c r="B3711" s="1">
        <v>45665</v>
      </c>
      <c r="C3711" s="4">
        <f>MONTH(datos_ventas[[#This Row],[Fecha]])</f>
        <v>1</v>
      </c>
      <c r="D3711" s="4">
        <f>WEEKNUM(datos_ventas[[#This Row],[Fecha]],2)</f>
        <v>2</v>
      </c>
      <c r="E3711" t="s">
        <v>20</v>
      </c>
      <c r="F3711" t="s">
        <v>21</v>
      </c>
      <c r="G3711">
        <v>5</v>
      </c>
      <c r="H3711">
        <v>9996</v>
      </c>
      <c r="I3711">
        <v>4885</v>
      </c>
      <c r="J3711" t="s">
        <v>14</v>
      </c>
      <c r="K3711" t="str">
        <f>_xlfn.XLOOKUP(datos_ventas[[#This Row],[Ciudad]],Tabla2[Ciudades],Tabla2[Provincias],"no se encuentra")</f>
        <v>Madrid</v>
      </c>
      <c r="L3711" t="str">
        <f>_xlfn.XLOOKUP(datos_ventas[[#This Row],[Provincia]],Tabla2[Provincias],Tabla2[Comunidades],"no se encuentra")</f>
        <v>Comunidad de Madrid</v>
      </c>
      <c r="M3711" t="s">
        <v>19</v>
      </c>
      <c r="N3711">
        <v>3</v>
      </c>
    </row>
    <row r="3712" spans="1:14" x14ac:dyDescent="0.25">
      <c r="A3712">
        <v>4711</v>
      </c>
      <c r="B3712" s="1">
        <v>45901</v>
      </c>
      <c r="C3712" s="4">
        <f>MONTH(datos_ventas[[#This Row],[Fecha]])</f>
        <v>9</v>
      </c>
      <c r="D3712" s="4">
        <f>WEEKNUM(datos_ventas[[#This Row],[Fecha]],2)</f>
        <v>36</v>
      </c>
      <c r="E3712" t="s">
        <v>24</v>
      </c>
      <c r="F3712" t="s">
        <v>25</v>
      </c>
      <c r="G3712">
        <v>2</v>
      </c>
      <c r="H3712">
        <v>75411</v>
      </c>
      <c r="I3712">
        <v>4974</v>
      </c>
      <c r="J3712" t="s">
        <v>22</v>
      </c>
      <c r="K3712" t="str">
        <f>_xlfn.XLOOKUP(datos_ventas[[#This Row],[Ciudad]],Tabla2[Ciudades],Tabla2[Provincias],"no se encuentra")</f>
        <v>Valencia</v>
      </c>
      <c r="L3712" t="str">
        <f>_xlfn.XLOOKUP(datos_ventas[[#This Row],[Provincia]],Tabla2[Provincias],Tabla2[Comunidades],"no se encuentra")</f>
        <v>Comunidad Valenciana</v>
      </c>
      <c r="M3712" t="s">
        <v>28</v>
      </c>
      <c r="N3712">
        <v>1</v>
      </c>
    </row>
    <row r="3713" spans="1:14" x14ac:dyDescent="0.25">
      <c r="A3713">
        <v>4712</v>
      </c>
      <c r="B3713" s="1">
        <v>46015</v>
      </c>
      <c r="C3713" s="4">
        <f>MONTH(datos_ventas[[#This Row],[Fecha]])</f>
        <v>12</v>
      </c>
      <c r="D3713" s="4">
        <f>WEEKNUM(datos_ventas[[#This Row],[Fecha]],2)</f>
        <v>52</v>
      </c>
      <c r="E3713" t="s">
        <v>26</v>
      </c>
      <c r="F3713" t="s">
        <v>18</v>
      </c>
      <c r="G3713">
        <v>2</v>
      </c>
      <c r="H3713">
        <v>64547</v>
      </c>
      <c r="I3713">
        <v>4664</v>
      </c>
      <c r="J3713" t="s">
        <v>31</v>
      </c>
      <c r="K3713" t="str">
        <f>_xlfn.XLOOKUP(datos_ventas[[#This Row],[Ciudad]],Tabla2[Ciudades],Tabla2[Provincias],"no se encuentra")</f>
        <v>Vizcaya</v>
      </c>
      <c r="L3713" t="str">
        <f>_xlfn.XLOOKUP(datos_ventas[[#This Row],[Provincia]],Tabla2[Provincias],Tabla2[Comunidades],"no se encuentra")</f>
        <v>País Vasco</v>
      </c>
      <c r="M3713" t="s">
        <v>19</v>
      </c>
      <c r="N3713">
        <v>4</v>
      </c>
    </row>
    <row r="3714" spans="1:14" x14ac:dyDescent="0.25">
      <c r="A3714">
        <v>4713</v>
      </c>
      <c r="B3714" s="1">
        <v>45810</v>
      </c>
      <c r="C3714" s="4">
        <f>MONTH(datos_ventas[[#This Row],[Fecha]])</f>
        <v>6</v>
      </c>
      <c r="D3714" s="4">
        <f>WEEKNUM(datos_ventas[[#This Row],[Fecha]],2)</f>
        <v>23</v>
      </c>
      <c r="E3714" t="s">
        <v>20</v>
      </c>
      <c r="F3714" t="s">
        <v>21</v>
      </c>
      <c r="G3714">
        <v>4</v>
      </c>
      <c r="H3714">
        <v>30952</v>
      </c>
      <c r="I3714">
        <v>3506</v>
      </c>
      <c r="J3714" t="s">
        <v>27</v>
      </c>
      <c r="K3714" t="str">
        <f>_xlfn.XLOOKUP(datos_ventas[[#This Row],[Ciudad]],Tabla2[Ciudades],Tabla2[Provincias],"no se encuentra")</f>
        <v>Sevilla</v>
      </c>
      <c r="L3714" t="str">
        <f>_xlfn.XLOOKUP(datos_ventas[[#This Row],[Provincia]],Tabla2[Provincias],Tabla2[Comunidades],"no se encuentra")</f>
        <v>Andalucía</v>
      </c>
      <c r="M3714" t="s">
        <v>28</v>
      </c>
      <c r="N3714">
        <v>3</v>
      </c>
    </row>
    <row r="3715" spans="1:14" x14ac:dyDescent="0.25">
      <c r="A3715">
        <v>4714</v>
      </c>
      <c r="B3715" s="1">
        <v>45968</v>
      </c>
      <c r="C3715" s="4">
        <f>MONTH(datos_ventas[[#This Row],[Fecha]])</f>
        <v>11</v>
      </c>
      <c r="D3715" s="4">
        <f>WEEKNUM(datos_ventas[[#This Row],[Fecha]],2)</f>
        <v>45</v>
      </c>
      <c r="E3715" t="s">
        <v>20</v>
      </c>
      <c r="F3715" t="s">
        <v>21</v>
      </c>
      <c r="G3715">
        <v>2</v>
      </c>
      <c r="H3715">
        <v>9827</v>
      </c>
      <c r="I3715">
        <v>3234</v>
      </c>
      <c r="J3715" t="s">
        <v>27</v>
      </c>
      <c r="K3715" t="str">
        <f>_xlfn.XLOOKUP(datos_ventas[[#This Row],[Ciudad]],Tabla2[Ciudades],Tabla2[Provincias],"no se encuentra")</f>
        <v>Sevilla</v>
      </c>
      <c r="L3715" t="str">
        <f>_xlfn.XLOOKUP(datos_ventas[[#This Row],[Provincia]],Tabla2[Provincias],Tabla2[Comunidades],"no se encuentra")</f>
        <v>Andalucía</v>
      </c>
      <c r="M3715" t="s">
        <v>15</v>
      </c>
      <c r="N3715">
        <v>3</v>
      </c>
    </row>
    <row r="3716" spans="1:14" x14ac:dyDescent="0.25">
      <c r="A3716">
        <v>4715</v>
      </c>
      <c r="B3716" s="1">
        <v>45954</v>
      </c>
      <c r="C3716" s="4">
        <f>MONTH(datos_ventas[[#This Row],[Fecha]])</f>
        <v>10</v>
      </c>
      <c r="D3716" s="4">
        <f>WEEKNUM(datos_ventas[[#This Row],[Fecha]],2)</f>
        <v>43</v>
      </c>
      <c r="E3716" t="s">
        <v>23</v>
      </c>
      <c r="F3716" t="s">
        <v>18</v>
      </c>
      <c r="G3716">
        <v>2</v>
      </c>
      <c r="H3716">
        <v>96612</v>
      </c>
      <c r="I3716">
        <v>957</v>
      </c>
      <c r="J3716" t="s">
        <v>12</v>
      </c>
      <c r="K3716" t="str">
        <f>_xlfn.XLOOKUP(datos_ventas[[#This Row],[Ciudad]],Tabla2[Ciudades],Tabla2[Provincias],"no se encuentra")</f>
        <v>Málaga</v>
      </c>
      <c r="L3716" t="str">
        <f>_xlfn.XLOOKUP(datos_ventas[[#This Row],[Provincia]],Tabla2[Provincias],Tabla2[Comunidades],"no se encuentra")</f>
        <v>Andalucía</v>
      </c>
      <c r="M3716" t="s">
        <v>15</v>
      </c>
      <c r="N3716">
        <v>4</v>
      </c>
    </row>
    <row r="3717" spans="1:14" x14ac:dyDescent="0.25">
      <c r="A3717">
        <v>4716</v>
      </c>
      <c r="B3717" s="1">
        <v>45955</v>
      </c>
      <c r="C3717" s="4">
        <f>MONTH(datos_ventas[[#This Row],[Fecha]])</f>
        <v>10</v>
      </c>
      <c r="D3717" s="4">
        <f>WEEKNUM(datos_ventas[[#This Row],[Fecha]],2)</f>
        <v>43</v>
      </c>
      <c r="E3717" t="s">
        <v>16</v>
      </c>
      <c r="F3717" t="s">
        <v>11</v>
      </c>
      <c r="G3717">
        <v>1</v>
      </c>
      <c r="H3717">
        <v>26125</v>
      </c>
      <c r="I3717">
        <v>1068</v>
      </c>
      <c r="J3717" t="s">
        <v>12</v>
      </c>
      <c r="K3717" t="str">
        <f>_xlfn.XLOOKUP(datos_ventas[[#This Row],[Ciudad]],Tabla2[Ciudades],Tabla2[Provincias],"no se encuentra")</f>
        <v>Málaga</v>
      </c>
      <c r="L3717" t="str">
        <f>_xlfn.XLOOKUP(datos_ventas[[#This Row],[Provincia]],Tabla2[Provincias],Tabla2[Comunidades],"no se encuentra")</f>
        <v>Andalucía</v>
      </c>
      <c r="M3717" t="s">
        <v>13</v>
      </c>
      <c r="N3717">
        <v>4</v>
      </c>
    </row>
    <row r="3718" spans="1:14" x14ac:dyDescent="0.25">
      <c r="A3718">
        <v>4717</v>
      </c>
      <c r="B3718" s="1">
        <v>45794</v>
      </c>
      <c r="C3718" s="4">
        <f>MONTH(datos_ventas[[#This Row],[Fecha]])</f>
        <v>5</v>
      </c>
      <c r="D3718" s="4">
        <f>WEEKNUM(datos_ventas[[#This Row],[Fecha]],2)</f>
        <v>20</v>
      </c>
      <c r="E3718" t="s">
        <v>26</v>
      </c>
      <c r="F3718" t="s">
        <v>18</v>
      </c>
      <c r="G3718">
        <v>1</v>
      </c>
      <c r="H3718">
        <v>71404</v>
      </c>
      <c r="I3718">
        <v>4711</v>
      </c>
      <c r="J3718" t="s">
        <v>14</v>
      </c>
      <c r="K3718" t="str">
        <f>_xlfn.XLOOKUP(datos_ventas[[#This Row],[Ciudad]],Tabla2[Ciudades],Tabla2[Provincias],"no se encuentra")</f>
        <v>Madrid</v>
      </c>
      <c r="L3718" t="str">
        <f>_xlfn.XLOOKUP(datos_ventas[[#This Row],[Provincia]],Tabla2[Provincias],Tabla2[Comunidades],"no se encuentra")</f>
        <v>Comunidad de Madrid</v>
      </c>
      <c r="M3718" t="s">
        <v>28</v>
      </c>
      <c r="N3718">
        <v>5</v>
      </c>
    </row>
    <row r="3719" spans="1:14" x14ac:dyDescent="0.25">
      <c r="A3719">
        <v>4718</v>
      </c>
      <c r="B3719" s="1">
        <v>45803</v>
      </c>
      <c r="C3719" s="4">
        <f>MONTH(datos_ventas[[#This Row],[Fecha]])</f>
        <v>5</v>
      </c>
      <c r="D3719" s="4">
        <f>WEEKNUM(datos_ventas[[#This Row],[Fecha]],2)</f>
        <v>22</v>
      </c>
      <c r="E3719" t="s">
        <v>29</v>
      </c>
      <c r="F3719" t="s">
        <v>30</v>
      </c>
      <c r="G3719">
        <v>2</v>
      </c>
      <c r="H3719">
        <v>115255</v>
      </c>
      <c r="I3719">
        <v>2925</v>
      </c>
      <c r="J3719" t="s">
        <v>32</v>
      </c>
      <c r="K3719" t="str">
        <f>_xlfn.XLOOKUP(datos_ventas[[#This Row],[Ciudad]],Tabla2[Ciudades],Tabla2[Provincias],"no se encuentra")</f>
        <v>Barcelona</v>
      </c>
      <c r="L3719" t="str">
        <f>_xlfn.XLOOKUP(datos_ventas[[#This Row],[Provincia]],Tabla2[Provincias],Tabla2[Comunidades],"no se encuentra")</f>
        <v>Cataluña</v>
      </c>
      <c r="M3719" t="s">
        <v>13</v>
      </c>
      <c r="N3719">
        <v>5</v>
      </c>
    </row>
    <row r="3720" spans="1:14" x14ac:dyDescent="0.25">
      <c r="A3720">
        <v>4719</v>
      </c>
      <c r="B3720" s="1">
        <v>45806</v>
      </c>
      <c r="C3720" s="4">
        <f>MONTH(datos_ventas[[#This Row],[Fecha]])</f>
        <v>5</v>
      </c>
      <c r="D3720" s="4">
        <f>WEEKNUM(datos_ventas[[#This Row],[Fecha]],2)</f>
        <v>22</v>
      </c>
      <c r="E3720" t="s">
        <v>23</v>
      </c>
      <c r="F3720" t="s">
        <v>18</v>
      </c>
      <c r="G3720">
        <v>3</v>
      </c>
      <c r="H3720">
        <v>28196</v>
      </c>
      <c r="I3720">
        <v>4028</v>
      </c>
      <c r="J3720" t="s">
        <v>32</v>
      </c>
      <c r="K3720" t="str">
        <f>_xlfn.XLOOKUP(datos_ventas[[#This Row],[Ciudad]],Tabla2[Ciudades],Tabla2[Provincias],"no se encuentra")</f>
        <v>Barcelona</v>
      </c>
      <c r="L3720" t="str">
        <f>_xlfn.XLOOKUP(datos_ventas[[#This Row],[Provincia]],Tabla2[Provincias],Tabla2[Comunidades],"no se encuentra")</f>
        <v>Cataluña</v>
      </c>
      <c r="M3720" t="s">
        <v>13</v>
      </c>
      <c r="N3720">
        <v>5</v>
      </c>
    </row>
    <row r="3721" spans="1:14" x14ac:dyDescent="0.25">
      <c r="A3721">
        <v>4720</v>
      </c>
      <c r="B3721" s="1">
        <v>45907</v>
      </c>
      <c r="C3721" s="4">
        <f>MONTH(datos_ventas[[#This Row],[Fecha]])</f>
        <v>9</v>
      </c>
      <c r="D3721" s="4">
        <f>WEEKNUM(datos_ventas[[#This Row],[Fecha]],2)</f>
        <v>36</v>
      </c>
      <c r="E3721" t="s">
        <v>23</v>
      </c>
      <c r="F3721" t="s">
        <v>18</v>
      </c>
      <c r="G3721">
        <v>5</v>
      </c>
      <c r="H3721">
        <v>3883</v>
      </c>
      <c r="I3721">
        <v>969</v>
      </c>
      <c r="J3721" t="s">
        <v>32</v>
      </c>
      <c r="K3721" t="str">
        <f>_xlfn.XLOOKUP(datos_ventas[[#This Row],[Ciudad]],Tabla2[Ciudades],Tabla2[Provincias],"no se encuentra")</f>
        <v>Barcelona</v>
      </c>
      <c r="L3721" t="str">
        <f>_xlfn.XLOOKUP(datos_ventas[[#This Row],[Provincia]],Tabla2[Provincias],Tabla2[Comunidades],"no se encuentra")</f>
        <v>Cataluña</v>
      </c>
      <c r="M3721" t="s">
        <v>28</v>
      </c>
      <c r="N3721">
        <v>3</v>
      </c>
    </row>
    <row r="3722" spans="1:14" x14ac:dyDescent="0.25">
      <c r="A3722">
        <v>4721</v>
      </c>
      <c r="B3722" s="1">
        <v>45849</v>
      </c>
      <c r="C3722" s="4">
        <f>MONTH(datos_ventas[[#This Row],[Fecha]])</f>
        <v>7</v>
      </c>
      <c r="D3722" s="4">
        <f>WEEKNUM(datos_ventas[[#This Row],[Fecha]],2)</f>
        <v>28</v>
      </c>
      <c r="E3722" t="s">
        <v>29</v>
      </c>
      <c r="F3722" t="s">
        <v>30</v>
      </c>
      <c r="G3722">
        <v>5</v>
      </c>
      <c r="H3722">
        <v>69461</v>
      </c>
      <c r="I3722">
        <v>1013</v>
      </c>
      <c r="J3722" t="s">
        <v>22</v>
      </c>
      <c r="K3722" t="str">
        <f>_xlfn.XLOOKUP(datos_ventas[[#This Row],[Ciudad]],Tabla2[Ciudades],Tabla2[Provincias],"no se encuentra")</f>
        <v>Valencia</v>
      </c>
      <c r="L3722" t="str">
        <f>_xlfn.XLOOKUP(datos_ventas[[#This Row],[Provincia]],Tabla2[Provincias],Tabla2[Comunidades],"no se encuentra")</f>
        <v>Comunidad Valenciana</v>
      </c>
      <c r="M3722" t="s">
        <v>13</v>
      </c>
      <c r="N3722">
        <v>5</v>
      </c>
    </row>
    <row r="3723" spans="1:14" x14ac:dyDescent="0.25">
      <c r="A3723">
        <v>4722</v>
      </c>
      <c r="B3723" s="1">
        <v>45669</v>
      </c>
      <c r="C3723" s="4">
        <f>MONTH(datos_ventas[[#This Row],[Fecha]])</f>
        <v>1</v>
      </c>
      <c r="D3723" s="4">
        <f>WEEKNUM(datos_ventas[[#This Row],[Fecha]],2)</f>
        <v>2</v>
      </c>
      <c r="E3723" t="s">
        <v>17</v>
      </c>
      <c r="F3723" t="s">
        <v>18</v>
      </c>
      <c r="G3723">
        <v>5</v>
      </c>
      <c r="H3723">
        <v>72216</v>
      </c>
      <c r="I3723">
        <v>4295</v>
      </c>
      <c r="J3723" t="s">
        <v>12</v>
      </c>
      <c r="K3723" t="str">
        <f>_xlfn.XLOOKUP(datos_ventas[[#This Row],[Ciudad]],Tabla2[Ciudades],Tabla2[Provincias],"no se encuentra")</f>
        <v>Málaga</v>
      </c>
      <c r="L3723" t="str">
        <f>_xlfn.XLOOKUP(datos_ventas[[#This Row],[Provincia]],Tabla2[Provincias],Tabla2[Comunidades],"no se encuentra")</f>
        <v>Andalucía</v>
      </c>
      <c r="M3723" t="s">
        <v>13</v>
      </c>
      <c r="N3723">
        <v>5</v>
      </c>
    </row>
    <row r="3724" spans="1:14" x14ac:dyDescent="0.25">
      <c r="A3724">
        <v>4723</v>
      </c>
      <c r="B3724" s="1">
        <v>45972</v>
      </c>
      <c r="C3724" s="4">
        <f>MONTH(datos_ventas[[#This Row],[Fecha]])</f>
        <v>11</v>
      </c>
      <c r="D3724" s="4">
        <f>WEEKNUM(datos_ventas[[#This Row],[Fecha]],2)</f>
        <v>46</v>
      </c>
      <c r="E3724" t="s">
        <v>23</v>
      </c>
      <c r="F3724" t="s">
        <v>18</v>
      </c>
      <c r="G3724">
        <v>3</v>
      </c>
      <c r="H3724">
        <v>64091</v>
      </c>
      <c r="I3724">
        <v>4336</v>
      </c>
      <c r="J3724" t="s">
        <v>22</v>
      </c>
      <c r="K3724" t="str">
        <f>_xlfn.XLOOKUP(datos_ventas[[#This Row],[Ciudad]],Tabla2[Ciudades],Tabla2[Provincias],"no se encuentra")</f>
        <v>Valencia</v>
      </c>
      <c r="L3724" t="str">
        <f>_xlfn.XLOOKUP(datos_ventas[[#This Row],[Provincia]],Tabla2[Provincias],Tabla2[Comunidades],"no se encuentra")</f>
        <v>Comunidad Valenciana</v>
      </c>
      <c r="M3724" t="s">
        <v>15</v>
      </c>
      <c r="N3724">
        <v>3</v>
      </c>
    </row>
    <row r="3725" spans="1:14" x14ac:dyDescent="0.25">
      <c r="A3725">
        <v>4724</v>
      </c>
      <c r="B3725" s="1">
        <v>45739</v>
      </c>
      <c r="C3725" s="4">
        <f>MONTH(datos_ventas[[#This Row],[Fecha]])</f>
        <v>3</v>
      </c>
      <c r="D3725" s="4">
        <f>WEEKNUM(datos_ventas[[#This Row],[Fecha]],2)</f>
        <v>12</v>
      </c>
      <c r="E3725" t="s">
        <v>20</v>
      </c>
      <c r="F3725" t="s">
        <v>21</v>
      </c>
      <c r="G3725">
        <v>2</v>
      </c>
      <c r="H3725">
        <v>22902</v>
      </c>
      <c r="I3725">
        <v>4968</v>
      </c>
      <c r="J3725" t="s">
        <v>32</v>
      </c>
      <c r="K3725" t="str">
        <f>_xlfn.XLOOKUP(datos_ventas[[#This Row],[Ciudad]],Tabla2[Ciudades],Tabla2[Provincias],"no se encuentra")</f>
        <v>Barcelona</v>
      </c>
      <c r="L3725" t="str">
        <f>_xlfn.XLOOKUP(datos_ventas[[#This Row],[Provincia]],Tabla2[Provincias],Tabla2[Comunidades],"no se encuentra")</f>
        <v>Cataluña</v>
      </c>
      <c r="M3725" t="s">
        <v>28</v>
      </c>
      <c r="N3725">
        <v>5</v>
      </c>
    </row>
    <row r="3726" spans="1:14" x14ac:dyDescent="0.25">
      <c r="A3726">
        <v>4725</v>
      </c>
      <c r="B3726" s="1">
        <v>45804</v>
      </c>
      <c r="C3726" s="4">
        <f>MONTH(datos_ventas[[#This Row],[Fecha]])</f>
        <v>5</v>
      </c>
      <c r="D3726" s="4">
        <f>WEEKNUM(datos_ventas[[#This Row],[Fecha]],2)</f>
        <v>22</v>
      </c>
      <c r="E3726" t="s">
        <v>26</v>
      </c>
      <c r="F3726" t="s">
        <v>18</v>
      </c>
      <c r="G3726">
        <v>5</v>
      </c>
      <c r="H3726">
        <v>116514</v>
      </c>
      <c r="I3726">
        <v>2513</v>
      </c>
      <c r="J3726" t="s">
        <v>22</v>
      </c>
      <c r="K3726" t="str">
        <f>_xlfn.XLOOKUP(datos_ventas[[#This Row],[Ciudad]],Tabla2[Ciudades],Tabla2[Provincias],"no se encuentra")</f>
        <v>Valencia</v>
      </c>
      <c r="L3726" t="str">
        <f>_xlfn.XLOOKUP(datos_ventas[[#This Row],[Provincia]],Tabla2[Provincias],Tabla2[Comunidades],"no se encuentra")</f>
        <v>Comunidad Valenciana</v>
      </c>
      <c r="M3726" t="s">
        <v>28</v>
      </c>
      <c r="N3726">
        <v>1</v>
      </c>
    </row>
    <row r="3727" spans="1:14" x14ac:dyDescent="0.25">
      <c r="A3727">
        <v>4726</v>
      </c>
      <c r="B3727" s="1">
        <v>45842</v>
      </c>
      <c r="C3727" s="4">
        <f>MONTH(datos_ventas[[#This Row],[Fecha]])</f>
        <v>7</v>
      </c>
      <c r="D3727" s="4">
        <f>WEEKNUM(datos_ventas[[#This Row],[Fecha]],2)</f>
        <v>27</v>
      </c>
      <c r="E3727" t="s">
        <v>20</v>
      </c>
      <c r="F3727" t="s">
        <v>21</v>
      </c>
      <c r="G3727">
        <v>3</v>
      </c>
      <c r="H3727">
        <v>97725</v>
      </c>
      <c r="I3727">
        <v>2946</v>
      </c>
      <c r="J3727" t="s">
        <v>27</v>
      </c>
      <c r="K3727" t="str">
        <f>_xlfn.XLOOKUP(datos_ventas[[#This Row],[Ciudad]],Tabla2[Ciudades],Tabla2[Provincias],"no se encuentra")</f>
        <v>Sevilla</v>
      </c>
      <c r="L3727" t="str">
        <f>_xlfn.XLOOKUP(datos_ventas[[#This Row],[Provincia]],Tabla2[Provincias],Tabla2[Comunidades],"no se encuentra")</f>
        <v>Andalucía</v>
      </c>
      <c r="M3727" t="s">
        <v>19</v>
      </c>
      <c r="N3727">
        <v>3</v>
      </c>
    </row>
    <row r="3728" spans="1:14" x14ac:dyDescent="0.25">
      <c r="A3728">
        <v>4727</v>
      </c>
      <c r="B3728" s="1">
        <v>45809</v>
      </c>
      <c r="C3728" s="4">
        <f>MONTH(datos_ventas[[#This Row],[Fecha]])</f>
        <v>6</v>
      </c>
      <c r="D3728" s="4">
        <f>WEEKNUM(datos_ventas[[#This Row],[Fecha]],2)</f>
        <v>22</v>
      </c>
      <c r="E3728" t="s">
        <v>23</v>
      </c>
      <c r="F3728" t="s">
        <v>18</v>
      </c>
      <c r="G3728">
        <v>2</v>
      </c>
      <c r="H3728">
        <v>11680</v>
      </c>
      <c r="I3728">
        <v>1802</v>
      </c>
      <c r="J3728" t="s">
        <v>31</v>
      </c>
      <c r="K3728" t="str">
        <f>_xlfn.XLOOKUP(datos_ventas[[#This Row],[Ciudad]],Tabla2[Ciudades],Tabla2[Provincias],"no se encuentra")</f>
        <v>Vizcaya</v>
      </c>
      <c r="L3728" t="str">
        <f>_xlfn.XLOOKUP(datos_ventas[[#This Row],[Provincia]],Tabla2[Provincias],Tabla2[Comunidades],"no se encuentra")</f>
        <v>País Vasco</v>
      </c>
      <c r="M3728" t="s">
        <v>19</v>
      </c>
      <c r="N3728">
        <v>5</v>
      </c>
    </row>
    <row r="3729" spans="1:14" x14ac:dyDescent="0.25">
      <c r="A3729">
        <v>4728</v>
      </c>
      <c r="B3729" s="1">
        <v>45841</v>
      </c>
      <c r="C3729" s="4">
        <f>MONTH(datos_ventas[[#This Row],[Fecha]])</f>
        <v>7</v>
      </c>
      <c r="D3729" s="4">
        <f>WEEKNUM(datos_ventas[[#This Row],[Fecha]],2)</f>
        <v>27</v>
      </c>
      <c r="E3729" t="s">
        <v>20</v>
      </c>
      <c r="F3729" t="s">
        <v>21</v>
      </c>
      <c r="G3729">
        <v>3</v>
      </c>
      <c r="H3729">
        <v>56133</v>
      </c>
      <c r="I3729">
        <v>3485</v>
      </c>
      <c r="J3729" t="s">
        <v>14</v>
      </c>
      <c r="K3729" t="str">
        <f>_xlfn.XLOOKUP(datos_ventas[[#This Row],[Ciudad]],Tabla2[Ciudades],Tabla2[Provincias],"no se encuentra")</f>
        <v>Madrid</v>
      </c>
      <c r="L3729" t="str">
        <f>_xlfn.XLOOKUP(datos_ventas[[#This Row],[Provincia]],Tabla2[Provincias],Tabla2[Comunidades],"no se encuentra")</f>
        <v>Comunidad de Madrid</v>
      </c>
      <c r="M3729" t="s">
        <v>28</v>
      </c>
      <c r="N3729">
        <v>2</v>
      </c>
    </row>
    <row r="3730" spans="1:14" x14ac:dyDescent="0.25">
      <c r="A3730">
        <v>4729</v>
      </c>
      <c r="B3730" s="1">
        <v>45731</v>
      </c>
      <c r="C3730" s="4">
        <f>MONTH(datos_ventas[[#This Row],[Fecha]])</f>
        <v>3</v>
      </c>
      <c r="D3730" s="4">
        <f>WEEKNUM(datos_ventas[[#This Row],[Fecha]],2)</f>
        <v>11</v>
      </c>
      <c r="E3730" t="s">
        <v>23</v>
      </c>
      <c r="F3730" t="s">
        <v>18</v>
      </c>
      <c r="G3730">
        <v>4</v>
      </c>
      <c r="H3730">
        <v>24445</v>
      </c>
      <c r="I3730">
        <v>3964</v>
      </c>
      <c r="J3730" t="s">
        <v>31</v>
      </c>
      <c r="K3730" t="str">
        <f>_xlfn.XLOOKUP(datos_ventas[[#This Row],[Ciudad]],Tabla2[Ciudades],Tabla2[Provincias],"no se encuentra")</f>
        <v>Vizcaya</v>
      </c>
      <c r="L3730" t="str">
        <f>_xlfn.XLOOKUP(datos_ventas[[#This Row],[Provincia]],Tabla2[Provincias],Tabla2[Comunidades],"no se encuentra")</f>
        <v>País Vasco</v>
      </c>
      <c r="M3730" t="s">
        <v>13</v>
      </c>
      <c r="N3730">
        <v>1</v>
      </c>
    </row>
    <row r="3731" spans="1:14" x14ac:dyDescent="0.25">
      <c r="A3731">
        <v>4730</v>
      </c>
      <c r="B3731" s="1">
        <v>45806</v>
      </c>
      <c r="C3731" s="4">
        <f>MONTH(datos_ventas[[#This Row],[Fecha]])</f>
        <v>5</v>
      </c>
      <c r="D3731" s="4">
        <f>WEEKNUM(datos_ventas[[#This Row],[Fecha]],2)</f>
        <v>22</v>
      </c>
      <c r="E3731" t="s">
        <v>26</v>
      </c>
      <c r="F3731" t="s">
        <v>18</v>
      </c>
      <c r="G3731">
        <v>4</v>
      </c>
      <c r="H3731">
        <v>68516</v>
      </c>
      <c r="I3731">
        <v>2693</v>
      </c>
      <c r="J3731" t="s">
        <v>12</v>
      </c>
      <c r="K3731" t="str">
        <f>_xlfn.XLOOKUP(datos_ventas[[#This Row],[Ciudad]],Tabla2[Ciudades],Tabla2[Provincias],"no se encuentra")</f>
        <v>Málaga</v>
      </c>
      <c r="L3731" t="str">
        <f>_xlfn.XLOOKUP(datos_ventas[[#This Row],[Provincia]],Tabla2[Provincias],Tabla2[Comunidades],"no se encuentra")</f>
        <v>Andalucía</v>
      </c>
      <c r="M3731" t="s">
        <v>13</v>
      </c>
      <c r="N3731">
        <v>3</v>
      </c>
    </row>
    <row r="3732" spans="1:14" x14ac:dyDescent="0.25">
      <c r="A3732">
        <v>4731</v>
      </c>
      <c r="B3732" s="1">
        <v>45813</v>
      </c>
      <c r="C3732" s="4">
        <f>MONTH(datos_ventas[[#This Row],[Fecha]])</f>
        <v>6</v>
      </c>
      <c r="D3732" s="4">
        <f>WEEKNUM(datos_ventas[[#This Row],[Fecha]],2)</f>
        <v>23</v>
      </c>
      <c r="E3732" t="s">
        <v>10</v>
      </c>
      <c r="F3732" t="s">
        <v>11</v>
      </c>
      <c r="G3732">
        <v>3</v>
      </c>
      <c r="H3732">
        <v>37355</v>
      </c>
      <c r="I3732">
        <v>4509</v>
      </c>
      <c r="J3732" t="s">
        <v>31</v>
      </c>
      <c r="K3732" t="str">
        <f>_xlfn.XLOOKUP(datos_ventas[[#This Row],[Ciudad]],Tabla2[Ciudades],Tabla2[Provincias],"no se encuentra")</f>
        <v>Vizcaya</v>
      </c>
      <c r="L3732" t="str">
        <f>_xlfn.XLOOKUP(datos_ventas[[#This Row],[Provincia]],Tabla2[Provincias],Tabla2[Comunidades],"no se encuentra")</f>
        <v>País Vasco</v>
      </c>
      <c r="M3732" t="s">
        <v>28</v>
      </c>
      <c r="N3732">
        <v>5</v>
      </c>
    </row>
    <row r="3733" spans="1:14" x14ac:dyDescent="0.25">
      <c r="A3733">
        <v>4732</v>
      </c>
      <c r="B3733" s="1">
        <v>45729</v>
      </c>
      <c r="C3733" s="4">
        <f>MONTH(datos_ventas[[#This Row],[Fecha]])</f>
        <v>3</v>
      </c>
      <c r="D3733" s="4">
        <f>WEEKNUM(datos_ventas[[#This Row],[Fecha]],2)</f>
        <v>11</v>
      </c>
      <c r="E3733" t="s">
        <v>20</v>
      </c>
      <c r="F3733" t="s">
        <v>21</v>
      </c>
      <c r="G3733">
        <v>3</v>
      </c>
      <c r="H3733">
        <v>55639</v>
      </c>
      <c r="I3733">
        <v>881</v>
      </c>
      <c r="J3733" t="s">
        <v>32</v>
      </c>
      <c r="K3733" t="str">
        <f>_xlfn.XLOOKUP(datos_ventas[[#This Row],[Ciudad]],Tabla2[Ciudades],Tabla2[Provincias],"no se encuentra")</f>
        <v>Barcelona</v>
      </c>
      <c r="L3733" t="str">
        <f>_xlfn.XLOOKUP(datos_ventas[[#This Row],[Provincia]],Tabla2[Provincias],Tabla2[Comunidades],"no se encuentra")</f>
        <v>Cataluña</v>
      </c>
      <c r="M3733" t="s">
        <v>28</v>
      </c>
      <c r="N3733">
        <v>4</v>
      </c>
    </row>
    <row r="3734" spans="1:14" x14ac:dyDescent="0.25">
      <c r="A3734">
        <v>4733</v>
      </c>
      <c r="B3734" s="1">
        <v>45953</v>
      </c>
      <c r="C3734" s="4">
        <f>MONTH(datos_ventas[[#This Row],[Fecha]])</f>
        <v>10</v>
      </c>
      <c r="D3734" s="4">
        <f>WEEKNUM(datos_ventas[[#This Row],[Fecha]],2)</f>
        <v>43</v>
      </c>
      <c r="E3734" t="s">
        <v>16</v>
      </c>
      <c r="F3734" t="s">
        <v>11</v>
      </c>
      <c r="G3734">
        <v>2</v>
      </c>
      <c r="H3734">
        <v>38664</v>
      </c>
      <c r="I3734">
        <v>4049</v>
      </c>
      <c r="J3734" t="s">
        <v>32</v>
      </c>
      <c r="K3734" t="str">
        <f>_xlfn.XLOOKUP(datos_ventas[[#This Row],[Ciudad]],Tabla2[Ciudades],Tabla2[Provincias],"no se encuentra")</f>
        <v>Barcelona</v>
      </c>
      <c r="L3734" t="str">
        <f>_xlfn.XLOOKUP(datos_ventas[[#This Row],[Provincia]],Tabla2[Provincias],Tabla2[Comunidades],"no se encuentra")</f>
        <v>Cataluña</v>
      </c>
      <c r="M3734" t="s">
        <v>28</v>
      </c>
      <c r="N3734">
        <v>3</v>
      </c>
    </row>
    <row r="3735" spans="1:14" x14ac:dyDescent="0.25">
      <c r="A3735">
        <v>4734</v>
      </c>
      <c r="B3735" s="1">
        <v>45757</v>
      </c>
      <c r="C3735" s="4">
        <f>MONTH(datos_ventas[[#This Row],[Fecha]])</f>
        <v>4</v>
      </c>
      <c r="D3735" s="4">
        <f>WEEKNUM(datos_ventas[[#This Row],[Fecha]],2)</f>
        <v>15</v>
      </c>
      <c r="E3735" t="s">
        <v>24</v>
      </c>
      <c r="F3735" t="s">
        <v>25</v>
      </c>
      <c r="G3735">
        <v>1</v>
      </c>
      <c r="H3735">
        <v>70263</v>
      </c>
      <c r="I3735">
        <v>994</v>
      </c>
      <c r="J3735" t="s">
        <v>22</v>
      </c>
      <c r="K3735" t="str">
        <f>_xlfn.XLOOKUP(datos_ventas[[#This Row],[Ciudad]],Tabla2[Ciudades],Tabla2[Provincias],"no se encuentra")</f>
        <v>Valencia</v>
      </c>
      <c r="L3735" t="str">
        <f>_xlfn.XLOOKUP(datos_ventas[[#This Row],[Provincia]],Tabla2[Provincias],Tabla2[Comunidades],"no se encuentra")</f>
        <v>Comunidad Valenciana</v>
      </c>
      <c r="M3735" t="s">
        <v>15</v>
      </c>
      <c r="N3735">
        <v>5</v>
      </c>
    </row>
    <row r="3736" spans="1:14" x14ac:dyDescent="0.25">
      <c r="A3736">
        <v>4735</v>
      </c>
      <c r="B3736" s="1">
        <v>46006</v>
      </c>
      <c r="C3736" s="4">
        <f>MONTH(datos_ventas[[#This Row],[Fecha]])</f>
        <v>12</v>
      </c>
      <c r="D3736" s="4">
        <f>WEEKNUM(datos_ventas[[#This Row],[Fecha]],2)</f>
        <v>51</v>
      </c>
      <c r="E3736" t="s">
        <v>29</v>
      </c>
      <c r="F3736" t="s">
        <v>30</v>
      </c>
      <c r="G3736">
        <v>2</v>
      </c>
      <c r="H3736">
        <v>8831</v>
      </c>
      <c r="I3736">
        <v>1284</v>
      </c>
      <c r="J3736" t="s">
        <v>32</v>
      </c>
      <c r="K3736" t="str">
        <f>_xlfn.XLOOKUP(datos_ventas[[#This Row],[Ciudad]],Tabla2[Ciudades],Tabla2[Provincias],"no se encuentra")</f>
        <v>Barcelona</v>
      </c>
      <c r="L3736" t="str">
        <f>_xlfn.XLOOKUP(datos_ventas[[#This Row],[Provincia]],Tabla2[Provincias],Tabla2[Comunidades],"no se encuentra")</f>
        <v>Cataluña</v>
      </c>
      <c r="M3736" t="s">
        <v>28</v>
      </c>
      <c r="N3736">
        <v>2</v>
      </c>
    </row>
    <row r="3737" spans="1:14" x14ac:dyDescent="0.25">
      <c r="A3737">
        <v>4736</v>
      </c>
      <c r="B3737" s="1">
        <v>45804</v>
      </c>
      <c r="C3737" s="4">
        <f>MONTH(datos_ventas[[#This Row],[Fecha]])</f>
        <v>5</v>
      </c>
      <c r="D3737" s="4">
        <f>WEEKNUM(datos_ventas[[#This Row],[Fecha]],2)</f>
        <v>22</v>
      </c>
      <c r="E3737" t="s">
        <v>29</v>
      </c>
      <c r="F3737" t="s">
        <v>30</v>
      </c>
      <c r="G3737">
        <v>4</v>
      </c>
      <c r="H3737">
        <v>38022</v>
      </c>
      <c r="I3737">
        <v>2807</v>
      </c>
      <c r="J3737" t="s">
        <v>22</v>
      </c>
      <c r="K3737" t="str">
        <f>_xlfn.XLOOKUP(datos_ventas[[#This Row],[Ciudad]],Tabla2[Ciudades],Tabla2[Provincias],"no se encuentra")</f>
        <v>Valencia</v>
      </c>
      <c r="L3737" t="str">
        <f>_xlfn.XLOOKUP(datos_ventas[[#This Row],[Provincia]],Tabla2[Provincias],Tabla2[Comunidades],"no se encuentra")</f>
        <v>Comunidad Valenciana</v>
      </c>
      <c r="M3737" t="s">
        <v>19</v>
      </c>
      <c r="N3737">
        <v>4</v>
      </c>
    </row>
    <row r="3738" spans="1:14" x14ac:dyDescent="0.25">
      <c r="A3738">
        <v>4737</v>
      </c>
      <c r="B3738" s="1">
        <v>45891</v>
      </c>
      <c r="C3738" s="4">
        <f>MONTH(datos_ventas[[#This Row],[Fecha]])</f>
        <v>8</v>
      </c>
      <c r="D3738" s="4">
        <f>WEEKNUM(datos_ventas[[#This Row],[Fecha]],2)</f>
        <v>34</v>
      </c>
      <c r="E3738" t="s">
        <v>17</v>
      </c>
      <c r="F3738" t="s">
        <v>18</v>
      </c>
      <c r="G3738">
        <v>3</v>
      </c>
      <c r="H3738">
        <v>113621</v>
      </c>
      <c r="I3738">
        <v>3957</v>
      </c>
      <c r="J3738" t="s">
        <v>27</v>
      </c>
      <c r="K3738" t="str">
        <f>_xlfn.XLOOKUP(datos_ventas[[#This Row],[Ciudad]],Tabla2[Ciudades],Tabla2[Provincias],"no se encuentra")</f>
        <v>Sevilla</v>
      </c>
      <c r="L3738" t="str">
        <f>_xlfn.XLOOKUP(datos_ventas[[#This Row],[Provincia]],Tabla2[Provincias],Tabla2[Comunidades],"no se encuentra")</f>
        <v>Andalucía</v>
      </c>
      <c r="M3738" t="s">
        <v>19</v>
      </c>
      <c r="N3738">
        <v>4</v>
      </c>
    </row>
    <row r="3739" spans="1:14" x14ac:dyDescent="0.25">
      <c r="A3739">
        <v>4738</v>
      </c>
      <c r="B3739" s="1">
        <v>45978</v>
      </c>
      <c r="C3739" s="4">
        <f>MONTH(datos_ventas[[#This Row],[Fecha]])</f>
        <v>11</v>
      </c>
      <c r="D3739" s="4">
        <f>WEEKNUM(datos_ventas[[#This Row],[Fecha]],2)</f>
        <v>47</v>
      </c>
      <c r="E3739" t="s">
        <v>23</v>
      </c>
      <c r="F3739" t="s">
        <v>18</v>
      </c>
      <c r="G3739">
        <v>4</v>
      </c>
      <c r="H3739">
        <v>96553</v>
      </c>
      <c r="I3739">
        <v>2712</v>
      </c>
      <c r="J3739" t="s">
        <v>14</v>
      </c>
      <c r="K3739" t="str">
        <f>_xlfn.XLOOKUP(datos_ventas[[#This Row],[Ciudad]],Tabla2[Ciudades],Tabla2[Provincias],"no se encuentra")</f>
        <v>Madrid</v>
      </c>
      <c r="L3739" t="str">
        <f>_xlfn.XLOOKUP(datos_ventas[[#This Row],[Provincia]],Tabla2[Provincias],Tabla2[Comunidades],"no se encuentra")</f>
        <v>Comunidad de Madrid</v>
      </c>
      <c r="M3739" t="s">
        <v>19</v>
      </c>
      <c r="N3739">
        <v>2</v>
      </c>
    </row>
    <row r="3740" spans="1:14" x14ac:dyDescent="0.25">
      <c r="A3740">
        <v>4739</v>
      </c>
      <c r="B3740" s="1">
        <v>45905</v>
      </c>
      <c r="C3740" s="4">
        <f>MONTH(datos_ventas[[#This Row],[Fecha]])</f>
        <v>9</v>
      </c>
      <c r="D3740" s="4">
        <f>WEEKNUM(datos_ventas[[#This Row],[Fecha]],2)</f>
        <v>36</v>
      </c>
      <c r="E3740" t="s">
        <v>17</v>
      </c>
      <c r="F3740" t="s">
        <v>18</v>
      </c>
      <c r="G3740">
        <v>3</v>
      </c>
      <c r="H3740">
        <v>31751</v>
      </c>
      <c r="I3740">
        <v>4129</v>
      </c>
      <c r="J3740" t="s">
        <v>14</v>
      </c>
      <c r="K3740" t="str">
        <f>_xlfn.XLOOKUP(datos_ventas[[#This Row],[Ciudad]],Tabla2[Ciudades],Tabla2[Provincias],"no se encuentra")</f>
        <v>Madrid</v>
      </c>
      <c r="L3740" t="str">
        <f>_xlfn.XLOOKUP(datos_ventas[[#This Row],[Provincia]],Tabla2[Provincias],Tabla2[Comunidades],"no se encuentra")</f>
        <v>Comunidad de Madrid</v>
      </c>
      <c r="M3740" t="s">
        <v>13</v>
      </c>
      <c r="N3740">
        <v>2</v>
      </c>
    </row>
    <row r="3741" spans="1:14" x14ac:dyDescent="0.25">
      <c r="A3741">
        <v>4740</v>
      </c>
      <c r="B3741" s="1">
        <v>45946</v>
      </c>
      <c r="C3741" s="4">
        <f>MONTH(datos_ventas[[#This Row],[Fecha]])</f>
        <v>10</v>
      </c>
      <c r="D3741" s="4">
        <f>WEEKNUM(datos_ventas[[#This Row],[Fecha]],2)</f>
        <v>42</v>
      </c>
      <c r="E3741" t="s">
        <v>17</v>
      </c>
      <c r="F3741" t="s">
        <v>18</v>
      </c>
      <c r="G3741">
        <v>2</v>
      </c>
      <c r="H3741">
        <v>115519</v>
      </c>
      <c r="I3741">
        <v>2259</v>
      </c>
      <c r="J3741" t="s">
        <v>32</v>
      </c>
      <c r="K3741" t="str">
        <f>_xlfn.XLOOKUP(datos_ventas[[#This Row],[Ciudad]],Tabla2[Ciudades],Tabla2[Provincias],"no se encuentra")</f>
        <v>Barcelona</v>
      </c>
      <c r="L3741" t="str">
        <f>_xlfn.XLOOKUP(datos_ventas[[#This Row],[Provincia]],Tabla2[Provincias],Tabla2[Comunidades],"no se encuentra")</f>
        <v>Cataluña</v>
      </c>
      <c r="M3741" t="s">
        <v>15</v>
      </c>
      <c r="N3741">
        <v>5</v>
      </c>
    </row>
    <row r="3742" spans="1:14" x14ac:dyDescent="0.25">
      <c r="A3742">
        <v>4741</v>
      </c>
      <c r="B3742" s="1">
        <v>45812</v>
      </c>
      <c r="C3742" s="4">
        <f>MONTH(datos_ventas[[#This Row],[Fecha]])</f>
        <v>6</v>
      </c>
      <c r="D3742" s="4">
        <f>WEEKNUM(datos_ventas[[#This Row],[Fecha]],2)</f>
        <v>23</v>
      </c>
      <c r="E3742" t="s">
        <v>10</v>
      </c>
      <c r="F3742" t="s">
        <v>11</v>
      </c>
      <c r="G3742">
        <v>1</v>
      </c>
      <c r="H3742">
        <v>116588</v>
      </c>
      <c r="I3742">
        <v>2331</v>
      </c>
      <c r="J3742" t="s">
        <v>27</v>
      </c>
      <c r="K3742" t="str">
        <f>_xlfn.XLOOKUP(datos_ventas[[#This Row],[Ciudad]],Tabla2[Ciudades],Tabla2[Provincias],"no se encuentra")</f>
        <v>Sevilla</v>
      </c>
      <c r="L3742" t="str">
        <f>_xlfn.XLOOKUP(datos_ventas[[#This Row],[Provincia]],Tabla2[Provincias],Tabla2[Comunidades],"no se encuentra")</f>
        <v>Andalucía</v>
      </c>
      <c r="M3742" t="s">
        <v>13</v>
      </c>
      <c r="N3742">
        <v>3</v>
      </c>
    </row>
    <row r="3743" spans="1:14" x14ac:dyDescent="0.25">
      <c r="A3743">
        <v>4742</v>
      </c>
      <c r="B3743" s="1">
        <v>45851</v>
      </c>
      <c r="C3743" s="4">
        <f>MONTH(datos_ventas[[#This Row],[Fecha]])</f>
        <v>7</v>
      </c>
      <c r="D3743" s="4">
        <f>WEEKNUM(datos_ventas[[#This Row],[Fecha]],2)</f>
        <v>28</v>
      </c>
      <c r="E3743" t="s">
        <v>23</v>
      </c>
      <c r="F3743" t="s">
        <v>18</v>
      </c>
      <c r="G3743">
        <v>2</v>
      </c>
      <c r="H3743">
        <v>65798</v>
      </c>
      <c r="I3743">
        <v>1663</v>
      </c>
      <c r="J3743" t="s">
        <v>14</v>
      </c>
      <c r="K3743" t="str">
        <f>_xlfn.XLOOKUP(datos_ventas[[#This Row],[Ciudad]],Tabla2[Ciudades],Tabla2[Provincias],"no se encuentra")</f>
        <v>Madrid</v>
      </c>
      <c r="L3743" t="str">
        <f>_xlfn.XLOOKUP(datos_ventas[[#This Row],[Provincia]],Tabla2[Provincias],Tabla2[Comunidades],"no se encuentra")</f>
        <v>Comunidad de Madrid</v>
      </c>
      <c r="M3743" t="s">
        <v>28</v>
      </c>
      <c r="N3743">
        <v>3</v>
      </c>
    </row>
    <row r="3744" spans="1:14" x14ac:dyDescent="0.25">
      <c r="A3744">
        <v>4743</v>
      </c>
      <c r="B3744" s="1">
        <v>45802</v>
      </c>
      <c r="C3744" s="4">
        <f>MONTH(datos_ventas[[#This Row],[Fecha]])</f>
        <v>5</v>
      </c>
      <c r="D3744" s="4">
        <f>WEEKNUM(datos_ventas[[#This Row],[Fecha]],2)</f>
        <v>21</v>
      </c>
      <c r="E3744" t="s">
        <v>16</v>
      </c>
      <c r="F3744" t="s">
        <v>11</v>
      </c>
      <c r="G3744">
        <v>2</v>
      </c>
      <c r="H3744">
        <v>28359</v>
      </c>
      <c r="I3744">
        <v>3878</v>
      </c>
      <c r="J3744" t="s">
        <v>31</v>
      </c>
      <c r="K3744" t="str">
        <f>_xlfn.XLOOKUP(datos_ventas[[#This Row],[Ciudad]],Tabla2[Ciudades],Tabla2[Provincias],"no se encuentra")</f>
        <v>Vizcaya</v>
      </c>
      <c r="L3744" t="str">
        <f>_xlfn.XLOOKUP(datos_ventas[[#This Row],[Provincia]],Tabla2[Provincias],Tabla2[Comunidades],"no se encuentra")</f>
        <v>País Vasco</v>
      </c>
      <c r="M3744" t="s">
        <v>19</v>
      </c>
      <c r="N3744">
        <v>2</v>
      </c>
    </row>
    <row r="3745" spans="1:14" x14ac:dyDescent="0.25">
      <c r="A3745">
        <v>4744</v>
      </c>
      <c r="B3745" s="1">
        <v>46021</v>
      </c>
      <c r="C3745" s="4">
        <f>MONTH(datos_ventas[[#This Row],[Fecha]])</f>
        <v>12</v>
      </c>
      <c r="D3745" s="4">
        <f>WEEKNUM(datos_ventas[[#This Row],[Fecha]],2)</f>
        <v>53</v>
      </c>
      <c r="E3745" t="s">
        <v>20</v>
      </c>
      <c r="F3745" t="s">
        <v>21</v>
      </c>
      <c r="G3745">
        <v>1</v>
      </c>
      <c r="H3745">
        <v>9598</v>
      </c>
      <c r="I3745">
        <v>216</v>
      </c>
      <c r="J3745" t="s">
        <v>32</v>
      </c>
      <c r="K3745" t="str">
        <f>_xlfn.XLOOKUP(datos_ventas[[#This Row],[Ciudad]],Tabla2[Ciudades],Tabla2[Provincias],"no se encuentra")</f>
        <v>Barcelona</v>
      </c>
      <c r="L3745" t="str">
        <f>_xlfn.XLOOKUP(datos_ventas[[#This Row],[Provincia]],Tabla2[Provincias],Tabla2[Comunidades],"no se encuentra")</f>
        <v>Cataluña</v>
      </c>
      <c r="M3745" t="s">
        <v>13</v>
      </c>
      <c r="N3745">
        <v>1</v>
      </c>
    </row>
    <row r="3746" spans="1:14" x14ac:dyDescent="0.25">
      <c r="A3746">
        <v>4745</v>
      </c>
      <c r="B3746" s="1">
        <v>45667</v>
      </c>
      <c r="C3746" s="4">
        <f>MONTH(datos_ventas[[#This Row],[Fecha]])</f>
        <v>1</v>
      </c>
      <c r="D3746" s="4">
        <f>WEEKNUM(datos_ventas[[#This Row],[Fecha]],2)</f>
        <v>2</v>
      </c>
      <c r="E3746" t="s">
        <v>17</v>
      </c>
      <c r="F3746" t="s">
        <v>18</v>
      </c>
      <c r="G3746">
        <v>1</v>
      </c>
      <c r="H3746">
        <v>81781</v>
      </c>
      <c r="I3746">
        <v>631</v>
      </c>
      <c r="J3746" t="s">
        <v>31</v>
      </c>
      <c r="K3746" t="str">
        <f>_xlfn.XLOOKUP(datos_ventas[[#This Row],[Ciudad]],Tabla2[Ciudades],Tabla2[Provincias],"no se encuentra")</f>
        <v>Vizcaya</v>
      </c>
      <c r="L3746" t="str">
        <f>_xlfn.XLOOKUP(datos_ventas[[#This Row],[Provincia]],Tabla2[Provincias],Tabla2[Comunidades],"no se encuentra")</f>
        <v>País Vasco</v>
      </c>
      <c r="M3746" t="s">
        <v>15</v>
      </c>
      <c r="N3746">
        <v>1</v>
      </c>
    </row>
    <row r="3747" spans="1:14" x14ac:dyDescent="0.25">
      <c r="A3747">
        <v>4746</v>
      </c>
      <c r="B3747" s="1">
        <v>45961</v>
      </c>
      <c r="C3747" s="4">
        <f>MONTH(datos_ventas[[#This Row],[Fecha]])</f>
        <v>10</v>
      </c>
      <c r="D3747" s="4">
        <f>WEEKNUM(datos_ventas[[#This Row],[Fecha]],2)</f>
        <v>44</v>
      </c>
      <c r="E3747" t="s">
        <v>29</v>
      </c>
      <c r="F3747" t="s">
        <v>30</v>
      </c>
      <c r="G3747">
        <v>5</v>
      </c>
      <c r="H3747">
        <v>101163</v>
      </c>
      <c r="I3747">
        <v>2941</v>
      </c>
      <c r="J3747" t="s">
        <v>31</v>
      </c>
      <c r="K3747" t="str">
        <f>_xlfn.XLOOKUP(datos_ventas[[#This Row],[Ciudad]],Tabla2[Ciudades],Tabla2[Provincias],"no se encuentra")</f>
        <v>Vizcaya</v>
      </c>
      <c r="L3747" t="str">
        <f>_xlfn.XLOOKUP(datos_ventas[[#This Row],[Provincia]],Tabla2[Provincias],Tabla2[Comunidades],"no se encuentra")</f>
        <v>País Vasco</v>
      </c>
      <c r="M3747" t="s">
        <v>28</v>
      </c>
      <c r="N3747">
        <v>5</v>
      </c>
    </row>
    <row r="3748" spans="1:14" x14ac:dyDescent="0.25">
      <c r="A3748">
        <v>4747</v>
      </c>
      <c r="B3748" s="1">
        <v>45862</v>
      </c>
      <c r="C3748" s="4">
        <f>MONTH(datos_ventas[[#This Row],[Fecha]])</f>
        <v>7</v>
      </c>
      <c r="D3748" s="4">
        <f>WEEKNUM(datos_ventas[[#This Row],[Fecha]],2)</f>
        <v>30</v>
      </c>
      <c r="E3748" t="s">
        <v>10</v>
      </c>
      <c r="F3748" t="s">
        <v>11</v>
      </c>
      <c r="G3748">
        <v>3</v>
      </c>
      <c r="H3748">
        <v>58949</v>
      </c>
      <c r="I3748">
        <v>334</v>
      </c>
      <c r="J3748" t="s">
        <v>27</v>
      </c>
      <c r="K3748" t="str">
        <f>_xlfn.XLOOKUP(datos_ventas[[#This Row],[Ciudad]],Tabla2[Ciudades],Tabla2[Provincias],"no se encuentra")</f>
        <v>Sevilla</v>
      </c>
      <c r="L3748" t="str">
        <f>_xlfn.XLOOKUP(datos_ventas[[#This Row],[Provincia]],Tabla2[Provincias],Tabla2[Comunidades],"no se encuentra")</f>
        <v>Andalucía</v>
      </c>
      <c r="M3748" t="s">
        <v>28</v>
      </c>
      <c r="N3748">
        <v>3</v>
      </c>
    </row>
    <row r="3749" spans="1:14" x14ac:dyDescent="0.25">
      <c r="A3749">
        <v>4748</v>
      </c>
      <c r="B3749" s="1">
        <v>45876</v>
      </c>
      <c r="C3749" s="4">
        <f>MONTH(datos_ventas[[#This Row],[Fecha]])</f>
        <v>8</v>
      </c>
      <c r="D3749" s="4">
        <f>WEEKNUM(datos_ventas[[#This Row],[Fecha]],2)</f>
        <v>32</v>
      </c>
      <c r="E3749" t="s">
        <v>23</v>
      </c>
      <c r="F3749" t="s">
        <v>18</v>
      </c>
      <c r="G3749">
        <v>1</v>
      </c>
      <c r="H3749">
        <v>92998</v>
      </c>
      <c r="I3749">
        <v>2609</v>
      </c>
      <c r="J3749" t="s">
        <v>32</v>
      </c>
      <c r="K3749" t="str">
        <f>_xlfn.XLOOKUP(datos_ventas[[#This Row],[Ciudad]],Tabla2[Ciudades],Tabla2[Provincias],"no se encuentra")</f>
        <v>Barcelona</v>
      </c>
      <c r="L3749" t="str">
        <f>_xlfn.XLOOKUP(datos_ventas[[#This Row],[Provincia]],Tabla2[Provincias],Tabla2[Comunidades],"no se encuentra")</f>
        <v>Cataluña</v>
      </c>
      <c r="M3749" t="s">
        <v>19</v>
      </c>
      <c r="N3749">
        <v>2</v>
      </c>
    </row>
    <row r="3750" spans="1:14" x14ac:dyDescent="0.25">
      <c r="A3750">
        <v>4749</v>
      </c>
      <c r="B3750" s="1">
        <v>45951</v>
      </c>
      <c r="C3750" s="4">
        <f>MONTH(datos_ventas[[#This Row],[Fecha]])</f>
        <v>10</v>
      </c>
      <c r="D3750" s="4">
        <f>WEEKNUM(datos_ventas[[#This Row],[Fecha]],2)</f>
        <v>43</v>
      </c>
      <c r="E3750" t="s">
        <v>20</v>
      </c>
      <c r="F3750" t="s">
        <v>21</v>
      </c>
      <c r="G3750">
        <v>3</v>
      </c>
      <c r="H3750">
        <v>37547</v>
      </c>
      <c r="I3750">
        <v>2672</v>
      </c>
      <c r="J3750" t="s">
        <v>14</v>
      </c>
      <c r="K3750" t="str">
        <f>_xlfn.XLOOKUP(datos_ventas[[#This Row],[Ciudad]],Tabla2[Ciudades],Tabla2[Provincias],"no se encuentra")</f>
        <v>Madrid</v>
      </c>
      <c r="L3750" t="str">
        <f>_xlfn.XLOOKUP(datos_ventas[[#This Row],[Provincia]],Tabla2[Provincias],Tabla2[Comunidades],"no se encuentra")</f>
        <v>Comunidad de Madrid</v>
      </c>
      <c r="M3750" t="s">
        <v>15</v>
      </c>
      <c r="N3750">
        <v>1</v>
      </c>
    </row>
    <row r="3751" spans="1:14" x14ac:dyDescent="0.25">
      <c r="A3751">
        <v>4750</v>
      </c>
      <c r="B3751" s="1">
        <v>45814</v>
      </c>
      <c r="C3751" s="4">
        <f>MONTH(datos_ventas[[#This Row],[Fecha]])</f>
        <v>6</v>
      </c>
      <c r="D3751" s="4">
        <f>WEEKNUM(datos_ventas[[#This Row],[Fecha]],2)</f>
        <v>23</v>
      </c>
      <c r="E3751" t="s">
        <v>26</v>
      </c>
      <c r="F3751" t="s">
        <v>18</v>
      </c>
      <c r="G3751">
        <v>5</v>
      </c>
      <c r="H3751">
        <v>24558</v>
      </c>
      <c r="I3751">
        <v>2355</v>
      </c>
      <c r="J3751" t="s">
        <v>22</v>
      </c>
      <c r="K3751" t="str">
        <f>_xlfn.XLOOKUP(datos_ventas[[#This Row],[Ciudad]],Tabla2[Ciudades],Tabla2[Provincias],"no se encuentra")</f>
        <v>Valencia</v>
      </c>
      <c r="L3751" t="str">
        <f>_xlfn.XLOOKUP(datos_ventas[[#This Row],[Provincia]],Tabla2[Provincias],Tabla2[Comunidades],"no se encuentra")</f>
        <v>Comunidad Valenciana</v>
      </c>
      <c r="M3751" t="s">
        <v>28</v>
      </c>
      <c r="N3751">
        <v>4</v>
      </c>
    </row>
    <row r="3752" spans="1:14" x14ac:dyDescent="0.25">
      <c r="A3752">
        <v>4751</v>
      </c>
      <c r="B3752" s="1">
        <v>45959</v>
      </c>
      <c r="C3752" s="4">
        <f>MONTH(datos_ventas[[#This Row],[Fecha]])</f>
        <v>10</v>
      </c>
      <c r="D3752" s="4">
        <f>WEEKNUM(datos_ventas[[#This Row],[Fecha]],2)</f>
        <v>44</v>
      </c>
      <c r="E3752" t="s">
        <v>24</v>
      </c>
      <c r="F3752" t="s">
        <v>25</v>
      </c>
      <c r="G3752">
        <v>4</v>
      </c>
      <c r="H3752">
        <v>77501</v>
      </c>
      <c r="I3752">
        <v>4005</v>
      </c>
      <c r="J3752" t="s">
        <v>22</v>
      </c>
      <c r="K3752" t="str">
        <f>_xlfn.XLOOKUP(datos_ventas[[#This Row],[Ciudad]],Tabla2[Ciudades],Tabla2[Provincias],"no se encuentra")</f>
        <v>Valencia</v>
      </c>
      <c r="L3752" t="str">
        <f>_xlfn.XLOOKUP(datos_ventas[[#This Row],[Provincia]],Tabla2[Provincias],Tabla2[Comunidades],"no se encuentra")</f>
        <v>Comunidad Valenciana</v>
      </c>
      <c r="M3752" t="s">
        <v>15</v>
      </c>
      <c r="N3752">
        <v>1</v>
      </c>
    </row>
    <row r="3753" spans="1:14" x14ac:dyDescent="0.25">
      <c r="A3753">
        <v>4752</v>
      </c>
      <c r="B3753" s="1">
        <v>45870</v>
      </c>
      <c r="C3753" s="4">
        <f>MONTH(datos_ventas[[#This Row],[Fecha]])</f>
        <v>8</v>
      </c>
      <c r="D3753" s="4">
        <f>WEEKNUM(datos_ventas[[#This Row],[Fecha]],2)</f>
        <v>31</v>
      </c>
      <c r="E3753" t="s">
        <v>20</v>
      </c>
      <c r="F3753" t="s">
        <v>21</v>
      </c>
      <c r="G3753">
        <v>3</v>
      </c>
      <c r="H3753">
        <v>48036</v>
      </c>
      <c r="I3753">
        <v>1232</v>
      </c>
      <c r="J3753" t="s">
        <v>32</v>
      </c>
      <c r="K3753" t="str">
        <f>_xlfn.XLOOKUP(datos_ventas[[#This Row],[Ciudad]],Tabla2[Ciudades],Tabla2[Provincias],"no se encuentra")</f>
        <v>Barcelona</v>
      </c>
      <c r="L3753" t="str">
        <f>_xlfn.XLOOKUP(datos_ventas[[#This Row],[Provincia]],Tabla2[Provincias],Tabla2[Comunidades],"no se encuentra")</f>
        <v>Cataluña</v>
      </c>
      <c r="M3753" t="s">
        <v>19</v>
      </c>
      <c r="N3753">
        <v>2</v>
      </c>
    </row>
    <row r="3754" spans="1:14" x14ac:dyDescent="0.25">
      <c r="A3754">
        <v>4753</v>
      </c>
      <c r="B3754" s="1">
        <v>45714</v>
      </c>
      <c r="C3754" s="4">
        <f>MONTH(datos_ventas[[#This Row],[Fecha]])</f>
        <v>2</v>
      </c>
      <c r="D3754" s="4">
        <f>WEEKNUM(datos_ventas[[#This Row],[Fecha]],2)</f>
        <v>9</v>
      </c>
      <c r="E3754" t="s">
        <v>26</v>
      </c>
      <c r="F3754" t="s">
        <v>18</v>
      </c>
      <c r="G3754">
        <v>5</v>
      </c>
      <c r="H3754">
        <v>56575</v>
      </c>
      <c r="I3754">
        <v>2559</v>
      </c>
      <c r="J3754" t="s">
        <v>32</v>
      </c>
      <c r="K3754" t="str">
        <f>_xlfn.XLOOKUP(datos_ventas[[#This Row],[Ciudad]],Tabla2[Ciudades],Tabla2[Provincias],"no se encuentra")</f>
        <v>Barcelona</v>
      </c>
      <c r="L3754" t="str">
        <f>_xlfn.XLOOKUP(datos_ventas[[#This Row],[Provincia]],Tabla2[Provincias],Tabla2[Comunidades],"no se encuentra")</f>
        <v>Cataluña</v>
      </c>
      <c r="M3754" t="s">
        <v>15</v>
      </c>
      <c r="N3754">
        <v>1</v>
      </c>
    </row>
    <row r="3755" spans="1:14" x14ac:dyDescent="0.25">
      <c r="A3755">
        <v>4754</v>
      </c>
      <c r="B3755" s="1">
        <v>45900</v>
      </c>
      <c r="C3755" s="4">
        <f>MONTH(datos_ventas[[#This Row],[Fecha]])</f>
        <v>8</v>
      </c>
      <c r="D3755" s="4">
        <f>WEEKNUM(datos_ventas[[#This Row],[Fecha]],2)</f>
        <v>35</v>
      </c>
      <c r="E3755" t="s">
        <v>23</v>
      </c>
      <c r="F3755" t="s">
        <v>18</v>
      </c>
      <c r="G3755">
        <v>3</v>
      </c>
      <c r="H3755">
        <v>16701</v>
      </c>
      <c r="I3755">
        <v>1733</v>
      </c>
      <c r="J3755" t="s">
        <v>14</v>
      </c>
      <c r="K3755" t="str">
        <f>_xlfn.XLOOKUP(datos_ventas[[#This Row],[Ciudad]],Tabla2[Ciudades],Tabla2[Provincias],"no se encuentra")</f>
        <v>Madrid</v>
      </c>
      <c r="L3755" t="str">
        <f>_xlfn.XLOOKUP(datos_ventas[[#This Row],[Provincia]],Tabla2[Provincias],Tabla2[Comunidades],"no se encuentra")</f>
        <v>Comunidad de Madrid</v>
      </c>
      <c r="M3755" t="s">
        <v>28</v>
      </c>
      <c r="N3755">
        <v>1</v>
      </c>
    </row>
    <row r="3756" spans="1:14" x14ac:dyDescent="0.25">
      <c r="A3756">
        <v>4755</v>
      </c>
      <c r="B3756" s="1">
        <v>45942</v>
      </c>
      <c r="C3756" s="4">
        <f>MONTH(datos_ventas[[#This Row],[Fecha]])</f>
        <v>10</v>
      </c>
      <c r="D3756" s="4">
        <f>WEEKNUM(datos_ventas[[#This Row],[Fecha]],2)</f>
        <v>41</v>
      </c>
      <c r="E3756" t="s">
        <v>23</v>
      </c>
      <c r="F3756" t="s">
        <v>18</v>
      </c>
      <c r="G3756">
        <v>1</v>
      </c>
      <c r="H3756">
        <v>44171</v>
      </c>
      <c r="I3756">
        <v>4765</v>
      </c>
      <c r="J3756" t="s">
        <v>31</v>
      </c>
      <c r="K3756" t="str">
        <f>_xlfn.XLOOKUP(datos_ventas[[#This Row],[Ciudad]],Tabla2[Ciudades],Tabla2[Provincias],"no se encuentra")</f>
        <v>Vizcaya</v>
      </c>
      <c r="L3756" t="str">
        <f>_xlfn.XLOOKUP(datos_ventas[[#This Row],[Provincia]],Tabla2[Provincias],Tabla2[Comunidades],"no se encuentra")</f>
        <v>País Vasco</v>
      </c>
      <c r="M3756" t="s">
        <v>13</v>
      </c>
      <c r="N3756">
        <v>1</v>
      </c>
    </row>
    <row r="3757" spans="1:14" x14ac:dyDescent="0.25">
      <c r="A3757">
        <v>4756</v>
      </c>
      <c r="B3757" s="1">
        <v>45739</v>
      </c>
      <c r="C3757" s="4">
        <f>MONTH(datos_ventas[[#This Row],[Fecha]])</f>
        <v>3</v>
      </c>
      <c r="D3757" s="4">
        <f>WEEKNUM(datos_ventas[[#This Row],[Fecha]],2)</f>
        <v>12</v>
      </c>
      <c r="E3757" t="s">
        <v>24</v>
      </c>
      <c r="F3757" t="s">
        <v>25</v>
      </c>
      <c r="G3757">
        <v>1</v>
      </c>
      <c r="H3757">
        <v>81009</v>
      </c>
      <c r="I3757">
        <v>792</v>
      </c>
      <c r="J3757" t="s">
        <v>14</v>
      </c>
      <c r="K3757" t="str">
        <f>_xlfn.XLOOKUP(datos_ventas[[#This Row],[Ciudad]],Tabla2[Ciudades],Tabla2[Provincias],"no se encuentra")</f>
        <v>Madrid</v>
      </c>
      <c r="L3757" t="str">
        <f>_xlfn.XLOOKUP(datos_ventas[[#This Row],[Provincia]],Tabla2[Provincias],Tabla2[Comunidades],"no se encuentra")</f>
        <v>Comunidad de Madrid</v>
      </c>
      <c r="M3757" t="s">
        <v>28</v>
      </c>
      <c r="N3757">
        <v>1</v>
      </c>
    </row>
    <row r="3758" spans="1:14" x14ac:dyDescent="0.25">
      <c r="A3758">
        <v>4757</v>
      </c>
      <c r="B3758" s="1">
        <v>46013</v>
      </c>
      <c r="C3758" s="4">
        <f>MONTH(datos_ventas[[#This Row],[Fecha]])</f>
        <v>12</v>
      </c>
      <c r="D3758" s="4">
        <f>WEEKNUM(datos_ventas[[#This Row],[Fecha]],2)</f>
        <v>52</v>
      </c>
      <c r="E3758" t="s">
        <v>26</v>
      </c>
      <c r="F3758" t="s">
        <v>18</v>
      </c>
      <c r="G3758">
        <v>3</v>
      </c>
      <c r="H3758">
        <v>97475</v>
      </c>
      <c r="I3758">
        <v>202</v>
      </c>
      <c r="J3758" t="s">
        <v>31</v>
      </c>
      <c r="K3758" t="str">
        <f>_xlfn.XLOOKUP(datos_ventas[[#This Row],[Ciudad]],Tabla2[Ciudades],Tabla2[Provincias],"no se encuentra")</f>
        <v>Vizcaya</v>
      </c>
      <c r="L3758" t="str">
        <f>_xlfn.XLOOKUP(datos_ventas[[#This Row],[Provincia]],Tabla2[Provincias],Tabla2[Comunidades],"no se encuentra")</f>
        <v>País Vasco</v>
      </c>
      <c r="M3758" t="s">
        <v>15</v>
      </c>
      <c r="N3758">
        <v>4</v>
      </c>
    </row>
    <row r="3759" spans="1:14" x14ac:dyDescent="0.25">
      <c r="A3759">
        <v>4758</v>
      </c>
      <c r="B3759" s="1">
        <v>45663</v>
      </c>
      <c r="C3759" s="4">
        <f>MONTH(datos_ventas[[#This Row],[Fecha]])</f>
        <v>1</v>
      </c>
      <c r="D3759" s="4">
        <f>WEEKNUM(datos_ventas[[#This Row],[Fecha]],2)</f>
        <v>2</v>
      </c>
      <c r="E3759" t="s">
        <v>10</v>
      </c>
      <c r="F3759" t="s">
        <v>11</v>
      </c>
      <c r="G3759">
        <v>4</v>
      </c>
      <c r="H3759">
        <v>2495</v>
      </c>
      <c r="I3759">
        <v>2398</v>
      </c>
      <c r="J3759" t="s">
        <v>22</v>
      </c>
      <c r="K3759" t="str">
        <f>_xlfn.XLOOKUP(datos_ventas[[#This Row],[Ciudad]],Tabla2[Ciudades],Tabla2[Provincias],"no se encuentra")</f>
        <v>Valencia</v>
      </c>
      <c r="L3759" t="str">
        <f>_xlfn.XLOOKUP(datos_ventas[[#This Row],[Provincia]],Tabla2[Provincias],Tabla2[Comunidades],"no se encuentra")</f>
        <v>Comunidad Valenciana</v>
      </c>
      <c r="M3759" t="s">
        <v>28</v>
      </c>
      <c r="N3759">
        <v>2</v>
      </c>
    </row>
    <row r="3760" spans="1:14" x14ac:dyDescent="0.25">
      <c r="A3760">
        <v>4759</v>
      </c>
      <c r="B3760" s="1">
        <v>45893</v>
      </c>
      <c r="C3760" s="4">
        <f>MONTH(datos_ventas[[#This Row],[Fecha]])</f>
        <v>8</v>
      </c>
      <c r="D3760" s="4">
        <f>WEEKNUM(datos_ventas[[#This Row],[Fecha]],2)</f>
        <v>34</v>
      </c>
      <c r="E3760" t="s">
        <v>23</v>
      </c>
      <c r="F3760" t="s">
        <v>18</v>
      </c>
      <c r="G3760">
        <v>2</v>
      </c>
      <c r="H3760">
        <v>102292</v>
      </c>
      <c r="I3760">
        <v>2004</v>
      </c>
      <c r="J3760" t="s">
        <v>32</v>
      </c>
      <c r="K3760" t="str">
        <f>_xlfn.XLOOKUP(datos_ventas[[#This Row],[Ciudad]],Tabla2[Ciudades],Tabla2[Provincias],"no se encuentra")</f>
        <v>Barcelona</v>
      </c>
      <c r="L3760" t="str">
        <f>_xlfn.XLOOKUP(datos_ventas[[#This Row],[Provincia]],Tabla2[Provincias],Tabla2[Comunidades],"no se encuentra")</f>
        <v>Cataluña</v>
      </c>
      <c r="M3760" t="s">
        <v>28</v>
      </c>
      <c r="N3760">
        <v>1</v>
      </c>
    </row>
    <row r="3761" spans="1:14" x14ac:dyDescent="0.25">
      <c r="A3761">
        <v>4760</v>
      </c>
      <c r="B3761" s="1">
        <v>46003</v>
      </c>
      <c r="C3761" s="4">
        <f>MONTH(datos_ventas[[#This Row],[Fecha]])</f>
        <v>12</v>
      </c>
      <c r="D3761" s="4">
        <f>WEEKNUM(datos_ventas[[#This Row],[Fecha]],2)</f>
        <v>50</v>
      </c>
      <c r="E3761" t="s">
        <v>20</v>
      </c>
      <c r="F3761" t="s">
        <v>21</v>
      </c>
      <c r="G3761">
        <v>3</v>
      </c>
      <c r="H3761">
        <v>55863</v>
      </c>
      <c r="I3761">
        <v>3311</v>
      </c>
      <c r="J3761" t="s">
        <v>12</v>
      </c>
      <c r="K3761" t="str">
        <f>_xlfn.XLOOKUP(datos_ventas[[#This Row],[Ciudad]],Tabla2[Ciudades],Tabla2[Provincias],"no se encuentra")</f>
        <v>Málaga</v>
      </c>
      <c r="L3761" t="str">
        <f>_xlfn.XLOOKUP(datos_ventas[[#This Row],[Provincia]],Tabla2[Provincias],Tabla2[Comunidades],"no se encuentra")</f>
        <v>Andalucía</v>
      </c>
      <c r="M3761" t="s">
        <v>15</v>
      </c>
      <c r="N3761">
        <v>1</v>
      </c>
    </row>
    <row r="3762" spans="1:14" x14ac:dyDescent="0.25">
      <c r="A3762">
        <v>4761</v>
      </c>
      <c r="B3762" s="1">
        <v>45910</v>
      </c>
      <c r="C3762" s="4">
        <f>MONTH(datos_ventas[[#This Row],[Fecha]])</f>
        <v>9</v>
      </c>
      <c r="D3762" s="4">
        <f>WEEKNUM(datos_ventas[[#This Row],[Fecha]],2)</f>
        <v>37</v>
      </c>
      <c r="E3762" t="s">
        <v>10</v>
      </c>
      <c r="F3762" t="s">
        <v>11</v>
      </c>
      <c r="G3762">
        <v>1</v>
      </c>
      <c r="H3762">
        <v>2634</v>
      </c>
      <c r="I3762">
        <v>1048</v>
      </c>
      <c r="J3762" t="s">
        <v>32</v>
      </c>
      <c r="K3762" t="str">
        <f>_xlfn.XLOOKUP(datos_ventas[[#This Row],[Ciudad]],Tabla2[Ciudades],Tabla2[Provincias],"no se encuentra")</f>
        <v>Barcelona</v>
      </c>
      <c r="L3762" t="str">
        <f>_xlfn.XLOOKUP(datos_ventas[[#This Row],[Provincia]],Tabla2[Provincias],Tabla2[Comunidades],"no se encuentra")</f>
        <v>Cataluña</v>
      </c>
      <c r="M3762" t="s">
        <v>28</v>
      </c>
      <c r="N3762">
        <v>1</v>
      </c>
    </row>
    <row r="3763" spans="1:14" x14ac:dyDescent="0.25">
      <c r="A3763">
        <v>4762</v>
      </c>
      <c r="B3763" s="1">
        <v>45692</v>
      </c>
      <c r="C3763" s="4">
        <f>MONTH(datos_ventas[[#This Row],[Fecha]])</f>
        <v>2</v>
      </c>
      <c r="D3763" s="4">
        <f>WEEKNUM(datos_ventas[[#This Row],[Fecha]],2)</f>
        <v>6</v>
      </c>
      <c r="E3763" t="s">
        <v>20</v>
      </c>
      <c r="F3763" t="s">
        <v>21</v>
      </c>
      <c r="G3763">
        <v>4</v>
      </c>
      <c r="H3763">
        <v>88264</v>
      </c>
      <c r="I3763">
        <v>3363</v>
      </c>
      <c r="J3763" t="s">
        <v>12</v>
      </c>
      <c r="K3763" t="str">
        <f>_xlfn.XLOOKUP(datos_ventas[[#This Row],[Ciudad]],Tabla2[Ciudades],Tabla2[Provincias],"no se encuentra")</f>
        <v>Málaga</v>
      </c>
      <c r="L3763" t="str">
        <f>_xlfn.XLOOKUP(datos_ventas[[#This Row],[Provincia]],Tabla2[Provincias],Tabla2[Comunidades],"no se encuentra")</f>
        <v>Andalucía</v>
      </c>
      <c r="M3763" t="s">
        <v>28</v>
      </c>
      <c r="N3763">
        <v>5</v>
      </c>
    </row>
    <row r="3764" spans="1:14" x14ac:dyDescent="0.25">
      <c r="A3764">
        <v>4763</v>
      </c>
      <c r="B3764" s="1">
        <v>45788</v>
      </c>
      <c r="C3764" s="4">
        <f>MONTH(datos_ventas[[#This Row],[Fecha]])</f>
        <v>5</v>
      </c>
      <c r="D3764" s="4">
        <f>WEEKNUM(datos_ventas[[#This Row],[Fecha]],2)</f>
        <v>19</v>
      </c>
      <c r="E3764" t="s">
        <v>23</v>
      </c>
      <c r="F3764" t="s">
        <v>18</v>
      </c>
      <c r="G3764">
        <v>2</v>
      </c>
      <c r="H3764">
        <v>10974</v>
      </c>
      <c r="I3764">
        <v>2815</v>
      </c>
      <c r="J3764" t="s">
        <v>14</v>
      </c>
      <c r="K3764" t="str">
        <f>_xlfn.XLOOKUP(datos_ventas[[#This Row],[Ciudad]],Tabla2[Ciudades],Tabla2[Provincias],"no se encuentra")</f>
        <v>Madrid</v>
      </c>
      <c r="L3764" t="str">
        <f>_xlfn.XLOOKUP(datos_ventas[[#This Row],[Provincia]],Tabla2[Provincias],Tabla2[Comunidades],"no se encuentra")</f>
        <v>Comunidad de Madrid</v>
      </c>
      <c r="M3764" t="s">
        <v>13</v>
      </c>
      <c r="N3764">
        <v>3</v>
      </c>
    </row>
    <row r="3765" spans="1:14" x14ac:dyDescent="0.25">
      <c r="A3765">
        <v>4764</v>
      </c>
      <c r="B3765" s="1">
        <v>46000</v>
      </c>
      <c r="C3765" s="4">
        <f>MONTH(datos_ventas[[#This Row],[Fecha]])</f>
        <v>12</v>
      </c>
      <c r="D3765" s="4">
        <f>WEEKNUM(datos_ventas[[#This Row],[Fecha]],2)</f>
        <v>50</v>
      </c>
      <c r="E3765" t="s">
        <v>10</v>
      </c>
      <c r="F3765" t="s">
        <v>11</v>
      </c>
      <c r="G3765">
        <v>3</v>
      </c>
      <c r="H3765">
        <v>68982</v>
      </c>
      <c r="I3765">
        <v>376</v>
      </c>
      <c r="J3765" t="s">
        <v>31</v>
      </c>
      <c r="K3765" t="str">
        <f>_xlfn.XLOOKUP(datos_ventas[[#This Row],[Ciudad]],Tabla2[Ciudades],Tabla2[Provincias],"no se encuentra")</f>
        <v>Vizcaya</v>
      </c>
      <c r="L3765" t="str">
        <f>_xlfn.XLOOKUP(datos_ventas[[#This Row],[Provincia]],Tabla2[Provincias],Tabla2[Comunidades],"no se encuentra")</f>
        <v>País Vasco</v>
      </c>
      <c r="M3765" t="s">
        <v>19</v>
      </c>
      <c r="N3765">
        <v>4</v>
      </c>
    </row>
    <row r="3766" spans="1:14" x14ac:dyDescent="0.25">
      <c r="A3766">
        <v>4765</v>
      </c>
      <c r="B3766" s="1">
        <v>45752</v>
      </c>
      <c r="C3766" s="4">
        <f>MONTH(datos_ventas[[#This Row],[Fecha]])</f>
        <v>4</v>
      </c>
      <c r="D3766" s="4">
        <f>WEEKNUM(datos_ventas[[#This Row],[Fecha]],2)</f>
        <v>14</v>
      </c>
      <c r="E3766" t="s">
        <v>26</v>
      </c>
      <c r="F3766" t="s">
        <v>18</v>
      </c>
      <c r="G3766">
        <v>3</v>
      </c>
      <c r="H3766">
        <v>88288</v>
      </c>
      <c r="I3766">
        <v>2692</v>
      </c>
      <c r="J3766" t="s">
        <v>14</v>
      </c>
      <c r="K3766" t="str">
        <f>_xlfn.XLOOKUP(datos_ventas[[#This Row],[Ciudad]],Tabla2[Ciudades],Tabla2[Provincias],"no se encuentra")</f>
        <v>Madrid</v>
      </c>
      <c r="L3766" t="str">
        <f>_xlfn.XLOOKUP(datos_ventas[[#This Row],[Provincia]],Tabla2[Provincias],Tabla2[Comunidades],"no se encuentra")</f>
        <v>Comunidad de Madrid</v>
      </c>
      <c r="M3766" t="s">
        <v>15</v>
      </c>
      <c r="N3766">
        <v>4</v>
      </c>
    </row>
    <row r="3767" spans="1:14" x14ac:dyDescent="0.25">
      <c r="A3767">
        <v>4766</v>
      </c>
      <c r="B3767" s="1">
        <v>45899</v>
      </c>
      <c r="C3767" s="4">
        <f>MONTH(datos_ventas[[#This Row],[Fecha]])</f>
        <v>8</v>
      </c>
      <c r="D3767" s="4">
        <f>WEEKNUM(datos_ventas[[#This Row],[Fecha]],2)</f>
        <v>35</v>
      </c>
      <c r="E3767" t="s">
        <v>20</v>
      </c>
      <c r="F3767" t="s">
        <v>21</v>
      </c>
      <c r="G3767">
        <v>4</v>
      </c>
      <c r="H3767">
        <v>55506</v>
      </c>
      <c r="I3767">
        <v>4859</v>
      </c>
      <c r="J3767" t="s">
        <v>32</v>
      </c>
      <c r="K3767" t="str">
        <f>_xlfn.XLOOKUP(datos_ventas[[#This Row],[Ciudad]],Tabla2[Ciudades],Tabla2[Provincias],"no se encuentra")</f>
        <v>Barcelona</v>
      </c>
      <c r="L3767" t="str">
        <f>_xlfn.XLOOKUP(datos_ventas[[#This Row],[Provincia]],Tabla2[Provincias],Tabla2[Comunidades],"no se encuentra")</f>
        <v>Cataluña</v>
      </c>
      <c r="M3767" t="s">
        <v>15</v>
      </c>
      <c r="N3767">
        <v>3</v>
      </c>
    </row>
    <row r="3768" spans="1:14" x14ac:dyDescent="0.25">
      <c r="A3768">
        <v>4767</v>
      </c>
      <c r="B3768" s="1">
        <v>45677</v>
      </c>
      <c r="C3768" s="4">
        <f>MONTH(datos_ventas[[#This Row],[Fecha]])</f>
        <v>1</v>
      </c>
      <c r="D3768" s="4">
        <f>WEEKNUM(datos_ventas[[#This Row],[Fecha]],2)</f>
        <v>4</v>
      </c>
      <c r="E3768" t="s">
        <v>24</v>
      </c>
      <c r="F3768" t="s">
        <v>25</v>
      </c>
      <c r="G3768">
        <v>2</v>
      </c>
      <c r="H3768">
        <v>35727</v>
      </c>
      <c r="I3768">
        <v>3451</v>
      </c>
      <c r="J3768" t="s">
        <v>22</v>
      </c>
      <c r="K3768" t="str">
        <f>_xlfn.XLOOKUP(datos_ventas[[#This Row],[Ciudad]],Tabla2[Ciudades],Tabla2[Provincias],"no se encuentra")</f>
        <v>Valencia</v>
      </c>
      <c r="L3768" t="str">
        <f>_xlfn.XLOOKUP(datos_ventas[[#This Row],[Provincia]],Tabla2[Provincias],Tabla2[Comunidades],"no se encuentra")</f>
        <v>Comunidad Valenciana</v>
      </c>
      <c r="M3768" t="s">
        <v>13</v>
      </c>
      <c r="N3768">
        <v>4</v>
      </c>
    </row>
    <row r="3769" spans="1:14" x14ac:dyDescent="0.25">
      <c r="A3769">
        <v>4768</v>
      </c>
      <c r="B3769" s="1">
        <v>45982</v>
      </c>
      <c r="C3769" s="4">
        <f>MONTH(datos_ventas[[#This Row],[Fecha]])</f>
        <v>11</v>
      </c>
      <c r="D3769" s="4">
        <f>WEEKNUM(datos_ventas[[#This Row],[Fecha]],2)</f>
        <v>47</v>
      </c>
      <c r="E3769" t="s">
        <v>26</v>
      </c>
      <c r="F3769" t="s">
        <v>18</v>
      </c>
      <c r="G3769">
        <v>3</v>
      </c>
      <c r="H3769">
        <v>8662</v>
      </c>
      <c r="I3769">
        <v>4241</v>
      </c>
      <c r="J3769" t="s">
        <v>27</v>
      </c>
      <c r="K3769" t="str">
        <f>_xlfn.XLOOKUP(datos_ventas[[#This Row],[Ciudad]],Tabla2[Ciudades],Tabla2[Provincias],"no se encuentra")</f>
        <v>Sevilla</v>
      </c>
      <c r="L3769" t="str">
        <f>_xlfn.XLOOKUP(datos_ventas[[#This Row],[Provincia]],Tabla2[Provincias],Tabla2[Comunidades],"no se encuentra")</f>
        <v>Andalucía</v>
      </c>
      <c r="M3769" t="s">
        <v>15</v>
      </c>
      <c r="N3769">
        <v>3</v>
      </c>
    </row>
    <row r="3770" spans="1:14" x14ac:dyDescent="0.25">
      <c r="A3770">
        <v>4769</v>
      </c>
      <c r="B3770" s="1">
        <v>45934</v>
      </c>
      <c r="C3770" s="4">
        <f>MONTH(datos_ventas[[#This Row],[Fecha]])</f>
        <v>10</v>
      </c>
      <c r="D3770" s="4">
        <f>WEEKNUM(datos_ventas[[#This Row],[Fecha]],2)</f>
        <v>40</v>
      </c>
      <c r="E3770" t="s">
        <v>24</v>
      </c>
      <c r="F3770" t="s">
        <v>25</v>
      </c>
      <c r="G3770">
        <v>5</v>
      </c>
      <c r="H3770">
        <v>40604</v>
      </c>
      <c r="I3770">
        <v>106</v>
      </c>
      <c r="J3770" t="s">
        <v>27</v>
      </c>
      <c r="K3770" t="str">
        <f>_xlfn.XLOOKUP(datos_ventas[[#This Row],[Ciudad]],Tabla2[Ciudades],Tabla2[Provincias],"no se encuentra")</f>
        <v>Sevilla</v>
      </c>
      <c r="L3770" t="str">
        <f>_xlfn.XLOOKUP(datos_ventas[[#This Row],[Provincia]],Tabla2[Provincias],Tabla2[Comunidades],"no se encuentra")</f>
        <v>Andalucía</v>
      </c>
      <c r="M3770" t="s">
        <v>15</v>
      </c>
      <c r="N3770">
        <v>2</v>
      </c>
    </row>
    <row r="3771" spans="1:14" x14ac:dyDescent="0.25">
      <c r="A3771">
        <v>4770</v>
      </c>
      <c r="B3771" s="1">
        <v>45981</v>
      </c>
      <c r="C3771" s="4">
        <f>MONTH(datos_ventas[[#This Row],[Fecha]])</f>
        <v>11</v>
      </c>
      <c r="D3771" s="4">
        <f>WEEKNUM(datos_ventas[[#This Row],[Fecha]],2)</f>
        <v>47</v>
      </c>
      <c r="E3771" t="s">
        <v>20</v>
      </c>
      <c r="F3771" t="s">
        <v>21</v>
      </c>
      <c r="G3771">
        <v>5</v>
      </c>
      <c r="H3771">
        <v>96978</v>
      </c>
      <c r="I3771">
        <v>2922</v>
      </c>
      <c r="J3771" t="s">
        <v>14</v>
      </c>
      <c r="K3771" t="str">
        <f>_xlfn.XLOOKUP(datos_ventas[[#This Row],[Ciudad]],Tabla2[Ciudades],Tabla2[Provincias],"no se encuentra")</f>
        <v>Madrid</v>
      </c>
      <c r="L3771" t="str">
        <f>_xlfn.XLOOKUP(datos_ventas[[#This Row],[Provincia]],Tabla2[Provincias],Tabla2[Comunidades],"no se encuentra")</f>
        <v>Comunidad de Madrid</v>
      </c>
      <c r="M3771" t="s">
        <v>13</v>
      </c>
      <c r="N3771">
        <v>5</v>
      </c>
    </row>
    <row r="3772" spans="1:14" x14ac:dyDescent="0.25">
      <c r="A3772">
        <v>4771</v>
      </c>
      <c r="B3772" s="1">
        <v>45735</v>
      </c>
      <c r="C3772" s="4">
        <f>MONTH(datos_ventas[[#This Row],[Fecha]])</f>
        <v>3</v>
      </c>
      <c r="D3772" s="4">
        <f>WEEKNUM(datos_ventas[[#This Row],[Fecha]],2)</f>
        <v>12</v>
      </c>
      <c r="E3772" t="s">
        <v>26</v>
      </c>
      <c r="F3772" t="s">
        <v>18</v>
      </c>
      <c r="G3772">
        <v>4</v>
      </c>
      <c r="H3772">
        <v>55565</v>
      </c>
      <c r="I3772">
        <v>4552</v>
      </c>
      <c r="J3772" t="s">
        <v>14</v>
      </c>
      <c r="K3772" t="str">
        <f>_xlfn.XLOOKUP(datos_ventas[[#This Row],[Ciudad]],Tabla2[Ciudades],Tabla2[Provincias],"no se encuentra")</f>
        <v>Madrid</v>
      </c>
      <c r="L3772" t="str">
        <f>_xlfn.XLOOKUP(datos_ventas[[#This Row],[Provincia]],Tabla2[Provincias],Tabla2[Comunidades],"no se encuentra")</f>
        <v>Comunidad de Madrid</v>
      </c>
      <c r="M3772" t="s">
        <v>19</v>
      </c>
      <c r="N3772">
        <v>2</v>
      </c>
    </row>
    <row r="3773" spans="1:14" x14ac:dyDescent="0.25">
      <c r="A3773">
        <v>4772</v>
      </c>
      <c r="B3773" s="1">
        <v>45742</v>
      </c>
      <c r="C3773" s="4">
        <f>MONTH(datos_ventas[[#This Row],[Fecha]])</f>
        <v>3</v>
      </c>
      <c r="D3773" s="4">
        <f>WEEKNUM(datos_ventas[[#This Row],[Fecha]],2)</f>
        <v>13</v>
      </c>
      <c r="E3773" t="s">
        <v>29</v>
      </c>
      <c r="F3773" t="s">
        <v>30</v>
      </c>
      <c r="G3773">
        <v>2</v>
      </c>
      <c r="H3773">
        <v>107209</v>
      </c>
      <c r="I3773">
        <v>4038</v>
      </c>
      <c r="J3773" t="s">
        <v>14</v>
      </c>
      <c r="K3773" t="str">
        <f>_xlfn.XLOOKUP(datos_ventas[[#This Row],[Ciudad]],Tabla2[Ciudades],Tabla2[Provincias],"no se encuentra")</f>
        <v>Madrid</v>
      </c>
      <c r="L3773" t="str">
        <f>_xlfn.XLOOKUP(datos_ventas[[#This Row],[Provincia]],Tabla2[Provincias],Tabla2[Comunidades],"no se encuentra")</f>
        <v>Comunidad de Madrid</v>
      </c>
      <c r="M3773" t="s">
        <v>19</v>
      </c>
      <c r="N3773">
        <v>1</v>
      </c>
    </row>
    <row r="3774" spans="1:14" x14ac:dyDescent="0.25">
      <c r="A3774">
        <v>4773</v>
      </c>
      <c r="B3774" s="1">
        <v>45943</v>
      </c>
      <c r="C3774" s="4">
        <f>MONTH(datos_ventas[[#This Row],[Fecha]])</f>
        <v>10</v>
      </c>
      <c r="D3774" s="4">
        <f>WEEKNUM(datos_ventas[[#This Row],[Fecha]],2)</f>
        <v>42</v>
      </c>
      <c r="E3774" t="s">
        <v>29</v>
      </c>
      <c r="F3774" t="s">
        <v>30</v>
      </c>
      <c r="G3774">
        <v>2</v>
      </c>
      <c r="H3774">
        <v>43725</v>
      </c>
      <c r="I3774">
        <v>4367</v>
      </c>
      <c r="J3774" t="s">
        <v>31</v>
      </c>
      <c r="K3774" t="str">
        <f>_xlfn.XLOOKUP(datos_ventas[[#This Row],[Ciudad]],Tabla2[Ciudades],Tabla2[Provincias],"no se encuentra")</f>
        <v>Vizcaya</v>
      </c>
      <c r="L3774" t="str">
        <f>_xlfn.XLOOKUP(datos_ventas[[#This Row],[Provincia]],Tabla2[Provincias],Tabla2[Comunidades],"no se encuentra")</f>
        <v>País Vasco</v>
      </c>
      <c r="M3774" t="s">
        <v>15</v>
      </c>
      <c r="N3774">
        <v>5</v>
      </c>
    </row>
    <row r="3775" spans="1:14" x14ac:dyDescent="0.25">
      <c r="A3775">
        <v>4774</v>
      </c>
      <c r="B3775" s="1">
        <v>46017</v>
      </c>
      <c r="C3775" s="4">
        <f>MONTH(datos_ventas[[#This Row],[Fecha]])</f>
        <v>12</v>
      </c>
      <c r="D3775" s="4">
        <f>WEEKNUM(datos_ventas[[#This Row],[Fecha]],2)</f>
        <v>52</v>
      </c>
      <c r="E3775" t="s">
        <v>24</v>
      </c>
      <c r="F3775" t="s">
        <v>25</v>
      </c>
      <c r="G3775">
        <v>2</v>
      </c>
      <c r="H3775">
        <v>89217</v>
      </c>
      <c r="I3775">
        <v>2303</v>
      </c>
      <c r="J3775" t="s">
        <v>27</v>
      </c>
      <c r="K3775" t="str">
        <f>_xlfn.XLOOKUP(datos_ventas[[#This Row],[Ciudad]],Tabla2[Ciudades],Tabla2[Provincias],"no se encuentra")</f>
        <v>Sevilla</v>
      </c>
      <c r="L3775" t="str">
        <f>_xlfn.XLOOKUP(datos_ventas[[#This Row],[Provincia]],Tabla2[Provincias],Tabla2[Comunidades],"no se encuentra")</f>
        <v>Andalucía</v>
      </c>
      <c r="M3775" t="s">
        <v>28</v>
      </c>
      <c r="N3775">
        <v>5</v>
      </c>
    </row>
    <row r="3776" spans="1:14" x14ac:dyDescent="0.25">
      <c r="A3776">
        <v>4775</v>
      </c>
      <c r="B3776" s="1">
        <v>45664</v>
      </c>
      <c r="C3776" s="4">
        <f>MONTH(datos_ventas[[#This Row],[Fecha]])</f>
        <v>1</v>
      </c>
      <c r="D3776" s="4">
        <f>WEEKNUM(datos_ventas[[#This Row],[Fecha]],2)</f>
        <v>2</v>
      </c>
      <c r="E3776" t="s">
        <v>26</v>
      </c>
      <c r="F3776" t="s">
        <v>18</v>
      </c>
      <c r="G3776">
        <v>5</v>
      </c>
      <c r="H3776">
        <v>81046</v>
      </c>
      <c r="I3776">
        <v>1515</v>
      </c>
      <c r="J3776" t="s">
        <v>32</v>
      </c>
      <c r="K3776" t="str">
        <f>_xlfn.XLOOKUP(datos_ventas[[#This Row],[Ciudad]],Tabla2[Ciudades],Tabla2[Provincias],"no se encuentra")</f>
        <v>Barcelona</v>
      </c>
      <c r="L3776" t="str">
        <f>_xlfn.XLOOKUP(datos_ventas[[#This Row],[Provincia]],Tabla2[Provincias],Tabla2[Comunidades],"no se encuentra")</f>
        <v>Cataluña</v>
      </c>
      <c r="M3776" t="s">
        <v>13</v>
      </c>
      <c r="N3776">
        <v>2</v>
      </c>
    </row>
    <row r="3777" spans="1:14" x14ac:dyDescent="0.25">
      <c r="A3777">
        <v>4776</v>
      </c>
      <c r="B3777" s="1">
        <v>45734</v>
      </c>
      <c r="C3777" s="4">
        <f>MONTH(datos_ventas[[#This Row],[Fecha]])</f>
        <v>3</v>
      </c>
      <c r="D3777" s="4">
        <f>WEEKNUM(datos_ventas[[#This Row],[Fecha]],2)</f>
        <v>12</v>
      </c>
      <c r="E3777" t="s">
        <v>29</v>
      </c>
      <c r="F3777" t="s">
        <v>30</v>
      </c>
      <c r="G3777">
        <v>2</v>
      </c>
      <c r="H3777">
        <v>54125</v>
      </c>
      <c r="I3777">
        <v>1685</v>
      </c>
      <c r="J3777" t="s">
        <v>27</v>
      </c>
      <c r="K3777" t="str">
        <f>_xlfn.XLOOKUP(datos_ventas[[#This Row],[Ciudad]],Tabla2[Ciudades],Tabla2[Provincias],"no se encuentra")</f>
        <v>Sevilla</v>
      </c>
      <c r="L3777" t="str">
        <f>_xlfn.XLOOKUP(datos_ventas[[#This Row],[Provincia]],Tabla2[Provincias],Tabla2[Comunidades],"no se encuentra")</f>
        <v>Andalucía</v>
      </c>
      <c r="M3777" t="s">
        <v>28</v>
      </c>
      <c r="N3777">
        <v>5</v>
      </c>
    </row>
    <row r="3778" spans="1:14" x14ac:dyDescent="0.25">
      <c r="A3778">
        <v>4777</v>
      </c>
      <c r="B3778" s="1">
        <v>45898</v>
      </c>
      <c r="C3778" s="4">
        <f>MONTH(datos_ventas[[#This Row],[Fecha]])</f>
        <v>8</v>
      </c>
      <c r="D3778" s="4">
        <f>WEEKNUM(datos_ventas[[#This Row],[Fecha]],2)</f>
        <v>35</v>
      </c>
      <c r="E3778" t="s">
        <v>17</v>
      </c>
      <c r="F3778" t="s">
        <v>18</v>
      </c>
      <c r="G3778">
        <v>5</v>
      </c>
      <c r="H3778">
        <v>58378</v>
      </c>
      <c r="I3778">
        <v>654</v>
      </c>
      <c r="J3778" t="s">
        <v>32</v>
      </c>
      <c r="K3778" t="str">
        <f>_xlfn.XLOOKUP(datos_ventas[[#This Row],[Ciudad]],Tabla2[Ciudades],Tabla2[Provincias],"no se encuentra")</f>
        <v>Barcelona</v>
      </c>
      <c r="L3778" t="str">
        <f>_xlfn.XLOOKUP(datos_ventas[[#This Row],[Provincia]],Tabla2[Provincias],Tabla2[Comunidades],"no se encuentra")</f>
        <v>Cataluña</v>
      </c>
      <c r="M3778" t="s">
        <v>28</v>
      </c>
      <c r="N3778">
        <v>4</v>
      </c>
    </row>
    <row r="3779" spans="1:14" x14ac:dyDescent="0.25">
      <c r="A3779">
        <v>4778</v>
      </c>
      <c r="B3779" s="1">
        <v>45972</v>
      </c>
      <c r="C3779" s="4">
        <f>MONTH(datos_ventas[[#This Row],[Fecha]])</f>
        <v>11</v>
      </c>
      <c r="D3779" s="4">
        <f>WEEKNUM(datos_ventas[[#This Row],[Fecha]],2)</f>
        <v>46</v>
      </c>
      <c r="E3779" t="s">
        <v>23</v>
      </c>
      <c r="F3779" t="s">
        <v>18</v>
      </c>
      <c r="G3779">
        <v>5</v>
      </c>
      <c r="H3779">
        <v>91668</v>
      </c>
      <c r="I3779">
        <v>3704</v>
      </c>
      <c r="J3779" t="s">
        <v>27</v>
      </c>
      <c r="K3779" t="str">
        <f>_xlfn.XLOOKUP(datos_ventas[[#This Row],[Ciudad]],Tabla2[Ciudades],Tabla2[Provincias],"no se encuentra")</f>
        <v>Sevilla</v>
      </c>
      <c r="L3779" t="str">
        <f>_xlfn.XLOOKUP(datos_ventas[[#This Row],[Provincia]],Tabla2[Provincias],Tabla2[Comunidades],"no se encuentra")</f>
        <v>Andalucía</v>
      </c>
      <c r="M3779" t="s">
        <v>19</v>
      </c>
      <c r="N3779">
        <v>1</v>
      </c>
    </row>
    <row r="3780" spans="1:14" x14ac:dyDescent="0.25">
      <c r="A3780">
        <v>4779</v>
      </c>
      <c r="B3780" s="1">
        <v>45818</v>
      </c>
      <c r="C3780" s="4">
        <f>MONTH(datos_ventas[[#This Row],[Fecha]])</f>
        <v>6</v>
      </c>
      <c r="D3780" s="4">
        <f>WEEKNUM(datos_ventas[[#This Row],[Fecha]],2)</f>
        <v>24</v>
      </c>
      <c r="E3780" t="s">
        <v>24</v>
      </c>
      <c r="F3780" t="s">
        <v>25</v>
      </c>
      <c r="G3780">
        <v>3</v>
      </c>
      <c r="H3780">
        <v>60154</v>
      </c>
      <c r="I3780">
        <v>3815</v>
      </c>
      <c r="J3780" t="s">
        <v>22</v>
      </c>
      <c r="K3780" t="str">
        <f>_xlfn.XLOOKUP(datos_ventas[[#This Row],[Ciudad]],Tabla2[Ciudades],Tabla2[Provincias],"no se encuentra")</f>
        <v>Valencia</v>
      </c>
      <c r="L3780" t="str">
        <f>_xlfn.XLOOKUP(datos_ventas[[#This Row],[Provincia]],Tabla2[Provincias],Tabla2[Comunidades],"no se encuentra")</f>
        <v>Comunidad Valenciana</v>
      </c>
      <c r="M3780" t="s">
        <v>19</v>
      </c>
      <c r="N3780">
        <v>1</v>
      </c>
    </row>
    <row r="3781" spans="1:14" x14ac:dyDescent="0.25">
      <c r="A3781">
        <v>4780</v>
      </c>
      <c r="B3781" s="1">
        <v>45851</v>
      </c>
      <c r="C3781" s="4">
        <f>MONTH(datos_ventas[[#This Row],[Fecha]])</f>
        <v>7</v>
      </c>
      <c r="D3781" s="4">
        <f>WEEKNUM(datos_ventas[[#This Row],[Fecha]],2)</f>
        <v>28</v>
      </c>
      <c r="E3781" t="s">
        <v>16</v>
      </c>
      <c r="F3781" t="s">
        <v>11</v>
      </c>
      <c r="G3781">
        <v>1</v>
      </c>
      <c r="H3781">
        <v>89892</v>
      </c>
      <c r="I3781">
        <v>2875</v>
      </c>
      <c r="J3781" t="s">
        <v>14</v>
      </c>
      <c r="K3781" t="str">
        <f>_xlfn.XLOOKUP(datos_ventas[[#This Row],[Ciudad]],Tabla2[Ciudades],Tabla2[Provincias],"no se encuentra")</f>
        <v>Madrid</v>
      </c>
      <c r="L3781" t="str">
        <f>_xlfn.XLOOKUP(datos_ventas[[#This Row],[Provincia]],Tabla2[Provincias],Tabla2[Comunidades],"no se encuentra")</f>
        <v>Comunidad de Madrid</v>
      </c>
      <c r="M3781" t="s">
        <v>15</v>
      </c>
      <c r="N3781">
        <v>2</v>
      </c>
    </row>
    <row r="3782" spans="1:14" x14ac:dyDescent="0.25">
      <c r="A3782">
        <v>4781</v>
      </c>
      <c r="B3782" s="1">
        <v>45789</v>
      </c>
      <c r="C3782" s="4">
        <f>MONTH(datos_ventas[[#This Row],[Fecha]])</f>
        <v>5</v>
      </c>
      <c r="D3782" s="4">
        <f>WEEKNUM(datos_ventas[[#This Row],[Fecha]],2)</f>
        <v>20</v>
      </c>
      <c r="E3782" t="s">
        <v>29</v>
      </c>
      <c r="F3782" t="s">
        <v>30</v>
      </c>
      <c r="G3782">
        <v>5</v>
      </c>
      <c r="H3782">
        <v>32592</v>
      </c>
      <c r="I3782">
        <v>4239</v>
      </c>
      <c r="J3782" t="s">
        <v>14</v>
      </c>
      <c r="K3782" t="str">
        <f>_xlfn.XLOOKUP(datos_ventas[[#This Row],[Ciudad]],Tabla2[Ciudades],Tabla2[Provincias],"no se encuentra")</f>
        <v>Madrid</v>
      </c>
      <c r="L3782" t="str">
        <f>_xlfn.XLOOKUP(datos_ventas[[#This Row],[Provincia]],Tabla2[Provincias],Tabla2[Comunidades],"no se encuentra")</f>
        <v>Comunidad de Madrid</v>
      </c>
      <c r="M3782" t="s">
        <v>28</v>
      </c>
      <c r="N3782">
        <v>5</v>
      </c>
    </row>
    <row r="3783" spans="1:14" x14ac:dyDescent="0.25">
      <c r="A3783">
        <v>4782</v>
      </c>
      <c r="B3783" s="1">
        <v>45912</v>
      </c>
      <c r="C3783" s="4">
        <f>MONTH(datos_ventas[[#This Row],[Fecha]])</f>
        <v>9</v>
      </c>
      <c r="D3783" s="4">
        <f>WEEKNUM(datos_ventas[[#This Row],[Fecha]],2)</f>
        <v>37</v>
      </c>
      <c r="E3783" t="s">
        <v>16</v>
      </c>
      <c r="F3783" t="s">
        <v>11</v>
      </c>
      <c r="G3783">
        <v>4</v>
      </c>
      <c r="H3783">
        <v>112324</v>
      </c>
      <c r="I3783">
        <v>57</v>
      </c>
      <c r="J3783" t="s">
        <v>14</v>
      </c>
      <c r="K3783" t="str">
        <f>_xlfn.XLOOKUP(datos_ventas[[#This Row],[Ciudad]],Tabla2[Ciudades],Tabla2[Provincias],"no se encuentra")</f>
        <v>Madrid</v>
      </c>
      <c r="L3783" t="str">
        <f>_xlfn.XLOOKUP(datos_ventas[[#This Row],[Provincia]],Tabla2[Provincias],Tabla2[Comunidades],"no se encuentra")</f>
        <v>Comunidad de Madrid</v>
      </c>
      <c r="M3783" t="s">
        <v>28</v>
      </c>
      <c r="N3783">
        <v>4</v>
      </c>
    </row>
    <row r="3784" spans="1:14" x14ac:dyDescent="0.25">
      <c r="A3784">
        <v>4783</v>
      </c>
      <c r="B3784" s="1">
        <v>45697</v>
      </c>
      <c r="C3784" s="4">
        <f>MONTH(datos_ventas[[#This Row],[Fecha]])</f>
        <v>2</v>
      </c>
      <c r="D3784" s="4">
        <f>WEEKNUM(datos_ventas[[#This Row],[Fecha]],2)</f>
        <v>6</v>
      </c>
      <c r="E3784" t="s">
        <v>23</v>
      </c>
      <c r="F3784" t="s">
        <v>18</v>
      </c>
      <c r="G3784">
        <v>3</v>
      </c>
      <c r="H3784">
        <v>87313</v>
      </c>
      <c r="I3784">
        <v>2184</v>
      </c>
      <c r="J3784" t="s">
        <v>31</v>
      </c>
      <c r="K3784" t="str">
        <f>_xlfn.XLOOKUP(datos_ventas[[#This Row],[Ciudad]],Tabla2[Ciudades],Tabla2[Provincias],"no se encuentra")</f>
        <v>Vizcaya</v>
      </c>
      <c r="L3784" t="str">
        <f>_xlfn.XLOOKUP(datos_ventas[[#This Row],[Provincia]],Tabla2[Provincias],Tabla2[Comunidades],"no se encuentra")</f>
        <v>País Vasco</v>
      </c>
      <c r="M3784" t="s">
        <v>28</v>
      </c>
      <c r="N3784">
        <v>1</v>
      </c>
    </row>
    <row r="3785" spans="1:14" x14ac:dyDescent="0.25">
      <c r="A3785">
        <v>4784</v>
      </c>
      <c r="B3785" s="1">
        <v>45799</v>
      </c>
      <c r="C3785" s="4">
        <f>MONTH(datos_ventas[[#This Row],[Fecha]])</f>
        <v>5</v>
      </c>
      <c r="D3785" s="4">
        <f>WEEKNUM(datos_ventas[[#This Row],[Fecha]],2)</f>
        <v>21</v>
      </c>
      <c r="E3785" t="s">
        <v>20</v>
      </c>
      <c r="F3785" t="s">
        <v>21</v>
      </c>
      <c r="G3785">
        <v>3</v>
      </c>
      <c r="H3785">
        <v>67908</v>
      </c>
      <c r="I3785">
        <v>2987</v>
      </c>
      <c r="J3785" t="s">
        <v>32</v>
      </c>
      <c r="K3785" t="str">
        <f>_xlfn.XLOOKUP(datos_ventas[[#This Row],[Ciudad]],Tabla2[Ciudades],Tabla2[Provincias],"no se encuentra")</f>
        <v>Barcelona</v>
      </c>
      <c r="L3785" t="str">
        <f>_xlfn.XLOOKUP(datos_ventas[[#This Row],[Provincia]],Tabla2[Provincias],Tabla2[Comunidades],"no se encuentra")</f>
        <v>Cataluña</v>
      </c>
      <c r="M3785" t="s">
        <v>19</v>
      </c>
      <c r="N3785">
        <v>5</v>
      </c>
    </row>
    <row r="3786" spans="1:14" x14ac:dyDescent="0.25">
      <c r="A3786">
        <v>4785</v>
      </c>
      <c r="B3786" s="1">
        <v>45723</v>
      </c>
      <c r="C3786" s="4">
        <f>MONTH(datos_ventas[[#This Row],[Fecha]])</f>
        <v>3</v>
      </c>
      <c r="D3786" s="4">
        <f>WEEKNUM(datos_ventas[[#This Row],[Fecha]],2)</f>
        <v>10</v>
      </c>
      <c r="E3786" t="s">
        <v>10</v>
      </c>
      <c r="F3786" t="s">
        <v>11</v>
      </c>
      <c r="G3786">
        <v>3</v>
      </c>
      <c r="H3786">
        <v>11425</v>
      </c>
      <c r="I3786">
        <v>1733</v>
      </c>
      <c r="J3786" t="s">
        <v>31</v>
      </c>
      <c r="K3786" t="str">
        <f>_xlfn.XLOOKUP(datos_ventas[[#This Row],[Ciudad]],Tabla2[Ciudades],Tabla2[Provincias],"no se encuentra")</f>
        <v>Vizcaya</v>
      </c>
      <c r="L3786" t="str">
        <f>_xlfn.XLOOKUP(datos_ventas[[#This Row],[Provincia]],Tabla2[Provincias],Tabla2[Comunidades],"no se encuentra")</f>
        <v>País Vasco</v>
      </c>
      <c r="M3786" t="s">
        <v>15</v>
      </c>
      <c r="N3786">
        <v>4</v>
      </c>
    </row>
    <row r="3787" spans="1:14" x14ac:dyDescent="0.25">
      <c r="A3787">
        <v>4786</v>
      </c>
      <c r="B3787" s="1">
        <v>46008</v>
      </c>
      <c r="C3787" s="4">
        <f>MONTH(datos_ventas[[#This Row],[Fecha]])</f>
        <v>12</v>
      </c>
      <c r="D3787" s="4">
        <f>WEEKNUM(datos_ventas[[#This Row],[Fecha]],2)</f>
        <v>51</v>
      </c>
      <c r="E3787" t="s">
        <v>24</v>
      </c>
      <c r="F3787" t="s">
        <v>25</v>
      </c>
      <c r="G3787">
        <v>5</v>
      </c>
      <c r="H3787">
        <v>5807</v>
      </c>
      <c r="I3787">
        <v>3934</v>
      </c>
      <c r="J3787" t="s">
        <v>14</v>
      </c>
      <c r="K3787" t="str">
        <f>_xlfn.XLOOKUP(datos_ventas[[#This Row],[Ciudad]],Tabla2[Ciudades],Tabla2[Provincias],"no se encuentra")</f>
        <v>Madrid</v>
      </c>
      <c r="L3787" t="str">
        <f>_xlfn.XLOOKUP(datos_ventas[[#This Row],[Provincia]],Tabla2[Provincias],Tabla2[Comunidades],"no se encuentra")</f>
        <v>Comunidad de Madrid</v>
      </c>
      <c r="M3787" t="s">
        <v>28</v>
      </c>
      <c r="N3787">
        <v>2</v>
      </c>
    </row>
    <row r="3788" spans="1:14" x14ac:dyDescent="0.25">
      <c r="A3788">
        <v>4787</v>
      </c>
      <c r="B3788" s="1">
        <v>45770</v>
      </c>
      <c r="C3788" s="4">
        <f>MONTH(datos_ventas[[#This Row],[Fecha]])</f>
        <v>4</v>
      </c>
      <c r="D3788" s="4">
        <f>WEEKNUM(datos_ventas[[#This Row],[Fecha]],2)</f>
        <v>17</v>
      </c>
      <c r="E3788" t="s">
        <v>23</v>
      </c>
      <c r="F3788" t="s">
        <v>18</v>
      </c>
      <c r="G3788">
        <v>1</v>
      </c>
      <c r="H3788">
        <v>7937</v>
      </c>
      <c r="I3788">
        <v>127</v>
      </c>
      <c r="J3788" t="s">
        <v>14</v>
      </c>
      <c r="K3788" t="str">
        <f>_xlfn.XLOOKUP(datos_ventas[[#This Row],[Ciudad]],Tabla2[Ciudades],Tabla2[Provincias],"no se encuentra")</f>
        <v>Madrid</v>
      </c>
      <c r="L3788" t="str">
        <f>_xlfn.XLOOKUP(datos_ventas[[#This Row],[Provincia]],Tabla2[Provincias],Tabla2[Comunidades],"no se encuentra")</f>
        <v>Comunidad de Madrid</v>
      </c>
      <c r="M3788" t="s">
        <v>13</v>
      </c>
      <c r="N3788">
        <v>3</v>
      </c>
    </row>
    <row r="3789" spans="1:14" x14ac:dyDescent="0.25">
      <c r="A3789">
        <v>4788</v>
      </c>
      <c r="B3789" s="1">
        <v>45882</v>
      </c>
      <c r="C3789" s="4">
        <f>MONTH(datos_ventas[[#This Row],[Fecha]])</f>
        <v>8</v>
      </c>
      <c r="D3789" s="4">
        <f>WEEKNUM(datos_ventas[[#This Row],[Fecha]],2)</f>
        <v>33</v>
      </c>
      <c r="E3789" t="s">
        <v>16</v>
      </c>
      <c r="F3789" t="s">
        <v>11</v>
      </c>
      <c r="G3789">
        <v>5</v>
      </c>
      <c r="H3789">
        <v>20471</v>
      </c>
      <c r="I3789">
        <v>2869</v>
      </c>
      <c r="J3789" t="s">
        <v>22</v>
      </c>
      <c r="K3789" t="str">
        <f>_xlfn.XLOOKUP(datos_ventas[[#This Row],[Ciudad]],Tabla2[Ciudades],Tabla2[Provincias],"no se encuentra")</f>
        <v>Valencia</v>
      </c>
      <c r="L3789" t="str">
        <f>_xlfn.XLOOKUP(datos_ventas[[#This Row],[Provincia]],Tabla2[Provincias],Tabla2[Comunidades],"no se encuentra")</f>
        <v>Comunidad Valenciana</v>
      </c>
      <c r="M3789" t="s">
        <v>13</v>
      </c>
      <c r="N3789">
        <v>1</v>
      </c>
    </row>
    <row r="3790" spans="1:14" x14ac:dyDescent="0.25">
      <c r="A3790">
        <v>4789</v>
      </c>
      <c r="B3790" s="1">
        <v>45752</v>
      </c>
      <c r="C3790" s="4">
        <f>MONTH(datos_ventas[[#This Row],[Fecha]])</f>
        <v>4</v>
      </c>
      <c r="D3790" s="4">
        <f>WEEKNUM(datos_ventas[[#This Row],[Fecha]],2)</f>
        <v>14</v>
      </c>
      <c r="E3790" t="s">
        <v>20</v>
      </c>
      <c r="F3790" t="s">
        <v>21</v>
      </c>
      <c r="G3790">
        <v>4</v>
      </c>
      <c r="H3790">
        <v>27051</v>
      </c>
      <c r="I3790">
        <v>4752</v>
      </c>
      <c r="J3790" t="s">
        <v>22</v>
      </c>
      <c r="K3790" t="str">
        <f>_xlfn.XLOOKUP(datos_ventas[[#This Row],[Ciudad]],Tabla2[Ciudades],Tabla2[Provincias],"no se encuentra")</f>
        <v>Valencia</v>
      </c>
      <c r="L3790" t="str">
        <f>_xlfn.XLOOKUP(datos_ventas[[#This Row],[Provincia]],Tabla2[Provincias],Tabla2[Comunidades],"no se encuentra")</f>
        <v>Comunidad Valenciana</v>
      </c>
      <c r="M3790" t="s">
        <v>15</v>
      </c>
      <c r="N3790">
        <v>2</v>
      </c>
    </row>
    <row r="3791" spans="1:14" x14ac:dyDescent="0.25">
      <c r="A3791">
        <v>4790</v>
      </c>
      <c r="B3791" s="1">
        <v>45904</v>
      </c>
      <c r="C3791" s="4">
        <f>MONTH(datos_ventas[[#This Row],[Fecha]])</f>
        <v>9</v>
      </c>
      <c r="D3791" s="4">
        <f>WEEKNUM(datos_ventas[[#This Row],[Fecha]],2)</f>
        <v>36</v>
      </c>
      <c r="E3791" t="s">
        <v>29</v>
      </c>
      <c r="F3791" t="s">
        <v>30</v>
      </c>
      <c r="G3791">
        <v>5</v>
      </c>
      <c r="H3791">
        <v>6973</v>
      </c>
      <c r="I3791">
        <v>409</v>
      </c>
      <c r="J3791" t="s">
        <v>12</v>
      </c>
      <c r="K3791" t="str">
        <f>_xlfn.XLOOKUP(datos_ventas[[#This Row],[Ciudad]],Tabla2[Ciudades],Tabla2[Provincias],"no se encuentra")</f>
        <v>Málaga</v>
      </c>
      <c r="L3791" t="str">
        <f>_xlfn.XLOOKUP(datos_ventas[[#This Row],[Provincia]],Tabla2[Provincias],Tabla2[Comunidades],"no se encuentra")</f>
        <v>Andalucía</v>
      </c>
      <c r="M3791" t="s">
        <v>19</v>
      </c>
      <c r="N3791">
        <v>5</v>
      </c>
    </row>
    <row r="3792" spans="1:14" x14ac:dyDescent="0.25">
      <c r="A3792">
        <v>4791</v>
      </c>
      <c r="B3792" s="1">
        <v>45839</v>
      </c>
      <c r="C3792" s="4">
        <f>MONTH(datos_ventas[[#This Row],[Fecha]])</f>
        <v>7</v>
      </c>
      <c r="D3792" s="4">
        <f>WEEKNUM(datos_ventas[[#This Row],[Fecha]],2)</f>
        <v>27</v>
      </c>
      <c r="E3792" t="s">
        <v>29</v>
      </c>
      <c r="F3792" t="s">
        <v>30</v>
      </c>
      <c r="G3792">
        <v>4</v>
      </c>
      <c r="H3792">
        <v>86469</v>
      </c>
      <c r="I3792">
        <v>3254</v>
      </c>
      <c r="J3792" t="s">
        <v>12</v>
      </c>
      <c r="K3792" t="str">
        <f>_xlfn.XLOOKUP(datos_ventas[[#This Row],[Ciudad]],Tabla2[Ciudades],Tabla2[Provincias],"no se encuentra")</f>
        <v>Málaga</v>
      </c>
      <c r="L3792" t="str">
        <f>_xlfn.XLOOKUP(datos_ventas[[#This Row],[Provincia]],Tabla2[Provincias],Tabla2[Comunidades],"no se encuentra")</f>
        <v>Andalucía</v>
      </c>
      <c r="M3792" t="s">
        <v>19</v>
      </c>
      <c r="N3792">
        <v>3</v>
      </c>
    </row>
    <row r="3793" spans="1:14" x14ac:dyDescent="0.25">
      <c r="A3793">
        <v>4792</v>
      </c>
      <c r="B3793" s="1">
        <v>45993</v>
      </c>
      <c r="C3793" s="4">
        <f>MONTH(datos_ventas[[#This Row],[Fecha]])</f>
        <v>12</v>
      </c>
      <c r="D3793" s="4">
        <f>WEEKNUM(datos_ventas[[#This Row],[Fecha]],2)</f>
        <v>49</v>
      </c>
      <c r="E3793" t="s">
        <v>10</v>
      </c>
      <c r="F3793" t="s">
        <v>11</v>
      </c>
      <c r="G3793">
        <v>2</v>
      </c>
      <c r="H3793">
        <v>112321</v>
      </c>
      <c r="I3793">
        <v>3675</v>
      </c>
      <c r="J3793" t="s">
        <v>22</v>
      </c>
      <c r="K3793" t="str">
        <f>_xlfn.XLOOKUP(datos_ventas[[#This Row],[Ciudad]],Tabla2[Ciudades],Tabla2[Provincias],"no se encuentra")</f>
        <v>Valencia</v>
      </c>
      <c r="L3793" t="str">
        <f>_xlfn.XLOOKUP(datos_ventas[[#This Row],[Provincia]],Tabla2[Provincias],Tabla2[Comunidades],"no se encuentra")</f>
        <v>Comunidad Valenciana</v>
      </c>
      <c r="M3793" t="s">
        <v>15</v>
      </c>
      <c r="N3793">
        <v>1</v>
      </c>
    </row>
    <row r="3794" spans="1:14" x14ac:dyDescent="0.25">
      <c r="A3794">
        <v>4793</v>
      </c>
      <c r="B3794" s="1">
        <v>45693</v>
      </c>
      <c r="C3794" s="4">
        <f>MONTH(datos_ventas[[#This Row],[Fecha]])</f>
        <v>2</v>
      </c>
      <c r="D3794" s="4">
        <f>WEEKNUM(datos_ventas[[#This Row],[Fecha]],2)</f>
        <v>6</v>
      </c>
      <c r="E3794" t="s">
        <v>26</v>
      </c>
      <c r="F3794" t="s">
        <v>18</v>
      </c>
      <c r="G3794">
        <v>1</v>
      </c>
      <c r="H3794">
        <v>94537</v>
      </c>
      <c r="I3794">
        <v>4238</v>
      </c>
      <c r="J3794" t="s">
        <v>27</v>
      </c>
      <c r="K3794" t="str">
        <f>_xlfn.XLOOKUP(datos_ventas[[#This Row],[Ciudad]],Tabla2[Ciudades],Tabla2[Provincias],"no se encuentra")</f>
        <v>Sevilla</v>
      </c>
      <c r="L3794" t="str">
        <f>_xlfn.XLOOKUP(datos_ventas[[#This Row],[Provincia]],Tabla2[Provincias],Tabla2[Comunidades],"no se encuentra")</f>
        <v>Andalucía</v>
      </c>
      <c r="M3794" t="s">
        <v>15</v>
      </c>
      <c r="N3794">
        <v>2</v>
      </c>
    </row>
    <row r="3795" spans="1:14" x14ac:dyDescent="0.25">
      <c r="A3795">
        <v>4794</v>
      </c>
      <c r="B3795" s="1">
        <v>45939</v>
      </c>
      <c r="C3795" s="4">
        <f>MONTH(datos_ventas[[#This Row],[Fecha]])</f>
        <v>10</v>
      </c>
      <c r="D3795" s="4">
        <f>WEEKNUM(datos_ventas[[#This Row],[Fecha]],2)</f>
        <v>41</v>
      </c>
      <c r="E3795" t="s">
        <v>26</v>
      </c>
      <c r="F3795" t="s">
        <v>18</v>
      </c>
      <c r="G3795">
        <v>3</v>
      </c>
      <c r="H3795">
        <v>11235</v>
      </c>
      <c r="I3795">
        <v>191</v>
      </c>
      <c r="J3795" t="s">
        <v>22</v>
      </c>
      <c r="K3795" t="str">
        <f>_xlfn.XLOOKUP(datos_ventas[[#This Row],[Ciudad]],Tabla2[Ciudades],Tabla2[Provincias],"no se encuentra")</f>
        <v>Valencia</v>
      </c>
      <c r="L3795" t="str">
        <f>_xlfn.XLOOKUP(datos_ventas[[#This Row],[Provincia]],Tabla2[Provincias],Tabla2[Comunidades],"no se encuentra")</f>
        <v>Comunidad Valenciana</v>
      </c>
      <c r="M3795" t="s">
        <v>13</v>
      </c>
      <c r="N3795">
        <v>1</v>
      </c>
    </row>
    <row r="3796" spans="1:14" x14ac:dyDescent="0.25">
      <c r="A3796">
        <v>4795</v>
      </c>
      <c r="B3796" s="1">
        <v>45969</v>
      </c>
      <c r="C3796" s="4">
        <f>MONTH(datos_ventas[[#This Row],[Fecha]])</f>
        <v>11</v>
      </c>
      <c r="D3796" s="4">
        <f>WEEKNUM(datos_ventas[[#This Row],[Fecha]],2)</f>
        <v>45</v>
      </c>
      <c r="E3796" t="s">
        <v>20</v>
      </c>
      <c r="F3796" t="s">
        <v>21</v>
      </c>
      <c r="G3796">
        <v>3</v>
      </c>
      <c r="H3796">
        <v>24711</v>
      </c>
      <c r="I3796">
        <v>2723</v>
      </c>
      <c r="J3796" t="s">
        <v>14</v>
      </c>
      <c r="K3796" t="str">
        <f>_xlfn.XLOOKUP(datos_ventas[[#This Row],[Ciudad]],Tabla2[Ciudades],Tabla2[Provincias],"no se encuentra")</f>
        <v>Madrid</v>
      </c>
      <c r="L3796" t="str">
        <f>_xlfn.XLOOKUP(datos_ventas[[#This Row],[Provincia]],Tabla2[Provincias],Tabla2[Comunidades],"no se encuentra")</f>
        <v>Comunidad de Madrid</v>
      </c>
      <c r="M3796" t="s">
        <v>28</v>
      </c>
      <c r="N3796">
        <v>1</v>
      </c>
    </row>
    <row r="3797" spans="1:14" x14ac:dyDescent="0.25">
      <c r="A3797">
        <v>4796</v>
      </c>
      <c r="B3797" s="1">
        <v>45964</v>
      </c>
      <c r="C3797" s="4">
        <f>MONTH(datos_ventas[[#This Row],[Fecha]])</f>
        <v>11</v>
      </c>
      <c r="D3797" s="4">
        <f>WEEKNUM(datos_ventas[[#This Row],[Fecha]],2)</f>
        <v>45</v>
      </c>
      <c r="E3797" t="s">
        <v>26</v>
      </c>
      <c r="F3797" t="s">
        <v>18</v>
      </c>
      <c r="G3797">
        <v>3</v>
      </c>
      <c r="H3797">
        <v>3923</v>
      </c>
      <c r="I3797">
        <v>4086</v>
      </c>
      <c r="J3797" t="s">
        <v>31</v>
      </c>
      <c r="K3797" t="str">
        <f>_xlfn.XLOOKUP(datos_ventas[[#This Row],[Ciudad]],Tabla2[Ciudades],Tabla2[Provincias],"no se encuentra")</f>
        <v>Vizcaya</v>
      </c>
      <c r="L3797" t="str">
        <f>_xlfn.XLOOKUP(datos_ventas[[#This Row],[Provincia]],Tabla2[Provincias],Tabla2[Comunidades],"no se encuentra")</f>
        <v>País Vasco</v>
      </c>
      <c r="M3797" t="s">
        <v>13</v>
      </c>
      <c r="N3797">
        <v>3</v>
      </c>
    </row>
    <row r="3798" spans="1:14" x14ac:dyDescent="0.25">
      <c r="A3798">
        <v>4797</v>
      </c>
      <c r="B3798" s="1">
        <v>45873</v>
      </c>
      <c r="C3798" s="4">
        <f>MONTH(datos_ventas[[#This Row],[Fecha]])</f>
        <v>8</v>
      </c>
      <c r="D3798" s="4">
        <f>WEEKNUM(datos_ventas[[#This Row],[Fecha]],2)</f>
        <v>32</v>
      </c>
      <c r="E3798" t="s">
        <v>17</v>
      </c>
      <c r="F3798" t="s">
        <v>18</v>
      </c>
      <c r="G3798">
        <v>2</v>
      </c>
      <c r="H3798">
        <v>104824</v>
      </c>
      <c r="I3798">
        <v>651</v>
      </c>
      <c r="J3798" t="s">
        <v>31</v>
      </c>
      <c r="K3798" t="str">
        <f>_xlfn.XLOOKUP(datos_ventas[[#This Row],[Ciudad]],Tabla2[Ciudades],Tabla2[Provincias],"no se encuentra")</f>
        <v>Vizcaya</v>
      </c>
      <c r="L3798" t="str">
        <f>_xlfn.XLOOKUP(datos_ventas[[#This Row],[Provincia]],Tabla2[Provincias],Tabla2[Comunidades],"no se encuentra")</f>
        <v>País Vasco</v>
      </c>
      <c r="M3798" t="s">
        <v>28</v>
      </c>
      <c r="N3798">
        <v>3</v>
      </c>
    </row>
    <row r="3799" spans="1:14" x14ac:dyDescent="0.25">
      <c r="A3799">
        <v>4798</v>
      </c>
      <c r="B3799" s="1">
        <v>45898</v>
      </c>
      <c r="C3799" s="4">
        <f>MONTH(datos_ventas[[#This Row],[Fecha]])</f>
        <v>8</v>
      </c>
      <c r="D3799" s="4">
        <f>WEEKNUM(datos_ventas[[#This Row],[Fecha]],2)</f>
        <v>35</v>
      </c>
      <c r="E3799" t="s">
        <v>23</v>
      </c>
      <c r="F3799" t="s">
        <v>18</v>
      </c>
      <c r="G3799">
        <v>4</v>
      </c>
      <c r="H3799">
        <v>70758</v>
      </c>
      <c r="I3799">
        <v>3088</v>
      </c>
      <c r="J3799" t="s">
        <v>31</v>
      </c>
      <c r="K3799" t="str">
        <f>_xlfn.XLOOKUP(datos_ventas[[#This Row],[Ciudad]],Tabla2[Ciudades],Tabla2[Provincias],"no se encuentra")</f>
        <v>Vizcaya</v>
      </c>
      <c r="L3799" t="str">
        <f>_xlfn.XLOOKUP(datos_ventas[[#This Row],[Provincia]],Tabla2[Provincias],Tabla2[Comunidades],"no se encuentra")</f>
        <v>País Vasco</v>
      </c>
      <c r="M3799" t="s">
        <v>13</v>
      </c>
      <c r="N3799">
        <v>5</v>
      </c>
    </row>
    <row r="3800" spans="1:14" x14ac:dyDescent="0.25">
      <c r="A3800">
        <v>4799</v>
      </c>
      <c r="B3800" s="1">
        <v>45839</v>
      </c>
      <c r="C3800" s="4">
        <f>MONTH(datos_ventas[[#This Row],[Fecha]])</f>
        <v>7</v>
      </c>
      <c r="D3800" s="4">
        <f>WEEKNUM(datos_ventas[[#This Row],[Fecha]],2)</f>
        <v>27</v>
      </c>
      <c r="E3800" t="s">
        <v>17</v>
      </c>
      <c r="F3800" t="s">
        <v>18</v>
      </c>
      <c r="G3800">
        <v>2</v>
      </c>
      <c r="H3800">
        <v>87712</v>
      </c>
      <c r="I3800">
        <v>3787</v>
      </c>
      <c r="J3800" t="s">
        <v>14</v>
      </c>
      <c r="K3800" t="str">
        <f>_xlfn.XLOOKUP(datos_ventas[[#This Row],[Ciudad]],Tabla2[Ciudades],Tabla2[Provincias],"no se encuentra")</f>
        <v>Madrid</v>
      </c>
      <c r="L3800" t="str">
        <f>_xlfn.XLOOKUP(datos_ventas[[#This Row],[Provincia]],Tabla2[Provincias],Tabla2[Comunidades],"no se encuentra")</f>
        <v>Comunidad de Madrid</v>
      </c>
      <c r="M3800" t="s">
        <v>15</v>
      </c>
      <c r="N3800">
        <v>1</v>
      </c>
    </row>
    <row r="3801" spans="1:14" x14ac:dyDescent="0.25">
      <c r="A3801">
        <v>4800</v>
      </c>
      <c r="B3801" s="1">
        <v>45962</v>
      </c>
      <c r="C3801" s="4">
        <f>MONTH(datos_ventas[[#This Row],[Fecha]])</f>
        <v>11</v>
      </c>
      <c r="D3801" s="4">
        <f>WEEKNUM(datos_ventas[[#This Row],[Fecha]],2)</f>
        <v>44</v>
      </c>
      <c r="E3801" t="s">
        <v>24</v>
      </c>
      <c r="F3801" t="s">
        <v>25</v>
      </c>
      <c r="G3801">
        <v>3</v>
      </c>
      <c r="H3801">
        <v>55111</v>
      </c>
      <c r="I3801">
        <v>2848</v>
      </c>
      <c r="J3801" t="s">
        <v>32</v>
      </c>
      <c r="K3801" t="str">
        <f>_xlfn.XLOOKUP(datos_ventas[[#This Row],[Ciudad]],Tabla2[Ciudades],Tabla2[Provincias],"no se encuentra")</f>
        <v>Barcelona</v>
      </c>
      <c r="L3801" t="str">
        <f>_xlfn.XLOOKUP(datos_ventas[[#This Row],[Provincia]],Tabla2[Provincias],Tabla2[Comunidades],"no se encuentra")</f>
        <v>Cataluña</v>
      </c>
      <c r="M3801" t="s">
        <v>19</v>
      </c>
      <c r="N3801">
        <v>2</v>
      </c>
    </row>
    <row r="3802" spans="1:14" x14ac:dyDescent="0.25">
      <c r="A3802">
        <v>4801</v>
      </c>
      <c r="B3802" s="1">
        <v>45955</v>
      </c>
      <c r="C3802" s="4">
        <f>MONTH(datos_ventas[[#This Row],[Fecha]])</f>
        <v>10</v>
      </c>
      <c r="D3802" s="4">
        <f>WEEKNUM(datos_ventas[[#This Row],[Fecha]],2)</f>
        <v>43</v>
      </c>
      <c r="E3802" t="s">
        <v>26</v>
      </c>
      <c r="F3802" t="s">
        <v>18</v>
      </c>
      <c r="G3802">
        <v>5</v>
      </c>
      <c r="H3802">
        <v>25749</v>
      </c>
      <c r="I3802">
        <v>1914</v>
      </c>
      <c r="J3802" t="s">
        <v>14</v>
      </c>
      <c r="K3802" t="str">
        <f>_xlfn.XLOOKUP(datos_ventas[[#This Row],[Ciudad]],Tabla2[Ciudades],Tabla2[Provincias],"no se encuentra")</f>
        <v>Madrid</v>
      </c>
      <c r="L3802" t="str">
        <f>_xlfn.XLOOKUP(datos_ventas[[#This Row],[Provincia]],Tabla2[Provincias],Tabla2[Comunidades],"no se encuentra")</f>
        <v>Comunidad de Madrid</v>
      </c>
      <c r="M3802" t="s">
        <v>13</v>
      </c>
      <c r="N3802">
        <v>3</v>
      </c>
    </row>
    <row r="3803" spans="1:14" x14ac:dyDescent="0.25">
      <c r="A3803">
        <v>4802</v>
      </c>
      <c r="B3803" s="1">
        <v>45689</v>
      </c>
      <c r="C3803" s="4">
        <f>MONTH(datos_ventas[[#This Row],[Fecha]])</f>
        <v>2</v>
      </c>
      <c r="D3803" s="4">
        <f>WEEKNUM(datos_ventas[[#This Row],[Fecha]],2)</f>
        <v>5</v>
      </c>
      <c r="E3803" t="s">
        <v>26</v>
      </c>
      <c r="F3803" t="s">
        <v>18</v>
      </c>
      <c r="G3803">
        <v>2</v>
      </c>
      <c r="H3803">
        <v>63319</v>
      </c>
      <c r="I3803">
        <v>2122</v>
      </c>
      <c r="J3803" t="s">
        <v>32</v>
      </c>
      <c r="K3803" t="str">
        <f>_xlfn.XLOOKUP(datos_ventas[[#This Row],[Ciudad]],Tabla2[Ciudades],Tabla2[Provincias],"no se encuentra")</f>
        <v>Barcelona</v>
      </c>
      <c r="L3803" t="str">
        <f>_xlfn.XLOOKUP(datos_ventas[[#This Row],[Provincia]],Tabla2[Provincias],Tabla2[Comunidades],"no se encuentra")</f>
        <v>Cataluña</v>
      </c>
      <c r="M3803" t="s">
        <v>19</v>
      </c>
      <c r="N3803">
        <v>1</v>
      </c>
    </row>
    <row r="3804" spans="1:14" x14ac:dyDescent="0.25">
      <c r="A3804">
        <v>4803</v>
      </c>
      <c r="B3804" s="1">
        <v>45777</v>
      </c>
      <c r="C3804" s="4">
        <f>MONTH(datos_ventas[[#This Row],[Fecha]])</f>
        <v>4</v>
      </c>
      <c r="D3804" s="4">
        <f>WEEKNUM(datos_ventas[[#This Row],[Fecha]],2)</f>
        <v>18</v>
      </c>
      <c r="E3804" t="s">
        <v>10</v>
      </c>
      <c r="F3804" t="s">
        <v>11</v>
      </c>
      <c r="G3804">
        <v>4</v>
      </c>
      <c r="H3804">
        <v>36872</v>
      </c>
      <c r="I3804">
        <v>268</v>
      </c>
      <c r="J3804" t="s">
        <v>32</v>
      </c>
      <c r="K3804" t="str">
        <f>_xlfn.XLOOKUP(datos_ventas[[#This Row],[Ciudad]],Tabla2[Ciudades],Tabla2[Provincias],"no se encuentra")</f>
        <v>Barcelona</v>
      </c>
      <c r="L3804" t="str">
        <f>_xlfn.XLOOKUP(datos_ventas[[#This Row],[Provincia]],Tabla2[Provincias],Tabla2[Comunidades],"no se encuentra")</f>
        <v>Cataluña</v>
      </c>
      <c r="M3804" t="s">
        <v>15</v>
      </c>
      <c r="N3804">
        <v>2</v>
      </c>
    </row>
    <row r="3805" spans="1:14" x14ac:dyDescent="0.25">
      <c r="A3805">
        <v>4804</v>
      </c>
      <c r="B3805" s="1">
        <v>45841</v>
      </c>
      <c r="C3805" s="4">
        <f>MONTH(datos_ventas[[#This Row],[Fecha]])</f>
        <v>7</v>
      </c>
      <c r="D3805" s="4">
        <f>WEEKNUM(datos_ventas[[#This Row],[Fecha]],2)</f>
        <v>27</v>
      </c>
      <c r="E3805" t="s">
        <v>23</v>
      </c>
      <c r="F3805" t="s">
        <v>18</v>
      </c>
      <c r="G3805">
        <v>1</v>
      </c>
      <c r="H3805">
        <v>35955</v>
      </c>
      <c r="I3805">
        <v>1846</v>
      </c>
      <c r="J3805" t="s">
        <v>27</v>
      </c>
      <c r="K3805" t="str">
        <f>_xlfn.XLOOKUP(datos_ventas[[#This Row],[Ciudad]],Tabla2[Ciudades],Tabla2[Provincias],"no se encuentra")</f>
        <v>Sevilla</v>
      </c>
      <c r="L3805" t="str">
        <f>_xlfn.XLOOKUP(datos_ventas[[#This Row],[Provincia]],Tabla2[Provincias],Tabla2[Comunidades],"no se encuentra")</f>
        <v>Andalucía</v>
      </c>
      <c r="M3805" t="s">
        <v>28</v>
      </c>
      <c r="N3805">
        <v>4</v>
      </c>
    </row>
    <row r="3806" spans="1:14" x14ac:dyDescent="0.25">
      <c r="A3806">
        <v>4805</v>
      </c>
      <c r="B3806" s="1">
        <v>45935</v>
      </c>
      <c r="C3806" s="4">
        <f>MONTH(datos_ventas[[#This Row],[Fecha]])</f>
        <v>10</v>
      </c>
      <c r="D3806" s="4">
        <f>WEEKNUM(datos_ventas[[#This Row],[Fecha]],2)</f>
        <v>40</v>
      </c>
      <c r="E3806" t="s">
        <v>10</v>
      </c>
      <c r="F3806" t="s">
        <v>11</v>
      </c>
      <c r="G3806">
        <v>5</v>
      </c>
      <c r="H3806">
        <v>25513</v>
      </c>
      <c r="I3806">
        <v>3263</v>
      </c>
      <c r="J3806" t="s">
        <v>31</v>
      </c>
      <c r="K3806" t="str">
        <f>_xlfn.XLOOKUP(datos_ventas[[#This Row],[Ciudad]],Tabla2[Ciudades],Tabla2[Provincias],"no se encuentra")</f>
        <v>Vizcaya</v>
      </c>
      <c r="L3806" t="str">
        <f>_xlfn.XLOOKUP(datos_ventas[[#This Row],[Provincia]],Tabla2[Provincias],Tabla2[Comunidades],"no se encuentra")</f>
        <v>País Vasco</v>
      </c>
      <c r="M3806" t="s">
        <v>15</v>
      </c>
      <c r="N3806">
        <v>5</v>
      </c>
    </row>
    <row r="3807" spans="1:14" x14ac:dyDescent="0.25">
      <c r="A3807">
        <v>4806</v>
      </c>
      <c r="B3807" s="1">
        <v>45919</v>
      </c>
      <c r="C3807" s="4">
        <f>MONTH(datos_ventas[[#This Row],[Fecha]])</f>
        <v>9</v>
      </c>
      <c r="D3807" s="4">
        <f>WEEKNUM(datos_ventas[[#This Row],[Fecha]],2)</f>
        <v>38</v>
      </c>
      <c r="E3807" t="s">
        <v>17</v>
      </c>
      <c r="F3807" t="s">
        <v>18</v>
      </c>
      <c r="G3807">
        <v>2</v>
      </c>
      <c r="H3807">
        <v>20794</v>
      </c>
      <c r="I3807">
        <v>2135</v>
      </c>
      <c r="J3807" t="s">
        <v>14</v>
      </c>
      <c r="K3807" t="str">
        <f>_xlfn.XLOOKUP(datos_ventas[[#This Row],[Ciudad]],Tabla2[Ciudades],Tabla2[Provincias],"no se encuentra")</f>
        <v>Madrid</v>
      </c>
      <c r="L3807" t="str">
        <f>_xlfn.XLOOKUP(datos_ventas[[#This Row],[Provincia]],Tabla2[Provincias],Tabla2[Comunidades],"no se encuentra")</f>
        <v>Comunidad de Madrid</v>
      </c>
      <c r="M3807" t="s">
        <v>19</v>
      </c>
      <c r="N3807">
        <v>2</v>
      </c>
    </row>
    <row r="3808" spans="1:14" x14ac:dyDescent="0.25">
      <c r="A3808">
        <v>4807</v>
      </c>
      <c r="B3808" s="1">
        <v>45806</v>
      </c>
      <c r="C3808" s="4">
        <f>MONTH(datos_ventas[[#This Row],[Fecha]])</f>
        <v>5</v>
      </c>
      <c r="D3808" s="4">
        <f>WEEKNUM(datos_ventas[[#This Row],[Fecha]],2)</f>
        <v>22</v>
      </c>
      <c r="E3808" t="s">
        <v>23</v>
      </c>
      <c r="F3808" t="s">
        <v>18</v>
      </c>
      <c r="G3808">
        <v>4</v>
      </c>
      <c r="H3808">
        <v>37067</v>
      </c>
      <c r="I3808">
        <v>2919</v>
      </c>
      <c r="J3808" t="s">
        <v>14</v>
      </c>
      <c r="K3808" t="str">
        <f>_xlfn.XLOOKUP(datos_ventas[[#This Row],[Ciudad]],Tabla2[Ciudades],Tabla2[Provincias],"no se encuentra")</f>
        <v>Madrid</v>
      </c>
      <c r="L3808" t="str">
        <f>_xlfn.XLOOKUP(datos_ventas[[#This Row],[Provincia]],Tabla2[Provincias],Tabla2[Comunidades],"no se encuentra")</f>
        <v>Comunidad de Madrid</v>
      </c>
      <c r="M3808" t="s">
        <v>13</v>
      </c>
      <c r="N3808">
        <v>2</v>
      </c>
    </row>
    <row r="3809" spans="1:14" x14ac:dyDescent="0.25">
      <c r="A3809">
        <v>4808</v>
      </c>
      <c r="B3809" s="1">
        <v>45880</v>
      </c>
      <c r="C3809" s="4">
        <f>MONTH(datos_ventas[[#This Row],[Fecha]])</f>
        <v>8</v>
      </c>
      <c r="D3809" s="4">
        <f>WEEKNUM(datos_ventas[[#This Row],[Fecha]],2)</f>
        <v>33</v>
      </c>
      <c r="E3809" t="s">
        <v>20</v>
      </c>
      <c r="F3809" t="s">
        <v>21</v>
      </c>
      <c r="G3809">
        <v>5</v>
      </c>
      <c r="H3809">
        <v>100361</v>
      </c>
      <c r="I3809">
        <v>215</v>
      </c>
      <c r="J3809" t="s">
        <v>31</v>
      </c>
      <c r="K3809" t="str">
        <f>_xlfn.XLOOKUP(datos_ventas[[#This Row],[Ciudad]],Tabla2[Ciudades],Tabla2[Provincias],"no se encuentra")</f>
        <v>Vizcaya</v>
      </c>
      <c r="L3809" t="str">
        <f>_xlfn.XLOOKUP(datos_ventas[[#This Row],[Provincia]],Tabla2[Provincias],Tabla2[Comunidades],"no se encuentra")</f>
        <v>País Vasco</v>
      </c>
      <c r="M3809" t="s">
        <v>19</v>
      </c>
      <c r="N3809">
        <v>3</v>
      </c>
    </row>
    <row r="3810" spans="1:14" x14ac:dyDescent="0.25">
      <c r="A3810">
        <v>4809</v>
      </c>
      <c r="B3810" s="1">
        <v>45740</v>
      </c>
      <c r="C3810" s="4">
        <f>MONTH(datos_ventas[[#This Row],[Fecha]])</f>
        <v>3</v>
      </c>
      <c r="D3810" s="4">
        <f>WEEKNUM(datos_ventas[[#This Row],[Fecha]],2)</f>
        <v>13</v>
      </c>
      <c r="E3810" t="s">
        <v>24</v>
      </c>
      <c r="F3810" t="s">
        <v>25</v>
      </c>
      <c r="G3810">
        <v>2</v>
      </c>
      <c r="H3810">
        <v>24346</v>
      </c>
      <c r="I3810">
        <v>786</v>
      </c>
      <c r="J3810" t="s">
        <v>12</v>
      </c>
      <c r="K3810" t="str">
        <f>_xlfn.XLOOKUP(datos_ventas[[#This Row],[Ciudad]],Tabla2[Ciudades],Tabla2[Provincias],"no se encuentra")</f>
        <v>Málaga</v>
      </c>
      <c r="L3810" t="str">
        <f>_xlfn.XLOOKUP(datos_ventas[[#This Row],[Provincia]],Tabla2[Provincias],Tabla2[Comunidades],"no se encuentra")</f>
        <v>Andalucía</v>
      </c>
      <c r="M3810" t="s">
        <v>15</v>
      </c>
      <c r="N3810">
        <v>3</v>
      </c>
    </row>
    <row r="3811" spans="1:14" x14ac:dyDescent="0.25">
      <c r="A3811">
        <v>4810</v>
      </c>
      <c r="B3811" s="1">
        <v>45795</v>
      </c>
      <c r="C3811" s="4">
        <f>MONTH(datos_ventas[[#This Row],[Fecha]])</f>
        <v>5</v>
      </c>
      <c r="D3811" s="4">
        <f>WEEKNUM(datos_ventas[[#This Row],[Fecha]],2)</f>
        <v>20</v>
      </c>
      <c r="E3811" t="s">
        <v>24</v>
      </c>
      <c r="F3811" t="s">
        <v>25</v>
      </c>
      <c r="G3811">
        <v>3</v>
      </c>
      <c r="H3811">
        <v>60101</v>
      </c>
      <c r="I3811">
        <v>2846</v>
      </c>
      <c r="J3811" t="s">
        <v>32</v>
      </c>
      <c r="K3811" t="str">
        <f>_xlfn.XLOOKUP(datos_ventas[[#This Row],[Ciudad]],Tabla2[Ciudades],Tabla2[Provincias],"no se encuentra")</f>
        <v>Barcelona</v>
      </c>
      <c r="L3811" t="str">
        <f>_xlfn.XLOOKUP(datos_ventas[[#This Row],[Provincia]],Tabla2[Provincias],Tabla2[Comunidades],"no se encuentra")</f>
        <v>Cataluña</v>
      </c>
      <c r="M3811" t="s">
        <v>13</v>
      </c>
      <c r="N3811">
        <v>1</v>
      </c>
    </row>
    <row r="3812" spans="1:14" x14ac:dyDescent="0.25">
      <c r="A3812">
        <v>4811</v>
      </c>
      <c r="B3812" s="1">
        <v>45880</v>
      </c>
      <c r="C3812" s="4">
        <f>MONTH(datos_ventas[[#This Row],[Fecha]])</f>
        <v>8</v>
      </c>
      <c r="D3812" s="4">
        <f>WEEKNUM(datos_ventas[[#This Row],[Fecha]],2)</f>
        <v>33</v>
      </c>
      <c r="E3812" t="s">
        <v>24</v>
      </c>
      <c r="F3812" t="s">
        <v>25</v>
      </c>
      <c r="G3812">
        <v>5</v>
      </c>
      <c r="H3812">
        <v>99354</v>
      </c>
      <c r="I3812">
        <v>1096</v>
      </c>
      <c r="J3812" t="s">
        <v>31</v>
      </c>
      <c r="K3812" t="str">
        <f>_xlfn.XLOOKUP(datos_ventas[[#This Row],[Ciudad]],Tabla2[Ciudades],Tabla2[Provincias],"no se encuentra")</f>
        <v>Vizcaya</v>
      </c>
      <c r="L3812" t="str">
        <f>_xlfn.XLOOKUP(datos_ventas[[#This Row],[Provincia]],Tabla2[Provincias],Tabla2[Comunidades],"no se encuentra")</f>
        <v>País Vasco</v>
      </c>
      <c r="M3812" t="s">
        <v>15</v>
      </c>
      <c r="N3812">
        <v>1</v>
      </c>
    </row>
    <row r="3813" spans="1:14" x14ac:dyDescent="0.25">
      <c r="A3813">
        <v>4812</v>
      </c>
      <c r="B3813" s="1">
        <v>45991</v>
      </c>
      <c r="C3813" s="4">
        <f>MONTH(datos_ventas[[#This Row],[Fecha]])</f>
        <v>11</v>
      </c>
      <c r="D3813" s="4">
        <f>WEEKNUM(datos_ventas[[#This Row],[Fecha]],2)</f>
        <v>48</v>
      </c>
      <c r="E3813" t="s">
        <v>10</v>
      </c>
      <c r="F3813" t="s">
        <v>11</v>
      </c>
      <c r="G3813">
        <v>3</v>
      </c>
      <c r="H3813">
        <v>62684</v>
      </c>
      <c r="I3813">
        <v>3743</v>
      </c>
      <c r="J3813" t="s">
        <v>12</v>
      </c>
      <c r="K3813" t="str">
        <f>_xlfn.XLOOKUP(datos_ventas[[#This Row],[Ciudad]],Tabla2[Ciudades],Tabla2[Provincias],"no se encuentra")</f>
        <v>Málaga</v>
      </c>
      <c r="L3813" t="str">
        <f>_xlfn.XLOOKUP(datos_ventas[[#This Row],[Provincia]],Tabla2[Provincias],Tabla2[Comunidades],"no se encuentra")</f>
        <v>Andalucía</v>
      </c>
      <c r="M3813" t="s">
        <v>28</v>
      </c>
      <c r="N3813">
        <v>5</v>
      </c>
    </row>
    <row r="3814" spans="1:14" x14ac:dyDescent="0.25">
      <c r="A3814">
        <v>4813</v>
      </c>
      <c r="B3814" s="1">
        <v>45695</v>
      </c>
      <c r="C3814" s="4">
        <f>MONTH(datos_ventas[[#This Row],[Fecha]])</f>
        <v>2</v>
      </c>
      <c r="D3814" s="4">
        <f>WEEKNUM(datos_ventas[[#This Row],[Fecha]],2)</f>
        <v>6</v>
      </c>
      <c r="E3814" t="s">
        <v>23</v>
      </c>
      <c r="F3814" t="s">
        <v>18</v>
      </c>
      <c r="G3814">
        <v>1</v>
      </c>
      <c r="H3814">
        <v>5751</v>
      </c>
      <c r="I3814">
        <v>3784</v>
      </c>
      <c r="J3814" t="s">
        <v>12</v>
      </c>
      <c r="K3814" t="str">
        <f>_xlfn.XLOOKUP(datos_ventas[[#This Row],[Ciudad]],Tabla2[Ciudades],Tabla2[Provincias],"no se encuentra")</f>
        <v>Málaga</v>
      </c>
      <c r="L3814" t="str">
        <f>_xlfn.XLOOKUP(datos_ventas[[#This Row],[Provincia]],Tabla2[Provincias],Tabla2[Comunidades],"no se encuentra")</f>
        <v>Andalucía</v>
      </c>
      <c r="M3814" t="s">
        <v>15</v>
      </c>
      <c r="N3814">
        <v>1</v>
      </c>
    </row>
    <row r="3815" spans="1:14" x14ac:dyDescent="0.25">
      <c r="A3815">
        <v>4814</v>
      </c>
      <c r="B3815" s="1">
        <v>45659</v>
      </c>
      <c r="C3815" s="4">
        <f>MONTH(datos_ventas[[#This Row],[Fecha]])</f>
        <v>1</v>
      </c>
      <c r="D3815" s="4">
        <f>WEEKNUM(datos_ventas[[#This Row],[Fecha]],2)</f>
        <v>1</v>
      </c>
      <c r="E3815" t="s">
        <v>20</v>
      </c>
      <c r="F3815" t="s">
        <v>21</v>
      </c>
      <c r="G3815">
        <v>3</v>
      </c>
      <c r="H3815">
        <v>14556</v>
      </c>
      <c r="I3815">
        <v>2435</v>
      </c>
      <c r="J3815" t="s">
        <v>31</v>
      </c>
      <c r="K3815" t="str">
        <f>_xlfn.XLOOKUP(datos_ventas[[#This Row],[Ciudad]],Tabla2[Ciudades],Tabla2[Provincias],"no se encuentra")</f>
        <v>Vizcaya</v>
      </c>
      <c r="L3815" t="str">
        <f>_xlfn.XLOOKUP(datos_ventas[[#This Row],[Provincia]],Tabla2[Provincias],Tabla2[Comunidades],"no se encuentra")</f>
        <v>País Vasco</v>
      </c>
      <c r="M3815" t="s">
        <v>13</v>
      </c>
      <c r="N3815">
        <v>1</v>
      </c>
    </row>
    <row r="3816" spans="1:14" x14ac:dyDescent="0.25">
      <c r="A3816">
        <v>4815</v>
      </c>
      <c r="B3816" s="1">
        <v>45881</v>
      </c>
      <c r="C3816" s="4">
        <f>MONTH(datos_ventas[[#This Row],[Fecha]])</f>
        <v>8</v>
      </c>
      <c r="D3816" s="4">
        <f>WEEKNUM(datos_ventas[[#This Row],[Fecha]],2)</f>
        <v>33</v>
      </c>
      <c r="E3816" t="s">
        <v>24</v>
      </c>
      <c r="F3816" t="s">
        <v>25</v>
      </c>
      <c r="G3816">
        <v>4</v>
      </c>
      <c r="H3816">
        <v>64544</v>
      </c>
      <c r="I3816">
        <v>1958</v>
      </c>
      <c r="J3816" t="s">
        <v>14</v>
      </c>
      <c r="K3816" t="str">
        <f>_xlfn.XLOOKUP(datos_ventas[[#This Row],[Ciudad]],Tabla2[Ciudades],Tabla2[Provincias],"no se encuentra")</f>
        <v>Madrid</v>
      </c>
      <c r="L3816" t="str">
        <f>_xlfn.XLOOKUP(datos_ventas[[#This Row],[Provincia]],Tabla2[Provincias],Tabla2[Comunidades],"no se encuentra")</f>
        <v>Comunidad de Madrid</v>
      </c>
      <c r="M3816" t="s">
        <v>13</v>
      </c>
      <c r="N3816">
        <v>2</v>
      </c>
    </row>
    <row r="3817" spans="1:14" x14ac:dyDescent="0.25">
      <c r="A3817">
        <v>4816</v>
      </c>
      <c r="B3817" s="1">
        <v>45833</v>
      </c>
      <c r="C3817" s="4">
        <f>MONTH(datos_ventas[[#This Row],[Fecha]])</f>
        <v>6</v>
      </c>
      <c r="D3817" s="4">
        <f>WEEKNUM(datos_ventas[[#This Row],[Fecha]],2)</f>
        <v>26</v>
      </c>
      <c r="E3817" t="s">
        <v>10</v>
      </c>
      <c r="F3817" t="s">
        <v>11</v>
      </c>
      <c r="G3817">
        <v>4</v>
      </c>
      <c r="H3817">
        <v>114306</v>
      </c>
      <c r="I3817">
        <v>2336</v>
      </c>
      <c r="J3817" t="s">
        <v>32</v>
      </c>
      <c r="K3817" t="str">
        <f>_xlfn.XLOOKUP(datos_ventas[[#This Row],[Ciudad]],Tabla2[Ciudades],Tabla2[Provincias],"no se encuentra")</f>
        <v>Barcelona</v>
      </c>
      <c r="L3817" t="str">
        <f>_xlfn.XLOOKUP(datos_ventas[[#This Row],[Provincia]],Tabla2[Provincias],Tabla2[Comunidades],"no se encuentra")</f>
        <v>Cataluña</v>
      </c>
      <c r="M3817" t="s">
        <v>15</v>
      </c>
      <c r="N3817">
        <v>2</v>
      </c>
    </row>
    <row r="3818" spans="1:14" x14ac:dyDescent="0.25">
      <c r="A3818">
        <v>4817</v>
      </c>
      <c r="B3818" s="1">
        <v>45919</v>
      </c>
      <c r="C3818" s="4">
        <f>MONTH(datos_ventas[[#This Row],[Fecha]])</f>
        <v>9</v>
      </c>
      <c r="D3818" s="4">
        <f>WEEKNUM(datos_ventas[[#This Row],[Fecha]],2)</f>
        <v>38</v>
      </c>
      <c r="E3818" t="s">
        <v>20</v>
      </c>
      <c r="F3818" t="s">
        <v>21</v>
      </c>
      <c r="G3818">
        <v>4</v>
      </c>
      <c r="H3818">
        <v>88886</v>
      </c>
      <c r="I3818">
        <v>1934</v>
      </c>
      <c r="J3818" t="s">
        <v>27</v>
      </c>
      <c r="K3818" t="str">
        <f>_xlfn.XLOOKUP(datos_ventas[[#This Row],[Ciudad]],Tabla2[Ciudades],Tabla2[Provincias],"no se encuentra")</f>
        <v>Sevilla</v>
      </c>
      <c r="L3818" t="str">
        <f>_xlfn.XLOOKUP(datos_ventas[[#This Row],[Provincia]],Tabla2[Provincias],Tabla2[Comunidades],"no se encuentra")</f>
        <v>Andalucía</v>
      </c>
      <c r="M3818" t="s">
        <v>28</v>
      </c>
      <c r="N3818">
        <v>3</v>
      </c>
    </row>
    <row r="3819" spans="1:14" x14ac:dyDescent="0.25">
      <c r="A3819">
        <v>4818</v>
      </c>
      <c r="B3819" s="1">
        <v>45984</v>
      </c>
      <c r="C3819" s="4">
        <f>MONTH(datos_ventas[[#This Row],[Fecha]])</f>
        <v>11</v>
      </c>
      <c r="D3819" s="4">
        <f>WEEKNUM(datos_ventas[[#This Row],[Fecha]],2)</f>
        <v>47</v>
      </c>
      <c r="E3819" t="s">
        <v>26</v>
      </c>
      <c r="F3819" t="s">
        <v>18</v>
      </c>
      <c r="G3819">
        <v>2</v>
      </c>
      <c r="H3819">
        <v>35249</v>
      </c>
      <c r="I3819">
        <v>2272</v>
      </c>
      <c r="J3819" t="s">
        <v>22</v>
      </c>
      <c r="K3819" t="str">
        <f>_xlfn.XLOOKUP(datos_ventas[[#This Row],[Ciudad]],Tabla2[Ciudades],Tabla2[Provincias],"no se encuentra")</f>
        <v>Valencia</v>
      </c>
      <c r="L3819" t="str">
        <f>_xlfn.XLOOKUP(datos_ventas[[#This Row],[Provincia]],Tabla2[Provincias],Tabla2[Comunidades],"no se encuentra")</f>
        <v>Comunidad Valenciana</v>
      </c>
      <c r="M3819" t="s">
        <v>15</v>
      </c>
      <c r="N3819">
        <v>3</v>
      </c>
    </row>
    <row r="3820" spans="1:14" x14ac:dyDescent="0.25">
      <c r="A3820">
        <v>4819</v>
      </c>
      <c r="B3820" s="1">
        <v>45925</v>
      </c>
      <c r="C3820" s="4">
        <f>MONTH(datos_ventas[[#This Row],[Fecha]])</f>
        <v>9</v>
      </c>
      <c r="D3820" s="4">
        <f>WEEKNUM(datos_ventas[[#This Row],[Fecha]],2)</f>
        <v>39</v>
      </c>
      <c r="E3820" t="s">
        <v>24</v>
      </c>
      <c r="F3820" t="s">
        <v>25</v>
      </c>
      <c r="G3820">
        <v>5</v>
      </c>
      <c r="H3820">
        <v>36177</v>
      </c>
      <c r="I3820">
        <v>978</v>
      </c>
      <c r="J3820" t="s">
        <v>31</v>
      </c>
      <c r="K3820" t="str">
        <f>_xlfn.XLOOKUP(datos_ventas[[#This Row],[Ciudad]],Tabla2[Ciudades],Tabla2[Provincias],"no se encuentra")</f>
        <v>Vizcaya</v>
      </c>
      <c r="L3820" t="str">
        <f>_xlfn.XLOOKUP(datos_ventas[[#This Row],[Provincia]],Tabla2[Provincias],Tabla2[Comunidades],"no se encuentra")</f>
        <v>País Vasco</v>
      </c>
      <c r="M3820" t="s">
        <v>28</v>
      </c>
      <c r="N3820">
        <v>5</v>
      </c>
    </row>
    <row r="3821" spans="1:14" x14ac:dyDescent="0.25">
      <c r="A3821">
        <v>4820</v>
      </c>
      <c r="B3821" s="1">
        <v>45836</v>
      </c>
      <c r="C3821" s="4">
        <f>MONTH(datos_ventas[[#This Row],[Fecha]])</f>
        <v>6</v>
      </c>
      <c r="D3821" s="4">
        <f>WEEKNUM(datos_ventas[[#This Row],[Fecha]],2)</f>
        <v>26</v>
      </c>
      <c r="E3821" t="s">
        <v>16</v>
      </c>
      <c r="F3821" t="s">
        <v>11</v>
      </c>
      <c r="G3821">
        <v>1</v>
      </c>
      <c r="H3821">
        <v>26832</v>
      </c>
      <c r="I3821">
        <v>4429</v>
      </c>
      <c r="J3821" t="s">
        <v>32</v>
      </c>
      <c r="K3821" t="str">
        <f>_xlfn.XLOOKUP(datos_ventas[[#This Row],[Ciudad]],Tabla2[Ciudades],Tabla2[Provincias],"no se encuentra")</f>
        <v>Barcelona</v>
      </c>
      <c r="L3821" t="str">
        <f>_xlfn.XLOOKUP(datos_ventas[[#This Row],[Provincia]],Tabla2[Provincias],Tabla2[Comunidades],"no se encuentra")</f>
        <v>Cataluña</v>
      </c>
      <c r="M3821" t="s">
        <v>19</v>
      </c>
      <c r="N3821">
        <v>2</v>
      </c>
    </row>
    <row r="3822" spans="1:14" x14ac:dyDescent="0.25">
      <c r="A3822">
        <v>4821</v>
      </c>
      <c r="B3822" s="1">
        <v>45994</v>
      </c>
      <c r="C3822" s="4">
        <f>MONTH(datos_ventas[[#This Row],[Fecha]])</f>
        <v>12</v>
      </c>
      <c r="D3822" s="4">
        <f>WEEKNUM(datos_ventas[[#This Row],[Fecha]],2)</f>
        <v>49</v>
      </c>
      <c r="E3822" t="s">
        <v>10</v>
      </c>
      <c r="F3822" t="s">
        <v>11</v>
      </c>
      <c r="G3822">
        <v>5</v>
      </c>
      <c r="H3822">
        <v>82596</v>
      </c>
      <c r="I3822">
        <v>1752</v>
      </c>
      <c r="J3822" t="s">
        <v>12</v>
      </c>
      <c r="K3822" t="str">
        <f>_xlfn.XLOOKUP(datos_ventas[[#This Row],[Ciudad]],Tabla2[Ciudades],Tabla2[Provincias],"no se encuentra")</f>
        <v>Málaga</v>
      </c>
      <c r="L3822" t="str">
        <f>_xlfn.XLOOKUP(datos_ventas[[#This Row],[Provincia]],Tabla2[Provincias],Tabla2[Comunidades],"no se encuentra")</f>
        <v>Andalucía</v>
      </c>
      <c r="M3822" t="s">
        <v>19</v>
      </c>
      <c r="N3822">
        <v>3</v>
      </c>
    </row>
    <row r="3823" spans="1:14" x14ac:dyDescent="0.25">
      <c r="A3823">
        <v>4822</v>
      </c>
      <c r="B3823" s="1">
        <v>45965</v>
      </c>
      <c r="C3823" s="4">
        <f>MONTH(datos_ventas[[#This Row],[Fecha]])</f>
        <v>11</v>
      </c>
      <c r="D3823" s="4">
        <f>WEEKNUM(datos_ventas[[#This Row],[Fecha]],2)</f>
        <v>45</v>
      </c>
      <c r="E3823" t="s">
        <v>26</v>
      </c>
      <c r="F3823" t="s">
        <v>18</v>
      </c>
      <c r="G3823">
        <v>3</v>
      </c>
      <c r="H3823">
        <v>90816</v>
      </c>
      <c r="I3823">
        <v>2088</v>
      </c>
      <c r="J3823" t="s">
        <v>32</v>
      </c>
      <c r="K3823" t="str">
        <f>_xlfn.XLOOKUP(datos_ventas[[#This Row],[Ciudad]],Tabla2[Ciudades],Tabla2[Provincias],"no se encuentra")</f>
        <v>Barcelona</v>
      </c>
      <c r="L3823" t="str">
        <f>_xlfn.XLOOKUP(datos_ventas[[#This Row],[Provincia]],Tabla2[Provincias],Tabla2[Comunidades],"no se encuentra")</f>
        <v>Cataluña</v>
      </c>
      <c r="M3823" t="s">
        <v>28</v>
      </c>
      <c r="N3823">
        <v>4</v>
      </c>
    </row>
    <row r="3824" spans="1:14" x14ac:dyDescent="0.25">
      <c r="A3824">
        <v>4823</v>
      </c>
      <c r="B3824" s="1">
        <v>46002</v>
      </c>
      <c r="C3824" s="4">
        <f>MONTH(datos_ventas[[#This Row],[Fecha]])</f>
        <v>12</v>
      </c>
      <c r="D3824" s="4">
        <f>WEEKNUM(datos_ventas[[#This Row],[Fecha]],2)</f>
        <v>50</v>
      </c>
      <c r="E3824" t="s">
        <v>20</v>
      </c>
      <c r="F3824" t="s">
        <v>21</v>
      </c>
      <c r="G3824">
        <v>4</v>
      </c>
      <c r="H3824">
        <v>12311</v>
      </c>
      <c r="I3824">
        <v>761</v>
      </c>
      <c r="J3824" t="s">
        <v>14</v>
      </c>
      <c r="K3824" t="str">
        <f>_xlfn.XLOOKUP(datos_ventas[[#This Row],[Ciudad]],Tabla2[Ciudades],Tabla2[Provincias],"no se encuentra")</f>
        <v>Madrid</v>
      </c>
      <c r="L3824" t="str">
        <f>_xlfn.XLOOKUP(datos_ventas[[#This Row],[Provincia]],Tabla2[Provincias],Tabla2[Comunidades],"no se encuentra")</f>
        <v>Comunidad de Madrid</v>
      </c>
      <c r="M3824" t="s">
        <v>15</v>
      </c>
      <c r="N3824">
        <v>5</v>
      </c>
    </row>
    <row r="3825" spans="1:14" x14ac:dyDescent="0.25">
      <c r="A3825">
        <v>4824</v>
      </c>
      <c r="B3825" s="1">
        <v>45906</v>
      </c>
      <c r="C3825" s="4">
        <f>MONTH(datos_ventas[[#This Row],[Fecha]])</f>
        <v>9</v>
      </c>
      <c r="D3825" s="4">
        <f>WEEKNUM(datos_ventas[[#This Row],[Fecha]],2)</f>
        <v>36</v>
      </c>
      <c r="E3825" t="s">
        <v>24</v>
      </c>
      <c r="F3825" t="s">
        <v>25</v>
      </c>
      <c r="G3825">
        <v>5</v>
      </c>
      <c r="H3825">
        <v>113917</v>
      </c>
      <c r="I3825">
        <v>1387</v>
      </c>
      <c r="J3825" t="s">
        <v>14</v>
      </c>
      <c r="K3825" t="str">
        <f>_xlfn.XLOOKUP(datos_ventas[[#This Row],[Ciudad]],Tabla2[Ciudades],Tabla2[Provincias],"no se encuentra")</f>
        <v>Madrid</v>
      </c>
      <c r="L3825" t="str">
        <f>_xlfn.XLOOKUP(datos_ventas[[#This Row],[Provincia]],Tabla2[Provincias],Tabla2[Comunidades],"no se encuentra")</f>
        <v>Comunidad de Madrid</v>
      </c>
      <c r="M3825" t="s">
        <v>13</v>
      </c>
      <c r="N3825">
        <v>2</v>
      </c>
    </row>
    <row r="3826" spans="1:14" x14ac:dyDescent="0.25">
      <c r="A3826">
        <v>4825</v>
      </c>
      <c r="B3826" s="1">
        <v>45679</v>
      </c>
      <c r="C3826" s="4">
        <f>MONTH(datos_ventas[[#This Row],[Fecha]])</f>
        <v>1</v>
      </c>
      <c r="D3826" s="4">
        <f>WEEKNUM(datos_ventas[[#This Row],[Fecha]],2)</f>
        <v>4</v>
      </c>
      <c r="E3826" t="s">
        <v>26</v>
      </c>
      <c r="F3826" t="s">
        <v>18</v>
      </c>
      <c r="G3826">
        <v>1</v>
      </c>
      <c r="H3826">
        <v>41503</v>
      </c>
      <c r="I3826">
        <v>2814</v>
      </c>
      <c r="J3826" t="s">
        <v>22</v>
      </c>
      <c r="K3826" t="str">
        <f>_xlfn.XLOOKUP(datos_ventas[[#This Row],[Ciudad]],Tabla2[Ciudades],Tabla2[Provincias],"no se encuentra")</f>
        <v>Valencia</v>
      </c>
      <c r="L3826" t="str">
        <f>_xlfn.XLOOKUP(datos_ventas[[#This Row],[Provincia]],Tabla2[Provincias],Tabla2[Comunidades],"no se encuentra")</f>
        <v>Comunidad Valenciana</v>
      </c>
      <c r="M3826" t="s">
        <v>15</v>
      </c>
      <c r="N3826">
        <v>5</v>
      </c>
    </row>
    <row r="3827" spans="1:14" x14ac:dyDescent="0.25">
      <c r="A3827">
        <v>4826</v>
      </c>
      <c r="B3827" s="1">
        <v>45791</v>
      </c>
      <c r="C3827" s="4">
        <f>MONTH(datos_ventas[[#This Row],[Fecha]])</f>
        <v>5</v>
      </c>
      <c r="D3827" s="4">
        <f>WEEKNUM(datos_ventas[[#This Row],[Fecha]],2)</f>
        <v>20</v>
      </c>
      <c r="E3827" t="s">
        <v>16</v>
      </c>
      <c r="F3827" t="s">
        <v>11</v>
      </c>
      <c r="G3827">
        <v>4</v>
      </c>
      <c r="H3827">
        <v>85874</v>
      </c>
      <c r="I3827">
        <v>1985</v>
      </c>
      <c r="J3827" t="s">
        <v>14</v>
      </c>
      <c r="K3827" t="str">
        <f>_xlfn.XLOOKUP(datos_ventas[[#This Row],[Ciudad]],Tabla2[Ciudades],Tabla2[Provincias],"no se encuentra")</f>
        <v>Madrid</v>
      </c>
      <c r="L3827" t="str">
        <f>_xlfn.XLOOKUP(datos_ventas[[#This Row],[Provincia]],Tabla2[Provincias],Tabla2[Comunidades],"no se encuentra")</f>
        <v>Comunidad de Madrid</v>
      </c>
      <c r="M3827" t="s">
        <v>15</v>
      </c>
      <c r="N3827">
        <v>3</v>
      </c>
    </row>
    <row r="3828" spans="1:14" x14ac:dyDescent="0.25">
      <c r="A3828">
        <v>4827</v>
      </c>
      <c r="B3828" s="1">
        <v>45743</v>
      </c>
      <c r="C3828" s="4">
        <f>MONTH(datos_ventas[[#This Row],[Fecha]])</f>
        <v>3</v>
      </c>
      <c r="D3828" s="4">
        <f>WEEKNUM(datos_ventas[[#This Row],[Fecha]],2)</f>
        <v>13</v>
      </c>
      <c r="E3828" t="s">
        <v>20</v>
      </c>
      <c r="F3828" t="s">
        <v>21</v>
      </c>
      <c r="G3828">
        <v>2</v>
      </c>
      <c r="H3828">
        <v>61025</v>
      </c>
      <c r="I3828">
        <v>981</v>
      </c>
      <c r="J3828" t="s">
        <v>14</v>
      </c>
      <c r="K3828" t="str">
        <f>_xlfn.XLOOKUP(datos_ventas[[#This Row],[Ciudad]],Tabla2[Ciudades],Tabla2[Provincias],"no se encuentra")</f>
        <v>Madrid</v>
      </c>
      <c r="L3828" t="str">
        <f>_xlfn.XLOOKUP(datos_ventas[[#This Row],[Provincia]],Tabla2[Provincias],Tabla2[Comunidades],"no se encuentra")</f>
        <v>Comunidad de Madrid</v>
      </c>
      <c r="M3828" t="s">
        <v>15</v>
      </c>
      <c r="N3828">
        <v>5</v>
      </c>
    </row>
    <row r="3829" spans="1:14" x14ac:dyDescent="0.25">
      <c r="A3829">
        <v>4828</v>
      </c>
      <c r="B3829" s="1">
        <v>45865</v>
      </c>
      <c r="C3829" s="4">
        <f>MONTH(datos_ventas[[#This Row],[Fecha]])</f>
        <v>7</v>
      </c>
      <c r="D3829" s="4">
        <f>WEEKNUM(datos_ventas[[#This Row],[Fecha]],2)</f>
        <v>30</v>
      </c>
      <c r="E3829" t="s">
        <v>29</v>
      </c>
      <c r="F3829" t="s">
        <v>30</v>
      </c>
      <c r="G3829">
        <v>2</v>
      </c>
      <c r="H3829">
        <v>11900</v>
      </c>
      <c r="I3829">
        <v>544</v>
      </c>
      <c r="J3829" t="s">
        <v>31</v>
      </c>
      <c r="K3829" t="str">
        <f>_xlfn.XLOOKUP(datos_ventas[[#This Row],[Ciudad]],Tabla2[Ciudades],Tabla2[Provincias],"no se encuentra")</f>
        <v>Vizcaya</v>
      </c>
      <c r="L3829" t="str">
        <f>_xlfn.XLOOKUP(datos_ventas[[#This Row],[Provincia]],Tabla2[Provincias],Tabla2[Comunidades],"no se encuentra")</f>
        <v>País Vasco</v>
      </c>
      <c r="M3829" t="s">
        <v>19</v>
      </c>
      <c r="N3829">
        <v>2</v>
      </c>
    </row>
    <row r="3830" spans="1:14" x14ac:dyDescent="0.25">
      <c r="A3830">
        <v>4829</v>
      </c>
      <c r="B3830" s="1">
        <v>45966</v>
      </c>
      <c r="C3830" s="4">
        <f>MONTH(datos_ventas[[#This Row],[Fecha]])</f>
        <v>11</v>
      </c>
      <c r="D3830" s="4">
        <f>WEEKNUM(datos_ventas[[#This Row],[Fecha]],2)</f>
        <v>45</v>
      </c>
      <c r="E3830" t="s">
        <v>26</v>
      </c>
      <c r="F3830" t="s">
        <v>18</v>
      </c>
      <c r="G3830">
        <v>3</v>
      </c>
      <c r="H3830">
        <v>86202</v>
      </c>
      <c r="I3830">
        <v>4657</v>
      </c>
      <c r="J3830" t="s">
        <v>27</v>
      </c>
      <c r="K3830" t="str">
        <f>_xlfn.XLOOKUP(datos_ventas[[#This Row],[Ciudad]],Tabla2[Ciudades],Tabla2[Provincias],"no se encuentra")</f>
        <v>Sevilla</v>
      </c>
      <c r="L3830" t="str">
        <f>_xlfn.XLOOKUP(datos_ventas[[#This Row],[Provincia]],Tabla2[Provincias],Tabla2[Comunidades],"no se encuentra")</f>
        <v>Andalucía</v>
      </c>
      <c r="M3830" t="s">
        <v>19</v>
      </c>
      <c r="N3830">
        <v>1</v>
      </c>
    </row>
    <row r="3831" spans="1:14" x14ac:dyDescent="0.25">
      <c r="A3831">
        <v>4830</v>
      </c>
      <c r="B3831" s="1">
        <v>45712</v>
      </c>
      <c r="C3831" s="4">
        <f>MONTH(datos_ventas[[#This Row],[Fecha]])</f>
        <v>2</v>
      </c>
      <c r="D3831" s="4">
        <f>WEEKNUM(datos_ventas[[#This Row],[Fecha]],2)</f>
        <v>9</v>
      </c>
      <c r="E3831" t="s">
        <v>20</v>
      </c>
      <c r="F3831" t="s">
        <v>21</v>
      </c>
      <c r="G3831">
        <v>4</v>
      </c>
      <c r="H3831">
        <v>13659</v>
      </c>
      <c r="I3831">
        <v>2923</v>
      </c>
      <c r="J3831" t="s">
        <v>31</v>
      </c>
      <c r="K3831" t="str">
        <f>_xlfn.XLOOKUP(datos_ventas[[#This Row],[Ciudad]],Tabla2[Ciudades],Tabla2[Provincias],"no se encuentra")</f>
        <v>Vizcaya</v>
      </c>
      <c r="L3831" t="str">
        <f>_xlfn.XLOOKUP(datos_ventas[[#This Row],[Provincia]],Tabla2[Provincias],Tabla2[Comunidades],"no se encuentra")</f>
        <v>País Vasco</v>
      </c>
      <c r="M3831" t="s">
        <v>15</v>
      </c>
      <c r="N3831">
        <v>4</v>
      </c>
    </row>
    <row r="3832" spans="1:14" x14ac:dyDescent="0.25">
      <c r="A3832">
        <v>4831</v>
      </c>
      <c r="B3832" s="1">
        <v>46020</v>
      </c>
      <c r="C3832" s="4">
        <f>MONTH(datos_ventas[[#This Row],[Fecha]])</f>
        <v>12</v>
      </c>
      <c r="D3832" s="4">
        <f>WEEKNUM(datos_ventas[[#This Row],[Fecha]],2)</f>
        <v>53</v>
      </c>
      <c r="E3832" t="s">
        <v>24</v>
      </c>
      <c r="F3832" t="s">
        <v>25</v>
      </c>
      <c r="G3832">
        <v>1</v>
      </c>
      <c r="H3832">
        <v>51062</v>
      </c>
      <c r="I3832">
        <v>2889</v>
      </c>
      <c r="J3832" t="s">
        <v>22</v>
      </c>
      <c r="K3832" t="str">
        <f>_xlfn.XLOOKUP(datos_ventas[[#This Row],[Ciudad]],Tabla2[Ciudades],Tabla2[Provincias],"no se encuentra")</f>
        <v>Valencia</v>
      </c>
      <c r="L3832" t="str">
        <f>_xlfn.XLOOKUP(datos_ventas[[#This Row],[Provincia]],Tabla2[Provincias],Tabla2[Comunidades],"no se encuentra")</f>
        <v>Comunidad Valenciana</v>
      </c>
      <c r="M3832" t="s">
        <v>28</v>
      </c>
      <c r="N3832">
        <v>1</v>
      </c>
    </row>
    <row r="3833" spans="1:14" x14ac:dyDescent="0.25">
      <c r="A3833">
        <v>4832</v>
      </c>
      <c r="B3833" s="1">
        <v>45877</v>
      </c>
      <c r="C3833" s="4">
        <f>MONTH(datos_ventas[[#This Row],[Fecha]])</f>
        <v>8</v>
      </c>
      <c r="D3833" s="4">
        <f>WEEKNUM(datos_ventas[[#This Row],[Fecha]],2)</f>
        <v>32</v>
      </c>
      <c r="E3833" t="s">
        <v>17</v>
      </c>
      <c r="F3833" t="s">
        <v>18</v>
      </c>
      <c r="G3833">
        <v>2</v>
      </c>
      <c r="H3833">
        <v>27573</v>
      </c>
      <c r="I3833">
        <v>3059</v>
      </c>
      <c r="J3833" t="s">
        <v>14</v>
      </c>
      <c r="K3833" t="str">
        <f>_xlfn.XLOOKUP(datos_ventas[[#This Row],[Ciudad]],Tabla2[Ciudades],Tabla2[Provincias],"no se encuentra")</f>
        <v>Madrid</v>
      </c>
      <c r="L3833" t="str">
        <f>_xlfn.XLOOKUP(datos_ventas[[#This Row],[Provincia]],Tabla2[Provincias],Tabla2[Comunidades],"no se encuentra")</f>
        <v>Comunidad de Madrid</v>
      </c>
      <c r="M3833" t="s">
        <v>13</v>
      </c>
      <c r="N3833">
        <v>1</v>
      </c>
    </row>
    <row r="3834" spans="1:14" x14ac:dyDescent="0.25">
      <c r="A3834">
        <v>4833</v>
      </c>
      <c r="B3834" s="1">
        <v>45790</v>
      </c>
      <c r="C3834" s="4">
        <f>MONTH(datos_ventas[[#This Row],[Fecha]])</f>
        <v>5</v>
      </c>
      <c r="D3834" s="4">
        <f>WEEKNUM(datos_ventas[[#This Row],[Fecha]],2)</f>
        <v>20</v>
      </c>
      <c r="E3834" t="s">
        <v>17</v>
      </c>
      <c r="F3834" t="s">
        <v>18</v>
      </c>
      <c r="G3834">
        <v>2</v>
      </c>
      <c r="H3834">
        <v>60178</v>
      </c>
      <c r="I3834">
        <v>1231</v>
      </c>
      <c r="J3834" t="s">
        <v>22</v>
      </c>
      <c r="K3834" t="str">
        <f>_xlfn.XLOOKUP(datos_ventas[[#This Row],[Ciudad]],Tabla2[Ciudades],Tabla2[Provincias],"no se encuentra")</f>
        <v>Valencia</v>
      </c>
      <c r="L3834" t="str">
        <f>_xlfn.XLOOKUP(datos_ventas[[#This Row],[Provincia]],Tabla2[Provincias],Tabla2[Comunidades],"no se encuentra")</f>
        <v>Comunidad Valenciana</v>
      </c>
      <c r="M3834" t="s">
        <v>28</v>
      </c>
      <c r="N3834">
        <v>5</v>
      </c>
    </row>
    <row r="3835" spans="1:14" x14ac:dyDescent="0.25">
      <c r="A3835">
        <v>4834</v>
      </c>
      <c r="B3835" s="1">
        <v>45773</v>
      </c>
      <c r="C3835" s="4">
        <f>MONTH(datos_ventas[[#This Row],[Fecha]])</f>
        <v>4</v>
      </c>
      <c r="D3835" s="4">
        <f>WEEKNUM(datos_ventas[[#This Row],[Fecha]],2)</f>
        <v>17</v>
      </c>
      <c r="E3835" t="s">
        <v>24</v>
      </c>
      <c r="F3835" t="s">
        <v>25</v>
      </c>
      <c r="G3835">
        <v>1</v>
      </c>
      <c r="H3835">
        <v>72107</v>
      </c>
      <c r="I3835">
        <v>3366</v>
      </c>
      <c r="J3835" t="s">
        <v>32</v>
      </c>
      <c r="K3835" t="str">
        <f>_xlfn.XLOOKUP(datos_ventas[[#This Row],[Ciudad]],Tabla2[Ciudades],Tabla2[Provincias],"no se encuentra")</f>
        <v>Barcelona</v>
      </c>
      <c r="L3835" t="str">
        <f>_xlfn.XLOOKUP(datos_ventas[[#This Row],[Provincia]],Tabla2[Provincias],Tabla2[Comunidades],"no se encuentra")</f>
        <v>Cataluña</v>
      </c>
      <c r="M3835" t="s">
        <v>13</v>
      </c>
      <c r="N3835">
        <v>4</v>
      </c>
    </row>
    <row r="3836" spans="1:14" x14ac:dyDescent="0.25">
      <c r="A3836">
        <v>4835</v>
      </c>
      <c r="B3836" s="1">
        <v>45736</v>
      </c>
      <c r="C3836" s="4">
        <f>MONTH(datos_ventas[[#This Row],[Fecha]])</f>
        <v>3</v>
      </c>
      <c r="D3836" s="4">
        <f>WEEKNUM(datos_ventas[[#This Row],[Fecha]],2)</f>
        <v>12</v>
      </c>
      <c r="E3836" t="s">
        <v>29</v>
      </c>
      <c r="F3836" t="s">
        <v>30</v>
      </c>
      <c r="G3836">
        <v>4</v>
      </c>
      <c r="H3836">
        <v>793</v>
      </c>
      <c r="I3836">
        <v>2373</v>
      </c>
      <c r="J3836" t="s">
        <v>31</v>
      </c>
      <c r="K3836" t="str">
        <f>_xlfn.XLOOKUP(datos_ventas[[#This Row],[Ciudad]],Tabla2[Ciudades],Tabla2[Provincias],"no se encuentra")</f>
        <v>Vizcaya</v>
      </c>
      <c r="L3836" t="str">
        <f>_xlfn.XLOOKUP(datos_ventas[[#This Row],[Provincia]],Tabla2[Provincias],Tabla2[Comunidades],"no se encuentra")</f>
        <v>País Vasco</v>
      </c>
      <c r="M3836" t="s">
        <v>15</v>
      </c>
      <c r="N3836">
        <v>1</v>
      </c>
    </row>
    <row r="3837" spans="1:14" x14ac:dyDescent="0.25">
      <c r="A3837">
        <v>4836</v>
      </c>
      <c r="B3837" s="1">
        <v>45713</v>
      </c>
      <c r="C3837" s="4">
        <f>MONTH(datos_ventas[[#This Row],[Fecha]])</f>
        <v>2</v>
      </c>
      <c r="D3837" s="4">
        <f>WEEKNUM(datos_ventas[[#This Row],[Fecha]],2)</f>
        <v>9</v>
      </c>
      <c r="E3837" t="s">
        <v>26</v>
      </c>
      <c r="F3837" t="s">
        <v>18</v>
      </c>
      <c r="G3837">
        <v>4</v>
      </c>
      <c r="H3837">
        <v>50275</v>
      </c>
      <c r="I3837">
        <v>4432</v>
      </c>
      <c r="J3837" t="s">
        <v>14</v>
      </c>
      <c r="K3837" t="str">
        <f>_xlfn.XLOOKUP(datos_ventas[[#This Row],[Ciudad]],Tabla2[Ciudades],Tabla2[Provincias],"no se encuentra")</f>
        <v>Madrid</v>
      </c>
      <c r="L3837" t="str">
        <f>_xlfn.XLOOKUP(datos_ventas[[#This Row],[Provincia]],Tabla2[Provincias],Tabla2[Comunidades],"no se encuentra")</f>
        <v>Comunidad de Madrid</v>
      </c>
      <c r="M3837" t="s">
        <v>15</v>
      </c>
      <c r="N3837">
        <v>2</v>
      </c>
    </row>
    <row r="3838" spans="1:14" x14ac:dyDescent="0.25">
      <c r="A3838">
        <v>4837</v>
      </c>
      <c r="B3838" s="1">
        <v>45662</v>
      </c>
      <c r="C3838" s="4">
        <f>MONTH(datos_ventas[[#This Row],[Fecha]])</f>
        <v>1</v>
      </c>
      <c r="D3838" s="4">
        <f>WEEKNUM(datos_ventas[[#This Row],[Fecha]],2)</f>
        <v>1</v>
      </c>
      <c r="E3838" t="s">
        <v>26</v>
      </c>
      <c r="F3838" t="s">
        <v>18</v>
      </c>
      <c r="G3838">
        <v>3</v>
      </c>
      <c r="H3838">
        <v>76498</v>
      </c>
      <c r="I3838">
        <v>1419</v>
      </c>
      <c r="J3838" t="s">
        <v>14</v>
      </c>
      <c r="K3838" t="str">
        <f>_xlfn.XLOOKUP(datos_ventas[[#This Row],[Ciudad]],Tabla2[Ciudades],Tabla2[Provincias],"no se encuentra")</f>
        <v>Madrid</v>
      </c>
      <c r="L3838" t="str">
        <f>_xlfn.XLOOKUP(datos_ventas[[#This Row],[Provincia]],Tabla2[Provincias],Tabla2[Comunidades],"no se encuentra")</f>
        <v>Comunidad de Madrid</v>
      </c>
      <c r="M3838" t="s">
        <v>28</v>
      </c>
      <c r="N3838">
        <v>4</v>
      </c>
    </row>
    <row r="3839" spans="1:14" x14ac:dyDescent="0.25">
      <c r="A3839">
        <v>4838</v>
      </c>
      <c r="B3839" s="1">
        <v>45991</v>
      </c>
      <c r="C3839" s="4">
        <f>MONTH(datos_ventas[[#This Row],[Fecha]])</f>
        <v>11</v>
      </c>
      <c r="D3839" s="4">
        <f>WEEKNUM(datos_ventas[[#This Row],[Fecha]],2)</f>
        <v>48</v>
      </c>
      <c r="E3839" t="s">
        <v>23</v>
      </c>
      <c r="F3839" t="s">
        <v>18</v>
      </c>
      <c r="G3839">
        <v>2</v>
      </c>
      <c r="H3839">
        <v>2453</v>
      </c>
      <c r="I3839">
        <v>518</v>
      </c>
      <c r="J3839" t="s">
        <v>12</v>
      </c>
      <c r="K3839" t="str">
        <f>_xlfn.XLOOKUP(datos_ventas[[#This Row],[Ciudad]],Tabla2[Ciudades],Tabla2[Provincias],"no se encuentra")</f>
        <v>Málaga</v>
      </c>
      <c r="L3839" t="str">
        <f>_xlfn.XLOOKUP(datos_ventas[[#This Row],[Provincia]],Tabla2[Provincias],Tabla2[Comunidades],"no se encuentra")</f>
        <v>Andalucía</v>
      </c>
      <c r="M3839" t="s">
        <v>13</v>
      </c>
      <c r="N3839">
        <v>1</v>
      </c>
    </row>
    <row r="3840" spans="1:14" x14ac:dyDescent="0.25">
      <c r="A3840">
        <v>4839</v>
      </c>
      <c r="B3840" s="1">
        <v>46004</v>
      </c>
      <c r="C3840" s="4">
        <f>MONTH(datos_ventas[[#This Row],[Fecha]])</f>
        <v>12</v>
      </c>
      <c r="D3840" s="4">
        <f>WEEKNUM(datos_ventas[[#This Row],[Fecha]],2)</f>
        <v>50</v>
      </c>
      <c r="E3840" t="s">
        <v>29</v>
      </c>
      <c r="F3840" t="s">
        <v>30</v>
      </c>
      <c r="G3840">
        <v>4</v>
      </c>
      <c r="H3840">
        <v>92939</v>
      </c>
      <c r="I3840">
        <v>4783</v>
      </c>
      <c r="J3840" t="s">
        <v>32</v>
      </c>
      <c r="K3840" t="str">
        <f>_xlfn.XLOOKUP(datos_ventas[[#This Row],[Ciudad]],Tabla2[Ciudades],Tabla2[Provincias],"no se encuentra")</f>
        <v>Barcelona</v>
      </c>
      <c r="L3840" t="str">
        <f>_xlfn.XLOOKUP(datos_ventas[[#This Row],[Provincia]],Tabla2[Provincias],Tabla2[Comunidades],"no se encuentra")</f>
        <v>Cataluña</v>
      </c>
      <c r="M3840" t="s">
        <v>15</v>
      </c>
      <c r="N3840">
        <v>3</v>
      </c>
    </row>
    <row r="3841" spans="1:14" x14ac:dyDescent="0.25">
      <c r="A3841">
        <v>4840</v>
      </c>
      <c r="B3841" s="1">
        <v>45735</v>
      </c>
      <c r="C3841" s="4">
        <f>MONTH(datos_ventas[[#This Row],[Fecha]])</f>
        <v>3</v>
      </c>
      <c r="D3841" s="4">
        <f>WEEKNUM(datos_ventas[[#This Row],[Fecha]],2)</f>
        <v>12</v>
      </c>
      <c r="E3841" t="s">
        <v>10</v>
      </c>
      <c r="F3841" t="s">
        <v>11</v>
      </c>
      <c r="G3841">
        <v>1</v>
      </c>
      <c r="H3841">
        <v>23556</v>
      </c>
      <c r="I3841">
        <v>4398</v>
      </c>
      <c r="J3841" t="s">
        <v>32</v>
      </c>
      <c r="K3841" t="str">
        <f>_xlfn.XLOOKUP(datos_ventas[[#This Row],[Ciudad]],Tabla2[Ciudades],Tabla2[Provincias],"no se encuentra")</f>
        <v>Barcelona</v>
      </c>
      <c r="L3841" t="str">
        <f>_xlfn.XLOOKUP(datos_ventas[[#This Row],[Provincia]],Tabla2[Provincias],Tabla2[Comunidades],"no se encuentra")</f>
        <v>Cataluña</v>
      </c>
      <c r="M3841" t="s">
        <v>13</v>
      </c>
      <c r="N3841">
        <v>3</v>
      </c>
    </row>
    <row r="3842" spans="1:14" x14ac:dyDescent="0.25">
      <c r="A3842">
        <v>4841</v>
      </c>
      <c r="B3842" s="1">
        <v>45780</v>
      </c>
      <c r="C3842" s="4">
        <f>MONTH(datos_ventas[[#This Row],[Fecha]])</f>
        <v>5</v>
      </c>
      <c r="D3842" s="4">
        <f>WEEKNUM(datos_ventas[[#This Row],[Fecha]],2)</f>
        <v>18</v>
      </c>
      <c r="E3842" t="s">
        <v>16</v>
      </c>
      <c r="F3842" t="s">
        <v>11</v>
      </c>
      <c r="G3842">
        <v>4</v>
      </c>
      <c r="H3842">
        <v>48615</v>
      </c>
      <c r="I3842">
        <v>559</v>
      </c>
      <c r="J3842" t="s">
        <v>31</v>
      </c>
      <c r="K3842" t="str">
        <f>_xlfn.XLOOKUP(datos_ventas[[#This Row],[Ciudad]],Tabla2[Ciudades],Tabla2[Provincias],"no se encuentra")</f>
        <v>Vizcaya</v>
      </c>
      <c r="L3842" t="str">
        <f>_xlfn.XLOOKUP(datos_ventas[[#This Row],[Provincia]],Tabla2[Provincias],Tabla2[Comunidades],"no se encuentra")</f>
        <v>País Vasco</v>
      </c>
      <c r="M3842" t="s">
        <v>19</v>
      </c>
      <c r="N3842">
        <v>1</v>
      </c>
    </row>
    <row r="3843" spans="1:14" x14ac:dyDescent="0.25">
      <c r="A3843">
        <v>4842</v>
      </c>
      <c r="B3843" s="1">
        <v>45918</v>
      </c>
      <c r="C3843" s="4">
        <f>MONTH(datos_ventas[[#This Row],[Fecha]])</f>
        <v>9</v>
      </c>
      <c r="D3843" s="4">
        <f>WEEKNUM(datos_ventas[[#This Row],[Fecha]],2)</f>
        <v>38</v>
      </c>
      <c r="E3843" t="s">
        <v>29</v>
      </c>
      <c r="F3843" t="s">
        <v>30</v>
      </c>
      <c r="G3843">
        <v>4</v>
      </c>
      <c r="H3843">
        <v>70918</v>
      </c>
      <c r="I3843">
        <v>3738</v>
      </c>
      <c r="J3843" t="s">
        <v>31</v>
      </c>
      <c r="K3843" t="str">
        <f>_xlfn.XLOOKUP(datos_ventas[[#This Row],[Ciudad]],Tabla2[Ciudades],Tabla2[Provincias],"no se encuentra")</f>
        <v>Vizcaya</v>
      </c>
      <c r="L3843" t="str">
        <f>_xlfn.XLOOKUP(datos_ventas[[#This Row],[Provincia]],Tabla2[Provincias],Tabla2[Comunidades],"no se encuentra")</f>
        <v>País Vasco</v>
      </c>
      <c r="M3843" t="s">
        <v>28</v>
      </c>
      <c r="N3843">
        <v>1</v>
      </c>
    </row>
    <row r="3844" spans="1:14" x14ac:dyDescent="0.25">
      <c r="A3844">
        <v>4843</v>
      </c>
      <c r="B3844" s="1">
        <v>45912</v>
      </c>
      <c r="C3844" s="4">
        <f>MONTH(datos_ventas[[#This Row],[Fecha]])</f>
        <v>9</v>
      </c>
      <c r="D3844" s="4">
        <f>WEEKNUM(datos_ventas[[#This Row],[Fecha]],2)</f>
        <v>37</v>
      </c>
      <c r="E3844" t="s">
        <v>20</v>
      </c>
      <c r="F3844" t="s">
        <v>21</v>
      </c>
      <c r="G3844">
        <v>4</v>
      </c>
      <c r="H3844">
        <v>13219</v>
      </c>
      <c r="I3844">
        <v>2072</v>
      </c>
      <c r="J3844" t="s">
        <v>22</v>
      </c>
      <c r="K3844" t="str">
        <f>_xlfn.XLOOKUP(datos_ventas[[#This Row],[Ciudad]],Tabla2[Ciudades],Tabla2[Provincias],"no se encuentra")</f>
        <v>Valencia</v>
      </c>
      <c r="L3844" t="str">
        <f>_xlfn.XLOOKUP(datos_ventas[[#This Row],[Provincia]],Tabla2[Provincias],Tabla2[Comunidades],"no se encuentra")</f>
        <v>Comunidad Valenciana</v>
      </c>
      <c r="M3844" t="s">
        <v>15</v>
      </c>
      <c r="N3844">
        <v>3</v>
      </c>
    </row>
    <row r="3845" spans="1:14" x14ac:dyDescent="0.25">
      <c r="A3845">
        <v>4844</v>
      </c>
      <c r="B3845" s="1">
        <v>45948</v>
      </c>
      <c r="C3845" s="4">
        <f>MONTH(datos_ventas[[#This Row],[Fecha]])</f>
        <v>10</v>
      </c>
      <c r="D3845" s="4">
        <f>WEEKNUM(datos_ventas[[#This Row],[Fecha]],2)</f>
        <v>42</v>
      </c>
      <c r="E3845" t="s">
        <v>24</v>
      </c>
      <c r="F3845" t="s">
        <v>25</v>
      </c>
      <c r="G3845">
        <v>5</v>
      </c>
      <c r="H3845">
        <v>13827</v>
      </c>
      <c r="I3845">
        <v>1098</v>
      </c>
      <c r="J3845" t="s">
        <v>12</v>
      </c>
      <c r="K3845" t="str">
        <f>_xlfn.XLOOKUP(datos_ventas[[#This Row],[Ciudad]],Tabla2[Ciudades],Tabla2[Provincias],"no se encuentra")</f>
        <v>Málaga</v>
      </c>
      <c r="L3845" t="str">
        <f>_xlfn.XLOOKUP(datos_ventas[[#This Row],[Provincia]],Tabla2[Provincias],Tabla2[Comunidades],"no se encuentra")</f>
        <v>Andalucía</v>
      </c>
      <c r="M3845" t="s">
        <v>13</v>
      </c>
      <c r="N3845">
        <v>4</v>
      </c>
    </row>
    <row r="3846" spans="1:14" x14ac:dyDescent="0.25">
      <c r="A3846">
        <v>4845</v>
      </c>
      <c r="B3846" s="1">
        <v>45843</v>
      </c>
      <c r="C3846" s="4">
        <f>MONTH(datos_ventas[[#This Row],[Fecha]])</f>
        <v>7</v>
      </c>
      <c r="D3846" s="4">
        <f>WEEKNUM(datos_ventas[[#This Row],[Fecha]],2)</f>
        <v>27</v>
      </c>
      <c r="E3846" t="s">
        <v>26</v>
      </c>
      <c r="F3846" t="s">
        <v>18</v>
      </c>
      <c r="G3846">
        <v>3</v>
      </c>
      <c r="H3846">
        <v>9299</v>
      </c>
      <c r="I3846">
        <v>3996</v>
      </c>
      <c r="J3846" t="s">
        <v>14</v>
      </c>
      <c r="K3846" t="str">
        <f>_xlfn.XLOOKUP(datos_ventas[[#This Row],[Ciudad]],Tabla2[Ciudades],Tabla2[Provincias],"no se encuentra")</f>
        <v>Madrid</v>
      </c>
      <c r="L3846" t="str">
        <f>_xlfn.XLOOKUP(datos_ventas[[#This Row],[Provincia]],Tabla2[Provincias],Tabla2[Comunidades],"no se encuentra")</f>
        <v>Comunidad de Madrid</v>
      </c>
      <c r="M3846" t="s">
        <v>28</v>
      </c>
      <c r="N3846">
        <v>2</v>
      </c>
    </row>
    <row r="3847" spans="1:14" x14ac:dyDescent="0.25">
      <c r="A3847">
        <v>4846</v>
      </c>
      <c r="B3847" s="1">
        <v>45992</v>
      </c>
      <c r="C3847" s="4">
        <f>MONTH(datos_ventas[[#This Row],[Fecha]])</f>
        <v>12</v>
      </c>
      <c r="D3847" s="4">
        <f>WEEKNUM(datos_ventas[[#This Row],[Fecha]],2)</f>
        <v>49</v>
      </c>
      <c r="E3847" t="s">
        <v>20</v>
      </c>
      <c r="F3847" t="s">
        <v>21</v>
      </c>
      <c r="G3847">
        <v>5</v>
      </c>
      <c r="H3847">
        <v>96923</v>
      </c>
      <c r="I3847">
        <v>4555</v>
      </c>
      <c r="J3847" t="s">
        <v>31</v>
      </c>
      <c r="K3847" t="str">
        <f>_xlfn.XLOOKUP(datos_ventas[[#This Row],[Ciudad]],Tabla2[Ciudades],Tabla2[Provincias],"no se encuentra")</f>
        <v>Vizcaya</v>
      </c>
      <c r="L3847" t="str">
        <f>_xlfn.XLOOKUP(datos_ventas[[#This Row],[Provincia]],Tabla2[Provincias],Tabla2[Comunidades],"no se encuentra")</f>
        <v>País Vasco</v>
      </c>
      <c r="M3847" t="s">
        <v>28</v>
      </c>
      <c r="N3847">
        <v>4</v>
      </c>
    </row>
    <row r="3848" spans="1:14" x14ac:dyDescent="0.25">
      <c r="A3848">
        <v>4847</v>
      </c>
      <c r="B3848" s="1">
        <v>45777</v>
      </c>
      <c r="C3848" s="4">
        <f>MONTH(datos_ventas[[#This Row],[Fecha]])</f>
        <v>4</v>
      </c>
      <c r="D3848" s="4">
        <f>WEEKNUM(datos_ventas[[#This Row],[Fecha]],2)</f>
        <v>18</v>
      </c>
      <c r="E3848" t="s">
        <v>20</v>
      </c>
      <c r="F3848" t="s">
        <v>21</v>
      </c>
      <c r="G3848">
        <v>5</v>
      </c>
      <c r="H3848">
        <v>11390</v>
      </c>
      <c r="I3848">
        <v>2724</v>
      </c>
      <c r="J3848" t="s">
        <v>12</v>
      </c>
      <c r="K3848" t="str">
        <f>_xlfn.XLOOKUP(datos_ventas[[#This Row],[Ciudad]],Tabla2[Ciudades],Tabla2[Provincias],"no se encuentra")</f>
        <v>Málaga</v>
      </c>
      <c r="L3848" t="str">
        <f>_xlfn.XLOOKUP(datos_ventas[[#This Row],[Provincia]],Tabla2[Provincias],Tabla2[Comunidades],"no se encuentra")</f>
        <v>Andalucía</v>
      </c>
      <c r="M3848" t="s">
        <v>28</v>
      </c>
      <c r="N3848">
        <v>4</v>
      </c>
    </row>
    <row r="3849" spans="1:14" x14ac:dyDescent="0.25">
      <c r="A3849">
        <v>4848</v>
      </c>
      <c r="B3849" s="1">
        <v>45882</v>
      </c>
      <c r="C3849" s="4">
        <f>MONTH(datos_ventas[[#This Row],[Fecha]])</f>
        <v>8</v>
      </c>
      <c r="D3849" s="4">
        <f>WEEKNUM(datos_ventas[[#This Row],[Fecha]],2)</f>
        <v>33</v>
      </c>
      <c r="E3849" t="s">
        <v>23</v>
      </c>
      <c r="F3849" t="s">
        <v>18</v>
      </c>
      <c r="G3849">
        <v>1</v>
      </c>
      <c r="H3849">
        <v>21557</v>
      </c>
      <c r="I3849">
        <v>1148</v>
      </c>
      <c r="J3849" t="s">
        <v>27</v>
      </c>
      <c r="K3849" t="str">
        <f>_xlfn.XLOOKUP(datos_ventas[[#This Row],[Ciudad]],Tabla2[Ciudades],Tabla2[Provincias],"no se encuentra")</f>
        <v>Sevilla</v>
      </c>
      <c r="L3849" t="str">
        <f>_xlfn.XLOOKUP(datos_ventas[[#This Row],[Provincia]],Tabla2[Provincias],Tabla2[Comunidades],"no se encuentra")</f>
        <v>Andalucía</v>
      </c>
      <c r="M3849" t="s">
        <v>13</v>
      </c>
      <c r="N3849">
        <v>4</v>
      </c>
    </row>
    <row r="3850" spans="1:14" x14ac:dyDescent="0.25">
      <c r="A3850">
        <v>4849</v>
      </c>
      <c r="B3850" s="1">
        <v>45900</v>
      </c>
      <c r="C3850" s="4">
        <f>MONTH(datos_ventas[[#This Row],[Fecha]])</f>
        <v>8</v>
      </c>
      <c r="D3850" s="4">
        <f>WEEKNUM(datos_ventas[[#This Row],[Fecha]],2)</f>
        <v>35</v>
      </c>
      <c r="E3850" t="s">
        <v>16</v>
      </c>
      <c r="F3850" t="s">
        <v>11</v>
      </c>
      <c r="G3850">
        <v>3</v>
      </c>
      <c r="H3850">
        <v>4545</v>
      </c>
      <c r="I3850">
        <v>1414</v>
      </c>
      <c r="J3850" t="s">
        <v>12</v>
      </c>
      <c r="K3850" t="str">
        <f>_xlfn.XLOOKUP(datos_ventas[[#This Row],[Ciudad]],Tabla2[Ciudades],Tabla2[Provincias],"no se encuentra")</f>
        <v>Málaga</v>
      </c>
      <c r="L3850" t="str">
        <f>_xlfn.XLOOKUP(datos_ventas[[#This Row],[Provincia]],Tabla2[Provincias],Tabla2[Comunidades],"no se encuentra")</f>
        <v>Andalucía</v>
      </c>
      <c r="M3850" t="s">
        <v>19</v>
      </c>
      <c r="N3850">
        <v>4</v>
      </c>
    </row>
    <row r="3851" spans="1:14" x14ac:dyDescent="0.25">
      <c r="A3851">
        <v>4850</v>
      </c>
      <c r="B3851" s="1">
        <v>45737</v>
      </c>
      <c r="C3851" s="4">
        <f>MONTH(datos_ventas[[#This Row],[Fecha]])</f>
        <v>3</v>
      </c>
      <c r="D3851" s="4">
        <f>WEEKNUM(datos_ventas[[#This Row],[Fecha]],2)</f>
        <v>12</v>
      </c>
      <c r="E3851" t="s">
        <v>29</v>
      </c>
      <c r="F3851" t="s">
        <v>30</v>
      </c>
      <c r="G3851">
        <v>2</v>
      </c>
      <c r="H3851">
        <v>109599</v>
      </c>
      <c r="I3851">
        <v>4212</v>
      </c>
      <c r="J3851" t="s">
        <v>31</v>
      </c>
      <c r="K3851" t="str">
        <f>_xlfn.XLOOKUP(datos_ventas[[#This Row],[Ciudad]],Tabla2[Ciudades],Tabla2[Provincias],"no se encuentra")</f>
        <v>Vizcaya</v>
      </c>
      <c r="L3851" t="str">
        <f>_xlfn.XLOOKUP(datos_ventas[[#This Row],[Provincia]],Tabla2[Provincias],Tabla2[Comunidades],"no se encuentra")</f>
        <v>País Vasco</v>
      </c>
      <c r="M3851" t="s">
        <v>19</v>
      </c>
      <c r="N3851">
        <v>5</v>
      </c>
    </row>
    <row r="3852" spans="1:14" x14ac:dyDescent="0.25">
      <c r="A3852">
        <v>4851</v>
      </c>
      <c r="B3852" s="1">
        <v>45767</v>
      </c>
      <c r="C3852" s="4">
        <f>MONTH(datos_ventas[[#This Row],[Fecha]])</f>
        <v>4</v>
      </c>
      <c r="D3852" s="4">
        <f>WEEKNUM(datos_ventas[[#This Row],[Fecha]],2)</f>
        <v>16</v>
      </c>
      <c r="E3852" t="s">
        <v>29</v>
      </c>
      <c r="F3852" t="s">
        <v>30</v>
      </c>
      <c r="G3852">
        <v>3</v>
      </c>
      <c r="H3852">
        <v>93297</v>
      </c>
      <c r="I3852">
        <v>2285</v>
      </c>
      <c r="J3852" t="s">
        <v>27</v>
      </c>
      <c r="K3852" t="str">
        <f>_xlfn.XLOOKUP(datos_ventas[[#This Row],[Ciudad]],Tabla2[Ciudades],Tabla2[Provincias],"no se encuentra")</f>
        <v>Sevilla</v>
      </c>
      <c r="L3852" t="str">
        <f>_xlfn.XLOOKUP(datos_ventas[[#This Row],[Provincia]],Tabla2[Provincias],Tabla2[Comunidades],"no se encuentra")</f>
        <v>Andalucía</v>
      </c>
      <c r="M3852" t="s">
        <v>15</v>
      </c>
      <c r="N3852">
        <v>5</v>
      </c>
    </row>
    <row r="3853" spans="1:14" x14ac:dyDescent="0.25">
      <c r="A3853">
        <v>4852</v>
      </c>
      <c r="B3853" s="1">
        <v>45773</v>
      </c>
      <c r="C3853" s="4">
        <f>MONTH(datos_ventas[[#This Row],[Fecha]])</f>
        <v>4</v>
      </c>
      <c r="D3853" s="4">
        <f>WEEKNUM(datos_ventas[[#This Row],[Fecha]],2)</f>
        <v>17</v>
      </c>
      <c r="E3853" t="s">
        <v>16</v>
      </c>
      <c r="F3853" t="s">
        <v>11</v>
      </c>
      <c r="G3853">
        <v>1</v>
      </c>
      <c r="H3853">
        <v>94722</v>
      </c>
      <c r="I3853">
        <v>272</v>
      </c>
      <c r="J3853" t="s">
        <v>31</v>
      </c>
      <c r="K3853" t="str">
        <f>_xlfn.XLOOKUP(datos_ventas[[#This Row],[Ciudad]],Tabla2[Ciudades],Tabla2[Provincias],"no se encuentra")</f>
        <v>Vizcaya</v>
      </c>
      <c r="L3853" t="str">
        <f>_xlfn.XLOOKUP(datos_ventas[[#This Row],[Provincia]],Tabla2[Provincias],Tabla2[Comunidades],"no se encuentra")</f>
        <v>País Vasco</v>
      </c>
      <c r="M3853" t="s">
        <v>19</v>
      </c>
      <c r="N3853">
        <v>3</v>
      </c>
    </row>
    <row r="3854" spans="1:14" x14ac:dyDescent="0.25">
      <c r="A3854">
        <v>4853</v>
      </c>
      <c r="B3854" s="1">
        <v>45858</v>
      </c>
      <c r="C3854" s="4">
        <f>MONTH(datos_ventas[[#This Row],[Fecha]])</f>
        <v>7</v>
      </c>
      <c r="D3854" s="4">
        <f>WEEKNUM(datos_ventas[[#This Row],[Fecha]],2)</f>
        <v>29</v>
      </c>
      <c r="E3854" t="s">
        <v>24</v>
      </c>
      <c r="F3854" t="s">
        <v>25</v>
      </c>
      <c r="G3854">
        <v>1</v>
      </c>
      <c r="H3854">
        <v>71127</v>
      </c>
      <c r="I3854">
        <v>1811</v>
      </c>
      <c r="J3854" t="s">
        <v>14</v>
      </c>
      <c r="K3854" t="str">
        <f>_xlfn.XLOOKUP(datos_ventas[[#This Row],[Ciudad]],Tabla2[Ciudades],Tabla2[Provincias],"no se encuentra")</f>
        <v>Madrid</v>
      </c>
      <c r="L3854" t="str">
        <f>_xlfn.XLOOKUP(datos_ventas[[#This Row],[Provincia]],Tabla2[Provincias],Tabla2[Comunidades],"no se encuentra")</f>
        <v>Comunidad de Madrid</v>
      </c>
      <c r="M3854" t="s">
        <v>13</v>
      </c>
      <c r="N3854">
        <v>5</v>
      </c>
    </row>
    <row r="3855" spans="1:14" x14ac:dyDescent="0.25">
      <c r="A3855">
        <v>4854</v>
      </c>
      <c r="B3855" s="1">
        <v>45838</v>
      </c>
      <c r="C3855" s="4">
        <f>MONTH(datos_ventas[[#This Row],[Fecha]])</f>
        <v>6</v>
      </c>
      <c r="D3855" s="4">
        <f>WEEKNUM(datos_ventas[[#This Row],[Fecha]],2)</f>
        <v>27</v>
      </c>
      <c r="E3855" t="s">
        <v>10</v>
      </c>
      <c r="F3855" t="s">
        <v>11</v>
      </c>
      <c r="G3855">
        <v>2</v>
      </c>
      <c r="H3855">
        <v>61664</v>
      </c>
      <c r="I3855">
        <v>4659</v>
      </c>
      <c r="J3855" t="s">
        <v>12</v>
      </c>
      <c r="K3855" t="str">
        <f>_xlfn.XLOOKUP(datos_ventas[[#This Row],[Ciudad]],Tabla2[Ciudades],Tabla2[Provincias],"no se encuentra")</f>
        <v>Málaga</v>
      </c>
      <c r="L3855" t="str">
        <f>_xlfn.XLOOKUP(datos_ventas[[#This Row],[Provincia]],Tabla2[Provincias],Tabla2[Comunidades],"no se encuentra")</f>
        <v>Andalucía</v>
      </c>
      <c r="M3855" t="s">
        <v>13</v>
      </c>
      <c r="N3855">
        <v>1</v>
      </c>
    </row>
    <row r="3856" spans="1:14" x14ac:dyDescent="0.25">
      <c r="A3856">
        <v>4855</v>
      </c>
      <c r="B3856" s="1">
        <v>45961</v>
      </c>
      <c r="C3856" s="4">
        <f>MONTH(datos_ventas[[#This Row],[Fecha]])</f>
        <v>10</v>
      </c>
      <c r="D3856" s="4">
        <f>WEEKNUM(datos_ventas[[#This Row],[Fecha]],2)</f>
        <v>44</v>
      </c>
      <c r="E3856" t="s">
        <v>24</v>
      </c>
      <c r="F3856" t="s">
        <v>25</v>
      </c>
      <c r="G3856">
        <v>5</v>
      </c>
      <c r="H3856">
        <v>108984</v>
      </c>
      <c r="I3856">
        <v>4164</v>
      </c>
      <c r="J3856" t="s">
        <v>12</v>
      </c>
      <c r="K3856" t="str">
        <f>_xlfn.XLOOKUP(datos_ventas[[#This Row],[Ciudad]],Tabla2[Ciudades],Tabla2[Provincias],"no se encuentra")</f>
        <v>Málaga</v>
      </c>
      <c r="L3856" t="str">
        <f>_xlfn.XLOOKUP(datos_ventas[[#This Row],[Provincia]],Tabla2[Provincias],Tabla2[Comunidades],"no se encuentra")</f>
        <v>Andalucía</v>
      </c>
      <c r="M3856" t="s">
        <v>28</v>
      </c>
      <c r="N3856">
        <v>3</v>
      </c>
    </row>
    <row r="3857" spans="1:14" x14ac:dyDescent="0.25">
      <c r="A3857">
        <v>4856</v>
      </c>
      <c r="B3857" s="1">
        <v>45802</v>
      </c>
      <c r="C3857" s="4">
        <f>MONTH(datos_ventas[[#This Row],[Fecha]])</f>
        <v>5</v>
      </c>
      <c r="D3857" s="4">
        <f>WEEKNUM(datos_ventas[[#This Row],[Fecha]],2)</f>
        <v>21</v>
      </c>
      <c r="E3857" t="s">
        <v>16</v>
      </c>
      <c r="F3857" t="s">
        <v>11</v>
      </c>
      <c r="G3857">
        <v>3</v>
      </c>
      <c r="H3857">
        <v>49408</v>
      </c>
      <c r="I3857">
        <v>3782</v>
      </c>
      <c r="J3857" t="s">
        <v>22</v>
      </c>
      <c r="K3857" t="str">
        <f>_xlfn.XLOOKUP(datos_ventas[[#This Row],[Ciudad]],Tabla2[Ciudades],Tabla2[Provincias],"no se encuentra")</f>
        <v>Valencia</v>
      </c>
      <c r="L3857" t="str">
        <f>_xlfn.XLOOKUP(datos_ventas[[#This Row],[Provincia]],Tabla2[Provincias],Tabla2[Comunidades],"no se encuentra")</f>
        <v>Comunidad Valenciana</v>
      </c>
      <c r="M3857" t="s">
        <v>15</v>
      </c>
      <c r="N3857">
        <v>1</v>
      </c>
    </row>
    <row r="3858" spans="1:14" x14ac:dyDescent="0.25">
      <c r="A3858">
        <v>4857</v>
      </c>
      <c r="B3858" s="1">
        <v>45826</v>
      </c>
      <c r="C3858" s="4">
        <f>MONTH(datos_ventas[[#This Row],[Fecha]])</f>
        <v>6</v>
      </c>
      <c r="D3858" s="4">
        <f>WEEKNUM(datos_ventas[[#This Row],[Fecha]],2)</f>
        <v>25</v>
      </c>
      <c r="E3858" t="s">
        <v>24</v>
      </c>
      <c r="F3858" t="s">
        <v>25</v>
      </c>
      <c r="G3858">
        <v>4</v>
      </c>
      <c r="H3858">
        <v>35983</v>
      </c>
      <c r="I3858">
        <v>709</v>
      </c>
      <c r="J3858" t="s">
        <v>31</v>
      </c>
      <c r="K3858" t="str">
        <f>_xlfn.XLOOKUP(datos_ventas[[#This Row],[Ciudad]],Tabla2[Ciudades],Tabla2[Provincias],"no se encuentra")</f>
        <v>Vizcaya</v>
      </c>
      <c r="L3858" t="str">
        <f>_xlfn.XLOOKUP(datos_ventas[[#This Row],[Provincia]],Tabla2[Provincias],Tabla2[Comunidades],"no se encuentra")</f>
        <v>País Vasco</v>
      </c>
      <c r="M3858" t="s">
        <v>19</v>
      </c>
      <c r="N3858">
        <v>3</v>
      </c>
    </row>
    <row r="3859" spans="1:14" x14ac:dyDescent="0.25">
      <c r="A3859">
        <v>4858</v>
      </c>
      <c r="B3859" s="1">
        <v>45793</v>
      </c>
      <c r="C3859" s="4">
        <f>MONTH(datos_ventas[[#This Row],[Fecha]])</f>
        <v>5</v>
      </c>
      <c r="D3859" s="4">
        <f>WEEKNUM(datos_ventas[[#This Row],[Fecha]],2)</f>
        <v>20</v>
      </c>
      <c r="E3859" t="s">
        <v>29</v>
      </c>
      <c r="F3859" t="s">
        <v>30</v>
      </c>
      <c r="G3859">
        <v>4</v>
      </c>
      <c r="H3859">
        <v>23821</v>
      </c>
      <c r="I3859">
        <v>693</v>
      </c>
      <c r="J3859" t="s">
        <v>31</v>
      </c>
      <c r="K3859" t="str">
        <f>_xlfn.XLOOKUP(datos_ventas[[#This Row],[Ciudad]],Tabla2[Ciudades],Tabla2[Provincias],"no se encuentra")</f>
        <v>Vizcaya</v>
      </c>
      <c r="L3859" t="str">
        <f>_xlfn.XLOOKUP(datos_ventas[[#This Row],[Provincia]],Tabla2[Provincias],Tabla2[Comunidades],"no se encuentra")</f>
        <v>País Vasco</v>
      </c>
      <c r="M3859" t="s">
        <v>28</v>
      </c>
      <c r="N3859">
        <v>5</v>
      </c>
    </row>
    <row r="3860" spans="1:14" x14ac:dyDescent="0.25">
      <c r="A3860">
        <v>4859</v>
      </c>
      <c r="B3860" s="1">
        <v>45819</v>
      </c>
      <c r="C3860" s="4">
        <f>MONTH(datos_ventas[[#This Row],[Fecha]])</f>
        <v>6</v>
      </c>
      <c r="D3860" s="4">
        <f>WEEKNUM(datos_ventas[[#This Row],[Fecha]],2)</f>
        <v>24</v>
      </c>
      <c r="E3860" t="s">
        <v>16</v>
      </c>
      <c r="F3860" t="s">
        <v>11</v>
      </c>
      <c r="G3860">
        <v>3</v>
      </c>
      <c r="H3860">
        <v>100015</v>
      </c>
      <c r="I3860">
        <v>1919</v>
      </c>
      <c r="J3860" t="s">
        <v>27</v>
      </c>
      <c r="K3860" t="str">
        <f>_xlfn.XLOOKUP(datos_ventas[[#This Row],[Ciudad]],Tabla2[Ciudades],Tabla2[Provincias],"no se encuentra")</f>
        <v>Sevilla</v>
      </c>
      <c r="L3860" t="str">
        <f>_xlfn.XLOOKUP(datos_ventas[[#This Row],[Provincia]],Tabla2[Provincias],Tabla2[Comunidades],"no se encuentra")</f>
        <v>Andalucía</v>
      </c>
      <c r="M3860" t="s">
        <v>28</v>
      </c>
      <c r="N3860">
        <v>4</v>
      </c>
    </row>
    <row r="3861" spans="1:14" x14ac:dyDescent="0.25">
      <c r="A3861">
        <v>4860</v>
      </c>
      <c r="B3861" s="1">
        <v>45789</v>
      </c>
      <c r="C3861" s="4">
        <f>MONTH(datos_ventas[[#This Row],[Fecha]])</f>
        <v>5</v>
      </c>
      <c r="D3861" s="4">
        <f>WEEKNUM(datos_ventas[[#This Row],[Fecha]],2)</f>
        <v>20</v>
      </c>
      <c r="E3861" t="s">
        <v>20</v>
      </c>
      <c r="F3861" t="s">
        <v>21</v>
      </c>
      <c r="G3861">
        <v>1</v>
      </c>
      <c r="H3861">
        <v>27735</v>
      </c>
      <c r="I3861">
        <v>1686</v>
      </c>
      <c r="J3861" t="s">
        <v>22</v>
      </c>
      <c r="K3861" t="str">
        <f>_xlfn.XLOOKUP(datos_ventas[[#This Row],[Ciudad]],Tabla2[Ciudades],Tabla2[Provincias],"no se encuentra")</f>
        <v>Valencia</v>
      </c>
      <c r="L3861" t="str">
        <f>_xlfn.XLOOKUP(datos_ventas[[#This Row],[Provincia]],Tabla2[Provincias],Tabla2[Comunidades],"no se encuentra")</f>
        <v>Comunidad Valenciana</v>
      </c>
      <c r="M3861" t="s">
        <v>13</v>
      </c>
      <c r="N3861">
        <v>3</v>
      </c>
    </row>
    <row r="3862" spans="1:14" x14ac:dyDescent="0.25">
      <c r="A3862">
        <v>4861</v>
      </c>
      <c r="B3862" s="1">
        <v>46003</v>
      </c>
      <c r="C3862" s="4">
        <f>MONTH(datos_ventas[[#This Row],[Fecha]])</f>
        <v>12</v>
      </c>
      <c r="D3862" s="4">
        <f>WEEKNUM(datos_ventas[[#This Row],[Fecha]],2)</f>
        <v>50</v>
      </c>
      <c r="E3862" t="s">
        <v>24</v>
      </c>
      <c r="F3862" t="s">
        <v>25</v>
      </c>
      <c r="G3862">
        <v>3</v>
      </c>
      <c r="H3862">
        <v>62079</v>
      </c>
      <c r="I3862">
        <v>2484</v>
      </c>
      <c r="J3862" t="s">
        <v>14</v>
      </c>
      <c r="K3862" t="str">
        <f>_xlfn.XLOOKUP(datos_ventas[[#This Row],[Ciudad]],Tabla2[Ciudades],Tabla2[Provincias],"no se encuentra")</f>
        <v>Madrid</v>
      </c>
      <c r="L3862" t="str">
        <f>_xlfn.XLOOKUP(datos_ventas[[#This Row],[Provincia]],Tabla2[Provincias],Tabla2[Comunidades],"no se encuentra")</f>
        <v>Comunidad de Madrid</v>
      </c>
      <c r="M3862" t="s">
        <v>13</v>
      </c>
      <c r="N3862">
        <v>4</v>
      </c>
    </row>
    <row r="3863" spans="1:14" x14ac:dyDescent="0.25">
      <c r="A3863">
        <v>4862</v>
      </c>
      <c r="B3863" s="1">
        <v>45745</v>
      </c>
      <c r="C3863" s="4">
        <f>MONTH(datos_ventas[[#This Row],[Fecha]])</f>
        <v>3</v>
      </c>
      <c r="D3863" s="4">
        <f>WEEKNUM(datos_ventas[[#This Row],[Fecha]],2)</f>
        <v>13</v>
      </c>
      <c r="E3863" t="s">
        <v>10</v>
      </c>
      <c r="F3863" t="s">
        <v>11</v>
      </c>
      <c r="G3863">
        <v>1</v>
      </c>
      <c r="H3863">
        <v>116085</v>
      </c>
      <c r="I3863">
        <v>4419</v>
      </c>
      <c r="J3863" t="s">
        <v>31</v>
      </c>
      <c r="K3863" t="str">
        <f>_xlfn.XLOOKUP(datos_ventas[[#This Row],[Ciudad]],Tabla2[Ciudades],Tabla2[Provincias],"no se encuentra")</f>
        <v>Vizcaya</v>
      </c>
      <c r="L3863" t="str">
        <f>_xlfn.XLOOKUP(datos_ventas[[#This Row],[Provincia]],Tabla2[Provincias],Tabla2[Comunidades],"no se encuentra")</f>
        <v>País Vasco</v>
      </c>
      <c r="M3863" t="s">
        <v>13</v>
      </c>
      <c r="N3863">
        <v>2</v>
      </c>
    </row>
    <row r="3864" spans="1:14" x14ac:dyDescent="0.25">
      <c r="A3864">
        <v>4863</v>
      </c>
      <c r="B3864" s="1">
        <v>45933</v>
      </c>
      <c r="C3864" s="4">
        <f>MONTH(datos_ventas[[#This Row],[Fecha]])</f>
        <v>10</v>
      </c>
      <c r="D3864" s="4">
        <f>WEEKNUM(datos_ventas[[#This Row],[Fecha]],2)</f>
        <v>40</v>
      </c>
      <c r="E3864" t="s">
        <v>10</v>
      </c>
      <c r="F3864" t="s">
        <v>11</v>
      </c>
      <c r="G3864">
        <v>2</v>
      </c>
      <c r="H3864">
        <v>14465</v>
      </c>
      <c r="I3864">
        <v>4978</v>
      </c>
      <c r="J3864" t="s">
        <v>32</v>
      </c>
      <c r="K3864" t="str">
        <f>_xlfn.XLOOKUP(datos_ventas[[#This Row],[Ciudad]],Tabla2[Ciudades],Tabla2[Provincias],"no se encuentra")</f>
        <v>Barcelona</v>
      </c>
      <c r="L3864" t="str">
        <f>_xlfn.XLOOKUP(datos_ventas[[#This Row],[Provincia]],Tabla2[Provincias],Tabla2[Comunidades],"no se encuentra")</f>
        <v>Cataluña</v>
      </c>
      <c r="M3864" t="s">
        <v>28</v>
      </c>
      <c r="N3864">
        <v>1</v>
      </c>
    </row>
    <row r="3865" spans="1:14" x14ac:dyDescent="0.25">
      <c r="A3865">
        <v>4864</v>
      </c>
      <c r="B3865" s="1">
        <v>45782</v>
      </c>
      <c r="C3865" s="4">
        <f>MONTH(datos_ventas[[#This Row],[Fecha]])</f>
        <v>5</v>
      </c>
      <c r="D3865" s="4">
        <f>WEEKNUM(datos_ventas[[#This Row],[Fecha]],2)</f>
        <v>19</v>
      </c>
      <c r="E3865" t="s">
        <v>20</v>
      </c>
      <c r="F3865" t="s">
        <v>21</v>
      </c>
      <c r="G3865">
        <v>1</v>
      </c>
      <c r="H3865">
        <v>30707</v>
      </c>
      <c r="I3865">
        <v>3552</v>
      </c>
      <c r="J3865" t="s">
        <v>22</v>
      </c>
      <c r="K3865" t="str">
        <f>_xlfn.XLOOKUP(datos_ventas[[#This Row],[Ciudad]],Tabla2[Ciudades],Tabla2[Provincias],"no se encuentra")</f>
        <v>Valencia</v>
      </c>
      <c r="L3865" t="str">
        <f>_xlfn.XLOOKUP(datos_ventas[[#This Row],[Provincia]],Tabla2[Provincias],Tabla2[Comunidades],"no se encuentra")</f>
        <v>Comunidad Valenciana</v>
      </c>
      <c r="M3865" t="s">
        <v>15</v>
      </c>
      <c r="N3865">
        <v>1</v>
      </c>
    </row>
    <row r="3866" spans="1:14" x14ac:dyDescent="0.25">
      <c r="A3866">
        <v>4865</v>
      </c>
      <c r="B3866" s="1">
        <v>45748</v>
      </c>
      <c r="C3866" s="4">
        <f>MONTH(datos_ventas[[#This Row],[Fecha]])</f>
        <v>4</v>
      </c>
      <c r="D3866" s="4">
        <f>WEEKNUM(datos_ventas[[#This Row],[Fecha]],2)</f>
        <v>14</v>
      </c>
      <c r="E3866" t="s">
        <v>23</v>
      </c>
      <c r="F3866" t="s">
        <v>18</v>
      </c>
      <c r="G3866">
        <v>2</v>
      </c>
      <c r="H3866">
        <v>87614</v>
      </c>
      <c r="I3866">
        <v>1361</v>
      </c>
      <c r="J3866" t="s">
        <v>31</v>
      </c>
      <c r="K3866" t="str">
        <f>_xlfn.XLOOKUP(datos_ventas[[#This Row],[Ciudad]],Tabla2[Ciudades],Tabla2[Provincias],"no se encuentra")</f>
        <v>Vizcaya</v>
      </c>
      <c r="L3866" t="str">
        <f>_xlfn.XLOOKUP(datos_ventas[[#This Row],[Provincia]],Tabla2[Provincias],Tabla2[Comunidades],"no se encuentra")</f>
        <v>País Vasco</v>
      </c>
      <c r="M3866" t="s">
        <v>28</v>
      </c>
      <c r="N3866">
        <v>4</v>
      </c>
    </row>
    <row r="3867" spans="1:14" x14ac:dyDescent="0.25">
      <c r="A3867">
        <v>4866</v>
      </c>
      <c r="B3867" s="1">
        <v>45926</v>
      </c>
      <c r="C3867" s="4">
        <f>MONTH(datos_ventas[[#This Row],[Fecha]])</f>
        <v>9</v>
      </c>
      <c r="D3867" s="4">
        <f>WEEKNUM(datos_ventas[[#This Row],[Fecha]],2)</f>
        <v>39</v>
      </c>
      <c r="E3867" t="s">
        <v>10</v>
      </c>
      <c r="F3867" t="s">
        <v>11</v>
      </c>
      <c r="G3867">
        <v>2</v>
      </c>
      <c r="H3867">
        <v>2621</v>
      </c>
      <c r="I3867">
        <v>4206</v>
      </c>
      <c r="J3867" t="s">
        <v>27</v>
      </c>
      <c r="K3867" t="str">
        <f>_xlfn.XLOOKUP(datos_ventas[[#This Row],[Ciudad]],Tabla2[Ciudades],Tabla2[Provincias],"no se encuentra")</f>
        <v>Sevilla</v>
      </c>
      <c r="L3867" t="str">
        <f>_xlfn.XLOOKUP(datos_ventas[[#This Row],[Provincia]],Tabla2[Provincias],Tabla2[Comunidades],"no se encuentra")</f>
        <v>Andalucía</v>
      </c>
      <c r="M3867" t="s">
        <v>15</v>
      </c>
      <c r="N3867">
        <v>3</v>
      </c>
    </row>
    <row r="3868" spans="1:14" x14ac:dyDescent="0.25">
      <c r="A3868">
        <v>4867</v>
      </c>
      <c r="B3868" s="1">
        <v>45998</v>
      </c>
      <c r="C3868" s="4">
        <f>MONTH(datos_ventas[[#This Row],[Fecha]])</f>
        <v>12</v>
      </c>
      <c r="D3868" s="4">
        <f>WEEKNUM(datos_ventas[[#This Row],[Fecha]],2)</f>
        <v>49</v>
      </c>
      <c r="E3868" t="s">
        <v>29</v>
      </c>
      <c r="F3868" t="s">
        <v>30</v>
      </c>
      <c r="G3868">
        <v>1</v>
      </c>
      <c r="H3868">
        <v>112571</v>
      </c>
      <c r="I3868">
        <v>2241</v>
      </c>
      <c r="J3868" t="s">
        <v>14</v>
      </c>
      <c r="K3868" t="str">
        <f>_xlfn.XLOOKUP(datos_ventas[[#This Row],[Ciudad]],Tabla2[Ciudades],Tabla2[Provincias],"no se encuentra")</f>
        <v>Madrid</v>
      </c>
      <c r="L3868" t="str">
        <f>_xlfn.XLOOKUP(datos_ventas[[#This Row],[Provincia]],Tabla2[Provincias],Tabla2[Comunidades],"no se encuentra")</f>
        <v>Comunidad de Madrid</v>
      </c>
      <c r="M3868" t="s">
        <v>13</v>
      </c>
      <c r="N3868">
        <v>2</v>
      </c>
    </row>
    <row r="3869" spans="1:14" x14ac:dyDescent="0.25">
      <c r="A3869">
        <v>4868</v>
      </c>
      <c r="B3869" s="1">
        <v>45944</v>
      </c>
      <c r="C3869" s="4">
        <f>MONTH(datos_ventas[[#This Row],[Fecha]])</f>
        <v>10</v>
      </c>
      <c r="D3869" s="4">
        <f>WEEKNUM(datos_ventas[[#This Row],[Fecha]],2)</f>
        <v>42</v>
      </c>
      <c r="E3869" t="s">
        <v>23</v>
      </c>
      <c r="F3869" t="s">
        <v>18</v>
      </c>
      <c r="G3869">
        <v>1</v>
      </c>
      <c r="H3869">
        <v>105211</v>
      </c>
      <c r="I3869">
        <v>2365</v>
      </c>
      <c r="J3869" t="s">
        <v>14</v>
      </c>
      <c r="K3869" t="str">
        <f>_xlfn.XLOOKUP(datos_ventas[[#This Row],[Ciudad]],Tabla2[Ciudades],Tabla2[Provincias],"no se encuentra")</f>
        <v>Madrid</v>
      </c>
      <c r="L3869" t="str">
        <f>_xlfn.XLOOKUP(datos_ventas[[#This Row],[Provincia]],Tabla2[Provincias],Tabla2[Comunidades],"no se encuentra")</f>
        <v>Comunidad de Madrid</v>
      </c>
      <c r="M3869" t="s">
        <v>13</v>
      </c>
      <c r="N3869">
        <v>4</v>
      </c>
    </row>
    <row r="3870" spans="1:14" x14ac:dyDescent="0.25">
      <c r="A3870">
        <v>4869</v>
      </c>
      <c r="B3870" s="1">
        <v>45864</v>
      </c>
      <c r="C3870" s="4">
        <f>MONTH(datos_ventas[[#This Row],[Fecha]])</f>
        <v>7</v>
      </c>
      <c r="D3870" s="4">
        <f>WEEKNUM(datos_ventas[[#This Row],[Fecha]],2)</f>
        <v>30</v>
      </c>
      <c r="E3870" t="s">
        <v>23</v>
      </c>
      <c r="F3870" t="s">
        <v>18</v>
      </c>
      <c r="G3870">
        <v>2</v>
      </c>
      <c r="H3870">
        <v>36283</v>
      </c>
      <c r="I3870">
        <v>4702</v>
      </c>
      <c r="J3870" t="s">
        <v>14</v>
      </c>
      <c r="K3870" t="str">
        <f>_xlfn.XLOOKUP(datos_ventas[[#This Row],[Ciudad]],Tabla2[Ciudades],Tabla2[Provincias],"no se encuentra")</f>
        <v>Madrid</v>
      </c>
      <c r="L3870" t="str">
        <f>_xlfn.XLOOKUP(datos_ventas[[#This Row],[Provincia]],Tabla2[Provincias],Tabla2[Comunidades],"no se encuentra")</f>
        <v>Comunidad de Madrid</v>
      </c>
      <c r="M3870" t="s">
        <v>28</v>
      </c>
      <c r="N3870">
        <v>2</v>
      </c>
    </row>
    <row r="3871" spans="1:14" x14ac:dyDescent="0.25">
      <c r="A3871">
        <v>4870</v>
      </c>
      <c r="B3871" s="1">
        <v>45786</v>
      </c>
      <c r="C3871" s="4">
        <f>MONTH(datos_ventas[[#This Row],[Fecha]])</f>
        <v>5</v>
      </c>
      <c r="D3871" s="4">
        <f>WEEKNUM(datos_ventas[[#This Row],[Fecha]],2)</f>
        <v>19</v>
      </c>
      <c r="E3871" t="s">
        <v>23</v>
      </c>
      <c r="F3871" t="s">
        <v>18</v>
      </c>
      <c r="G3871">
        <v>1</v>
      </c>
      <c r="H3871">
        <v>2487</v>
      </c>
      <c r="I3871">
        <v>3335</v>
      </c>
      <c r="J3871" t="s">
        <v>31</v>
      </c>
      <c r="K3871" t="str">
        <f>_xlfn.XLOOKUP(datos_ventas[[#This Row],[Ciudad]],Tabla2[Ciudades],Tabla2[Provincias],"no se encuentra")</f>
        <v>Vizcaya</v>
      </c>
      <c r="L3871" t="str">
        <f>_xlfn.XLOOKUP(datos_ventas[[#This Row],[Provincia]],Tabla2[Provincias],Tabla2[Comunidades],"no se encuentra")</f>
        <v>País Vasco</v>
      </c>
      <c r="M3871" t="s">
        <v>13</v>
      </c>
      <c r="N3871">
        <v>2</v>
      </c>
    </row>
    <row r="3872" spans="1:14" x14ac:dyDescent="0.25">
      <c r="A3872">
        <v>4871</v>
      </c>
      <c r="B3872" s="1">
        <v>45851</v>
      </c>
      <c r="C3872" s="4">
        <f>MONTH(datos_ventas[[#This Row],[Fecha]])</f>
        <v>7</v>
      </c>
      <c r="D3872" s="4">
        <f>WEEKNUM(datos_ventas[[#This Row],[Fecha]],2)</f>
        <v>28</v>
      </c>
      <c r="E3872" t="s">
        <v>20</v>
      </c>
      <c r="F3872" t="s">
        <v>21</v>
      </c>
      <c r="G3872">
        <v>3</v>
      </c>
      <c r="H3872">
        <v>87048</v>
      </c>
      <c r="I3872">
        <v>3088</v>
      </c>
      <c r="J3872" t="s">
        <v>22</v>
      </c>
      <c r="K3872" t="str">
        <f>_xlfn.XLOOKUP(datos_ventas[[#This Row],[Ciudad]],Tabla2[Ciudades],Tabla2[Provincias],"no se encuentra")</f>
        <v>Valencia</v>
      </c>
      <c r="L3872" t="str">
        <f>_xlfn.XLOOKUP(datos_ventas[[#This Row],[Provincia]],Tabla2[Provincias],Tabla2[Comunidades],"no se encuentra")</f>
        <v>Comunidad Valenciana</v>
      </c>
      <c r="M3872" t="s">
        <v>13</v>
      </c>
      <c r="N3872">
        <v>1</v>
      </c>
    </row>
    <row r="3873" spans="1:14" x14ac:dyDescent="0.25">
      <c r="A3873">
        <v>4872</v>
      </c>
      <c r="B3873" s="1">
        <v>45938</v>
      </c>
      <c r="C3873" s="4">
        <f>MONTH(datos_ventas[[#This Row],[Fecha]])</f>
        <v>10</v>
      </c>
      <c r="D3873" s="4">
        <f>WEEKNUM(datos_ventas[[#This Row],[Fecha]],2)</f>
        <v>41</v>
      </c>
      <c r="E3873" t="s">
        <v>29</v>
      </c>
      <c r="F3873" t="s">
        <v>30</v>
      </c>
      <c r="G3873">
        <v>2</v>
      </c>
      <c r="H3873">
        <v>55685</v>
      </c>
      <c r="I3873">
        <v>1017</v>
      </c>
      <c r="J3873" t="s">
        <v>14</v>
      </c>
      <c r="K3873" t="str">
        <f>_xlfn.XLOOKUP(datos_ventas[[#This Row],[Ciudad]],Tabla2[Ciudades],Tabla2[Provincias],"no se encuentra")</f>
        <v>Madrid</v>
      </c>
      <c r="L3873" t="str">
        <f>_xlfn.XLOOKUP(datos_ventas[[#This Row],[Provincia]],Tabla2[Provincias],Tabla2[Comunidades],"no se encuentra")</f>
        <v>Comunidad de Madrid</v>
      </c>
      <c r="M3873" t="s">
        <v>15</v>
      </c>
      <c r="N3873">
        <v>5</v>
      </c>
    </row>
    <row r="3874" spans="1:14" x14ac:dyDescent="0.25">
      <c r="A3874">
        <v>4873</v>
      </c>
      <c r="B3874" s="1">
        <v>45791</v>
      </c>
      <c r="C3874" s="4">
        <f>MONTH(datos_ventas[[#This Row],[Fecha]])</f>
        <v>5</v>
      </c>
      <c r="D3874" s="4">
        <f>WEEKNUM(datos_ventas[[#This Row],[Fecha]],2)</f>
        <v>20</v>
      </c>
      <c r="E3874" t="s">
        <v>26</v>
      </c>
      <c r="F3874" t="s">
        <v>18</v>
      </c>
      <c r="G3874">
        <v>3</v>
      </c>
      <c r="H3874">
        <v>63296</v>
      </c>
      <c r="I3874">
        <v>3862</v>
      </c>
      <c r="J3874" t="s">
        <v>14</v>
      </c>
      <c r="K3874" t="str">
        <f>_xlfn.XLOOKUP(datos_ventas[[#This Row],[Ciudad]],Tabla2[Ciudades],Tabla2[Provincias],"no se encuentra")</f>
        <v>Madrid</v>
      </c>
      <c r="L3874" t="str">
        <f>_xlfn.XLOOKUP(datos_ventas[[#This Row],[Provincia]],Tabla2[Provincias],Tabla2[Comunidades],"no se encuentra")</f>
        <v>Comunidad de Madrid</v>
      </c>
      <c r="M3874" t="s">
        <v>15</v>
      </c>
      <c r="N3874">
        <v>4</v>
      </c>
    </row>
    <row r="3875" spans="1:14" x14ac:dyDescent="0.25">
      <c r="A3875">
        <v>4874</v>
      </c>
      <c r="B3875" s="1">
        <v>45880</v>
      </c>
      <c r="C3875" s="4">
        <f>MONTH(datos_ventas[[#This Row],[Fecha]])</f>
        <v>8</v>
      </c>
      <c r="D3875" s="4">
        <f>WEEKNUM(datos_ventas[[#This Row],[Fecha]],2)</f>
        <v>33</v>
      </c>
      <c r="E3875" t="s">
        <v>26</v>
      </c>
      <c r="F3875" t="s">
        <v>18</v>
      </c>
      <c r="G3875">
        <v>4</v>
      </c>
      <c r="H3875">
        <v>32871</v>
      </c>
      <c r="I3875">
        <v>3329</v>
      </c>
      <c r="J3875" t="s">
        <v>22</v>
      </c>
      <c r="K3875" t="str">
        <f>_xlfn.XLOOKUP(datos_ventas[[#This Row],[Ciudad]],Tabla2[Ciudades],Tabla2[Provincias],"no se encuentra")</f>
        <v>Valencia</v>
      </c>
      <c r="L3875" t="str">
        <f>_xlfn.XLOOKUP(datos_ventas[[#This Row],[Provincia]],Tabla2[Provincias],Tabla2[Comunidades],"no se encuentra")</f>
        <v>Comunidad Valenciana</v>
      </c>
      <c r="M3875" t="s">
        <v>15</v>
      </c>
      <c r="N3875">
        <v>2</v>
      </c>
    </row>
    <row r="3876" spans="1:14" x14ac:dyDescent="0.25">
      <c r="A3876">
        <v>4875</v>
      </c>
      <c r="B3876" s="1">
        <v>45949</v>
      </c>
      <c r="C3876" s="4">
        <f>MONTH(datos_ventas[[#This Row],[Fecha]])</f>
        <v>10</v>
      </c>
      <c r="D3876" s="4">
        <f>WEEKNUM(datos_ventas[[#This Row],[Fecha]],2)</f>
        <v>42</v>
      </c>
      <c r="E3876" t="s">
        <v>24</v>
      </c>
      <c r="F3876" t="s">
        <v>25</v>
      </c>
      <c r="G3876">
        <v>5</v>
      </c>
      <c r="H3876">
        <v>99301</v>
      </c>
      <c r="I3876">
        <v>4554</v>
      </c>
      <c r="J3876" t="s">
        <v>27</v>
      </c>
      <c r="K3876" t="str">
        <f>_xlfn.XLOOKUP(datos_ventas[[#This Row],[Ciudad]],Tabla2[Ciudades],Tabla2[Provincias],"no se encuentra")</f>
        <v>Sevilla</v>
      </c>
      <c r="L3876" t="str">
        <f>_xlfn.XLOOKUP(datos_ventas[[#This Row],[Provincia]],Tabla2[Provincias],Tabla2[Comunidades],"no se encuentra")</f>
        <v>Andalucía</v>
      </c>
      <c r="M3876" t="s">
        <v>13</v>
      </c>
      <c r="N3876">
        <v>4</v>
      </c>
    </row>
    <row r="3877" spans="1:14" x14ac:dyDescent="0.25">
      <c r="A3877">
        <v>4876</v>
      </c>
      <c r="B3877" s="1">
        <v>45682</v>
      </c>
      <c r="C3877" s="4">
        <f>MONTH(datos_ventas[[#This Row],[Fecha]])</f>
        <v>1</v>
      </c>
      <c r="D3877" s="4">
        <f>WEEKNUM(datos_ventas[[#This Row],[Fecha]],2)</f>
        <v>4</v>
      </c>
      <c r="E3877" t="s">
        <v>24</v>
      </c>
      <c r="F3877" t="s">
        <v>25</v>
      </c>
      <c r="G3877">
        <v>2</v>
      </c>
      <c r="H3877">
        <v>5856</v>
      </c>
      <c r="I3877">
        <v>423</v>
      </c>
      <c r="J3877" t="s">
        <v>32</v>
      </c>
      <c r="K3877" t="str">
        <f>_xlfn.XLOOKUP(datos_ventas[[#This Row],[Ciudad]],Tabla2[Ciudades],Tabla2[Provincias],"no se encuentra")</f>
        <v>Barcelona</v>
      </c>
      <c r="L3877" t="str">
        <f>_xlfn.XLOOKUP(datos_ventas[[#This Row],[Provincia]],Tabla2[Provincias],Tabla2[Comunidades],"no se encuentra")</f>
        <v>Cataluña</v>
      </c>
      <c r="M3877" t="s">
        <v>15</v>
      </c>
      <c r="N3877">
        <v>4</v>
      </c>
    </row>
    <row r="3878" spans="1:14" x14ac:dyDescent="0.25">
      <c r="A3878">
        <v>4877</v>
      </c>
      <c r="B3878" s="1">
        <v>45962</v>
      </c>
      <c r="C3878" s="4">
        <f>MONTH(datos_ventas[[#This Row],[Fecha]])</f>
        <v>11</v>
      </c>
      <c r="D3878" s="4">
        <f>WEEKNUM(datos_ventas[[#This Row],[Fecha]],2)</f>
        <v>44</v>
      </c>
      <c r="E3878" t="s">
        <v>29</v>
      </c>
      <c r="F3878" t="s">
        <v>30</v>
      </c>
      <c r="G3878">
        <v>1</v>
      </c>
      <c r="H3878">
        <v>99863</v>
      </c>
      <c r="I3878">
        <v>1617</v>
      </c>
      <c r="J3878" t="s">
        <v>14</v>
      </c>
      <c r="K3878" t="str">
        <f>_xlfn.XLOOKUP(datos_ventas[[#This Row],[Ciudad]],Tabla2[Ciudades],Tabla2[Provincias],"no se encuentra")</f>
        <v>Madrid</v>
      </c>
      <c r="L3878" t="str">
        <f>_xlfn.XLOOKUP(datos_ventas[[#This Row],[Provincia]],Tabla2[Provincias],Tabla2[Comunidades],"no se encuentra")</f>
        <v>Comunidad de Madrid</v>
      </c>
      <c r="M3878" t="s">
        <v>28</v>
      </c>
      <c r="N3878">
        <v>1</v>
      </c>
    </row>
    <row r="3879" spans="1:14" x14ac:dyDescent="0.25">
      <c r="A3879">
        <v>4878</v>
      </c>
      <c r="B3879" s="1">
        <v>45901</v>
      </c>
      <c r="C3879" s="4">
        <f>MONTH(datos_ventas[[#This Row],[Fecha]])</f>
        <v>9</v>
      </c>
      <c r="D3879" s="4">
        <f>WEEKNUM(datos_ventas[[#This Row],[Fecha]],2)</f>
        <v>36</v>
      </c>
      <c r="E3879" t="s">
        <v>20</v>
      </c>
      <c r="F3879" t="s">
        <v>21</v>
      </c>
      <c r="G3879">
        <v>5</v>
      </c>
      <c r="H3879">
        <v>69768</v>
      </c>
      <c r="I3879">
        <v>3173</v>
      </c>
      <c r="J3879" t="s">
        <v>14</v>
      </c>
      <c r="K3879" t="str">
        <f>_xlfn.XLOOKUP(datos_ventas[[#This Row],[Ciudad]],Tabla2[Ciudades],Tabla2[Provincias],"no se encuentra")</f>
        <v>Madrid</v>
      </c>
      <c r="L3879" t="str">
        <f>_xlfn.XLOOKUP(datos_ventas[[#This Row],[Provincia]],Tabla2[Provincias],Tabla2[Comunidades],"no se encuentra")</f>
        <v>Comunidad de Madrid</v>
      </c>
      <c r="M3879" t="s">
        <v>19</v>
      </c>
      <c r="N3879">
        <v>3</v>
      </c>
    </row>
    <row r="3880" spans="1:14" x14ac:dyDescent="0.25">
      <c r="A3880">
        <v>4879</v>
      </c>
      <c r="B3880" s="1">
        <v>45660</v>
      </c>
      <c r="C3880" s="4">
        <f>MONTH(datos_ventas[[#This Row],[Fecha]])</f>
        <v>1</v>
      </c>
      <c r="D3880" s="4">
        <f>WEEKNUM(datos_ventas[[#This Row],[Fecha]],2)</f>
        <v>1</v>
      </c>
      <c r="E3880" t="s">
        <v>26</v>
      </c>
      <c r="F3880" t="s">
        <v>18</v>
      </c>
      <c r="G3880">
        <v>5</v>
      </c>
      <c r="H3880">
        <v>58628</v>
      </c>
      <c r="I3880">
        <v>1913</v>
      </c>
      <c r="J3880" t="s">
        <v>14</v>
      </c>
      <c r="K3880" t="str">
        <f>_xlfn.XLOOKUP(datos_ventas[[#This Row],[Ciudad]],Tabla2[Ciudades],Tabla2[Provincias],"no se encuentra")</f>
        <v>Madrid</v>
      </c>
      <c r="L3880" t="str">
        <f>_xlfn.XLOOKUP(datos_ventas[[#This Row],[Provincia]],Tabla2[Provincias],Tabla2[Comunidades],"no se encuentra")</f>
        <v>Comunidad de Madrid</v>
      </c>
      <c r="M3880" t="s">
        <v>19</v>
      </c>
      <c r="N3880">
        <v>3</v>
      </c>
    </row>
    <row r="3881" spans="1:14" x14ac:dyDescent="0.25">
      <c r="A3881">
        <v>4880</v>
      </c>
      <c r="B3881" s="1">
        <v>45751</v>
      </c>
      <c r="C3881" s="4">
        <f>MONTH(datos_ventas[[#This Row],[Fecha]])</f>
        <v>4</v>
      </c>
      <c r="D3881" s="4">
        <f>WEEKNUM(datos_ventas[[#This Row],[Fecha]],2)</f>
        <v>14</v>
      </c>
      <c r="E3881" t="s">
        <v>17</v>
      </c>
      <c r="F3881" t="s">
        <v>18</v>
      </c>
      <c r="G3881">
        <v>2</v>
      </c>
      <c r="H3881">
        <v>73057</v>
      </c>
      <c r="I3881">
        <v>431</v>
      </c>
      <c r="J3881" t="s">
        <v>22</v>
      </c>
      <c r="K3881" t="str">
        <f>_xlfn.XLOOKUP(datos_ventas[[#This Row],[Ciudad]],Tabla2[Ciudades],Tabla2[Provincias],"no se encuentra")</f>
        <v>Valencia</v>
      </c>
      <c r="L3881" t="str">
        <f>_xlfn.XLOOKUP(datos_ventas[[#This Row],[Provincia]],Tabla2[Provincias],Tabla2[Comunidades],"no se encuentra")</f>
        <v>Comunidad Valenciana</v>
      </c>
      <c r="M3881" t="s">
        <v>13</v>
      </c>
      <c r="N3881">
        <v>3</v>
      </c>
    </row>
    <row r="3882" spans="1:14" x14ac:dyDescent="0.25">
      <c r="A3882">
        <v>4881</v>
      </c>
      <c r="B3882" s="1">
        <v>45931</v>
      </c>
      <c r="C3882" s="4">
        <f>MONTH(datos_ventas[[#This Row],[Fecha]])</f>
        <v>10</v>
      </c>
      <c r="D3882" s="4">
        <f>WEEKNUM(datos_ventas[[#This Row],[Fecha]],2)</f>
        <v>40</v>
      </c>
      <c r="E3882" t="s">
        <v>26</v>
      </c>
      <c r="F3882" t="s">
        <v>18</v>
      </c>
      <c r="G3882">
        <v>4</v>
      </c>
      <c r="H3882">
        <v>30556</v>
      </c>
      <c r="I3882">
        <v>2558</v>
      </c>
      <c r="J3882" t="s">
        <v>27</v>
      </c>
      <c r="K3882" t="str">
        <f>_xlfn.XLOOKUP(datos_ventas[[#This Row],[Ciudad]],Tabla2[Ciudades],Tabla2[Provincias],"no se encuentra")</f>
        <v>Sevilla</v>
      </c>
      <c r="L3882" t="str">
        <f>_xlfn.XLOOKUP(datos_ventas[[#This Row],[Provincia]],Tabla2[Provincias],Tabla2[Comunidades],"no se encuentra")</f>
        <v>Andalucía</v>
      </c>
      <c r="M3882" t="s">
        <v>19</v>
      </c>
      <c r="N3882">
        <v>4</v>
      </c>
    </row>
    <row r="3883" spans="1:14" x14ac:dyDescent="0.25">
      <c r="A3883">
        <v>4882</v>
      </c>
      <c r="B3883" s="1">
        <v>45907</v>
      </c>
      <c r="C3883" s="4">
        <f>MONTH(datos_ventas[[#This Row],[Fecha]])</f>
        <v>9</v>
      </c>
      <c r="D3883" s="4">
        <f>WEEKNUM(datos_ventas[[#This Row],[Fecha]],2)</f>
        <v>36</v>
      </c>
      <c r="E3883" t="s">
        <v>23</v>
      </c>
      <c r="F3883" t="s">
        <v>18</v>
      </c>
      <c r="G3883">
        <v>2</v>
      </c>
      <c r="H3883">
        <v>18944</v>
      </c>
      <c r="I3883">
        <v>317</v>
      </c>
      <c r="J3883" t="s">
        <v>31</v>
      </c>
      <c r="K3883" t="str">
        <f>_xlfn.XLOOKUP(datos_ventas[[#This Row],[Ciudad]],Tabla2[Ciudades],Tabla2[Provincias],"no se encuentra")</f>
        <v>Vizcaya</v>
      </c>
      <c r="L3883" t="str">
        <f>_xlfn.XLOOKUP(datos_ventas[[#This Row],[Provincia]],Tabla2[Provincias],Tabla2[Comunidades],"no se encuentra")</f>
        <v>País Vasco</v>
      </c>
      <c r="M3883" t="s">
        <v>19</v>
      </c>
      <c r="N3883">
        <v>3</v>
      </c>
    </row>
    <row r="3884" spans="1:14" x14ac:dyDescent="0.25">
      <c r="A3884">
        <v>4883</v>
      </c>
      <c r="B3884" s="1">
        <v>45770</v>
      </c>
      <c r="C3884" s="4">
        <f>MONTH(datos_ventas[[#This Row],[Fecha]])</f>
        <v>4</v>
      </c>
      <c r="D3884" s="4">
        <f>WEEKNUM(datos_ventas[[#This Row],[Fecha]],2)</f>
        <v>17</v>
      </c>
      <c r="E3884" t="s">
        <v>24</v>
      </c>
      <c r="F3884" t="s">
        <v>25</v>
      </c>
      <c r="G3884">
        <v>1</v>
      </c>
      <c r="H3884">
        <v>2144</v>
      </c>
      <c r="I3884">
        <v>1189</v>
      </c>
      <c r="J3884" t="s">
        <v>32</v>
      </c>
      <c r="K3884" t="str">
        <f>_xlfn.XLOOKUP(datos_ventas[[#This Row],[Ciudad]],Tabla2[Ciudades],Tabla2[Provincias],"no se encuentra")</f>
        <v>Barcelona</v>
      </c>
      <c r="L3884" t="str">
        <f>_xlfn.XLOOKUP(datos_ventas[[#This Row],[Provincia]],Tabla2[Provincias],Tabla2[Comunidades],"no se encuentra")</f>
        <v>Cataluña</v>
      </c>
      <c r="M3884" t="s">
        <v>15</v>
      </c>
      <c r="N3884">
        <v>4</v>
      </c>
    </row>
    <row r="3885" spans="1:14" x14ac:dyDescent="0.25">
      <c r="A3885">
        <v>4884</v>
      </c>
      <c r="B3885" s="1">
        <v>45887</v>
      </c>
      <c r="C3885" s="4">
        <f>MONTH(datos_ventas[[#This Row],[Fecha]])</f>
        <v>8</v>
      </c>
      <c r="D3885" s="4">
        <f>WEEKNUM(datos_ventas[[#This Row],[Fecha]],2)</f>
        <v>34</v>
      </c>
      <c r="E3885" t="s">
        <v>17</v>
      </c>
      <c r="F3885" t="s">
        <v>18</v>
      </c>
      <c r="G3885">
        <v>5</v>
      </c>
      <c r="H3885">
        <v>5549</v>
      </c>
      <c r="I3885">
        <v>2646</v>
      </c>
      <c r="J3885" t="s">
        <v>12</v>
      </c>
      <c r="K3885" t="str">
        <f>_xlfn.XLOOKUP(datos_ventas[[#This Row],[Ciudad]],Tabla2[Ciudades],Tabla2[Provincias],"no se encuentra")</f>
        <v>Málaga</v>
      </c>
      <c r="L3885" t="str">
        <f>_xlfn.XLOOKUP(datos_ventas[[#This Row],[Provincia]],Tabla2[Provincias],Tabla2[Comunidades],"no se encuentra")</f>
        <v>Andalucía</v>
      </c>
      <c r="M3885" t="s">
        <v>15</v>
      </c>
      <c r="N3885">
        <v>1</v>
      </c>
    </row>
    <row r="3886" spans="1:14" x14ac:dyDescent="0.25">
      <c r="A3886">
        <v>4885</v>
      </c>
      <c r="B3886" s="1">
        <v>45770</v>
      </c>
      <c r="C3886" s="4">
        <f>MONTH(datos_ventas[[#This Row],[Fecha]])</f>
        <v>4</v>
      </c>
      <c r="D3886" s="4">
        <f>WEEKNUM(datos_ventas[[#This Row],[Fecha]],2)</f>
        <v>17</v>
      </c>
      <c r="E3886" t="s">
        <v>24</v>
      </c>
      <c r="F3886" t="s">
        <v>25</v>
      </c>
      <c r="G3886">
        <v>2</v>
      </c>
      <c r="H3886">
        <v>107438</v>
      </c>
      <c r="I3886">
        <v>68</v>
      </c>
      <c r="J3886" t="s">
        <v>31</v>
      </c>
      <c r="K3886" t="str">
        <f>_xlfn.XLOOKUP(datos_ventas[[#This Row],[Ciudad]],Tabla2[Ciudades],Tabla2[Provincias],"no se encuentra")</f>
        <v>Vizcaya</v>
      </c>
      <c r="L3886" t="str">
        <f>_xlfn.XLOOKUP(datos_ventas[[#This Row],[Provincia]],Tabla2[Provincias],Tabla2[Comunidades],"no se encuentra")</f>
        <v>País Vasco</v>
      </c>
      <c r="M3886" t="s">
        <v>28</v>
      </c>
      <c r="N3886">
        <v>1</v>
      </c>
    </row>
    <row r="3887" spans="1:14" x14ac:dyDescent="0.25">
      <c r="A3887">
        <v>4886</v>
      </c>
      <c r="B3887" s="1">
        <v>45890</v>
      </c>
      <c r="C3887" s="4">
        <f>MONTH(datos_ventas[[#This Row],[Fecha]])</f>
        <v>8</v>
      </c>
      <c r="D3887" s="4">
        <f>WEEKNUM(datos_ventas[[#This Row],[Fecha]],2)</f>
        <v>34</v>
      </c>
      <c r="E3887" t="s">
        <v>10</v>
      </c>
      <c r="F3887" t="s">
        <v>11</v>
      </c>
      <c r="G3887">
        <v>2</v>
      </c>
      <c r="H3887">
        <v>113165</v>
      </c>
      <c r="I3887">
        <v>486</v>
      </c>
      <c r="J3887" t="s">
        <v>12</v>
      </c>
      <c r="K3887" t="str">
        <f>_xlfn.XLOOKUP(datos_ventas[[#This Row],[Ciudad]],Tabla2[Ciudades],Tabla2[Provincias],"no se encuentra")</f>
        <v>Málaga</v>
      </c>
      <c r="L3887" t="str">
        <f>_xlfn.XLOOKUP(datos_ventas[[#This Row],[Provincia]],Tabla2[Provincias],Tabla2[Comunidades],"no se encuentra")</f>
        <v>Andalucía</v>
      </c>
      <c r="M3887" t="s">
        <v>28</v>
      </c>
      <c r="N3887">
        <v>1</v>
      </c>
    </row>
    <row r="3888" spans="1:14" x14ac:dyDescent="0.25">
      <c r="A3888">
        <v>4887</v>
      </c>
      <c r="B3888" s="1">
        <v>45798</v>
      </c>
      <c r="C3888" s="4">
        <f>MONTH(datos_ventas[[#This Row],[Fecha]])</f>
        <v>5</v>
      </c>
      <c r="D3888" s="4">
        <f>WEEKNUM(datos_ventas[[#This Row],[Fecha]],2)</f>
        <v>21</v>
      </c>
      <c r="E3888" t="s">
        <v>24</v>
      </c>
      <c r="F3888" t="s">
        <v>25</v>
      </c>
      <c r="G3888">
        <v>2</v>
      </c>
      <c r="H3888">
        <v>99289</v>
      </c>
      <c r="I3888">
        <v>1443</v>
      </c>
      <c r="J3888" t="s">
        <v>22</v>
      </c>
      <c r="K3888" t="str">
        <f>_xlfn.XLOOKUP(datos_ventas[[#This Row],[Ciudad]],Tabla2[Ciudades],Tabla2[Provincias],"no se encuentra")</f>
        <v>Valencia</v>
      </c>
      <c r="L3888" t="str">
        <f>_xlfn.XLOOKUP(datos_ventas[[#This Row],[Provincia]],Tabla2[Provincias],Tabla2[Comunidades],"no se encuentra")</f>
        <v>Comunidad Valenciana</v>
      </c>
      <c r="M3888" t="s">
        <v>28</v>
      </c>
      <c r="N3888">
        <v>3</v>
      </c>
    </row>
    <row r="3889" spans="1:14" x14ac:dyDescent="0.25">
      <c r="A3889">
        <v>4888</v>
      </c>
      <c r="B3889" s="1">
        <v>45742</v>
      </c>
      <c r="C3889" s="4">
        <f>MONTH(datos_ventas[[#This Row],[Fecha]])</f>
        <v>3</v>
      </c>
      <c r="D3889" s="4">
        <f>WEEKNUM(datos_ventas[[#This Row],[Fecha]],2)</f>
        <v>13</v>
      </c>
      <c r="E3889" t="s">
        <v>10</v>
      </c>
      <c r="F3889" t="s">
        <v>11</v>
      </c>
      <c r="G3889">
        <v>2</v>
      </c>
      <c r="H3889">
        <v>100165</v>
      </c>
      <c r="I3889">
        <v>3639</v>
      </c>
      <c r="J3889" t="s">
        <v>27</v>
      </c>
      <c r="K3889" t="str">
        <f>_xlfn.XLOOKUP(datos_ventas[[#This Row],[Ciudad]],Tabla2[Ciudades],Tabla2[Provincias],"no se encuentra")</f>
        <v>Sevilla</v>
      </c>
      <c r="L3889" t="str">
        <f>_xlfn.XLOOKUP(datos_ventas[[#This Row],[Provincia]],Tabla2[Provincias],Tabla2[Comunidades],"no se encuentra")</f>
        <v>Andalucía</v>
      </c>
      <c r="M3889" t="s">
        <v>28</v>
      </c>
      <c r="N3889">
        <v>1</v>
      </c>
    </row>
    <row r="3890" spans="1:14" x14ac:dyDescent="0.25">
      <c r="A3890">
        <v>4889</v>
      </c>
      <c r="B3890" s="1">
        <v>45875</v>
      </c>
      <c r="C3890" s="4">
        <f>MONTH(datos_ventas[[#This Row],[Fecha]])</f>
        <v>8</v>
      </c>
      <c r="D3890" s="4">
        <f>WEEKNUM(datos_ventas[[#This Row],[Fecha]],2)</f>
        <v>32</v>
      </c>
      <c r="E3890" t="s">
        <v>20</v>
      </c>
      <c r="F3890" t="s">
        <v>21</v>
      </c>
      <c r="G3890">
        <v>4</v>
      </c>
      <c r="H3890">
        <v>36943</v>
      </c>
      <c r="I3890">
        <v>2954</v>
      </c>
      <c r="J3890" t="s">
        <v>14</v>
      </c>
      <c r="K3890" t="str">
        <f>_xlfn.XLOOKUP(datos_ventas[[#This Row],[Ciudad]],Tabla2[Ciudades],Tabla2[Provincias],"no se encuentra")</f>
        <v>Madrid</v>
      </c>
      <c r="L3890" t="str">
        <f>_xlfn.XLOOKUP(datos_ventas[[#This Row],[Provincia]],Tabla2[Provincias],Tabla2[Comunidades],"no se encuentra")</f>
        <v>Comunidad de Madrid</v>
      </c>
      <c r="M3890" t="s">
        <v>15</v>
      </c>
      <c r="N3890">
        <v>2</v>
      </c>
    </row>
    <row r="3891" spans="1:14" x14ac:dyDescent="0.25">
      <c r="A3891">
        <v>4890</v>
      </c>
      <c r="B3891" s="1">
        <v>45697</v>
      </c>
      <c r="C3891" s="4">
        <f>MONTH(datos_ventas[[#This Row],[Fecha]])</f>
        <v>2</v>
      </c>
      <c r="D3891" s="4">
        <f>WEEKNUM(datos_ventas[[#This Row],[Fecha]],2)</f>
        <v>6</v>
      </c>
      <c r="E3891" t="s">
        <v>24</v>
      </c>
      <c r="F3891" t="s">
        <v>25</v>
      </c>
      <c r="G3891">
        <v>3</v>
      </c>
      <c r="H3891">
        <v>95976</v>
      </c>
      <c r="I3891">
        <v>3426</v>
      </c>
      <c r="J3891" t="s">
        <v>12</v>
      </c>
      <c r="K3891" t="str">
        <f>_xlfn.XLOOKUP(datos_ventas[[#This Row],[Ciudad]],Tabla2[Ciudades],Tabla2[Provincias],"no se encuentra")</f>
        <v>Málaga</v>
      </c>
      <c r="L3891" t="str">
        <f>_xlfn.XLOOKUP(datos_ventas[[#This Row],[Provincia]],Tabla2[Provincias],Tabla2[Comunidades],"no se encuentra")</f>
        <v>Andalucía</v>
      </c>
      <c r="M3891" t="s">
        <v>13</v>
      </c>
      <c r="N3891">
        <v>4</v>
      </c>
    </row>
    <row r="3892" spans="1:14" x14ac:dyDescent="0.25">
      <c r="A3892">
        <v>4891</v>
      </c>
      <c r="B3892" s="1">
        <v>45792</v>
      </c>
      <c r="C3892" s="4">
        <f>MONTH(datos_ventas[[#This Row],[Fecha]])</f>
        <v>5</v>
      </c>
      <c r="D3892" s="4">
        <f>WEEKNUM(datos_ventas[[#This Row],[Fecha]],2)</f>
        <v>20</v>
      </c>
      <c r="E3892" t="s">
        <v>23</v>
      </c>
      <c r="F3892" t="s">
        <v>18</v>
      </c>
      <c r="G3892">
        <v>2</v>
      </c>
      <c r="H3892">
        <v>7495</v>
      </c>
      <c r="I3892">
        <v>4603</v>
      </c>
      <c r="J3892" t="s">
        <v>12</v>
      </c>
      <c r="K3892" t="str">
        <f>_xlfn.XLOOKUP(datos_ventas[[#This Row],[Ciudad]],Tabla2[Ciudades],Tabla2[Provincias],"no se encuentra")</f>
        <v>Málaga</v>
      </c>
      <c r="L3892" t="str">
        <f>_xlfn.XLOOKUP(datos_ventas[[#This Row],[Provincia]],Tabla2[Provincias],Tabla2[Comunidades],"no se encuentra")</f>
        <v>Andalucía</v>
      </c>
      <c r="M3892" t="s">
        <v>15</v>
      </c>
      <c r="N3892">
        <v>4</v>
      </c>
    </row>
    <row r="3893" spans="1:14" x14ac:dyDescent="0.25">
      <c r="A3893">
        <v>4892</v>
      </c>
      <c r="B3893" s="1">
        <v>45961</v>
      </c>
      <c r="C3893" s="4">
        <f>MONTH(datos_ventas[[#This Row],[Fecha]])</f>
        <v>10</v>
      </c>
      <c r="D3893" s="4">
        <f>WEEKNUM(datos_ventas[[#This Row],[Fecha]],2)</f>
        <v>44</v>
      </c>
      <c r="E3893" t="s">
        <v>23</v>
      </c>
      <c r="F3893" t="s">
        <v>18</v>
      </c>
      <c r="G3893">
        <v>1</v>
      </c>
      <c r="H3893">
        <v>117946</v>
      </c>
      <c r="I3893">
        <v>423</v>
      </c>
      <c r="J3893" t="s">
        <v>32</v>
      </c>
      <c r="K3893" t="str">
        <f>_xlfn.XLOOKUP(datos_ventas[[#This Row],[Ciudad]],Tabla2[Ciudades],Tabla2[Provincias],"no se encuentra")</f>
        <v>Barcelona</v>
      </c>
      <c r="L3893" t="str">
        <f>_xlfn.XLOOKUP(datos_ventas[[#This Row],[Provincia]],Tabla2[Provincias],Tabla2[Comunidades],"no se encuentra")</f>
        <v>Cataluña</v>
      </c>
      <c r="M3893" t="s">
        <v>28</v>
      </c>
      <c r="N3893">
        <v>1</v>
      </c>
    </row>
    <row r="3894" spans="1:14" x14ac:dyDescent="0.25">
      <c r="A3894">
        <v>4893</v>
      </c>
      <c r="B3894" s="1">
        <v>45876</v>
      </c>
      <c r="C3894" s="4">
        <f>MONTH(datos_ventas[[#This Row],[Fecha]])</f>
        <v>8</v>
      </c>
      <c r="D3894" s="4">
        <f>WEEKNUM(datos_ventas[[#This Row],[Fecha]],2)</f>
        <v>32</v>
      </c>
      <c r="E3894" t="s">
        <v>20</v>
      </c>
      <c r="F3894" t="s">
        <v>21</v>
      </c>
      <c r="G3894">
        <v>2</v>
      </c>
      <c r="H3894">
        <v>49754</v>
      </c>
      <c r="I3894">
        <v>2519</v>
      </c>
      <c r="J3894" t="s">
        <v>31</v>
      </c>
      <c r="K3894" t="str">
        <f>_xlfn.XLOOKUP(datos_ventas[[#This Row],[Ciudad]],Tabla2[Ciudades],Tabla2[Provincias],"no se encuentra")</f>
        <v>Vizcaya</v>
      </c>
      <c r="L3894" t="str">
        <f>_xlfn.XLOOKUP(datos_ventas[[#This Row],[Provincia]],Tabla2[Provincias],Tabla2[Comunidades],"no se encuentra")</f>
        <v>País Vasco</v>
      </c>
      <c r="M3894" t="s">
        <v>13</v>
      </c>
      <c r="N3894">
        <v>3</v>
      </c>
    </row>
    <row r="3895" spans="1:14" x14ac:dyDescent="0.25">
      <c r="A3895">
        <v>4894</v>
      </c>
      <c r="B3895" s="1">
        <v>45778</v>
      </c>
      <c r="C3895" s="4">
        <f>MONTH(datos_ventas[[#This Row],[Fecha]])</f>
        <v>5</v>
      </c>
      <c r="D3895" s="4">
        <f>WEEKNUM(datos_ventas[[#This Row],[Fecha]],2)</f>
        <v>18</v>
      </c>
      <c r="E3895" t="s">
        <v>20</v>
      </c>
      <c r="F3895" t="s">
        <v>21</v>
      </c>
      <c r="G3895">
        <v>2</v>
      </c>
      <c r="H3895">
        <v>110926</v>
      </c>
      <c r="I3895">
        <v>3892</v>
      </c>
      <c r="J3895" t="s">
        <v>31</v>
      </c>
      <c r="K3895" t="str">
        <f>_xlfn.XLOOKUP(datos_ventas[[#This Row],[Ciudad]],Tabla2[Ciudades],Tabla2[Provincias],"no se encuentra")</f>
        <v>Vizcaya</v>
      </c>
      <c r="L3895" t="str">
        <f>_xlfn.XLOOKUP(datos_ventas[[#This Row],[Provincia]],Tabla2[Provincias],Tabla2[Comunidades],"no se encuentra")</f>
        <v>País Vasco</v>
      </c>
      <c r="M3895" t="s">
        <v>28</v>
      </c>
      <c r="N3895">
        <v>4</v>
      </c>
    </row>
    <row r="3896" spans="1:14" x14ac:dyDescent="0.25">
      <c r="A3896">
        <v>4895</v>
      </c>
      <c r="B3896" s="1">
        <v>45808</v>
      </c>
      <c r="C3896" s="4">
        <f>MONTH(datos_ventas[[#This Row],[Fecha]])</f>
        <v>5</v>
      </c>
      <c r="D3896" s="4">
        <f>WEEKNUM(datos_ventas[[#This Row],[Fecha]],2)</f>
        <v>22</v>
      </c>
      <c r="E3896" t="s">
        <v>29</v>
      </c>
      <c r="F3896" t="s">
        <v>30</v>
      </c>
      <c r="G3896">
        <v>1</v>
      </c>
      <c r="H3896">
        <v>89748</v>
      </c>
      <c r="I3896">
        <v>1504</v>
      </c>
      <c r="J3896" t="s">
        <v>31</v>
      </c>
      <c r="K3896" t="str">
        <f>_xlfn.XLOOKUP(datos_ventas[[#This Row],[Ciudad]],Tabla2[Ciudades],Tabla2[Provincias],"no se encuentra")</f>
        <v>Vizcaya</v>
      </c>
      <c r="L3896" t="str">
        <f>_xlfn.XLOOKUP(datos_ventas[[#This Row],[Provincia]],Tabla2[Provincias],Tabla2[Comunidades],"no se encuentra")</f>
        <v>País Vasco</v>
      </c>
      <c r="M3896" t="s">
        <v>28</v>
      </c>
      <c r="N3896">
        <v>2</v>
      </c>
    </row>
    <row r="3897" spans="1:14" x14ac:dyDescent="0.25">
      <c r="A3897">
        <v>4896</v>
      </c>
      <c r="B3897" s="1">
        <v>45900</v>
      </c>
      <c r="C3897" s="4">
        <f>MONTH(datos_ventas[[#This Row],[Fecha]])</f>
        <v>8</v>
      </c>
      <c r="D3897" s="4">
        <f>WEEKNUM(datos_ventas[[#This Row],[Fecha]],2)</f>
        <v>35</v>
      </c>
      <c r="E3897" t="s">
        <v>26</v>
      </c>
      <c r="F3897" t="s">
        <v>18</v>
      </c>
      <c r="G3897">
        <v>5</v>
      </c>
      <c r="H3897">
        <v>25371</v>
      </c>
      <c r="I3897">
        <v>3624</v>
      </c>
      <c r="J3897" t="s">
        <v>22</v>
      </c>
      <c r="K3897" t="str">
        <f>_xlfn.XLOOKUP(datos_ventas[[#This Row],[Ciudad]],Tabla2[Ciudades],Tabla2[Provincias],"no se encuentra")</f>
        <v>Valencia</v>
      </c>
      <c r="L3897" t="str">
        <f>_xlfn.XLOOKUP(datos_ventas[[#This Row],[Provincia]],Tabla2[Provincias],Tabla2[Comunidades],"no se encuentra")</f>
        <v>Comunidad Valenciana</v>
      </c>
      <c r="M3897" t="s">
        <v>19</v>
      </c>
      <c r="N3897">
        <v>5</v>
      </c>
    </row>
    <row r="3898" spans="1:14" x14ac:dyDescent="0.25">
      <c r="A3898">
        <v>4897</v>
      </c>
      <c r="B3898" s="1">
        <v>45974</v>
      </c>
      <c r="C3898" s="4">
        <f>MONTH(datos_ventas[[#This Row],[Fecha]])</f>
        <v>11</v>
      </c>
      <c r="D3898" s="4">
        <f>WEEKNUM(datos_ventas[[#This Row],[Fecha]],2)</f>
        <v>46</v>
      </c>
      <c r="E3898" t="s">
        <v>10</v>
      </c>
      <c r="F3898" t="s">
        <v>11</v>
      </c>
      <c r="G3898">
        <v>4</v>
      </c>
      <c r="H3898">
        <v>36853</v>
      </c>
      <c r="I3898">
        <v>2753</v>
      </c>
      <c r="J3898" t="s">
        <v>12</v>
      </c>
      <c r="K3898" t="str">
        <f>_xlfn.XLOOKUP(datos_ventas[[#This Row],[Ciudad]],Tabla2[Ciudades],Tabla2[Provincias],"no se encuentra")</f>
        <v>Málaga</v>
      </c>
      <c r="L3898" t="str">
        <f>_xlfn.XLOOKUP(datos_ventas[[#This Row],[Provincia]],Tabla2[Provincias],Tabla2[Comunidades],"no se encuentra")</f>
        <v>Andalucía</v>
      </c>
      <c r="M3898" t="s">
        <v>19</v>
      </c>
      <c r="N3898">
        <v>2</v>
      </c>
    </row>
    <row r="3899" spans="1:14" x14ac:dyDescent="0.25">
      <c r="A3899">
        <v>4898</v>
      </c>
      <c r="B3899" s="1">
        <v>45873</v>
      </c>
      <c r="C3899" s="4">
        <f>MONTH(datos_ventas[[#This Row],[Fecha]])</f>
        <v>8</v>
      </c>
      <c r="D3899" s="4">
        <f>WEEKNUM(datos_ventas[[#This Row],[Fecha]],2)</f>
        <v>32</v>
      </c>
      <c r="E3899" t="s">
        <v>23</v>
      </c>
      <c r="F3899" t="s">
        <v>18</v>
      </c>
      <c r="G3899">
        <v>5</v>
      </c>
      <c r="H3899">
        <v>85461</v>
      </c>
      <c r="I3899">
        <v>2164</v>
      </c>
      <c r="J3899" t="s">
        <v>14</v>
      </c>
      <c r="K3899" t="str">
        <f>_xlfn.XLOOKUP(datos_ventas[[#This Row],[Ciudad]],Tabla2[Ciudades],Tabla2[Provincias],"no se encuentra")</f>
        <v>Madrid</v>
      </c>
      <c r="L3899" t="str">
        <f>_xlfn.XLOOKUP(datos_ventas[[#This Row],[Provincia]],Tabla2[Provincias],Tabla2[Comunidades],"no se encuentra")</f>
        <v>Comunidad de Madrid</v>
      </c>
      <c r="M3899" t="s">
        <v>13</v>
      </c>
      <c r="N3899">
        <v>4</v>
      </c>
    </row>
    <row r="3900" spans="1:14" x14ac:dyDescent="0.25">
      <c r="A3900">
        <v>4899</v>
      </c>
      <c r="B3900" s="1">
        <v>45888</v>
      </c>
      <c r="C3900" s="4">
        <f>MONTH(datos_ventas[[#This Row],[Fecha]])</f>
        <v>8</v>
      </c>
      <c r="D3900" s="4">
        <f>WEEKNUM(datos_ventas[[#This Row],[Fecha]],2)</f>
        <v>34</v>
      </c>
      <c r="E3900" t="s">
        <v>26</v>
      </c>
      <c r="F3900" t="s">
        <v>18</v>
      </c>
      <c r="G3900">
        <v>2</v>
      </c>
      <c r="H3900">
        <v>119626</v>
      </c>
      <c r="I3900">
        <v>2029</v>
      </c>
      <c r="J3900" t="s">
        <v>22</v>
      </c>
      <c r="K3900" t="str">
        <f>_xlfn.XLOOKUP(datos_ventas[[#This Row],[Ciudad]],Tabla2[Ciudades],Tabla2[Provincias],"no se encuentra")</f>
        <v>Valencia</v>
      </c>
      <c r="L3900" t="str">
        <f>_xlfn.XLOOKUP(datos_ventas[[#This Row],[Provincia]],Tabla2[Provincias],Tabla2[Comunidades],"no se encuentra")</f>
        <v>Comunidad Valenciana</v>
      </c>
      <c r="M3900" t="s">
        <v>19</v>
      </c>
      <c r="N3900">
        <v>3</v>
      </c>
    </row>
    <row r="3901" spans="1:14" x14ac:dyDescent="0.25">
      <c r="A3901">
        <v>4900</v>
      </c>
      <c r="B3901" s="1">
        <v>45769</v>
      </c>
      <c r="C3901" s="4">
        <f>MONTH(datos_ventas[[#This Row],[Fecha]])</f>
        <v>4</v>
      </c>
      <c r="D3901" s="4">
        <f>WEEKNUM(datos_ventas[[#This Row],[Fecha]],2)</f>
        <v>17</v>
      </c>
      <c r="E3901" t="s">
        <v>10</v>
      </c>
      <c r="F3901" t="s">
        <v>11</v>
      </c>
      <c r="G3901">
        <v>4</v>
      </c>
      <c r="H3901">
        <v>104301</v>
      </c>
      <c r="I3901">
        <v>418</v>
      </c>
      <c r="J3901" t="s">
        <v>32</v>
      </c>
      <c r="K3901" t="str">
        <f>_xlfn.XLOOKUP(datos_ventas[[#This Row],[Ciudad]],Tabla2[Ciudades],Tabla2[Provincias],"no se encuentra")</f>
        <v>Barcelona</v>
      </c>
      <c r="L3901" t="str">
        <f>_xlfn.XLOOKUP(datos_ventas[[#This Row],[Provincia]],Tabla2[Provincias],Tabla2[Comunidades],"no se encuentra")</f>
        <v>Cataluña</v>
      </c>
      <c r="M3901" t="s">
        <v>28</v>
      </c>
      <c r="N3901">
        <v>2</v>
      </c>
    </row>
    <row r="3902" spans="1:14" x14ac:dyDescent="0.25">
      <c r="A3902">
        <v>4901</v>
      </c>
      <c r="B3902" s="1">
        <v>45806</v>
      </c>
      <c r="C3902" s="4">
        <f>MONTH(datos_ventas[[#This Row],[Fecha]])</f>
        <v>5</v>
      </c>
      <c r="D3902" s="4">
        <f>WEEKNUM(datos_ventas[[#This Row],[Fecha]],2)</f>
        <v>22</v>
      </c>
      <c r="E3902" t="s">
        <v>26</v>
      </c>
      <c r="F3902" t="s">
        <v>18</v>
      </c>
      <c r="G3902">
        <v>2</v>
      </c>
      <c r="H3902">
        <v>5803</v>
      </c>
      <c r="I3902">
        <v>1527</v>
      </c>
      <c r="J3902" t="s">
        <v>22</v>
      </c>
      <c r="K3902" t="str">
        <f>_xlfn.XLOOKUP(datos_ventas[[#This Row],[Ciudad]],Tabla2[Ciudades],Tabla2[Provincias],"no se encuentra")</f>
        <v>Valencia</v>
      </c>
      <c r="L3902" t="str">
        <f>_xlfn.XLOOKUP(datos_ventas[[#This Row],[Provincia]],Tabla2[Provincias],Tabla2[Comunidades],"no se encuentra")</f>
        <v>Comunidad Valenciana</v>
      </c>
      <c r="M3902" t="s">
        <v>13</v>
      </c>
      <c r="N3902">
        <v>3</v>
      </c>
    </row>
    <row r="3903" spans="1:14" x14ac:dyDescent="0.25">
      <c r="A3903">
        <v>4902</v>
      </c>
      <c r="B3903" s="1">
        <v>45684</v>
      </c>
      <c r="C3903" s="4">
        <f>MONTH(datos_ventas[[#This Row],[Fecha]])</f>
        <v>1</v>
      </c>
      <c r="D3903" s="4">
        <f>WEEKNUM(datos_ventas[[#This Row],[Fecha]],2)</f>
        <v>5</v>
      </c>
      <c r="E3903" t="s">
        <v>23</v>
      </c>
      <c r="F3903" t="s">
        <v>18</v>
      </c>
      <c r="G3903">
        <v>1</v>
      </c>
      <c r="H3903">
        <v>58399</v>
      </c>
      <c r="I3903">
        <v>4705</v>
      </c>
      <c r="J3903" t="s">
        <v>12</v>
      </c>
      <c r="K3903" t="str">
        <f>_xlfn.XLOOKUP(datos_ventas[[#This Row],[Ciudad]],Tabla2[Ciudades],Tabla2[Provincias],"no se encuentra")</f>
        <v>Málaga</v>
      </c>
      <c r="L3903" t="str">
        <f>_xlfn.XLOOKUP(datos_ventas[[#This Row],[Provincia]],Tabla2[Provincias],Tabla2[Comunidades],"no se encuentra")</f>
        <v>Andalucía</v>
      </c>
      <c r="M3903" t="s">
        <v>28</v>
      </c>
      <c r="N3903">
        <v>3</v>
      </c>
    </row>
    <row r="3904" spans="1:14" x14ac:dyDescent="0.25">
      <c r="A3904">
        <v>4903</v>
      </c>
      <c r="B3904" s="1">
        <v>45860</v>
      </c>
      <c r="C3904" s="4">
        <f>MONTH(datos_ventas[[#This Row],[Fecha]])</f>
        <v>7</v>
      </c>
      <c r="D3904" s="4">
        <f>WEEKNUM(datos_ventas[[#This Row],[Fecha]],2)</f>
        <v>30</v>
      </c>
      <c r="E3904" t="s">
        <v>10</v>
      </c>
      <c r="F3904" t="s">
        <v>11</v>
      </c>
      <c r="G3904">
        <v>3</v>
      </c>
      <c r="H3904">
        <v>74339</v>
      </c>
      <c r="I3904">
        <v>672</v>
      </c>
      <c r="J3904" t="s">
        <v>32</v>
      </c>
      <c r="K3904" t="str">
        <f>_xlfn.XLOOKUP(datos_ventas[[#This Row],[Ciudad]],Tabla2[Ciudades],Tabla2[Provincias],"no se encuentra")</f>
        <v>Barcelona</v>
      </c>
      <c r="L3904" t="str">
        <f>_xlfn.XLOOKUP(datos_ventas[[#This Row],[Provincia]],Tabla2[Provincias],Tabla2[Comunidades],"no se encuentra")</f>
        <v>Cataluña</v>
      </c>
      <c r="M3904" t="s">
        <v>19</v>
      </c>
      <c r="N3904">
        <v>3</v>
      </c>
    </row>
    <row r="3905" spans="1:14" x14ac:dyDescent="0.25">
      <c r="A3905">
        <v>4904</v>
      </c>
      <c r="B3905" s="1">
        <v>45857</v>
      </c>
      <c r="C3905" s="4">
        <f>MONTH(datos_ventas[[#This Row],[Fecha]])</f>
        <v>7</v>
      </c>
      <c r="D3905" s="4">
        <f>WEEKNUM(datos_ventas[[#This Row],[Fecha]],2)</f>
        <v>29</v>
      </c>
      <c r="E3905" t="s">
        <v>23</v>
      </c>
      <c r="F3905" t="s">
        <v>18</v>
      </c>
      <c r="G3905">
        <v>1</v>
      </c>
      <c r="H3905">
        <v>4311</v>
      </c>
      <c r="I3905">
        <v>4049</v>
      </c>
      <c r="J3905" t="s">
        <v>12</v>
      </c>
      <c r="K3905" t="str">
        <f>_xlfn.XLOOKUP(datos_ventas[[#This Row],[Ciudad]],Tabla2[Ciudades],Tabla2[Provincias],"no se encuentra")</f>
        <v>Málaga</v>
      </c>
      <c r="L3905" t="str">
        <f>_xlfn.XLOOKUP(datos_ventas[[#This Row],[Provincia]],Tabla2[Provincias],Tabla2[Comunidades],"no se encuentra")</f>
        <v>Andalucía</v>
      </c>
      <c r="M3905" t="s">
        <v>13</v>
      </c>
      <c r="N3905">
        <v>4</v>
      </c>
    </row>
    <row r="3906" spans="1:14" x14ac:dyDescent="0.25">
      <c r="A3906">
        <v>4905</v>
      </c>
      <c r="B3906" s="1">
        <v>45711</v>
      </c>
      <c r="C3906" s="4">
        <f>MONTH(datos_ventas[[#This Row],[Fecha]])</f>
        <v>2</v>
      </c>
      <c r="D3906" s="4">
        <f>WEEKNUM(datos_ventas[[#This Row],[Fecha]],2)</f>
        <v>8</v>
      </c>
      <c r="E3906" t="s">
        <v>26</v>
      </c>
      <c r="F3906" t="s">
        <v>18</v>
      </c>
      <c r="G3906">
        <v>3</v>
      </c>
      <c r="H3906">
        <v>68274</v>
      </c>
      <c r="I3906">
        <v>1814</v>
      </c>
      <c r="J3906" t="s">
        <v>27</v>
      </c>
      <c r="K3906" t="str">
        <f>_xlfn.XLOOKUP(datos_ventas[[#This Row],[Ciudad]],Tabla2[Ciudades],Tabla2[Provincias],"no se encuentra")</f>
        <v>Sevilla</v>
      </c>
      <c r="L3906" t="str">
        <f>_xlfn.XLOOKUP(datos_ventas[[#This Row],[Provincia]],Tabla2[Provincias],Tabla2[Comunidades],"no se encuentra")</f>
        <v>Andalucía</v>
      </c>
      <c r="M3906" t="s">
        <v>13</v>
      </c>
      <c r="N3906">
        <v>3</v>
      </c>
    </row>
    <row r="3907" spans="1:14" x14ac:dyDescent="0.25">
      <c r="A3907">
        <v>4906</v>
      </c>
      <c r="B3907" s="1">
        <v>45700</v>
      </c>
      <c r="C3907" s="4">
        <f>MONTH(datos_ventas[[#This Row],[Fecha]])</f>
        <v>2</v>
      </c>
      <c r="D3907" s="4">
        <f>WEEKNUM(datos_ventas[[#This Row],[Fecha]],2)</f>
        <v>7</v>
      </c>
      <c r="E3907" t="s">
        <v>20</v>
      </c>
      <c r="F3907" t="s">
        <v>21</v>
      </c>
      <c r="G3907">
        <v>3</v>
      </c>
      <c r="H3907">
        <v>11453</v>
      </c>
      <c r="I3907">
        <v>4791</v>
      </c>
      <c r="J3907" t="s">
        <v>12</v>
      </c>
      <c r="K3907" t="str">
        <f>_xlfn.XLOOKUP(datos_ventas[[#This Row],[Ciudad]],Tabla2[Ciudades],Tabla2[Provincias],"no se encuentra")</f>
        <v>Málaga</v>
      </c>
      <c r="L3907" t="str">
        <f>_xlfn.XLOOKUP(datos_ventas[[#This Row],[Provincia]],Tabla2[Provincias],Tabla2[Comunidades],"no se encuentra")</f>
        <v>Andalucía</v>
      </c>
      <c r="M3907" t="s">
        <v>13</v>
      </c>
      <c r="N3907">
        <v>3</v>
      </c>
    </row>
    <row r="3908" spans="1:14" x14ac:dyDescent="0.25">
      <c r="A3908">
        <v>4907</v>
      </c>
      <c r="B3908" s="1">
        <v>45827</v>
      </c>
      <c r="C3908" s="4">
        <f>MONTH(datos_ventas[[#This Row],[Fecha]])</f>
        <v>6</v>
      </c>
      <c r="D3908" s="4">
        <f>WEEKNUM(datos_ventas[[#This Row],[Fecha]],2)</f>
        <v>25</v>
      </c>
      <c r="E3908" t="s">
        <v>29</v>
      </c>
      <c r="F3908" t="s">
        <v>30</v>
      </c>
      <c r="G3908">
        <v>5</v>
      </c>
      <c r="H3908">
        <v>88965</v>
      </c>
      <c r="I3908">
        <v>2298</v>
      </c>
      <c r="J3908" t="s">
        <v>22</v>
      </c>
      <c r="K3908" t="str">
        <f>_xlfn.XLOOKUP(datos_ventas[[#This Row],[Ciudad]],Tabla2[Ciudades],Tabla2[Provincias],"no se encuentra")</f>
        <v>Valencia</v>
      </c>
      <c r="L3908" t="str">
        <f>_xlfn.XLOOKUP(datos_ventas[[#This Row],[Provincia]],Tabla2[Provincias],Tabla2[Comunidades],"no se encuentra")</f>
        <v>Comunidad Valenciana</v>
      </c>
      <c r="M3908" t="s">
        <v>13</v>
      </c>
      <c r="N3908">
        <v>1</v>
      </c>
    </row>
    <row r="3909" spans="1:14" x14ac:dyDescent="0.25">
      <c r="A3909">
        <v>4908</v>
      </c>
      <c r="B3909" s="1">
        <v>45811</v>
      </c>
      <c r="C3909" s="4">
        <f>MONTH(datos_ventas[[#This Row],[Fecha]])</f>
        <v>6</v>
      </c>
      <c r="D3909" s="4">
        <f>WEEKNUM(datos_ventas[[#This Row],[Fecha]],2)</f>
        <v>23</v>
      </c>
      <c r="E3909" t="s">
        <v>29</v>
      </c>
      <c r="F3909" t="s">
        <v>30</v>
      </c>
      <c r="G3909">
        <v>5</v>
      </c>
      <c r="H3909">
        <v>41925</v>
      </c>
      <c r="I3909">
        <v>2476</v>
      </c>
      <c r="J3909" t="s">
        <v>12</v>
      </c>
      <c r="K3909" t="str">
        <f>_xlfn.XLOOKUP(datos_ventas[[#This Row],[Ciudad]],Tabla2[Ciudades],Tabla2[Provincias],"no se encuentra")</f>
        <v>Málaga</v>
      </c>
      <c r="L3909" t="str">
        <f>_xlfn.XLOOKUP(datos_ventas[[#This Row],[Provincia]],Tabla2[Provincias],Tabla2[Comunidades],"no se encuentra")</f>
        <v>Andalucía</v>
      </c>
      <c r="M3909" t="s">
        <v>15</v>
      </c>
      <c r="N3909">
        <v>2</v>
      </c>
    </row>
    <row r="3910" spans="1:14" x14ac:dyDescent="0.25">
      <c r="A3910">
        <v>4909</v>
      </c>
      <c r="B3910" s="1">
        <v>45756</v>
      </c>
      <c r="C3910" s="4">
        <f>MONTH(datos_ventas[[#This Row],[Fecha]])</f>
        <v>4</v>
      </c>
      <c r="D3910" s="4">
        <f>WEEKNUM(datos_ventas[[#This Row],[Fecha]],2)</f>
        <v>15</v>
      </c>
      <c r="E3910" t="s">
        <v>10</v>
      </c>
      <c r="F3910" t="s">
        <v>11</v>
      </c>
      <c r="G3910">
        <v>2</v>
      </c>
      <c r="H3910">
        <v>116011</v>
      </c>
      <c r="I3910">
        <v>548</v>
      </c>
      <c r="J3910" t="s">
        <v>27</v>
      </c>
      <c r="K3910" t="str">
        <f>_xlfn.XLOOKUP(datos_ventas[[#This Row],[Ciudad]],Tabla2[Ciudades],Tabla2[Provincias],"no se encuentra")</f>
        <v>Sevilla</v>
      </c>
      <c r="L3910" t="str">
        <f>_xlfn.XLOOKUP(datos_ventas[[#This Row],[Provincia]],Tabla2[Provincias],Tabla2[Comunidades],"no se encuentra")</f>
        <v>Andalucía</v>
      </c>
      <c r="M3910" t="s">
        <v>15</v>
      </c>
      <c r="N3910">
        <v>5</v>
      </c>
    </row>
    <row r="3911" spans="1:14" x14ac:dyDescent="0.25">
      <c r="A3911">
        <v>4910</v>
      </c>
      <c r="B3911" s="1">
        <v>45681</v>
      </c>
      <c r="C3911" s="4">
        <f>MONTH(datos_ventas[[#This Row],[Fecha]])</f>
        <v>1</v>
      </c>
      <c r="D3911" s="4">
        <f>WEEKNUM(datos_ventas[[#This Row],[Fecha]],2)</f>
        <v>4</v>
      </c>
      <c r="E3911" t="s">
        <v>24</v>
      </c>
      <c r="F3911" t="s">
        <v>25</v>
      </c>
      <c r="G3911">
        <v>4</v>
      </c>
      <c r="H3911">
        <v>111859</v>
      </c>
      <c r="I3911">
        <v>1717</v>
      </c>
      <c r="J3911" t="s">
        <v>12</v>
      </c>
      <c r="K3911" t="str">
        <f>_xlfn.XLOOKUP(datos_ventas[[#This Row],[Ciudad]],Tabla2[Ciudades],Tabla2[Provincias],"no se encuentra")</f>
        <v>Málaga</v>
      </c>
      <c r="L3911" t="str">
        <f>_xlfn.XLOOKUP(datos_ventas[[#This Row],[Provincia]],Tabla2[Provincias],Tabla2[Comunidades],"no se encuentra")</f>
        <v>Andalucía</v>
      </c>
      <c r="M3911" t="s">
        <v>15</v>
      </c>
      <c r="N3911">
        <v>3</v>
      </c>
    </row>
    <row r="3912" spans="1:14" x14ac:dyDescent="0.25">
      <c r="A3912">
        <v>4911</v>
      </c>
      <c r="B3912" s="1">
        <v>45943</v>
      </c>
      <c r="C3912" s="4">
        <f>MONTH(datos_ventas[[#This Row],[Fecha]])</f>
        <v>10</v>
      </c>
      <c r="D3912" s="4">
        <f>WEEKNUM(datos_ventas[[#This Row],[Fecha]],2)</f>
        <v>42</v>
      </c>
      <c r="E3912" t="s">
        <v>20</v>
      </c>
      <c r="F3912" t="s">
        <v>21</v>
      </c>
      <c r="G3912">
        <v>4</v>
      </c>
      <c r="H3912">
        <v>56255</v>
      </c>
      <c r="I3912">
        <v>796</v>
      </c>
      <c r="J3912" t="s">
        <v>12</v>
      </c>
      <c r="K3912" t="str">
        <f>_xlfn.XLOOKUP(datos_ventas[[#This Row],[Ciudad]],Tabla2[Ciudades],Tabla2[Provincias],"no se encuentra")</f>
        <v>Málaga</v>
      </c>
      <c r="L3912" t="str">
        <f>_xlfn.XLOOKUP(datos_ventas[[#This Row],[Provincia]],Tabla2[Provincias],Tabla2[Comunidades],"no se encuentra")</f>
        <v>Andalucía</v>
      </c>
      <c r="M3912" t="s">
        <v>15</v>
      </c>
      <c r="N3912">
        <v>4</v>
      </c>
    </row>
    <row r="3913" spans="1:14" x14ac:dyDescent="0.25">
      <c r="A3913">
        <v>4912</v>
      </c>
      <c r="B3913" s="1">
        <v>46004</v>
      </c>
      <c r="C3913" s="4">
        <f>MONTH(datos_ventas[[#This Row],[Fecha]])</f>
        <v>12</v>
      </c>
      <c r="D3913" s="4">
        <f>WEEKNUM(datos_ventas[[#This Row],[Fecha]],2)</f>
        <v>50</v>
      </c>
      <c r="E3913" t="s">
        <v>29</v>
      </c>
      <c r="F3913" t="s">
        <v>30</v>
      </c>
      <c r="G3913">
        <v>4</v>
      </c>
      <c r="H3913">
        <v>88532</v>
      </c>
      <c r="I3913">
        <v>165</v>
      </c>
      <c r="J3913" t="s">
        <v>31</v>
      </c>
      <c r="K3913" t="str">
        <f>_xlfn.XLOOKUP(datos_ventas[[#This Row],[Ciudad]],Tabla2[Ciudades],Tabla2[Provincias],"no se encuentra")</f>
        <v>Vizcaya</v>
      </c>
      <c r="L3913" t="str">
        <f>_xlfn.XLOOKUP(datos_ventas[[#This Row],[Provincia]],Tabla2[Provincias],Tabla2[Comunidades],"no se encuentra")</f>
        <v>País Vasco</v>
      </c>
      <c r="M3913" t="s">
        <v>28</v>
      </c>
      <c r="N3913">
        <v>4</v>
      </c>
    </row>
    <row r="3914" spans="1:14" x14ac:dyDescent="0.25">
      <c r="A3914">
        <v>4913</v>
      </c>
      <c r="B3914" s="1">
        <v>45929</v>
      </c>
      <c r="C3914" s="4">
        <f>MONTH(datos_ventas[[#This Row],[Fecha]])</f>
        <v>9</v>
      </c>
      <c r="D3914" s="4">
        <f>WEEKNUM(datos_ventas[[#This Row],[Fecha]],2)</f>
        <v>40</v>
      </c>
      <c r="E3914" t="s">
        <v>26</v>
      </c>
      <c r="F3914" t="s">
        <v>18</v>
      </c>
      <c r="G3914">
        <v>2</v>
      </c>
      <c r="H3914">
        <v>96985</v>
      </c>
      <c r="I3914">
        <v>3613</v>
      </c>
      <c r="J3914" t="s">
        <v>27</v>
      </c>
      <c r="K3914" t="str">
        <f>_xlfn.XLOOKUP(datos_ventas[[#This Row],[Ciudad]],Tabla2[Ciudades],Tabla2[Provincias],"no se encuentra")</f>
        <v>Sevilla</v>
      </c>
      <c r="L3914" t="str">
        <f>_xlfn.XLOOKUP(datos_ventas[[#This Row],[Provincia]],Tabla2[Provincias],Tabla2[Comunidades],"no se encuentra")</f>
        <v>Andalucía</v>
      </c>
      <c r="M3914" t="s">
        <v>19</v>
      </c>
      <c r="N3914">
        <v>5</v>
      </c>
    </row>
    <row r="3915" spans="1:14" x14ac:dyDescent="0.25">
      <c r="A3915">
        <v>4914</v>
      </c>
      <c r="B3915" s="1">
        <v>45991</v>
      </c>
      <c r="C3915" s="4">
        <f>MONTH(datos_ventas[[#This Row],[Fecha]])</f>
        <v>11</v>
      </c>
      <c r="D3915" s="4">
        <f>WEEKNUM(datos_ventas[[#This Row],[Fecha]],2)</f>
        <v>48</v>
      </c>
      <c r="E3915" t="s">
        <v>26</v>
      </c>
      <c r="F3915" t="s">
        <v>18</v>
      </c>
      <c r="G3915">
        <v>1</v>
      </c>
      <c r="H3915">
        <v>103399</v>
      </c>
      <c r="I3915">
        <v>1273</v>
      </c>
      <c r="J3915" t="s">
        <v>12</v>
      </c>
      <c r="K3915" t="str">
        <f>_xlfn.XLOOKUP(datos_ventas[[#This Row],[Ciudad]],Tabla2[Ciudades],Tabla2[Provincias],"no se encuentra")</f>
        <v>Málaga</v>
      </c>
      <c r="L3915" t="str">
        <f>_xlfn.XLOOKUP(datos_ventas[[#This Row],[Provincia]],Tabla2[Provincias],Tabla2[Comunidades],"no se encuentra")</f>
        <v>Andalucía</v>
      </c>
      <c r="M3915" t="s">
        <v>15</v>
      </c>
      <c r="N3915">
        <v>3</v>
      </c>
    </row>
    <row r="3916" spans="1:14" x14ac:dyDescent="0.25">
      <c r="A3916">
        <v>4915</v>
      </c>
      <c r="B3916" s="1">
        <v>45813</v>
      </c>
      <c r="C3916" s="4">
        <f>MONTH(datos_ventas[[#This Row],[Fecha]])</f>
        <v>6</v>
      </c>
      <c r="D3916" s="4">
        <f>WEEKNUM(datos_ventas[[#This Row],[Fecha]],2)</f>
        <v>23</v>
      </c>
      <c r="E3916" t="s">
        <v>16</v>
      </c>
      <c r="F3916" t="s">
        <v>11</v>
      </c>
      <c r="G3916">
        <v>5</v>
      </c>
      <c r="H3916">
        <v>21702</v>
      </c>
      <c r="I3916">
        <v>1062</v>
      </c>
      <c r="J3916" t="s">
        <v>14</v>
      </c>
      <c r="K3916" t="str">
        <f>_xlfn.XLOOKUP(datos_ventas[[#This Row],[Ciudad]],Tabla2[Ciudades],Tabla2[Provincias],"no se encuentra")</f>
        <v>Madrid</v>
      </c>
      <c r="L3916" t="str">
        <f>_xlfn.XLOOKUP(datos_ventas[[#This Row],[Provincia]],Tabla2[Provincias],Tabla2[Comunidades],"no se encuentra")</f>
        <v>Comunidad de Madrid</v>
      </c>
      <c r="M3916" t="s">
        <v>15</v>
      </c>
      <c r="N3916">
        <v>1</v>
      </c>
    </row>
    <row r="3917" spans="1:14" x14ac:dyDescent="0.25">
      <c r="A3917">
        <v>4916</v>
      </c>
      <c r="B3917" s="1">
        <v>45903</v>
      </c>
      <c r="C3917" s="4">
        <f>MONTH(datos_ventas[[#This Row],[Fecha]])</f>
        <v>9</v>
      </c>
      <c r="D3917" s="4">
        <f>WEEKNUM(datos_ventas[[#This Row],[Fecha]],2)</f>
        <v>36</v>
      </c>
      <c r="E3917" t="s">
        <v>17</v>
      </c>
      <c r="F3917" t="s">
        <v>18</v>
      </c>
      <c r="G3917">
        <v>3</v>
      </c>
      <c r="H3917">
        <v>82319</v>
      </c>
      <c r="I3917">
        <v>1831</v>
      </c>
      <c r="J3917" t="s">
        <v>14</v>
      </c>
      <c r="K3917" t="str">
        <f>_xlfn.XLOOKUP(datos_ventas[[#This Row],[Ciudad]],Tabla2[Ciudades],Tabla2[Provincias],"no se encuentra")</f>
        <v>Madrid</v>
      </c>
      <c r="L3917" t="str">
        <f>_xlfn.XLOOKUP(datos_ventas[[#This Row],[Provincia]],Tabla2[Provincias],Tabla2[Comunidades],"no se encuentra")</f>
        <v>Comunidad de Madrid</v>
      </c>
      <c r="M3917" t="s">
        <v>13</v>
      </c>
      <c r="N3917">
        <v>3</v>
      </c>
    </row>
    <row r="3918" spans="1:14" x14ac:dyDescent="0.25">
      <c r="A3918">
        <v>4917</v>
      </c>
      <c r="B3918" s="1">
        <v>45918</v>
      </c>
      <c r="C3918" s="4">
        <f>MONTH(datos_ventas[[#This Row],[Fecha]])</f>
        <v>9</v>
      </c>
      <c r="D3918" s="4">
        <f>WEEKNUM(datos_ventas[[#This Row],[Fecha]],2)</f>
        <v>38</v>
      </c>
      <c r="E3918" t="s">
        <v>16</v>
      </c>
      <c r="F3918" t="s">
        <v>11</v>
      </c>
      <c r="G3918">
        <v>5</v>
      </c>
      <c r="H3918">
        <v>8738</v>
      </c>
      <c r="I3918">
        <v>1935</v>
      </c>
      <c r="J3918" t="s">
        <v>31</v>
      </c>
      <c r="K3918" t="str">
        <f>_xlfn.XLOOKUP(datos_ventas[[#This Row],[Ciudad]],Tabla2[Ciudades],Tabla2[Provincias],"no se encuentra")</f>
        <v>Vizcaya</v>
      </c>
      <c r="L3918" t="str">
        <f>_xlfn.XLOOKUP(datos_ventas[[#This Row],[Provincia]],Tabla2[Provincias],Tabla2[Comunidades],"no se encuentra")</f>
        <v>País Vasco</v>
      </c>
      <c r="M3918" t="s">
        <v>13</v>
      </c>
      <c r="N3918">
        <v>5</v>
      </c>
    </row>
    <row r="3919" spans="1:14" x14ac:dyDescent="0.25">
      <c r="A3919">
        <v>4918</v>
      </c>
      <c r="B3919" s="1">
        <v>45801</v>
      </c>
      <c r="C3919" s="4">
        <f>MONTH(datos_ventas[[#This Row],[Fecha]])</f>
        <v>5</v>
      </c>
      <c r="D3919" s="4">
        <f>WEEKNUM(datos_ventas[[#This Row],[Fecha]],2)</f>
        <v>21</v>
      </c>
      <c r="E3919" t="s">
        <v>24</v>
      </c>
      <c r="F3919" t="s">
        <v>25</v>
      </c>
      <c r="G3919">
        <v>4</v>
      </c>
      <c r="H3919">
        <v>7198</v>
      </c>
      <c r="I3919">
        <v>3869</v>
      </c>
      <c r="J3919" t="s">
        <v>27</v>
      </c>
      <c r="K3919" t="str">
        <f>_xlfn.XLOOKUP(datos_ventas[[#This Row],[Ciudad]],Tabla2[Ciudades],Tabla2[Provincias],"no se encuentra")</f>
        <v>Sevilla</v>
      </c>
      <c r="L3919" t="str">
        <f>_xlfn.XLOOKUP(datos_ventas[[#This Row],[Provincia]],Tabla2[Provincias],Tabla2[Comunidades],"no se encuentra")</f>
        <v>Andalucía</v>
      </c>
      <c r="M3919" t="s">
        <v>15</v>
      </c>
      <c r="N3919">
        <v>5</v>
      </c>
    </row>
    <row r="3920" spans="1:14" x14ac:dyDescent="0.25">
      <c r="A3920">
        <v>4919</v>
      </c>
      <c r="B3920" s="1">
        <v>45930</v>
      </c>
      <c r="C3920" s="4">
        <f>MONTH(datos_ventas[[#This Row],[Fecha]])</f>
        <v>9</v>
      </c>
      <c r="D3920" s="4">
        <f>WEEKNUM(datos_ventas[[#This Row],[Fecha]],2)</f>
        <v>40</v>
      </c>
      <c r="E3920" t="s">
        <v>16</v>
      </c>
      <c r="F3920" t="s">
        <v>11</v>
      </c>
      <c r="G3920">
        <v>4</v>
      </c>
      <c r="H3920">
        <v>6392</v>
      </c>
      <c r="I3920">
        <v>3696</v>
      </c>
      <c r="J3920" t="s">
        <v>14</v>
      </c>
      <c r="K3920" t="str">
        <f>_xlfn.XLOOKUP(datos_ventas[[#This Row],[Ciudad]],Tabla2[Ciudades],Tabla2[Provincias],"no se encuentra")</f>
        <v>Madrid</v>
      </c>
      <c r="L3920" t="str">
        <f>_xlfn.XLOOKUP(datos_ventas[[#This Row],[Provincia]],Tabla2[Provincias],Tabla2[Comunidades],"no se encuentra")</f>
        <v>Comunidad de Madrid</v>
      </c>
      <c r="M3920" t="s">
        <v>28</v>
      </c>
      <c r="N3920">
        <v>2</v>
      </c>
    </row>
    <row r="3921" spans="1:14" x14ac:dyDescent="0.25">
      <c r="A3921">
        <v>4920</v>
      </c>
      <c r="B3921" s="1">
        <v>45920</v>
      </c>
      <c r="C3921" s="4">
        <f>MONTH(datos_ventas[[#This Row],[Fecha]])</f>
        <v>9</v>
      </c>
      <c r="D3921" s="4">
        <f>WEEKNUM(datos_ventas[[#This Row],[Fecha]],2)</f>
        <v>38</v>
      </c>
      <c r="E3921" t="s">
        <v>16</v>
      </c>
      <c r="F3921" t="s">
        <v>11</v>
      </c>
      <c r="G3921">
        <v>5</v>
      </c>
      <c r="H3921">
        <v>26818</v>
      </c>
      <c r="I3921">
        <v>1509</v>
      </c>
      <c r="J3921" t="s">
        <v>22</v>
      </c>
      <c r="K3921" t="str">
        <f>_xlfn.XLOOKUP(datos_ventas[[#This Row],[Ciudad]],Tabla2[Ciudades],Tabla2[Provincias],"no se encuentra")</f>
        <v>Valencia</v>
      </c>
      <c r="L3921" t="str">
        <f>_xlfn.XLOOKUP(datos_ventas[[#This Row],[Provincia]],Tabla2[Provincias],Tabla2[Comunidades],"no se encuentra")</f>
        <v>Comunidad Valenciana</v>
      </c>
      <c r="M3921" t="s">
        <v>19</v>
      </c>
      <c r="N3921">
        <v>2</v>
      </c>
    </row>
    <row r="3922" spans="1:14" x14ac:dyDescent="0.25">
      <c r="A3922">
        <v>4921</v>
      </c>
      <c r="B3922" s="1">
        <v>45882</v>
      </c>
      <c r="C3922" s="4">
        <f>MONTH(datos_ventas[[#This Row],[Fecha]])</f>
        <v>8</v>
      </c>
      <c r="D3922" s="4">
        <f>WEEKNUM(datos_ventas[[#This Row],[Fecha]],2)</f>
        <v>33</v>
      </c>
      <c r="E3922" t="s">
        <v>17</v>
      </c>
      <c r="F3922" t="s">
        <v>18</v>
      </c>
      <c r="G3922">
        <v>5</v>
      </c>
      <c r="H3922">
        <v>35417</v>
      </c>
      <c r="I3922">
        <v>4719</v>
      </c>
      <c r="J3922" t="s">
        <v>22</v>
      </c>
      <c r="K3922" t="str">
        <f>_xlfn.XLOOKUP(datos_ventas[[#This Row],[Ciudad]],Tabla2[Ciudades],Tabla2[Provincias],"no se encuentra")</f>
        <v>Valencia</v>
      </c>
      <c r="L3922" t="str">
        <f>_xlfn.XLOOKUP(datos_ventas[[#This Row],[Provincia]],Tabla2[Provincias],Tabla2[Comunidades],"no se encuentra")</f>
        <v>Comunidad Valenciana</v>
      </c>
      <c r="M3922" t="s">
        <v>15</v>
      </c>
      <c r="N3922">
        <v>2</v>
      </c>
    </row>
    <row r="3923" spans="1:14" x14ac:dyDescent="0.25">
      <c r="A3923">
        <v>4922</v>
      </c>
      <c r="B3923" s="1">
        <v>45799</v>
      </c>
      <c r="C3923" s="4">
        <f>MONTH(datos_ventas[[#This Row],[Fecha]])</f>
        <v>5</v>
      </c>
      <c r="D3923" s="4">
        <f>WEEKNUM(datos_ventas[[#This Row],[Fecha]],2)</f>
        <v>21</v>
      </c>
      <c r="E3923" t="s">
        <v>20</v>
      </c>
      <c r="F3923" t="s">
        <v>21</v>
      </c>
      <c r="G3923">
        <v>3</v>
      </c>
      <c r="H3923">
        <v>108637</v>
      </c>
      <c r="I3923">
        <v>3697</v>
      </c>
      <c r="J3923" t="s">
        <v>22</v>
      </c>
      <c r="K3923" t="str">
        <f>_xlfn.XLOOKUP(datos_ventas[[#This Row],[Ciudad]],Tabla2[Ciudades],Tabla2[Provincias],"no se encuentra")</f>
        <v>Valencia</v>
      </c>
      <c r="L3923" t="str">
        <f>_xlfn.XLOOKUP(datos_ventas[[#This Row],[Provincia]],Tabla2[Provincias],Tabla2[Comunidades],"no se encuentra")</f>
        <v>Comunidad Valenciana</v>
      </c>
      <c r="M3923" t="s">
        <v>15</v>
      </c>
      <c r="N3923">
        <v>4</v>
      </c>
    </row>
    <row r="3924" spans="1:14" x14ac:dyDescent="0.25">
      <c r="A3924">
        <v>4923</v>
      </c>
      <c r="B3924" s="1">
        <v>45681</v>
      </c>
      <c r="C3924" s="4">
        <f>MONTH(datos_ventas[[#This Row],[Fecha]])</f>
        <v>1</v>
      </c>
      <c r="D3924" s="4">
        <f>WEEKNUM(datos_ventas[[#This Row],[Fecha]],2)</f>
        <v>4</v>
      </c>
      <c r="E3924" t="s">
        <v>10</v>
      </c>
      <c r="F3924" t="s">
        <v>11</v>
      </c>
      <c r="G3924">
        <v>5</v>
      </c>
      <c r="H3924">
        <v>86573</v>
      </c>
      <c r="I3924">
        <v>573</v>
      </c>
      <c r="J3924" t="s">
        <v>27</v>
      </c>
      <c r="K3924" t="str">
        <f>_xlfn.XLOOKUP(datos_ventas[[#This Row],[Ciudad]],Tabla2[Ciudades],Tabla2[Provincias],"no se encuentra")</f>
        <v>Sevilla</v>
      </c>
      <c r="L3924" t="str">
        <f>_xlfn.XLOOKUP(datos_ventas[[#This Row],[Provincia]],Tabla2[Provincias],Tabla2[Comunidades],"no se encuentra")</f>
        <v>Andalucía</v>
      </c>
      <c r="M3924" t="s">
        <v>15</v>
      </c>
      <c r="N3924">
        <v>2</v>
      </c>
    </row>
    <row r="3925" spans="1:14" x14ac:dyDescent="0.25">
      <c r="A3925">
        <v>4924</v>
      </c>
      <c r="B3925" s="1">
        <v>45793</v>
      </c>
      <c r="C3925" s="4">
        <f>MONTH(datos_ventas[[#This Row],[Fecha]])</f>
        <v>5</v>
      </c>
      <c r="D3925" s="4">
        <f>WEEKNUM(datos_ventas[[#This Row],[Fecha]],2)</f>
        <v>20</v>
      </c>
      <c r="E3925" t="s">
        <v>20</v>
      </c>
      <c r="F3925" t="s">
        <v>21</v>
      </c>
      <c r="G3925">
        <v>1</v>
      </c>
      <c r="H3925">
        <v>108221</v>
      </c>
      <c r="I3925">
        <v>3362</v>
      </c>
      <c r="J3925" t="s">
        <v>22</v>
      </c>
      <c r="K3925" t="str">
        <f>_xlfn.XLOOKUP(datos_ventas[[#This Row],[Ciudad]],Tabla2[Ciudades],Tabla2[Provincias],"no se encuentra")</f>
        <v>Valencia</v>
      </c>
      <c r="L3925" t="str">
        <f>_xlfn.XLOOKUP(datos_ventas[[#This Row],[Provincia]],Tabla2[Provincias],Tabla2[Comunidades],"no se encuentra")</f>
        <v>Comunidad Valenciana</v>
      </c>
      <c r="M3925" t="s">
        <v>13</v>
      </c>
      <c r="N3925">
        <v>4</v>
      </c>
    </row>
    <row r="3926" spans="1:14" x14ac:dyDescent="0.25">
      <c r="A3926">
        <v>4925</v>
      </c>
      <c r="B3926" s="1">
        <v>45880</v>
      </c>
      <c r="C3926" s="4">
        <f>MONTH(datos_ventas[[#This Row],[Fecha]])</f>
        <v>8</v>
      </c>
      <c r="D3926" s="4">
        <f>WEEKNUM(datos_ventas[[#This Row],[Fecha]],2)</f>
        <v>33</v>
      </c>
      <c r="E3926" t="s">
        <v>26</v>
      </c>
      <c r="F3926" t="s">
        <v>18</v>
      </c>
      <c r="G3926">
        <v>2</v>
      </c>
      <c r="H3926">
        <v>2792</v>
      </c>
      <c r="I3926">
        <v>4378</v>
      </c>
      <c r="J3926" t="s">
        <v>14</v>
      </c>
      <c r="K3926" t="str">
        <f>_xlfn.XLOOKUP(datos_ventas[[#This Row],[Ciudad]],Tabla2[Ciudades],Tabla2[Provincias],"no se encuentra")</f>
        <v>Madrid</v>
      </c>
      <c r="L3926" t="str">
        <f>_xlfn.XLOOKUP(datos_ventas[[#This Row],[Provincia]],Tabla2[Provincias],Tabla2[Comunidades],"no se encuentra")</f>
        <v>Comunidad de Madrid</v>
      </c>
      <c r="M3926" t="s">
        <v>13</v>
      </c>
      <c r="N3926">
        <v>3</v>
      </c>
    </row>
    <row r="3927" spans="1:14" x14ac:dyDescent="0.25">
      <c r="A3927">
        <v>4926</v>
      </c>
      <c r="B3927" s="1">
        <v>45753</v>
      </c>
      <c r="C3927" s="4">
        <f>MONTH(datos_ventas[[#This Row],[Fecha]])</f>
        <v>4</v>
      </c>
      <c r="D3927" s="4">
        <f>WEEKNUM(datos_ventas[[#This Row],[Fecha]],2)</f>
        <v>14</v>
      </c>
      <c r="E3927" t="s">
        <v>10</v>
      </c>
      <c r="F3927" t="s">
        <v>11</v>
      </c>
      <c r="G3927">
        <v>4</v>
      </c>
      <c r="H3927">
        <v>93913</v>
      </c>
      <c r="I3927">
        <v>2231</v>
      </c>
      <c r="J3927" t="s">
        <v>14</v>
      </c>
      <c r="K3927" t="str">
        <f>_xlfn.XLOOKUP(datos_ventas[[#This Row],[Ciudad]],Tabla2[Ciudades],Tabla2[Provincias],"no se encuentra")</f>
        <v>Madrid</v>
      </c>
      <c r="L3927" t="str">
        <f>_xlfn.XLOOKUP(datos_ventas[[#This Row],[Provincia]],Tabla2[Provincias],Tabla2[Comunidades],"no se encuentra")</f>
        <v>Comunidad de Madrid</v>
      </c>
      <c r="M3927" t="s">
        <v>13</v>
      </c>
      <c r="N3927">
        <v>2</v>
      </c>
    </row>
    <row r="3928" spans="1:14" x14ac:dyDescent="0.25">
      <c r="A3928">
        <v>4927</v>
      </c>
      <c r="B3928" s="1">
        <v>45720</v>
      </c>
      <c r="C3928" s="4">
        <f>MONTH(datos_ventas[[#This Row],[Fecha]])</f>
        <v>3</v>
      </c>
      <c r="D3928" s="4">
        <f>WEEKNUM(datos_ventas[[#This Row],[Fecha]],2)</f>
        <v>10</v>
      </c>
      <c r="E3928" t="s">
        <v>20</v>
      </c>
      <c r="F3928" t="s">
        <v>21</v>
      </c>
      <c r="G3928">
        <v>5</v>
      </c>
      <c r="H3928">
        <v>41179</v>
      </c>
      <c r="I3928">
        <v>476</v>
      </c>
      <c r="J3928" t="s">
        <v>32</v>
      </c>
      <c r="K3928" t="str">
        <f>_xlfn.XLOOKUP(datos_ventas[[#This Row],[Ciudad]],Tabla2[Ciudades],Tabla2[Provincias],"no se encuentra")</f>
        <v>Barcelona</v>
      </c>
      <c r="L3928" t="str">
        <f>_xlfn.XLOOKUP(datos_ventas[[#This Row],[Provincia]],Tabla2[Provincias],Tabla2[Comunidades],"no se encuentra")</f>
        <v>Cataluña</v>
      </c>
      <c r="M3928" t="s">
        <v>19</v>
      </c>
      <c r="N3928">
        <v>1</v>
      </c>
    </row>
    <row r="3929" spans="1:14" x14ac:dyDescent="0.25">
      <c r="A3929">
        <v>4928</v>
      </c>
      <c r="B3929" s="1">
        <v>45864</v>
      </c>
      <c r="C3929" s="4">
        <f>MONTH(datos_ventas[[#This Row],[Fecha]])</f>
        <v>7</v>
      </c>
      <c r="D3929" s="4">
        <f>WEEKNUM(datos_ventas[[#This Row],[Fecha]],2)</f>
        <v>30</v>
      </c>
      <c r="E3929" t="s">
        <v>29</v>
      </c>
      <c r="F3929" t="s">
        <v>30</v>
      </c>
      <c r="G3929">
        <v>2</v>
      </c>
      <c r="H3929">
        <v>41308</v>
      </c>
      <c r="I3929">
        <v>1034</v>
      </c>
      <c r="J3929" t="s">
        <v>31</v>
      </c>
      <c r="K3929" t="str">
        <f>_xlfn.XLOOKUP(datos_ventas[[#This Row],[Ciudad]],Tabla2[Ciudades],Tabla2[Provincias],"no se encuentra")</f>
        <v>Vizcaya</v>
      </c>
      <c r="L3929" t="str">
        <f>_xlfn.XLOOKUP(datos_ventas[[#This Row],[Provincia]],Tabla2[Provincias],Tabla2[Comunidades],"no se encuentra")</f>
        <v>País Vasco</v>
      </c>
      <c r="M3929" t="s">
        <v>13</v>
      </c>
      <c r="N3929">
        <v>5</v>
      </c>
    </row>
    <row r="3930" spans="1:14" x14ac:dyDescent="0.25">
      <c r="A3930">
        <v>4929</v>
      </c>
      <c r="B3930" s="1">
        <v>45723</v>
      </c>
      <c r="C3930" s="4">
        <f>MONTH(datos_ventas[[#This Row],[Fecha]])</f>
        <v>3</v>
      </c>
      <c r="D3930" s="4">
        <f>WEEKNUM(datos_ventas[[#This Row],[Fecha]],2)</f>
        <v>10</v>
      </c>
      <c r="E3930" t="s">
        <v>10</v>
      </c>
      <c r="F3930" t="s">
        <v>11</v>
      </c>
      <c r="G3930">
        <v>5</v>
      </c>
      <c r="H3930">
        <v>74703</v>
      </c>
      <c r="I3930">
        <v>4837</v>
      </c>
      <c r="J3930" t="s">
        <v>32</v>
      </c>
      <c r="K3930" t="str">
        <f>_xlfn.XLOOKUP(datos_ventas[[#This Row],[Ciudad]],Tabla2[Ciudades],Tabla2[Provincias],"no se encuentra")</f>
        <v>Barcelona</v>
      </c>
      <c r="L3930" t="str">
        <f>_xlfn.XLOOKUP(datos_ventas[[#This Row],[Provincia]],Tabla2[Provincias],Tabla2[Comunidades],"no se encuentra")</f>
        <v>Cataluña</v>
      </c>
      <c r="M3930" t="s">
        <v>19</v>
      </c>
      <c r="N3930">
        <v>5</v>
      </c>
    </row>
    <row r="3931" spans="1:14" x14ac:dyDescent="0.25">
      <c r="A3931">
        <v>4930</v>
      </c>
      <c r="B3931" s="1">
        <v>45860</v>
      </c>
      <c r="C3931" s="4">
        <f>MONTH(datos_ventas[[#This Row],[Fecha]])</f>
        <v>7</v>
      </c>
      <c r="D3931" s="4">
        <f>WEEKNUM(datos_ventas[[#This Row],[Fecha]],2)</f>
        <v>30</v>
      </c>
      <c r="E3931" t="s">
        <v>23</v>
      </c>
      <c r="F3931" t="s">
        <v>18</v>
      </c>
      <c r="G3931">
        <v>2</v>
      </c>
      <c r="H3931">
        <v>109684</v>
      </c>
      <c r="I3931">
        <v>4912</v>
      </c>
      <c r="J3931" t="s">
        <v>27</v>
      </c>
      <c r="K3931" t="str">
        <f>_xlfn.XLOOKUP(datos_ventas[[#This Row],[Ciudad]],Tabla2[Ciudades],Tabla2[Provincias],"no se encuentra")</f>
        <v>Sevilla</v>
      </c>
      <c r="L3931" t="str">
        <f>_xlfn.XLOOKUP(datos_ventas[[#This Row],[Provincia]],Tabla2[Provincias],Tabla2[Comunidades],"no se encuentra")</f>
        <v>Andalucía</v>
      </c>
      <c r="M3931" t="s">
        <v>13</v>
      </c>
      <c r="N3931">
        <v>2</v>
      </c>
    </row>
    <row r="3932" spans="1:14" x14ac:dyDescent="0.25">
      <c r="A3932">
        <v>4931</v>
      </c>
      <c r="B3932" s="1">
        <v>45763</v>
      </c>
      <c r="C3932" s="4">
        <f>MONTH(datos_ventas[[#This Row],[Fecha]])</f>
        <v>4</v>
      </c>
      <c r="D3932" s="4">
        <f>WEEKNUM(datos_ventas[[#This Row],[Fecha]],2)</f>
        <v>16</v>
      </c>
      <c r="E3932" t="s">
        <v>23</v>
      </c>
      <c r="F3932" t="s">
        <v>18</v>
      </c>
      <c r="G3932">
        <v>5</v>
      </c>
      <c r="H3932">
        <v>83267</v>
      </c>
      <c r="I3932">
        <v>3116</v>
      </c>
      <c r="J3932" t="s">
        <v>12</v>
      </c>
      <c r="K3932" t="str">
        <f>_xlfn.XLOOKUP(datos_ventas[[#This Row],[Ciudad]],Tabla2[Ciudades],Tabla2[Provincias],"no se encuentra")</f>
        <v>Málaga</v>
      </c>
      <c r="L3932" t="str">
        <f>_xlfn.XLOOKUP(datos_ventas[[#This Row],[Provincia]],Tabla2[Provincias],Tabla2[Comunidades],"no se encuentra")</f>
        <v>Andalucía</v>
      </c>
      <c r="M3932" t="s">
        <v>28</v>
      </c>
      <c r="N3932">
        <v>1</v>
      </c>
    </row>
    <row r="3933" spans="1:14" x14ac:dyDescent="0.25">
      <c r="A3933">
        <v>4932</v>
      </c>
      <c r="B3933" s="1">
        <v>45937</v>
      </c>
      <c r="C3933" s="4">
        <f>MONTH(datos_ventas[[#This Row],[Fecha]])</f>
        <v>10</v>
      </c>
      <c r="D3933" s="4">
        <f>WEEKNUM(datos_ventas[[#This Row],[Fecha]],2)</f>
        <v>41</v>
      </c>
      <c r="E3933" t="s">
        <v>29</v>
      </c>
      <c r="F3933" t="s">
        <v>30</v>
      </c>
      <c r="G3933">
        <v>4</v>
      </c>
      <c r="H3933">
        <v>3517</v>
      </c>
      <c r="I3933">
        <v>927</v>
      </c>
      <c r="J3933" t="s">
        <v>27</v>
      </c>
      <c r="K3933" t="str">
        <f>_xlfn.XLOOKUP(datos_ventas[[#This Row],[Ciudad]],Tabla2[Ciudades],Tabla2[Provincias],"no se encuentra")</f>
        <v>Sevilla</v>
      </c>
      <c r="L3933" t="str">
        <f>_xlfn.XLOOKUP(datos_ventas[[#This Row],[Provincia]],Tabla2[Provincias],Tabla2[Comunidades],"no se encuentra")</f>
        <v>Andalucía</v>
      </c>
      <c r="M3933" t="s">
        <v>15</v>
      </c>
      <c r="N3933">
        <v>4</v>
      </c>
    </row>
    <row r="3934" spans="1:14" x14ac:dyDescent="0.25">
      <c r="A3934">
        <v>4933</v>
      </c>
      <c r="B3934" s="1">
        <v>45893</v>
      </c>
      <c r="C3934" s="4">
        <f>MONTH(datos_ventas[[#This Row],[Fecha]])</f>
        <v>8</v>
      </c>
      <c r="D3934" s="4">
        <f>WEEKNUM(datos_ventas[[#This Row],[Fecha]],2)</f>
        <v>34</v>
      </c>
      <c r="E3934" t="s">
        <v>17</v>
      </c>
      <c r="F3934" t="s">
        <v>18</v>
      </c>
      <c r="G3934">
        <v>2</v>
      </c>
      <c r="H3934">
        <v>104104</v>
      </c>
      <c r="I3934">
        <v>833</v>
      </c>
      <c r="J3934" t="s">
        <v>27</v>
      </c>
      <c r="K3934" t="str">
        <f>_xlfn.XLOOKUP(datos_ventas[[#This Row],[Ciudad]],Tabla2[Ciudades],Tabla2[Provincias],"no se encuentra")</f>
        <v>Sevilla</v>
      </c>
      <c r="L3934" t="str">
        <f>_xlfn.XLOOKUP(datos_ventas[[#This Row],[Provincia]],Tabla2[Provincias],Tabla2[Comunidades],"no se encuentra")</f>
        <v>Andalucía</v>
      </c>
      <c r="M3934" t="s">
        <v>19</v>
      </c>
      <c r="N3934">
        <v>4</v>
      </c>
    </row>
    <row r="3935" spans="1:14" x14ac:dyDescent="0.25">
      <c r="A3935">
        <v>4934</v>
      </c>
      <c r="B3935" s="1">
        <v>45836</v>
      </c>
      <c r="C3935" s="4">
        <f>MONTH(datos_ventas[[#This Row],[Fecha]])</f>
        <v>6</v>
      </c>
      <c r="D3935" s="4">
        <f>WEEKNUM(datos_ventas[[#This Row],[Fecha]],2)</f>
        <v>26</v>
      </c>
      <c r="E3935" t="s">
        <v>24</v>
      </c>
      <c r="F3935" t="s">
        <v>25</v>
      </c>
      <c r="G3935">
        <v>2</v>
      </c>
      <c r="H3935">
        <v>4223</v>
      </c>
      <c r="I3935">
        <v>4762</v>
      </c>
      <c r="J3935" t="s">
        <v>14</v>
      </c>
      <c r="K3935" t="str">
        <f>_xlfn.XLOOKUP(datos_ventas[[#This Row],[Ciudad]],Tabla2[Ciudades],Tabla2[Provincias],"no se encuentra")</f>
        <v>Madrid</v>
      </c>
      <c r="L3935" t="str">
        <f>_xlfn.XLOOKUP(datos_ventas[[#This Row],[Provincia]],Tabla2[Provincias],Tabla2[Comunidades],"no se encuentra")</f>
        <v>Comunidad de Madrid</v>
      </c>
      <c r="M3935" t="s">
        <v>13</v>
      </c>
      <c r="N3935">
        <v>2</v>
      </c>
    </row>
    <row r="3936" spans="1:14" x14ac:dyDescent="0.25">
      <c r="A3936">
        <v>4935</v>
      </c>
      <c r="B3936" s="1">
        <v>46019</v>
      </c>
      <c r="C3936" s="4">
        <f>MONTH(datos_ventas[[#This Row],[Fecha]])</f>
        <v>12</v>
      </c>
      <c r="D3936" s="4">
        <f>WEEKNUM(datos_ventas[[#This Row],[Fecha]],2)</f>
        <v>52</v>
      </c>
      <c r="E3936" t="s">
        <v>29</v>
      </c>
      <c r="F3936" t="s">
        <v>30</v>
      </c>
      <c r="G3936">
        <v>5</v>
      </c>
      <c r="H3936">
        <v>91677</v>
      </c>
      <c r="I3936">
        <v>3302</v>
      </c>
      <c r="J3936" t="s">
        <v>14</v>
      </c>
      <c r="K3936" t="str">
        <f>_xlfn.XLOOKUP(datos_ventas[[#This Row],[Ciudad]],Tabla2[Ciudades],Tabla2[Provincias],"no se encuentra")</f>
        <v>Madrid</v>
      </c>
      <c r="L3936" t="str">
        <f>_xlfn.XLOOKUP(datos_ventas[[#This Row],[Provincia]],Tabla2[Provincias],Tabla2[Comunidades],"no se encuentra")</f>
        <v>Comunidad de Madrid</v>
      </c>
      <c r="M3936" t="s">
        <v>15</v>
      </c>
      <c r="N3936">
        <v>5</v>
      </c>
    </row>
    <row r="3937" spans="1:14" x14ac:dyDescent="0.25">
      <c r="A3937">
        <v>4936</v>
      </c>
      <c r="B3937" s="1">
        <v>45890</v>
      </c>
      <c r="C3937" s="4">
        <f>MONTH(datos_ventas[[#This Row],[Fecha]])</f>
        <v>8</v>
      </c>
      <c r="D3937" s="4">
        <f>WEEKNUM(datos_ventas[[#This Row],[Fecha]],2)</f>
        <v>34</v>
      </c>
      <c r="E3937" t="s">
        <v>17</v>
      </c>
      <c r="F3937" t="s">
        <v>18</v>
      </c>
      <c r="G3937">
        <v>5</v>
      </c>
      <c r="H3937">
        <v>93886</v>
      </c>
      <c r="I3937">
        <v>1679</v>
      </c>
      <c r="J3937" t="s">
        <v>31</v>
      </c>
      <c r="K3937" t="str">
        <f>_xlfn.XLOOKUP(datos_ventas[[#This Row],[Ciudad]],Tabla2[Ciudades],Tabla2[Provincias],"no se encuentra")</f>
        <v>Vizcaya</v>
      </c>
      <c r="L3937" t="str">
        <f>_xlfn.XLOOKUP(datos_ventas[[#This Row],[Provincia]],Tabla2[Provincias],Tabla2[Comunidades],"no se encuentra")</f>
        <v>País Vasco</v>
      </c>
      <c r="M3937" t="s">
        <v>28</v>
      </c>
      <c r="N3937">
        <v>5</v>
      </c>
    </row>
    <row r="3938" spans="1:14" x14ac:dyDescent="0.25">
      <c r="A3938">
        <v>4937</v>
      </c>
      <c r="B3938" s="1">
        <v>45938</v>
      </c>
      <c r="C3938" s="4">
        <f>MONTH(datos_ventas[[#This Row],[Fecha]])</f>
        <v>10</v>
      </c>
      <c r="D3938" s="4">
        <f>WEEKNUM(datos_ventas[[#This Row],[Fecha]],2)</f>
        <v>41</v>
      </c>
      <c r="E3938" t="s">
        <v>17</v>
      </c>
      <c r="F3938" t="s">
        <v>18</v>
      </c>
      <c r="G3938">
        <v>4</v>
      </c>
      <c r="H3938">
        <v>46136</v>
      </c>
      <c r="I3938">
        <v>4674</v>
      </c>
      <c r="J3938" t="s">
        <v>31</v>
      </c>
      <c r="K3938" t="str">
        <f>_xlfn.XLOOKUP(datos_ventas[[#This Row],[Ciudad]],Tabla2[Ciudades],Tabla2[Provincias],"no se encuentra")</f>
        <v>Vizcaya</v>
      </c>
      <c r="L3938" t="str">
        <f>_xlfn.XLOOKUP(datos_ventas[[#This Row],[Provincia]],Tabla2[Provincias],Tabla2[Comunidades],"no se encuentra")</f>
        <v>País Vasco</v>
      </c>
      <c r="M3938" t="s">
        <v>19</v>
      </c>
      <c r="N3938">
        <v>3</v>
      </c>
    </row>
    <row r="3939" spans="1:14" x14ac:dyDescent="0.25">
      <c r="A3939">
        <v>4938</v>
      </c>
      <c r="B3939" s="1">
        <v>45786</v>
      </c>
      <c r="C3939" s="4">
        <f>MONTH(datos_ventas[[#This Row],[Fecha]])</f>
        <v>5</v>
      </c>
      <c r="D3939" s="4">
        <f>WEEKNUM(datos_ventas[[#This Row],[Fecha]],2)</f>
        <v>19</v>
      </c>
      <c r="E3939" t="s">
        <v>23</v>
      </c>
      <c r="F3939" t="s">
        <v>18</v>
      </c>
      <c r="G3939">
        <v>3</v>
      </c>
      <c r="H3939">
        <v>92473</v>
      </c>
      <c r="I3939">
        <v>1236</v>
      </c>
      <c r="J3939" t="s">
        <v>14</v>
      </c>
      <c r="K3939" t="str">
        <f>_xlfn.XLOOKUP(datos_ventas[[#This Row],[Ciudad]],Tabla2[Ciudades],Tabla2[Provincias],"no se encuentra")</f>
        <v>Madrid</v>
      </c>
      <c r="L3939" t="str">
        <f>_xlfn.XLOOKUP(datos_ventas[[#This Row],[Provincia]],Tabla2[Provincias],Tabla2[Comunidades],"no se encuentra")</f>
        <v>Comunidad de Madrid</v>
      </c>
      <c r="M3939" t="s">
        <v>13</v>
      </c>
      <c r="N3939">
        <v>1</v>
      </c>
    </row>
    <row r="3940" spans="1:14" x14ac:dyDescent="0.25">
      <c r="A3940">
        <v>4939</v>
      </c>
      <c r="B3940" s="1">
        <v>45853</v>
      </c>
      <c r="C3940" s="4">
        <f>MONTH(datos_ventas[[#This Row],[Fecha]])</f>
        <v>7</v>
      </c>
      <c r="D3940" s="4">
        <f>WEEKNUM(datos_ventas[[#This Row],[Fecha]],2)</f>
        <v>29</v>
      </c>
      <c r="E3940" t="s">
        <v>16</v>
      </c>
      <c r="F3940" t="s">
        <v>11</v>
      </c>
      <c r="G3940">
        <v>2</v>
      </c>
      <c r="H3940">
        <v>63182</v>
      </c>
      <c r="I3940">
        <v>1351</v>
      </c>
      <c r="J3940" t="s">
        <v>14</v>
      </c>
      <c r="K3940" t="str">
        <f>_xlfn.XLOOKUP(datos_ventas[[#This Row],[Ciudad]],Tabla2[Ciudades],Tabla2[Provincias],"no se encuentra")</f>
        <v>Madrid</v>
      </c>
      <c r="L3940" t="str">
        <f>_xlfn.XLOOKUP(datos_ventas[[#This Row],[Provincia]],Tabla2[Provincias],Tabla2[Comunidades],"no se encuentra")</f>
        <v>Comunidad de Madrid</v>
      </c>
      <c r="M3940" t="s">
        <v>13</v>
      </c>
      <c r="N3940">
        <v>3</v>
      </c>
    </row>
    <row r="3941" spans="1:14" x14ac:dyDescent="0.25">
      <c r="A3941">
        <v>4940</v>
      </c>
      <c r="B3941" s="1">
        <v>45702</v>
      </c>
      <c r="C3941" s="4">
        <f>MONTH(datos_ventas[[#This Row],[Fecha]])</f>
        <v>2</v>
      </c>
      <c r="D3941" s="4">
        <f>WEEKNUM(datos_ventas[[#This Row],[Fecha]],2)</f>
        <v>7</v>
      </c>
      <c r="E3941" t="s">
        <v>10</v>
      </c>
      <c r="F3941" t="s">
        <v>11</v>
      </c>
      <c r="G3941">
        <v>2</v>
      </c>
      <c r="H3941">
        <v>9032</v>
      </c>
      <c r="I3941">
        <v>2853</v>
      </c>
      <c r="J3941" t="s">
        <v>27</v>
      </c>
      <c r="K3941" t="str">
        <f>_xlfn.XLOOKUP(datos_ventas[[#This Row],[Ciudad]],Tabla2[Ciudades],Tabla2[Provincias],"no se encuentra")</f>
        <v>Sevilla</v>
      </c>
      <c r="L3941" t="str">
        <f>_xlfn.XLOOKUP(datos_ventas[[#This Row],[Provincia]],Tabla2[Provincias],Tabla2[Comunidades],"no se encuentra")</f>
        <v>Andalucía</v>
      </c>
      <c r="M3941" t="s">
        <v>19</v>
      </c>
      <c r="N3941">
        <v>3</v>
      </c>
    </row>
    <row r="3942" spans="1:14" x14ac:dyDescent="0.25">
      <c r="A3942">
        <v>4941</v>
      </c>
      <c r="B3942" s="1">
        <v>45709</v>
      </c>
      <c r="C3942" s="4">
        <f>MONTH(datos_ventas[[#This Row],[Fecha]])</f>
        <v>2</v>
      </c>
      <c r="D3942" s="4">
        <f>WEEKNUM(datos_ventas[[#This Row],[Fecha]],2)</f>
        <v>8</v>
      </c>
      <c r="E3942" t="s">
        <v>24</v>
      </c>
      <c r="F3942" t="s">
        <v>25</v>
      </c>
      <c r="G3942">
        <v>5</v>
      </c>
      <c r="H3942">
        <v>56564</v>
      </c>
      <c r="I3942">
        <v>2325</v>
      </c>
      <c r="J3942" t="s">
        <v>27</v>
      </c>
      <c r="K3942" t="str">
        <f>_xlfn.XLOOKUP(datos_ventas[[#This Row],[Ciudad]],Tabla2[Ciudades],Tabla2[Provincias],"no se encuentra")</f>
        <v>Sevilla</v>
      </c>
      <c r="L3942" t="str">
        <f>_xlfn.XLOOKUP(datos_ventas[[#This Row],[Provincia]],Tabla2[Provincias],Tabla2[Comunidades],"no se encuentra")</f>
        <v>Andalucía</v>
      </c>
      <c r="M3942" t="s">
        <v>19</v>
      </c>
      <c r="N3942">
        <v>3</v>
      </c>
    </row>
    <row r="3943" spans="1:14" x14ac:dyDescent="0.25">
      <c r="A3943">
        <v>4942</v>
      </c>
      <c r="B3943" s="1">
        <v>45888</v>
      </c>
      <c r="C3943" s="4">
        <f>MONTH(datos_ventas[[#This Row],[Fecha]])</f>
        <v>8</v>
      </c>
      <c r="D3943" s="4">
        <f>WEEKNUM(datos_ventas[[#This Row],[Fecha]],2)</f>
        <v>34</v>
      </c>
      <c r="E3943" t="s">
        <v>24</v>
      </c>
      <c r="F3943" t="s">
        <v>25</v>
      </c>
      <c r="G3943">
        <v>2</v>
      </c>
      <c r="H3943">
        <v>4529</v>
      </c>
      <c r="I3943">
        <v>2931</v>
      </c>
      <c r="J3943" t="s">
        <v>32</v>
      </c>
      <c r="K3943" t="str">
        <f>_xlfn.XLOOKUP(datos_ventas[[#This Row],[Ciudad]],Tabla2[Ciudades],Tabla2[Provincias],"no se encuentra")</f>
        <v>Barcelona</v>
      </c>
      <c r="L3943" t="str">
        <f>_xlfn.XLOOKUP(datos_ventas[[#This Row],[Provincia]],Tabla2[Provincias],Tabla2[Comunidades],"no se encuentra")</f>
        <v>Cataluña</v>
      </c>
      <c r="M3943" t="s">
        <v>13</v>
      </c>
      <c r="N3943">
        <v>1</v>
      </c>
    </row>
    <row r="3944" spans="1:14" x14ac:dyDescent="0.25">
      <c r="A3944">
        <v>4943</v>
      </c>
      <c r="B3944" s="1">
        <v>45731</v>
      </c>
      <c r="C3944" s="4">
        <f>MONTH(datos_ventas[[#This Row],[Fecha]])</f>
        <v>3</v>
      </c>
      <c r="D3944" s="4">
        <f>WEEKNUM(datos_ventas[[#This Row],[Fecha]],2)</f>
        <v>11</v>
      </c>
      <c r="E3944" t="s">
        <v>10</v>
      </c>
      <c r="F3944" t="s">
        <v>11</v>
      </c>
      <c r="G3944">
        <v>5</v>
      </c>
      <c r="H3944">
        <v>47404</v>
      </c>
      <c r="I3944">
        <v>3794</v>
      </c>
      <c r="J3944" t="s">
        <v>31</v>
      </c>
      <c r="K3944" t="str">
        <f>_xlfn.XLOOKUP(datos_ventas[[#This Row],[Ciudad]],Tabla2[Ciudades],Tabla2[Provincias],"no se encuentra")</f>
        <v>Vizcaya</v>
      </c>
      <c r="L3944" t="str">
        <f>_xlfn.XLOOKUP(datos_ventas[[#This Row],[Provincia]],Tabla2[Provincias],Tabla2[Comunidades],"no se encuentra")</f>
        <v>País Vasco</v>
      </c>
      <c r="M3944" t="s">
        <v>13</v>
      </c>
      <c r="N3944">
        <v>5</v>
      </c>
    </row>
    <row r="3945" spans="1:14" x14ac:dyDescent="0.25">
      <c r="A3945">
        <v>4944</v>
      </c>
      <c r="B3945" s="1">
        <v>45843</v>
      </c>
      <c r="C3945" s="4">
        <f>MONTH(datos_ventas[[#This Row],[Fecha]])</f>
        <v>7</v>
      </c>
      <c r="D3945" s="4">
        <f>WEEKNUM(datos_ventas[[#This Row],[Fecha]],2)</f>
        <v>27</v>
      </c>
      <c r="E3945" t="s">
        <v>17</v>
      </c>
      <c r="F3945" t="s">
        <v>18</v>
      </c>
      <c r="G3945">
        <v>4</v>
      </c>
      <c r="H3945">
        <v>15335</v>
      </c>
      <c r="I3945">
        <v>3544</v>
      </c>
      <c r="J3945" t="s">
        <v>12</v>
      </c>
      <c r="K3945" t="str">
        <f>_xlfn.XLOOKUP(datos_ventas[[#This Row],[Ciudad]],Tabla2[Ciudades],Tabla2[Provincias],"no se encuentra")</f>
        <v>Málaga</v>
      </c>
      <c r="L3945" t="str">
        <f>_xlfn.XLOOKUP(datos_ventas[[#This Row],[Provincia]],Tabla2[Provincias],Tabla2[Comunidades],"no se encuentra")</f>
        <v>Andalucía</v>
      </c>
      <c r="M3945" t="s">
        <v>28</v>
      </c>
      <c r="N3945">
        <v>5</v>
      </c>
    </row>
    <row r="3946" spans="1:14" x14ac:dyDescent="0.25">
      <c r="A3946">
        <v>4945</v>
      </c>
      <c r="B3946" s="1">
        <v>45807</v>
      </c>
      <c r="C3946" s="4">
        <f>MONTH(datos_ventas[[#This Row],[Fecha]])</f>
        <v>5</v>
      </c>
      <c r="D3946" s="4">
        <f>WEEKNUM(datos_ventas[[#This Row],[Fecha]],2)</f>
        <v>22</v>
      </c>
      <c r="E3946" t="s">
        <v>16</v>
      </c>
      <c r="F3946" t="s">
        <v>11</v>
      </c>
      <c r="G3946">
        <v>4</v>
      </c>
      <c r="H3946">
        <v>23364</v>
      </c>
      <c r="I3946">
        <v>4661</v>
      </c>
      <c r="J3946" t="s">
        <v>22</v>
      </c>
      <c r="K3946" t="str">
        <f>_xlfn.XLOOKUP(datos_ventas[[#This Row],[Ciudad]],Tabla2[Ciudades],Tabla2[Provincias],"no se encuentra")</f>
        <v>Valencia</v>
      </c>
      <c r="L3946" t="str">
        <f>_xlfn.XLOOKUP(datos_ventas[[#This Row],[Provincia]],Tabla2[Provincias],Tabla2[Comunidades],"no se encuentra")</f>
        <v>Comunidad Valenciana</v>
      </c>
      <c r="M3946" t="s">
        <v>28</v>
      </c>
      <c r="N3946">
        <v>4</v>
      </c>
    </row>
    <row r="3947" spans="1:14" x14ac:dyDescent="0.25">
      <c r="A3947">
        <v>4946</v>
      </c>
      <c r="B3947" s="1">
        <v>45708</v>
      </c>
      <c r="C3947" s="4">
        <f>MONTH(datos_ventas[[#This Row],[Fecha]])</f>
        <v>2</v>
      </c>
      <c r="D3947" s="4">
        <f>WEEKNUM(datos_ventas[[#This Row],[Fecha]],2)</f>
        <v>8</v>
      </c>
      <c r="E3947" t="s">
        <v>29</v>
      </c>
      <c r="F3947" t="s">
        <v>30</v>
      </c>
      <c r="G3947">
        <v>4</v>
      </c>
      <c r="H3947">
        <v>1234</v>
      </c>
      <c r="I3947">
        <v>3745</v>
      </c>
      <c r="J3947" t="s">
        <v>12</v>
      </c>
      <c r="K3947" t="str">
        <f>_xlfn.XLOOKUP(datos_ventas[[#This Row],[Ciudad]],Tabla2[Ciudades],Tabla2[Provincias],"no se encuentra")</f>
        <v>Málaga</v>
      </c>
      <c r="L3947" t="str">
        <f>_xlfn.XLOOKUP(datos_ventas[[#This Row],[Provincia]],Tabla2[Provincias],Tabla2[Comunidades],"no se encuentra")</f>
        <v>Andalucía</v>
      </c>
      <c r="M3947" t="s">
        <v>13</v>
      </c>
      <c r="N3947">
        <v>2</v>
      </c>
    </row>
    <row r="3948" spans="1:14" x14ac:dyDescent="0.25">
      <c r="A3948">
        <v>4947</v>
      </c>
      <c r="B3948" s="1">
        <v>45973</v>
      </c>
      <c r="C3948" s="4">
        <f>MONTH(datos_ventas[[#This Row],[Fecha]])</f>
        <v>11</v>
      </c>
      <c r="D3948" s="4">
        <f>WEEKNUM(datos_ventas[[#This Row],[Fecha]],2)</f>
        <v>46</v>
      </c>
      <c r="E3948" t="s">
        <v>16</v>
      </c>
      <c r="F3948" t="s">
        <v>11</v>
      </c>
      <c r="G3948">
        <v>2</v>
      </c>
      <c r="H3948">
        <v>84651</v>
      </c>
      <c r="I3948">
        <v>1882</v>
      </c>
      <c r="J3948" t="s">
        <v>14</v>
      </c>
      <c r="K3948" t="str">
        <f>_xlfn.XLOOKUP(datos_ventas[[#This Row],[Ciudad]],Tabla2[Ciudades],Tabla2[Provincias],"no se encuentra")</f>
        <v>Madrid</v>
      </c>
      <c r="L3948" t="str">
        <f>_xlfn.XLOOKUP(datos_ventas[[#This Row],[Provincia]],Tabla2[Provincias],Tabla2[Comunidades],"no se encuentra")</f>
        <v>Comunidad de Madrid</v>
      </c>
      <c r="M3948" t="s">
        <v>13</v>
      </c>
      <c r="N3948">
        <v>5</v>
      </c>
    </row>
    <row r="3949" spans="1:14" x14ac:dyDescent="0.25">
      <c r="A3949">
        <v>4948</v>
      </c>
      <c r="B3949" s="1">
        <v>45983</v>
      </c>
      <c r="C3949" s="4">
        <f>MONTH(datos_ventas[[#This Row],[Fecha]])</f>
        <v>11</v>
      </c>
      <c r="D3949" s="4">
        <f>WEEKNUM(datos_ventas[[#This Row],[Fecha]],2)</f>
        <v>47</v>
      </c>
      <c r="E3949" t="s">
        <v>24</v>
      </c>
      <c r="F3949" t="s">
        <v>25</v>
      </c>
      <c r="G3949">
        <v>4</v>
      </c>
      <c r="H3949">
        <v>16453</v>
      </c>
      <c r="I3949">
        <v>2179</v>
      </c>
      <c r="J3949" t="s">
        <v>12</v>
      </c>
      <c r="K3949" t="str">
        <f>_xlfn.XLOOKUP(datos_ventas[[#This Row],[Ciudad]],Tabla2[Ciudades],Tabla2[Provincias],"no se encuentra")</f>
        <v>Málaga</v>
      </c>
      <c r="L3949" t="str">
        <f>_xlfn.XLOOKUP(datos_ventas[[#This Row],[Provincia]],Tabla2[Provincias],Tabla2[Comunidades],"no se encuentra")</f>
        <v>Andalucía</v>
      </c>
      <c r="M3949" t="s">
        <v>13</v>
      </c>
      <c r="N3949">
        <v>1</v>
      </c>
    </row>
    <row r="3950" spans="1:14" x14ac:dyDescent="0.25">
      <c r="A3950">
        <v>4949</v>
      </c>
      <c r="B3950" s="1">
        <v>45744</v>
      </c>
      <c r="C3950" s="4">
        <f>MONTH(datos_ventas[[#This Row],[Fecha]])</f>
        <v>3</v>
      </c>
      <c r="D3950" s="4">
        <f>WEEKNUM(datos_ventas[[#This Row],[Fecha]],2)</f>
        <v>13</v>
      </c>
      <c r="E3950" t="s">
        <v>10</v>
      </c>
      <c r="F3950" t="s">
        <v>11</v>
      </c>
      <c r="G3950">
        <v>4</v>
      </c>
      <c r="H3950">
        <v>99955</v>
      </c>
      <c r="I3950">
        <v>211</v>
      </c>
      <c r="J3950" t="s">
        <v>31</v>
      </c>
      <c r="K3950" t="str">
        <f>_xlfn.XLOOKUP(datos_ventas[[#This Row],[Ciudad]],Tabla2[Ciudades],Tabla2[Provincias],"no se encuentra")</f>
        <v>Vizcaya</v>
      </c>
      <c r="L3950" t="str">
        <f>_xlfn.XLOOKUP(datos_ventas[[#This Row],[Provincia]],Tabla2[Provincias],Tabla2[Comunidades],"no se encuentra")</f>
        <v>País Vasco</v>
      </c>
      <c r="M3950" t="s">
        <v>28</v>
      </c>
      <c r="N3950">
        <v>1</v>
      </c>
    </row>
    <row r="3951" spans="1:14" x14ac:dyDescent="0.25">
      <c r="A3951">
        <v>4950</v>
      </c>
      <c r="B3951" s="1">
        <v>45776</v>
      </c>
      <c r="C3951" s="4">
        <f>MONTH(datos_ventas[[#This Row],[Fecha]])</f>
        <v>4</v>
      </c>
      <c r="D3951" s="4">
        <f>WEEKNUM(datos_ventas[[#This Row],[Fecha]],2)</f>
        <v>18</v>
      </c>
      <c r="E3951" t="s">
        <v>17</v>
      </c>
      <c r="F3951" t="s">
        <v>18</v>
      </c>
      <c r="G3951">
        <v>3</v>
      </c>
      <c r="H3951">
        <v>117714</v>
      </c>
      <c r="I3951">
        <v>4935</v>
      </c>
      <c r="J3951" t="s">
        <v>27</v>
      </c>
      <c r="K3951" t="str">
        <f>_xlfn.XLOOKUP(datos_ventas[[#This Row],[Ciudad]],Tabla2[Ciudades],Tabla2[Provincias],"no se encuentra")</f>
        <v>Sevilla</v>
      </c>
      <c r="L3951" t="str">
        <f>_xlfn.XLOOKUP(datos_ventas[[#This Row],[Provincia]],Tabla2[Provincias],Tabla2[Comunidades],"no se encuentra")</f>
        <v>Andalucía</v>
      </c>
      <c r="M3951" t="s">
        <v>19</v>
      </c>
      <c r="N3951">
        <v>4</v>
      </c>
    </row>
    <row r="3952" spans="1:14" x14ac:dyDescent="0.25">
      <c r="A3952">
        <v>4951</v>
      </c>
      <c r="B3952" s="1">
        <v>45758</v>
      </c>
      <c r="C3952" s="4">
        <f>MONTH(datos_ventas[[#This Row],[Fecha]])</f>
        <v>4</v>
      </c>
      <c r="D3952" s="4">
        <f>WEEKNUM(datos_ventas[[#This Row],[Fecha]],2)</f>
        <v>15</v>
      </c>
      <c r="E3952" t="s">
        <v>10</v>
      </c>
      <c r="F3952" t="s">
        <v>11</v>
      </c>
      <c r="G3952">
        <v>3</v>
      </c>
      <c r="H3952">
        <v>52376</v>
      </c>
      <c r="I3952">
        <v>4417</v>
      </c>
      <c r="J3952" t="s">
        <v>12</v>
      </c>
      <c r="K3952" t="str">
        <f>_xlfn.XLOOKUP(datos_ventas[[#This Row],[Ciudad]],Tabla2[Ciudades],Tabla2[Provincias],"no se encuentra")</f>
        <v>Málaga</v>
      </c>
      <c r="L3952" t="str">
        <f>_xlfn.XLOOKUP(datos_ventas[[#This Row],[Provincia]],Tabla2[Provincias],Tabla2[Comunidades],"no se encuentra")</f>
        <v>Andalucía</v>
      </c>
      <c r="M3952" t="s">
        <v>13</v>
      </c>
      <c r="N3952">
        <v>3</v>
      </c>
    </row>
    <row r="3953" spans="1:14" x14ac:dyDescent="0.25">
      <c r="A3953">
        <v>4952</v>
      </c>
      <c r="B3953" s="1">
        <v>45789</v>
      </c>
      <c r="C3953" s="4">
        <f>MONTH(datos_ventas[[#This Row],[Fecha]])</f>
        <v>5</v>
      </c>
      <c r="D3953" s="4">
        <f>WEEKNUM(datos_ventas[[#This Row],[Fecha]],2)</f>
        <v>20</v>
      </c>
      <c r="E3953" t="s">
        <v>24</v>
      </c>
      <c r="F3953" t="s">
        <v>25</v>
      </c>
      <c r="G3953">
        <v>2</v>
      </c>
      <c r="H3953">
        <v>37457</v>
      </c>
      <c r="I3953">
        <v>2913</v>
      </c>
      <c r="J3953" t="s">
        <v>32</v>
      </c>
      <c r="K3953" t="str">
        <f>_xlfn.XLOOKUP(datos_ventas[[#This Row],[Ciudad]],Tabla2[Ciudades],Tabla2[Provincias],"no se encuentra")</f>
        <v>Barcelona</v>
      </c>
      <c r="L3953" t="str">
        <f>_xlfn.XLOOKUP(datos_ventas[[#This Row],[Provincia]],Tabla2[Provincias],Tabla2[Comunidades],"no se encuentra")</f>
        <v>Cataluña</v>
      </c>
      <c r="M3953" t="s">
        <v>28</v>
      </c>
      <c r="N3953">
        <v>5</v>
      </c>
    </row>
    <row r="3954" spans="1:14" x14ac:dyDescent="0.25">
      <c r="A3954">
        <v>4953</v>
      </c>
      <c r="B3954" s="1">
        <v>45986</v>
      </c>
      <c r="C3954" s="4">
        <f>MONTH(datos_ventas[[#This Row],[Fecha]])</f>
        <v>11</v>
      </c>
      <c r="D3954" s="4">
        <f>WEEKNUM(datos_ventas[[#This Row],[Fecha]],2)</f>
        <v>48</v>
      </c>
      <c r="E3954" t="s">
        <v>26</v>
      </c>
      <c r="F3954" t="s">
        <v>18</v>
      </c>
      <c r="G3954">
        <v>2</v>
      </c>
      <c r="H3954">
        <v>113709</v>
      </c>
      <c r="I3954">
        <v>2113</v>
      </c>
      <c r="J3954" t="s">
        <v>27</v>
      </c>
      <c r="K3954" t="str">
        <f>_xlfn.XLOOKUP(datos_ventas[[#This Row],[Ciudad]],Tabla2[Ciudades],Tabla2[Provincias],"no se encuentra")</f>
        <v>Sevilla</v>
      </c>
      <c r="L3954" t="str">
        <f>_xlfn.XLOOKUP(datos_ventas[[#This Row],[Provincia]],Tabla2[Provincias],Tabla2[Comunidades],"no se encuentra")</f>
        <v>Andalucía</v>
      </c>
      <c r="M3954" t="s">
        <v>13</v>
      </c>
      <c r="N3954">
        <v>5</v>
      </c>
    </row>
    <row r="3955" spans="1:14" x14ac:dyDescent="0.25">
      <c r="A3955">
        <v>4954</v>
      </c>
      <c r="B3955" s="1">
        <v>45911</v>
      </c>
      <c r="C3955" s="4">
        <f>MONTH(datos_ventas[[#This Row],[Fecha]])</f>
        <v>9</v>
      </c>
      <c r="D3955" s="4">
        <f>WEEKNUM(datos_ventas[[#This Row],[Fecha]],2)</f>
        <v>37</v>
      </c>
      <c r="E3955" t="s">
        <v>24</v>
      </c>
      <c r="F3955" t="s">
        <v>25</v>
      </c>
      <c r="G3955">
        <v>3</v>
      </c>
      <c r="H3955">
        <v>5047</v>
      </c>
      <c r="I3955">
        <v>4852</v>
      </c>
      <c r="J3955" t="s">
        <v>22</v>
      </c>
      <c r="K3955" t="str">
        <f>_xlfn.XLOOKUP(datos_ventas[[#This Row],[Ciudad]],Tabla2[Ciudades],Tabla2[Provincias],"no se encuentra")</f>
        <v>Valencia</v>
      </c>
      <c r="L3955" t="str">
        <f>_xlfn.XLOOKUP(datos_ventas[[#This Row],[Provincia]],Tabla2[Provincias],Tabla2[Comunidades],"no se encuentra")</f>
        <v>Comunidad Valenciana</v>
      </c>
      <c r="M3955" t="s">
        <v>13</v>
      </c>
      <c r="N3955">
        <v>2</v>
      </c>
    </row>
    <row r="3956" spans="1:14" x14ac:dyDescent="0.25">
      <c r="A3956">
        <v>4955</v>
      </c>
      <c r="B3956" s="1">
        <v>45831</v>
      </c>
      <c r="C3956" s="4">
        <f>MONTH(datos_ventas[[#This Row],[Fecha]])</f>
        <v>6</v>
      </c>
      <c r="D3956" s="4">
        <f>WEEKNUM(datos_ventas[[#This Row],[Fecha]],2)</f>
        <v>26</v>
      </c>
      <c r="E3956" t="s">
        <v>26</v>
      </c>
      <c r="F3956" t="s">
        <v>18</v>
      </c>
      <c r="G3956">
        <v>3</v>
      </c>
      <c r="H3956">
        <v>89979</v>
      </c>
      <c r="I3956">
        <v>193</v>
      </c>
      <c r="J3956" t="s">
        <v>32</v>
      </c>
      <c r="K3956" t="str">
        <f>_xlfn.XLOOKUP(datos_ventas[[#This Row],[Ciudad]],Tabla2[Ciudades],Tabla2[Provincias],"no se encuentra")</f>
        <v>Barcelona</v>
      </c>
      <c r="L3956" t="str">
        <f>_xlfn.XLOOKUP(datos_ventas[[#This Row],[Provincia]],Tabla2[Provincias],Tabla2[Comunidades],"no se encuentra")</f>
        <v>Cataluña</v>
      </c>
      <c r="M3956" t="s">
        <v>19</v>
      </c>
      <c r="N3956">
        <v>2</v>
      </c>
    </row>
    <row r="3957" spans="1:14" x14ac:dyDescent="0.25">
      <c r="A3957">
        <v>4956</v>
      </c>
      <c r="B3957" s="1">
        <v>45726</v>
      </c>
      <c r="C3957" s="4">
        <f>MONTH(datos_ventas[[#This Row],[Fecha]])</f>
        <v>3</v>
      </c>
      <c r="D3957" s="4">
        <f>WEEKNUM(datos_ventas[[#This Row],[Fecha]],2)</f>
        <v>11</v>
      </c>
      <c r="E3957" t="s">
        <v>17</v>
      </c>
      <c r="F3957" t="s">
        <v>18</v>
      </c>
      <c r="G3957">
        <v>2</v>
      </c>
      <c r="H3957">
        <v>29658</v>
      </c>
      <c r="I3957">
        <v>3077</v>
      </c>
      <c r="J3957" t="s">
        <v>14</v>
      </c>
      <c r="K3957" t="str">
        <f>_xlfn.XLOOKUP(datos_ventas[[#This Row],[Ciudad]],Tabla2[Ciudades],Tabla2[Provincias],"no se encuentra")</f>
        <v>Madrid</v>
      </c>
      <c r="L3957" t="str">
        <f>_xlfn.XLOOKUP(datos_ventas[[#This Row],[Provincia]],Tabla2[Provincias],Tabla2[Comunidades],"no se encuentra")</f>
        <v>Comunidad de Madrid</v>
      </c>
      <c r="M3957" t="s">
        <v>13</v>
      </c>
      <c r="N3957">
        <v>3</v>
      </c>
    </row>
    <row r="3958" spans="1:14" x14ac:dyDescent="0.25">
      <c r="A3958">
        <v>4957</v>
      </c>
      <c r="B3958" s="1">
        <v>45857</v>
      </c>
      <c r="C3958" s="4">
        <f>MONTH(datos_ventas[[#This Row],[Fecha]])</f>
        <v>7</v>
      </c>
      <c r="D3958" s="4">
        <f>WEEKNUM(datos_ventas[[#This Row],[Fecha]],2)</f>
        <v>29</v>
      </c>
      <c r="E3958" t="s">
        <v>23</v>
      </c>
      <c r="F3958" t="s">
        <v>18</v>
      </c>
      <c r="G3958">
        <v>3</v>
      </c>
      <c r="H3958">
        <v>46671</v>
      </c>
      <c r="I3958">
        <v>2892</v>
      </c>
      <c r="J3958" t="s">
        <v>22</v>
      </c>
      <c r="K3958" t="str">
        <f>_xlfn.XLOOKUP(datos_ventas[[#This Row],[Ciudad]],Tabla2[Ciudades],Tabla2[Provincias],"no se encuentra")</f>
        <v>Valencia</v>
      </c>
      <c r="L3958" t="str">
        <f>_xlfn.XLOOKUP(datos_ventas[[#This Row],[Provincia]],Tabla2[Provincias],Tabla2[Comunidades],"no se encuentra")</f>
        <v>Comunidad Valenciana</v>
      </c>
      <c r="M3958" t="s">
        <v>15</v>
      </c>
      <c r="N3958">
        <v>5</v>
      </c>
    </row>
    <row r="3959" spans="1:14" x14ac:dyDescent="0.25">
      <c r="A3959">
        <v>4958</v>
      </c>
      <c r="B3959" s="1">
        <v>45996</v>
      </c>
      <c r="C3959" s="4">
        <f>MONTH(datos_ventas[[#This Row],[Fecha]])</f>
        <v>12</v>
      </c>
      <c r="D3959" s="4">
        <f>WEEKNUM(datos_ventas[[#This Row],[Fecha]],2)</f>
        <v>49</v>
      </c>
      <c r="E3959" t="s">
        <v>17</v>
      </c>
      <c r="F3959" t="s">
        <v>18</v>
      </c>
      <c r="G3959">
        <v>3</v>
      </c>
      <c r="H3959">
        <v>102333</v>
      </c>
      <c r="I3959">
        <v>3379</v>
      </c>
      <c r="J3959" t="s">
        <v>27</v>
      </c>
      <c r="K3959" t="str">
        <f>_xlfn.XLOOKUP(datos_ventas[[#This Row],[Ciudad]],Tabla2[Ciudades],Tabla2[Provincias],"no se encuentra")</f>
        <v>Sevilla</v>
      </c>
      <c r="L3959" t="str">
        <f>_xlfn.XLOOKUP(datos_ventas[[#This Row],[Provincia]],Tabla2[Provincias],Tabla2[Comunidades],"no se encuentra")</f>
        <v>Andalucía</v>
      </c>
      <c r="M3959" t="s">
        <v>28</v>
      </c>
      <c r="N3959">
        <v>4</v>
      </c>
    </row>
    <row r="3960" spans="1:14" x14ac:dyDescent="0.25">
      <c r="A3960">
        <v>4959</v>
      </c>
      <c r="B3960" s="1">
        <v>45781</v>
      </c>
      <c r="C3960" s="4">
        <f>MONTH(datos_ventas[[#This Row],[Fecha]])</f>
        <v>5</v>
      </c>
      <c r="D3960" s="4">
        <f>WEEKNUM(datos_ventas[[#This Row],[Fecha]],2)</f>
        <v>18</v>
      </c>
      <c r="E3960" t="s">
        <v>23</v>
      </c>
      <c r="F3960" t="s">
        <v>18</v>
      </c>
      <c r="G3960">
        <v>1</v>
      </c>
      <c r="H3960">
        <v>38119</v>
      </c>
      <c r="I3960">
        <v>2268</v>
      </c>
      <c r="J3960" t="s">
        <v>22</v>
      </c>
      <c r="K3960" t="str">
        <f>_xlfn.XLOOKUP(datos_ventas[[#This Row],[Ciudad]],Tabla2[Ciudades],Tabla2[Provincias],"no se encuentra")</f>
        <v>Valencia</v>
      </c>
      <c r="L3960" t="str">
        <f>_xlfn.XLOOKUP(datos_ventas[[#This Row],[Provincia]],Tabla2[Provincias],Tabla2[Comunidades],"no se encuentra")</f>
        <v>Comunidad Valenciana</v>
      </c>
      <c r="M3960" t="s">
        <v>19</v>
      </c>
      <c r="N3960">
        <v>3</v>
      </c>
    </row>
    <row r="3961" spans="1:14" x14ac:dyDescent="0.25">
      <c r="A3961">
        <v>4960</v>
      </c>
      <c r="B3961" s="1">
        <v>45769</v>
      </c>
      <c r="C3961" s="4">
        <f>MONTH(datos_ventas[[#This Row],[Fecha]])</f>
        <v>4</v>
      </c>
      <c r="D3961" s="4">
        <f>WEEKNUM(datos_ventas[[#This Row],[Fecha]],2)</f>
        <v>17</v>
      </c>
      <c r="E3961" t="s">
        <v>24</v>
      </c>
      <c r="F3961" t="s">
        <v>25</v>
      </c>
      <c r="G3961">
        <v>1</v>
      </c>
      <c r="H3961">
        <v>55489</v>
      </c>
      <c r="I3961">
        <v>1209</v>
      </c>
      <c r="J3961" t="s">
        <v>32</v>
      </c>
      <c r="K3961" t="str">
        <f>_xlfn.XLOOKUP(datos_ventas[[#This Row],[Ciudad]],Tabla2[Ciudades],Tabla2[Provincias],"no se encuentra")</f>
        <v>Barcelona</v>
      </c>
      <c r="L3961" t="str">
        <f>_xlfn.XLOOKUP(datos_ventas[[#This Row],[Provincia]],Tabla2[Provincias],Tabla2[Comunidades],"no se encuentra")</f>
        <v>Cataluña</v>
      </c>
      <c r="M3961" t="s">
        <v>28</v>
      </c>
      <c r="N3961">
        <v>4</v>
      </c>
    </row>
    <row r="3962" spans="1:14" x14ac:dyDescent="0.25">
      <c r="A3962">
        <v>4961</v>
      </c>
      <c r="B3962" s="1">
        <v>45706</v>
      </c>
      <c r="C3962" s="4">
        <f>MONTH(datos_ventas[[#This Row],[Fecha]])</f>
        <v>2</v>
      </c>
      <c r="D3962" s="4">
        <f>WEEKNUM(datos_ventas[[#This Row],[Fecha]],2)</f>
        <v>8</v>
      </c>
      <c r="E3962" t="s">
        <v>17</v>
      </c>
      <c r="F3962" t="s">
        <v>18</v>
      </c>
      <c r="G3962">
        <v>4</v>
      </c>
      <c r="H3962">
        <v>29141</v>
      </c>
      <c r="I3962">
        <v>390</v>
      </c>
      <c r="J3962" t="s">
        <v>22</v>
      </c>
      <c r="K3962" t="str">
        <f>_xlfn.XLOOKUP(datos_ventas[[#This Row],[Ciudad]],Tabla2[Ciudades],Tabla2[Provincias],"no se encuentra")</f>
        <v>Valencia</v>
      </c>
      <c r="L3962" t="str">
        <f>_xlfn.XLOOKUP(datos_ventas[[#This Row],[Provincia]],Tabla2[Provincias],Tabla2[Comunidades],"no se encuentra")</f>
        <v>Comunidad Valenciana</v>
      </c>
      <c r="M3962" t="s">
        <v>15</v>
      </c>
      <c r="N3962">
        <v>5</v>
      </c>
    </row>
    <row r="3963" spans="1:14" x14ac:dyDescent="0.25">
      <c r="A3963">
        <v>4962</v>
      </c>
      <c r="B3963" s="1">
        <v>45870</v>
      </c>
      <c r="C3963" s="4">
        <f>MONTH(datos_ventas[[#This Row],[Fecha]])</f>
        <v>8</v>
      </c>
      <c r="D3963" s="4">
        <f>WEEKNUM(datos_ventas[[#This Row],[Fecha]],2)</f>
        <v>31</v>
      </c>
      <c r="E3963" t="s">
        <v>24</v>
      </c>
      <c r="F3963" t="s">
        <v>25</v>
      </c>
      <c r="G3963">
        <v>1</v>
      </c>
      <c r="H3963">
        <v>87589</v>
      </c>
      <c r="I3963">
        <v>4185</v>
      </c>
      <c r="J3963" t="s">
        <v>12</v>
      </c>
      <c r="K3963" t="str">
        <f>_xlfn.XLOOKUP(datos_ventas[[#This Row],[Ciudad]],Tabla2[Ciudades],Tabla2[Provincias],"no se encuentra")</f>
        <v>Málaga</v>
      </c>
      <c r="L3963" t="str">
        <f>_xlfn.XLOOKUP(datos_ventas[[#This Row],[Provincia]],Tabla2[Provincias],Tabla2[Comunidades],"no se encuentra")</f>
        <v>Andalucía</v>
      </c>
      <c r="M3963" t="s">
        <v>13</v>
      </c>
      <c r="N3963">
        <v>3</v>
      </c>
    </row>
    <row r="3964" spans="1:14" x14ac:dyDescent="0.25">
      <c r="A3964">
        <v>4963</v>
      </c>
      <c r="B3964" s="1">
        <v>45877</v>
      </c>
      <c r="C3964" s="4">
        <f>MONTH(datos_ventas[[#This Row],[Fecha]])</f>
        <v>8</v>
      </c>
      <c r="D3964" s="4">
        <f>WEEKNUM(datos_ventas[[#This Row],[Fecha]],2)</f>
        <v>32</v>
      </c>
      <c r="E3964" t="s">
        <v>26</v>
      </c>
      <c r="F3964" t="s">
        <v>18</v>
      </c>
      <c r="G3964">
        <v>4</v>
      </c>
      <c r="H3964">
        <v>118901</v>
      </c>
      <c r="I3964">
        <v>3422</v>
      </c>
      <c r="J3964" t="s">
        <v>14</v>
      </c>
      <c r="K3964" t="str">
        <f>_xlfn.XLOOKUP(datos_ventas[[#This Row],[Ciudad]],Tabla2[Ciudades],Tabla2[Provincias],"no se encuentra")</f>
        <v>Madrid</v>
      </c>
      <c r="L3964" t="str">
        <f>_xlfn.XLOOKUP(datos_ventas[[#This Row],[Provincia]],Tabla2[Provincias],Tabla2[Comunidades],"no se encuentra")</f>
        <v>Comunidad de Madrid</v>
      </c>
      <c r="M3964" t="s">
        <v>13</v>
      </c>
      <c r="N3964">
        <v>1</v>
      </c>
    </row>
    <row r="3965" spans="1:14" x14ac:dyDescent="0.25">
      <c r="A3965">
        <v>4964</v>
      </c>
      <c r="B3965" s="1">
        <v>45814</v>
      </c>
      <c r="C3965" s="4">
        <f>MONTH(datos_ventas[[#This Row],[Fecha]])</f>
        <v>6</v>
      </c>
      <c r="D3965" s="4">
        <f>WEEKNUM(datos_ventas[[#This Row],[Fecha]],2)</f>
        <v>23</v>
      </c>
      <c r="E3965" t="s">
        <v>10</v>
      </c>
      <c r="F3965" t="s">
        <v>11</v>
      </c>
      <c r="G3965">
        <v>2</v>
      </c>
      <c r="H3965">
        <v>65515</v>
      </c>
      <c r="I3965">
        <v>3353</v>
      </c>
      <c r="J3965" t="s">
        <v>32</v>
      </c>
      <c r="K3965" t="str">
        <f>_xlfn.XLOOKUP(datos_ventas[[#This Row],[Ciudad]],Tabla2[Ciudades],Tabla2[Provincias],"no se encuentra")</f>
        <v>Barcelona</v>
      </c>
      <c r="L3965" t="str">
        <f>_xlfn.XLOOKUP(datos_ventas[[#This Row],[Provincia]],Tabla2[Provincias],Tabla2[Comunidades],"no se encuentra")</f>
        <v>Cataluña</v>
      </c>
      <c r="M3965" t="s">
        <v>13</v>
      </c>
      <c r="N3965">
        <v>4</v>
      </c>
    </row>
    <row r="3966" spans="1:14" x14ac:dyDescent="0.25">
      <c r="A3966">
        <v>4965</v>
      </c>
      <c r="B3966" s="1">
        <v>46017</v>
      </c>
      <c r="C3966" s="4">
        <f>MONTH(datos_ventas[[#This Row],[Fecha]])</f>
        <v>12</v>
      </c>
      <c r="D3966" s="4">
        <f>WEEKNUM(datos_ventas[[#This Row],[Fecha]],2)</f>
        <v>52</v>
      </c>
      <c r="E3966" t="s">
        <v>26</v>
      </c>
      <c r="F3966" t="s">
        <v>18</v>
      </c>
      <c r="G3966">
        <v>1</v>
      </c>
      <c r="H3966">
        <v>25525</v>
      </c>
      <c r="I3966">
        <v>1371</v>
      </c>
      <c r="J3966" t="s">
        <v>32</v>
      </c>
      <c r="K3966" t="str">
        <f>_xlfn.XLOOKUP(datos_ventas[[#This Row],[Ciudad]],Tabla2[Ciudades],Tabla2[Provincias],"no se encuentra")</f>
        <v>Barcelona</v>
      </c>
      <c r="L3966" t="str">
        <f>_xlfn.XLOOKUP(datos_ventas[[#This Row],[Provincia]],Tabla2[Provincias],Tabla2[Comunidades],"no se encuentra")</f>
        <v>Cataluña</v>
      </c>
      <c r="M3966" t="s">
        <v>13</v>
      </c>
      <c r="N3966">
        <v>1</v>
      </c>
    </row>
    <row r="3967" spans="1:14" x14ac:dyDescent="0.25">
      <c r="A3967">
        <v>4966</v>
      </c>
      <c r="B3967" s="1">
        <v>46008</v>
      </c>
      <c r="C3967" s="4">
        <f>MONTH(datos_ventas[[#This Row],[Fecha]])</f>
        <v>12</v>
      </c>
      <c r="D3967" s="4">
        <f>WEEKNUM(datos_ventas[[#This Row],[Fecha]],2)</f>
        <v>51</v>
      </c>
      <c r="E3967" t="s">
        <v>29</v>
      </c>
      <c r="F3967" t="s">
        <v>30</v>
      </c>
      <c r="G3967">
        <v>5</v>
      </c>
      <c r="H3967">
        <v>96062</v>
      </c>
      <c r="I3967">
        <v>3317</v>
      </c>
      <c r="J3967" t="s">
        <v>31</v>
      </c>
      <c r="K3967" t="str">
        <f>_xlfn.XLOOKUP(datos_ventas[[#This Row],[Ciudad]],Tabla2[Ciudades],Tabla2[Provincias],"no se encuentra")</f>
        <v>Vizcaya</v>
      </c>
      <c r="L3967" t="str">
        <f>_xlfn.XLOOKUP(datos_ventas[[#This Row],[Provincia]],Tabla2[Provincias],Tabla2[Comunidades],"no se encuentra")</f>
        <v>País Vasco</v>
      </c>
      <c r="M3967" t="s">
        <v>19</v>
      </c>
      <c r="N3967">
        <v>3</v>
      </c>
    </row>
    <row r="3968" spans="1:14" x14ac:dyDescent="0.25">
      <c r="A3968">
        <v>4967</v>
      </c>
      <c r="B3968" s="1">
        <v>45987</v>
      </c>
      <c r="C3968" s="4">
        <f>MONTH(datos_ventas[[#This Row],[Fecha]])</f>
        <v>11</v>
      </c>
      <c r="D3968" s="4">
        <f>WEEKNUM(datos_ventas[[#This Row],[Fecha]],2)</f>
        <v>48</v>
      </c>
      <c r="E3968" t="s">
        <v>10</v>
      </c>
      <c r="F3968" t="s">
        <v>11</v>
      </c>
      <c r="G3968">
        <v>5</v>
      </c>
      <c r="H3968">
        <v>40507</v>
      </c>
      <c r="I3968">
        <v>736</v>
      </c>
      <c r="J3968" t="s">
        <v>12</v>
      </c>
      <c r="K3968" t="str">
        <f>_xlfn.XLOOKUP(datos_ventas[[#This Row],[Ciudad]],Tabla2[Ciudades],Tabla2[Provincias],"no se encuentra")</f>
        <v>Málaga</v>
      </c>
      <c r="L3968" t="str">
        <f>_xlfn.XLOOKUP(datos_ventas[[#This Row],[Provincia]],Tabla2[Provincias],Tabla2[Comunidades],"no se encuentra")</f>
        <v>Andalucía</v>
      </c>
      <c r="M3968" t="s">
        <v>13</v>
      </c>
      <c r="N3968">
        <v>2</v>
      </c>
    </row>
    <row r="3969" spans="1:14" x14ac:dyDescent="0.25">
      <c r="A3969">
        <v>4968</v>
      </c>
      <c r="B3969" s="1">
        <v>45907</v>
      </c>
      <c r="C3969" s="4">
        <f>MONTH(datos_ventas[[#This Row],[Fecha]])</f>
        <v>9</v>
      </c>
      <c r="D3969" s="4">
        <f>WEEKNUM(datos_ventas[[#This Row],[Fecha]],2)</f>
        <v>36</v>
      </c>
      <c r="E3969" t="s">
        <v>26</v>
      </c>
      <c r="F3969" t="s">
        <v>18</v>
      </c>
      <c r="G3969">
        <v>5</v>
      </c>
      <c r="H3969">
        <v>95463</v>
      </c>
      <c r="I3969">
        <v>3654</v>
      </c>
      <c r="J3969" t="s">
        <v>31</v>
      </c>
      <c r="K3969" t="str">
        <f>_xlfn.XLOOKUP(datos_ventas[[#This Row],[Ciudad]],Tabla2[Ciudades],Tabla2[Provincias],"no se encuentra")</f>
        <v>Vizcaya</v>
      </c>
      <c r="L3969" t="str">
        <f>_xlfn.XLOOKUP(datos_ventas[[#This Row],[Provincia]],Tabla2[Provincias],Tabla2[Comunidades],"no se encuentra")</f>
        <v>País Vasco</v>
      </c>
      <c r="M3969" t="s">
        <v>19</v>
      </c>
      <c r="N3969">
        <v>1</v>
      </c>
    </row>
    <row r="3970" spans="1:14" x14ac:dyDescent="0.25">
      <c r="A3970">
        <v>4969</v>
      </c>
      <c r="B3970" s="1">
        <v>45833</v>
      </c>
      <c r="C3970" s="4">
        <f>MONTH(datos_ventas[[#This Row],[Fecha]])</f>
        <v>6</v>
      </c>
      <c r="D3970" s="4">
        <f>WEEKNUM(datos_ventas[[#This Row],[Fecha]],2)</f>
        <v>26</v>
      </c>
      <c r="E3970" t="s">
        <v>24</v>
      </c>
      <c r="F3970" t="s">
        <v>25</v>
      </c>
      <c r="G3970">
        <v>1</v>
      </c>
      <c r="H3970">
        <v>27686</v>
      </c>
      <c r="I3970">
        <v>2942</v>
      </c>
      <c r="J3970" t="s">
        <v>12</v>
      </c>
      <c r="K3970" t="str">
        <f>_xlfn.XLOOKUP(datos_ventas[[#This Row],[Ciudad]],Tabla2[Ciudades],Tabla2[Provincias],"no se encuentra")</f>
        <v>Málaga</v>
      </c>
      <c r="L3970" t="str">
        <f>_xlfn.XLOOKUP(datos_ventas[[#This Row],[Provincia]],Tabla2[Provincias],Tabla2[Comunidades],"no se encuentra")</f>
        <v>Andalucía</v>
      </c>
      <c r="M3970" t="s">
        <v>13</v>
      </c>
      <c r="N3970">
        <v>3</v>
      </c>
    </row>
    <row r="3971" spans="1:14" x14ac:dyDescent="0.25">
      <c r="A3971">
        <v>4970</v>
      </c>
      <c r="B3971" s="1">
        <v>45963</v>
      </c>
      <c r="C3971" s="4">
        <f>MONTH(datos_ventas[[#This Row],[Fecha]])</f>
        <v>11</v>
      </c>
      <c r="D3971" s="4">
        <f>WEEKNUM(datos_ventas[[#This Row],[Fecha]],2)</f>
        <v>44</v>
      </c>
      <c r="E3971" t="s">
        <v>20</v>
      </c>
      <c r="F3971" t="s">
        <v>21</v>
      </c>
      <c r="G3971">
        <v>4</v>
      </c>
      <c r="H3971">
        <v>114056</v>
      </c>
      <c r="I3971">
        <v>3295</v>
      </c>
      <c r="J3971" t="s">
        <v>12</v>
      </c>
      <c r="K3971" t="str">
        <f>_xlfn.XLOOKUP(datos_ventas[[#This Row],[Ciudad]],Tabla2[Ciudades],Tabla2[Provincias],"no se encuentra")</f>
        <v>Málaga</v>
      </c>
      <c r="L3971" t="str">
        <f>_xlfn.XLOOKUP(datos_ventas[[#This Row],[Provincia]],Tabla2[Provincias],Tabla2[Comunidades],"no se encuentra")</f>
        <v>Andalucía</v>
      </c>
      <c r="M3971" t="s">
        <v>15</v>
      </c>
      <c r="N3971">
        <v>3</v>
      </c>
    </row>
    <row r="3972" spans="1:14" x14ac:dyDescent="0.25">
      <c r="A3972">
        <v>4971</v>
      </c>
      <c r="B3972" s="1">
        <v>45947</v>
      </c>
      <c r="C3972" s="4">
        <f>MONTH(datos_ventas[[#This Row],[Fecha]])</f>
        <v>10</v>
      </c>
      <c r="D3972" s="4">
        <f>WEEKNUM(datos_ventas[[#This Row],[Fecha]],2)</f>
        <v>42</v>
      </c>
      <c r="E3972" t="s">
        <v>17</v>
      </c>
      <c r="F3972" t="s">
        <v>18</v>
      </c>
      <c r="G3972">
        <v>3</v>
      </c>
      <c r="H3972">
        <v>24781</v>
      </c>
      <c r="I3972">
        <v>3139</v>
      </c>
      <c r="J3972" t="s">
        <v>32</v>
      </c>
      <c r="K3972" t="str">
        <f>_xlfn.XLOOKUP(datos_ventas[[#This Row],[Ciudad]],Tabla2[Ciudades],Tabla2[Provincias],"no se encuentra")</f>
        <v>Barcelona</v>
      </c>
      <c r="L3972" t="str">
        <f>_xlfn.XLOOKUP(datos_ventas[[#This Row],[Provincia]],Tabla2[Provincias],Tabla2[Comunidades],"no se encuentra")</f>
        <v>Cataluña</v>
      </c>
      <c r="M3972" t="s">
        <v>15</v>
      </c>
      <c r="N3972">
        <v>5</v>
      </c>
    </row>
    <row r="3973" spans="1:14" x14ac:dyDescent="0.25">
      <c r="A3973">
        <v>4972</v>
      </c>
      <c r="B3973" s="1">
        <v>45739</v>
      </c>
      <c r="C3973" s="4">
        <f>MONTH(datos_ventas[[#This Row],[Fecha]])</f>
        <v>3</v>
      </c>
      <c r="D3973" s="4">
        <f>WEEKNUM(datos_ventas[[#This Row],[Fecha]],2)</f>
        <v>12</v>
      </c>
      <c r="E3973" t="s">
        <v>26</v>
      </c>
      <c r="F3973" t="s">
        <v>18</v>
      </c>
      <c r="G3973">
        <v>3</v>
      </c>
      <c r="H3973">
        <v>8939</v>
      </c>
      <c r="I3973">
        <v>3797</v>
      </c>
      <c r="J3973" t="s">
        <v>27</v>
      </c>
      <c r="K3973" t="str">
        <f>_xlfn.XLOOKUP(datos_ventas[[#This Row],[Ciudad]],Tabla2[Ciudades],Tabla2[Provincias],"no se encuentra")</f>
        <v>Sevilla</v>
      </c>
      <c r="L3973" t="str">
        <f>_xlfn.XLOOKUP(datos_ventas[[#This Row],[Provincia]],Tabla2[Provincias],Tabla2[Comunidades],"no se encuentra")</f>
        <v>Andalucía</v>
      </c>
      <c r="M3973" t="s">
        <v>13</v>
      </c>
      <c r="N3973">
        <v>1</v>
      </c>
    </row>
    <row r="3974" spans="1:14" x14ac:dyDescent="0.25">
      <c r="A3974">
        <v>4973</v>
      </c>
      <c r="B3974" s="1">
        <v>45703</v>
      </c>
      <c r="C3974" s="4">
        <f>MONTH(datos_ventas[[#This Row],[Fecha]])</f>
        <v>2</v>
      </c>
      <c r="D3974" s="4">
        <f>WEEKNUM(datos_ventas[[#This Row],[Fecha]],2)</f>
        <v>7</v>
      </c>
      <c r="E3974" t="s">
        <v>24</v>
      </c>
      <c r="F3974" t="s">
        <v>25</v>
      </c>
      <c r="G3974">
        <v>1</v>
      </c>
      <c r="H3974">
        <v>71826</v>
      </c>
      <c r="I3974">
        <v>1507</v>
      </c>
      <c r="J3974" t="s">
        <v>22</v>
      </c>
      <c r="K3974" t="str">
        <f>_xlfn.XLOOKUP(datos_ventas[[#This Row],[Ciudad]],Tabla2[Ciudades],Tabla2[Provincias],"no se encuentra")</f>
        <v>Valencia</v>
      </c>
      <c r="L3974" t="str">
        <f>_xlfn.XLOOKUP(datos_ventas[[#This Row],[Provincia]],Tabla2[Provincias],Tabla2[Comunidades],"no se encuentra")</f>
        <v>Comunidad Valenciana</v>
      </c>
      <c r="M3974" t="s">
        <v>13</v>
      </c>
      <c r="N3974">
        <v>3</v>
      </c>
    </row>
    <row r="3975" spans="1:14" x14ac:dyDescent="0.25">
      <c r="A3975">
        <v>4974</v>
      </c>
      <c r="B3975" s="1">
        <v>45836</v>
      </c>
      <c r="C3975" s="4">
        <f>MONTH(datos_ventas[[#This Row],[Fecha]])</f>
        <v>6</v>
      </c>
      <c r="D3975" s="4">
        <f>WEEKNUM(datos_ventas[[#This Row],[Fecha]],2)</f>
        <v>26</v>
      </c>
      <c r="E3975" t="s">
        <v>20</v>
      </c>
      <c r="F3975" t="s">
        <v>21</v>
      </c>
      <c r="G3975">
        <v>2</v>
      </c>
      <c r="H3975">
        <v>3902</v>
      </c>
      <c r="I3975">
        <v>847</v>
      </c>
      <c r="J3975" t="s">
        <v>12</v>
      </c>
      <c r="K3975" t="str">
        <f>_xlfn.XLOOKUP(datos_ventas[[#This Row],[Ciudad]],Tabla2[Ciudades],Tabla2[Provincias],"no se encuentra")</f>
        <v>Málaga</v>
      </c>
      <c r="L3975" t="str">
        <f>_xlfn.XLOOKUP(datos_ventas[[#This Row],[Provincia]],Tabla2[Provincias],Tabla2[Comunidades],"no se encuentra")</f>
        <v>Andalucía</v>
      </c>
      <c r="M3975" t="s">
        <v>19</v>
      </c>
      <c r="N3975">
        <v>5</v>
      </c>
    </row>
    <row r="3976" spans="1:14" x14ac:dyDescent="0.25">
      <c r="A3976">
        <v>4975</v>
      </c>
      <c r="B3976" s="1">
        <v>45895</v>
      </c>
      <c r="C3976" s="4">
        <f>MONTH(datos_ventas[[#This Row],[Fecha]])</f>
        <v>8</v>
      </c>
      <c r="D3976" s="4">
        <f>WEEKNUM(datos_ventas[[#This Row],[Fecha]],2)</f>
        <v>35</v>
      </c>
      <c r="E3976" t="s">
        <v>17</v>
      </c>
      <c r="F3976" t="s">
        <v>18</v>
      </c>
      <c r="G3976">
        <v>4</v>
      </c>
      <c r="H3976">
        <v>79196</v>
      </c>
      <c r="I3976">
        <v>3217</v>
      </c>
      <c r="J3976" t="s">
        <v>31</v>
      </c>
      <c r="K3976" t="str">
        <f>_xlfn.XLOOKUP(datos_ventas[[#This Row],[Ciudad]],Tabla2[Ciudades],Tabla2[Provincias],"no se encuentra")</f>
        <v>Vizcaya</v>
      </c>
      <c r="L3976" t="str">
        <f>_xlfn.XLOOKUP(datos_ventas[[#This Row],[Provincia]],Tabla2[Provincias],Tabla2[Comunidades],"no se encuentra")</f>
        <v>País Vasco</v>
      </c>
      <c r="M3976" t="s">
        <v>13</v>
      </c>
      <c r="N3976">
        <v>2</v>
      </c>
    </row>
    <row r="3977" spans="1:14" x14ac:dyDescent="0.25">
      <c r="A3977">
        <v>4976</v>
      </c>
      <c r="B3977" s="1">
        <v>45854</v>
      </c>
      <c r="C3977" s="4">
        <f>MONTH(datos_ventas[[#This Row],[Fecha]])</f>
        <v>7</v>
      </c>
      <c r="D3977" s="4">
        <f>WEEKNUM(datos_ventas[[#This Row],[Fecha]],2)</f>
        <v>29</v>
      </c>
      <c r="E3977" t="s">
        <v>29</v>
      </c>
      <c r="F3977" t="s">
        <v>30</v>
      </c>
      <c r="G3977">
        <v>4</v>
      </c>
      <c r="H3977">
        <v>10741</v>
      </c>
      <c r="I3977">
        <v>1283</v>
      </c>
      <c r="J3977" t="s">
        <v>27</v>
      </c>
      <c r="K3977" t="str">
        <f>_xlfn.XLOOKUP(datos_ventas[[#This Row],[Ciudad]],Tabla2[Ciudades],Tabla2[Provincias],"no se encuentra")</f>
        <v>Sevilla</v>
      </c>
      <c r="L3977" t="str">
        <f>_xlfn.XLOOKUP(datos_ventas[[#This Row],[Provincia]],Tabla2[Provincias],Tabla2[Comunidades],"no se encuentra")</f>
        <v>Andalucía</v>
      </c>
      <c r="M3977" t="s">
        <v>19</v>
      </c>
      <c r="N3977">
        <v>2</v>
      </c>
    </row>
    <row r="3978" spans="1:14" x14ac:dyDescent="0.25">
      <c r="A3978">
        <v>4977</v>
      </c>
      <c r="B3978" s="1">
        <v>45714</v>
      </c>
      <c r="C3978" s="4">
        <f>MONTH(datos_ventas[[#This Row],[Fecha]])</f>
        <v>2</v>
      </c>
      <c r="D3978" s="4">
        <f>WEEKNUM(datos_ventas[[#This Row],[Fecha]],2)</f>
        <v>9</v>
      </c>
      <c r="E3978" t="s">
        <v>16</v>
      </c>
      <c r="F3978" t="s">
        <v>11</v>
      </c>
      <c r="G3978">
        <v>1</v>
      </c>
      <c r="H3978">
        <v>13597</v>
      </c>
      <c r="I3978">
        <v>3288</v>
      </c>
      <c r="J3978" t="s">
        <v>14</v>
      </c>
      <c r="K3978" t="str">
        <f>_xlfn.XLOOKUP(datos_ventas[[#This Row],[Ciudad]],Tabla2[Ciudades],Tabla2[Provincias],"no se encuentra")</f>
        <v>Madrid</v>
      </c>
      <c r="L3978" t="str">
        <f>_xlfn.XLOOKUP(datos_ventas[[#This Row],[Provincia]],Tabla2[Provincias],Tabla2[Comunidades],"no se encuentra")</f>
        <v>Comunidad de Madrid</v>
      </c>
      <c r="M3978" t="s">
        <v>28</v>
      </c>
      <c r="N3978">
        <v>1</v>
      </c>
    </row>
    <row r="3979" spans="1:14" x14ac:dyDescent="0.25">
      <c r="A3979">
        <v>4978</v>
      </c>
      <c r="B3979" s="1">
        <v>45897</v>
      </c>
      <c r="C3979" s="4">
        <f>MONTH(datos_ventas[[#This Row],[Fecha]])</f>
        <v>8</v>
      </c>
      <c r="D3979" s="4">
        <f>WEEKNUM(datos_ventas[[#This Row],[Fecha]],2)</f>
        <v>35</v>
      </c>
      <c r="E3979" t="s">
        <v>10</v>
      </c>
      <c r="F3979" t="s">
        <v>11</v>
      </c>
      <c r="G3979">
        <v>3</v>
      </c>
      <c r="H3979">
        <v>79346</v>
      </c>
      <c r="I3979">
        <v>201</v>
      </c>
      <c r="J3979" t="s">
        <v>27</v>
      </c>
      <c r="K3979" t="str">
        <f>_xlfn.XLOOKUP(datos_ventas[[#This Row],[Ciudad]],Tabla2[Ciudades],Tabla2[Provincias],"no se encuentra")</f>
        <v>Sevilla</v>
      </c>
      <c r="L3979" t="str">
        <f>_xlfn.XLOOKUP(datos_ventas[[#This Row],[Provincia]],Tabla2[Provincias],Tabla2[Comunidades],"no se encuentra")</f>
        <v>Andalucía</v>
      </c>
      <c r="M3979" t="s">
        <v>13</v>
      </c>
      <c r="N3979">
        <v>4</v>
      </c>
    </row>
    <row r="3980" spans="1:14" x14ac:dyDescent="0.25">
      <c r="A3980">
        <v>4979</v>
      </c>
      <c r="B3980" s="1">
        <v>45888</v>
      </c>
      <c r="C3980" s="4">
        <f>MONTH(datos_ventas[[#This Row],[Fecha]])</f>
        <v>8</v>
      </c>
      <c r="D3980" s="4">
        <f>WEEKNUM(datos_ventas[[#This Row],[Fecha]],2)</f>
        <v>34</v>
      </c>
      <c r="E3980" t="s">
        <v>26</v>
      </c>
      <c r="F3980" t="s">
        <v>18</v>
      </c>
      <c r="G3980">
        <v>2</v>
      </c>
      <c r="H3980">
        <v>117229</v>
      </c>
      <c r="I3980">
        <v>622</v>
      </c>
      <c r="J3980" t="s">
        <v>22</v>
      </c>
      <c r="K3980" t="str">
        <f>_xlfn.XLOOKUP(datos_ventas[[#This Row],[Ciudad]],Tabla2[Ciudades],Tabla2[Provincias],"no se encuentra")</f>
        <v>Valencia</v>
      </c>
      <c r="L3980" t="str">
        <f>_xlfn.XLOOKUP(datos_ventas[[#This Row],[Provincia]],Tabla2[Provincias],Tabla2[Comunidades],"no se encuentra")</f>
        <v>Comunidad Valenciana</v>
      </c>
      <c r="M3980" t="s">
        <v>28</v>
      </c>
      <c r="N3980">
        <v>4</v>
      </c>
    </row>
    <row r="3981" spans="1:14" x14ac:dyDescent="0.25">
      <c r="A3981">
        <v>4980</v>
      </c>
      <c r="B3981" s="1">
        <v>45696</v>
      </c>
      <c r="C3981" s="4">
        <f>MONTH(datos_ventas[[#This Row],[Fecha]])</f>
        <v>2</v>
      </c>
      <c r="D3981" s="4">
        <f>WEEKNUM(datos_ventas[[#This Row],[Fecha]],2)</f>
        <v>6</v>
      </c>
      <c r="E3981" t="s">
        <v>20</v>
      </c>
      <c r="F3981" t="s">
        <v>21</v>
      </c>
      <c r="G3981">
        <v>1</v>
      </c>
      <c r="H3981">
        <v>84819</v>
      </c>
      <c r="I3981">
        <v>2145</v>
      </c>
      <c r="J3981" t="s">
        <v>12</v>
      </c>
      <c r="K3981" t="str">
        <f>_xlfn.XLOOKUP(datos_ventas[[#This Row],[Ciudad]],Tabla2[Ciudades],Tabla2[Provincias],"no se encuentra")</f>
        <v>Málaga</v>
      </c>
      <c r="L3981" t="str">
        <f>_xlfn.XLOOKUP(datos_ventas[[#This Row],[Provincia]],Tabla2[Provincias],Tabla2[Comunidades],"no se encuentra")</f>
        <v>Andalucía</v>
      </c>
      <c r="M3981" t="s">
        <v>13</v>
      </c>
      <c r="N3981">
        <v>3</v>
      </c>
    </row>
    <row r="3982" spans="1:14" x14ac:dyDescent="0.25">
      <c r="A3982">
        <v>4981</v>
      </c>
      <c r="B3982" s="1">
        <v>45907</v>
      </c>
      <c r="C3982" s="4">
        <f>MONTH(datos_ventas[[#This Row],[Fecha]])</f>
        <v>9</v>
      </c>
      <c r="D3982" s="4">
        <f>WEEKNUM(datos_ventas[[#This Row],[Fecha]],2)</f>
        <v>36</v>
      </c>
      <c r="E3982" t="s">
        <v>20</v>
      </c>
      <c r="F3982" t="s">
        <v>21</v>
      </c>
      <c r="G3982">
        <v>4</v>
      </c>
      <c r="H3982">
        <v>100346</v>
      </c>
      <c r="I3982">
        <v>2709</v>
      </c>
      <c r="J3982" t="s">
        <v>27</v>
      </c>
      <c r="K3982" t="str">
        <f>_xlfn.XLOOKUP(datos_ventas[[#This Row],[Ciudad]],Tabla2[Ciudades],Tabla2[Provincias],"no se encuentra")</f>
        <v>Sevilla</v>
      </c>
      <c r="L3982" t="str">
        <f>_xlfn.XLOOKUP(datos_ventas[[#This Row],[Provincia]],Tabla2[Provincias],Tabla2[Comunidades],"no se encuentra")</f>
        <v>Andalucía</v>
      </c>
      <c r="M3982" t="s">
        <v>13</v>
      </c>
      <c r="N3982">
        <v>1</v>
      </c>
    </row>
    <row r="3983" spans="1:14" x14ac:dyDescent="0.25">
      <c r="A3983">
        <v>4982</v>
      </c>
      <c r="B3983" s="1">
        <v>45996</v>
      </c>
      <c r="C3983" s="4">
        <f>MONTH(datos_ventas[[#This Row],[Fecha]])</f>
        <v>12</v>
      </c>
      <c r="D3983" s="4">
        <f>WEEKNUM(datos_ventas[[#This Row],[Fecha]],2)</f>
        <v>49</v>
      </c>
      <c r="E3983" t="s">
        <v>29</v>
      </c>
      <c r="F3983" t="s">
        <v>30</v>
      </c>
      <c r="G3983">
        <v>4</v>
      </c>
      <c r="H3983">
        <v>78639</v>
      </c>
      <c r="I3983">
        <v>2306</v>
      </c>
      <c r="J3983" t="s">
        <v>14</v>
      </c>
      <c r="K3983" t="str">
        <f>_xlfn.XLOOKUP(datos_ventas[[#This Row],[Ciudad]],Tabla2[Ciudades],Tabla2[Provincias],"no se encuentra")</f>
        <v>Madrid</v>
      </c>
      <c r="L3983" t="str">
        <f>_xlfn.XLOOKUP(datos_ventas[[#This Row],[Provincia]],Tabla2[Provincias],Tabla2[Comunidades],"no se encuentra")</f>
        <v>Comunidad de Madrid</v>
      </c>
      <c r="M3983" t="s">
        <v>15</v>
      </c>
      <c r="N3983">
        <v>1</v>
      </c>
    </row>
    <row r="3984" spans="1:14" x14ac:dyDescent="0.25">
      <c r="A3984">
        <v>4983</v>
      </c>
      <c r="B3984" s="1">
        <v>45770</v>
      </c>
      <c r="C3984" s="4">
        <f>MONTH(datos_ventas[[#This Row],[Fecha]])</f>
        <v>4</v>
      </c>
      <c r="D3984" s="4">
        <f>WEEKNUM(datos_ventas[[#This Row],[Fecha]],2)</f>
        <v>17</v>
      </c>
      <c r="E3984" t="s">
        <v>24</v>
      </c>
      <c r="F3984" t="s">
        <v>25</v>
      </c>
      <c r="G3984">
        <v>4</v>
      </c>
      <c r="H3984">
        <v>8555</v>
      </c>
      <c r="I3984">
        <v>3703</v>
      </c>
      <c r="J3984" t="s">
        <v>27</v>
      </c>
      <c r="K3984" t="str">
        <f>_xlfn.XLOOKUP(datos_ventas[[#This Row],[Ciudad]],Tabla2[Ciudades],Tabla2[Provincias],"no se encuentra")</f>
        <v>Sevilla</v>
      </c>
      <c r="L3984" t="str">
        <f>_xlfn.XLOOKUP(datos_ventas[[#This Row],[Provincia]],Tabla2[Provincias],Tabla2[Comunidades],"no se encuentra")</f>
        <v>Andalucía</v>
      </c>
      <c r="M3984" t="s">
        <v>13</v>
      </c>
      <c r="N3984">
        <v>4</v>
      </c>
    </row>
    <row r="3985" spans="1:14" x14ac:dyDescent="0.25">
      <c r="A3985">
        <v>4984</v>
      </c>
      <c r="B3985" s="1">
        <v>45867</v>
      </c>
      <c r="C3985" s="4">
        <f>MONTH(datos_ventas[[#This Row],[Fecha]])</f>
        <v>7</v>
      </c>
      <c r="D3985" s="4">
        <f>WEEKNUM(datos_ventas[[#This Row],[Fecha]],2)</f>
        <v>31</v>
      </c>
      <c r="E3985" t="s">
        <v>17</v>
      </c>
      <c r="F3985" t="s">
        <v>18</v>
      </c>
      <c r="G3985">
        <v>5</v>
      </c>
      <c r="H3985">
        <v>71284</v>
      </c>
      <c r="I3985">
        <v>108</v>
      </c>
      <c r="J3985" t="s">
        <v>22</v>
      </c>
      <c r="K3985" t="str">
        <f>_xlfn.XLOOKUP(datos_ventas[[#This Row],[Ciudad]],Tabla2[Ciudades],Tabla2[Provincias],"no se encuentra")</f>
        <v>Valencia</v>
      </c>
      <c r="L3985" t="str">
        <f>_xlfn.XLOOKUP(datos_ventas[[#This Row],[Provincia]],Tabla2[Provincias],Tabla2[Comunidades],"no se encuentra")</f>
        <v>Comunidad Valenciana</v>
      </c>
      <c r="M3985" t="s">
        <v>28</v>
      </c>
      <c r="N3985">
        <v>3</v>
      </c>
    </row>
    <row r="3986" spans="1:14" x14ac:dyDescent="0.25">
      <c r="A3986">
        <v>4985</v>
      </c>
      <c r="B3986" s="1">
        <v>45919</v>
      </c>
      <c r="C3986" s="4">
        <f>MONTH(datos_ventas[[#This Row],[Fecha]])</f>
        <v>9</v>
      </c>
      <c r="D3986" s="4">
        <f>WEEKNUM(datos_ventas[[#This Row],[Fecha]],2)</f>
        <v>38</v>
      </c>
      <c r="E3986" t="s">
        <v>29</v>
      </c>
      <c r="F3986" t="s">
        <v>30</v>
      </c>
      <c r="G3986">
        <v>4</v>
      </c>
      <c r="H3986">
        <v>94248</v>
      </c>
      <c r="I3986">
        <v>1764</v>
      </c>
      <c r="J3986" t="s">
        <v>31</v>
      </c>
      <c r="K3986" t="str">
        <f>_xlfn.XLOOKUP(datos_ventas[[#This Row],[Ciudad]],Tabla2[Ciudades],Tabla2[Provincias],"no se encuentra")</f>
        <v>Vizcaya</v>
      </c>
      <c r="L3986" t="str">
        <f>_xlfn.XLOOKUP(datos_ventas[[#This Row],[Provincia]],Tabla2[Provincias],Tabla2[Comunidades],"no se encuentra")</f>
        <v>País Vasco</v>
      </c>
      <c r="M3986" t="s">
        <v>15</v>
      </c>
      <c r="N3986">
        <v>3</v>
      </c>
    </row>
    <row r="3987" spans="1:14" x14ac:dyDescent="0.25">
      <c r="A3987">
        <v>4986</v>
      </c>
      <c r="B3987" s="1">
        <v>45997</v>
      </c>
      <c r="C3987" s="4">
        <f>MONTH(datos_ventas[[#This Row],[Fecha]])</f>
        <v>12</v>
      </c>
      <c r="D3987" s="4">
        <f>WEEKNUM(datos_ventas[[#This Row],[Fecha]],2)</f>
        <v>49</v>
      </c>
      <c r="E3987" t="s">
        <v>20</v>
      </c>
      <c r="F3987" t="s">
        <v>21</v>
      </c>
      <c r="G3987">
        <v>4</v>
      </c>
      <c r="H3987">
        <v>102178</v>
      </c>
      <c r="I3987">
        <v>2502</v>
      </c>
      <c r="J3987" t="s">
        <v>27</v>
      </c>
      <c r="K3987" t="str">
        <f>_xlfn.XLOOKUP(datos_ventas[[#This Row],[Ciudad]],Tabla2[Ciudades],Tabla2[Provincias],"no se encuentra")</f>
        <v>Sevilla</v>
      </c>
      <c r="L3987" t="str">
        <f>_xlfn.XLOOKUP(datos_ventas[[#This Row],[Provincia]],Tabla2[Provincias],Tabla2[Comunidades],"no se encuentra")</f>
        <v>Andalucía</v>
      </c>
      <c r="M3987" t="s">
        <v>19</v>
      </c>
      <c r="N3987">
        <v>2</v>
      </c>
    </row>
    <row r="3988" spans="1:14" x14ac:dyDescent="0.25">
      <c r="A3988">
        <v>4987</v>
      </c>
      <c r="B3988" s="1">
        <v>45909</v>
      </c>
      <c r="C3988" s="4">
        <f>MONTH(datos_ventas[[#This Row],[Fecha]])</f>
        <v>9</v>
      </c>
      <c r="D3988" s="4">
        <f>WEEKNUM(datos_ventas[[#This Row],[Fecha]],2)</f>
        <v>37</v>
      </c>
      <c r="E3988" t="s">
        <v>17</v>
      </c>
      <c r="F3988" t="s">
        <v>18</v>
      </c>
      <c r="G3988">
        <v>3</v>
      </c>
      <c r="H3988">
        <v>69776</v>
      </c>
      <c r="I3988">
        <v>2591</v>
      </c>
      <c r="J3988" t="s">
        <v>27</v>
      </c>
      <c r="K3988" t="str">
        <f>_xlfn.XLOOKUP(datos_ventas[[#This Row],[Ciudad]],Tabla2[Ciudades],Tabla2[Provincias],"no se encuentra")</f>
        <v>Sevilla</v>
      </c>
      <c r="L3988" t="str">
        <f>_xlfn.XLOOKUP(datos_ventas[[#This Row],[Provincia]],Tabla2[Provincias],Tabla2[Comunidades],"no se encuentra")</f>
        <v>Andalucía</v>
      </c>
      <c r="M3988" t="s">
        <v>15</v>
      </c>
      <c r="N3988">
        <v>2</v>
      </c>
    </row>
    <row r="3989" spans="1:14" x14ac:dyDescent="0.25">
      <c r="A3989">
        <v>4988</v>
      </c>
      <c r="B3989" s="1">
        <v>45887</v>
      </c>
      <c r="C3989" s="4">
        <f>MONTH(datos_ventas[[#This Row],[Fecha]])</f>
        <v>8</v>
      </c>
      <c r="D3989" s="4">
        <f>WEEKNUM(datos_ventas[[#This Row],[Fecha]],2)</f>
        <v>34</v>
      </c>
      <c r="E3989" t="s">
        <v>26</v>
      </c>
      <c r="F3989" t="s">
        <v>18</v>
      </c>
      <c r="G3989">
        <v>1</v>
      </c>
      <c r="H3989">
        <v>62195</v>
      </c>
      <c r="I3989">
        <v>1125</v>
      </c>
      <c r="J3989" t="s">
        <v>32</v>
      </c>
      <c r="K3989" t="str">
        <f>_xlfn.XLOOKUP(datos_ventas[[#This Row],[Ciudad]],Tabla2[Ciudades],Tabla2[Provincias],"no se encuentra")</f>
        <v>Barcelona</v>
      </c>
      <c r="L3989" t="str">
        <f>_xlfn.XLOOKUP(datos_ventas[[#This Row],[Provincia]],Tabla2[Provincias],Tabla2[Comunidades],"no se encuentra")</f>
        <v>Cataluña</v>
      </c>
      <c r="M3989" t="s">
        <v>19</v>
      </c>
      <c r="N3989">
        <v>1</v>
      </c>
    </row>
    <row r="3990" spans="1:14" x14ac:dyDescent="0.25">
      <c r="A3990">
        <v>4989</v>
      </c>
      <c r="B3990" s="1">
        <v>45720</v>
      </c>
      <c r="C3990" s="4">
        <f>MONTH(datos_ventas[[#This Row],[Fecha]])</f>
        <v>3</v>
      </c>
      <c r="D3990" s="4">
        <f>WEEKNUM(datos_ventas[[#This Row],[Fecha]],2)</f>
        <v>10</v>
      </c>
      <c r="E3990" t="s">
        <v>29</v>
      </c>
      <c r="F3990" t="s">
        <v>30</v>
      </c>
      <c r="G3990">
        <v>1</v>
      </c>
      <c r="H3990">
        <v>34512</v>
      </c>
      <c r="I3990">
        <v>3819</v>
      </c>
      <c r="J3990" t="s">
        <v>12</v>
      </c>
      <c r="K3990" t="str">
        <f>_xlfn.XLOOKUP(datos_ventas[[#This Row],[Ciudad]],Tabla2[Ciudades],Tabla2[Provincias],"no se encuentra")</f>
        <v>Málaga</v>
      </c>
      <c r="L3990" t="str">
        <f>_xlfn.XLOOKUP(datos_ventas[[#This Row],[Provincia]],Tabla2[Provincias],Tabla2[Comunidades],"no se encuentra")</f>
        <v>Andalucía</v>
      </c>
      <c r="M3990" t="s">
        <v>15</v>
      </c>
      <c r="N3990">
        <v>5</v>
      </c>
    </row>
    <row r="3991" spans="1:14" x14ac:dyDescent="0.25">
      <c r="A3991">
        <v>4990</v>
      </c>
      <c r="B3991" s="1">
        <v>45975</v>
      </c>
      <c r="C3991" s="4">
        <f>MONTH(datos_ventas[[#This Row],[Fecha]])</f>
        <v>11</v>
      </c>
      <c r="D3991" s="4">
        <f>WEEKNUM(datos_ventas[[#This Row],[Fecha]],2)</f>
        <v>46</v>
      </c>
      <c r="E3991" t="s">
        <v>24</v>
      </c>
      <c r="F3991" t="s">
        <v>25</v>
      </c>
      <c r="G3991">
        <v>1</v>
      </c>
      <c r="H3991">
        <v>73115</v>
      </c>
      <c r="I3991">
        <v>773</v>
      </c>
      <c r="J3991" t="s">
        <v>27</v>
      </c>
      <c r="K3991" t="str">
        <f>_xlfn.XLOOKUP(datos_ventas[[#This Row],[Ciudad]],Tabla2[Ciudades],Tabla2[Provincias],"no se encuentra")</f>
        <v>Sevilla</v>
      </c>
      <c r="L3991" t="str">
        <f>_xlfn.XLOOKUP(datos_ventas[[#This Row],[Provincia]],Tabla2[Provincias],Tabla2[Comunidades],"no se encuentra")</f>
        <v>Andalucía</v>
      </c>
      <c r="M3991" t="s">
        <v>13</v>
      </c>
      <c r="N3991">
        <v>4</v>
      </c>
    </row>
    <row r="3992" spans="1:14" x14ac:dyDescent="0.25">
      <c r="A3992">
        <v>4991</v>
      </c>
      <c r="B3992" s="1">
        <v>45768</v>
      </c>
      <c r="C3992" s="4">
        <f>MONTH(datos_ventas[[#This Row],[Fecha]])</f>
        <v>4</v>
      </c>
      <c r="D3992" s="4">
        <f>WEEKNUM(datos_ventas[[#This Row],[Fecha]],2)</f>
        <v>17</v>
      </c>
      <c r="E3992" t="s">
        <v>17</v>
      </c>
      <c r="F3992" t="s">
        <v>18</v>
      </c>
      <c r="G3992">
        <v>2</v>
      </c>
      <c r="H3992">
        <v>36334</v>
      </c>
      <c r="I3992">
        <v>3451</v>
      </c>
      <c r="J3992" t="s">
        <v>22</v>
      </c>
      <c r="K3992" t="str">
        <f>_xlfn.XLOOKUP(datos_ventas[[#This Row],[Ciudad]],Tabla2[Ciudades],Tabla2[Provincias],"no se encuentra")</f>
        <v>Valencia</v>
      </c>
      <c r="L3992" t="str">
        <f>_xlfn.XLOOKUP(datos_ventas[[#This Row],[Provincia]],Tabla2[Provincias],Tabla2[Comunidades],"no se encuentra")</f>
        <v>Comunidad Valenciana</v>
      </c>
      <c r="M3992" t="s">
        <v>19</v>
      </c>
      <c r="N3992">
        <v>5</v>
      </c>
    </row>
    <row r="3993" spans="1:14" x14ac:dyDescent="0.25">
      <c r="A3993">
        <v>4992</v>
      </c>
      <c r="B3993" s="1">
        <v>45767</v>
      </c>
      <c r="C3993" s="4">
        <f>MONTH(datos_ventas[[#This Row],[Fecha]])</f>
        <v>4</v>
      </c>
      <c r="D3993" s="4">
        <f>WEEKNUM(datos_ventas[[#This Row],[Fecha]],2)</f>
        <v>16</v>
      </c>
      <c r="E3993" t="s">
        <v>17</v>
      </c>
      <c r="F3993" t="s">
        <v>18</v>
      </c>
      <c r="G3993">
        <v>3</v>
      </c>
      <c r="H3993">
        <v>92631</v>
      </c>
      <c r="I3993">
        <v>1421</v>
      </c>
      <c r="J3993" t="s">
        <v>31</v>
      </c>
      <c r="K3993" t="str">
        <f>_xlfn.XLOOKUP(datos_ventas[[#This Row],[Ciudad]],Tabla2[Ciudades],Tabla2[Provincias],"no se encuentra")</f>
        <v>Vizcaya</v>
      </c>
      <c r="L3993" t="str">
        <f>_xlfn.XLOOKUP(datos_ventas[[#This Row],[Provincia]],Tabla2[Provincias],Tabla2[Comunidades],"no se encuentra")</f>
        <v>País Vasco</v>
      </c>
      <c r="M3993" t="s">
        <v>15</v>
      </c>
      <c r="N3993">
        <v>2</v>
      </c>
    </row>
    <row r="3994" spans="1:14" x14ac:dyDescent="0.25">
      <c r="A3994">
        <v>4993</v>
      </c>
      <c r="B3994" s="1">
        <v>45743</v>
      </c>
      <c r="C3994" s="4">
        <f>MONTH(datos_ventas[[#This Row],[Fecha]])</f>
        <v>3</v>
      </c>
      <c r="D3994" s="4">
        <f>WEEKNUM(datos_ventas[[#This Row],[Fecha]],2)</f>
        <v>13</v>
      </c>
      <c r="E3994" t="s">
        <v>24</v>
      </c>
      <c r="F3994" t="s">
        <v>25</v>
      </c>
      <c r="G3994">
        <v>3</v>
      </c>
      <c r="H3994">
        <v>72222</v>
      </c>
      <c r="I3994">
        <v>2754</v>
      </c>
      <c r="J3994" t="s">
        <v>27</v>
      </c>
      <c r="K3994" t="str">
        <f>_xlfn.XLOOKUP(datos_ventas[[#This Row],[Ciudad]],Tabla2[Ciudades],Tabla2[Provincias],"no se encuentra")</f>
        <v>Sevilla</v>
      </c>
      <c r="L3994" t="str">
        <f>_xlfn.XLOOKUP(datos_ventas[[#This Row],[Provincia]],Tabla2[Provincias],Tabla2[Comunidades],"no se encuentra")</f>
        <v>Andalucía</v>
      </c>
      <c r="M3994" t="s">
        <v>19</v>
      </c>
      <c r="N3994">
        <v>1</v>
      </c>
    </row>
    <row r="3995" spans="1:14" x14ac:dyDescent="0.25">
      <c r="A3995">
        <v>4994</v>
      </c>
      <c r="B3995" s="1">
        <v>45934</v>
      </c>
      <c r="C3995" s="4">
        <f>MONTH(datos_ventas[[#This Row],[Fecha]])</f>
        <v>10</v>
      </c>
      <c r="D3995" s="4">
        <f>WEEKNUM(datos_ventas[[#This Row],[Fecha]],2)</f>
        <v>40</v>
      </c>
      <c r="E3995" t="s">
        <v>26</v>
      </c>
      <c r="F3995" t="s">
        <v>18</v>
      </c>
      <c r="G3995">
        <v>1</v>
      </c>
      <c r="H3995">
        <v>83523</v>
      </c>
      <c r="I3995">
        <v>2271</v>
      </c>
      <c r="J3995" t="s">
        <v>32</v>
      </c>
      <c r="K3995" t="str">
        <f>_xlfn.XLOOKUP(datos_ventas[[#This Row],[Ciudad]],Tabla2[Ciudades],Tabla2[Provincias],"no se encuentra")</f>
        <v>Barcelona</v>
      </c>
      <c r="L3995" t="str">
        <f>_xlfn.XLOOKUP(datos_ventas[[#This Row],[Provincia]],Tabla2[Provincias],Tabla2[Comunidades],"no se encuentra")</f>
        <v>Cataluña</v>
      </c>
      <c r="M3995" t="s">
        <v>15</v>
      </c>
      <c r="N3995">
        <v>2</v>
      </c>
    </row>
    <row r="3996" spans="1:14" x14ac:dyDescent="0.25">
      <c r="A3996">
        <v>4995</v>
      </c>
      <c r="B3996" s="1">
        <v>45956</v>
      </c>
      <c r="C3996" s="4">
        <f>MONTH(datos_ventas[[#This Row],[Fecha]])</f>
        <v>10</v>
      </c>
      <c r="D3996" s="4">
        <f>WEEKNUM(datos_ventas[[#This Row],[Fecha]],2)</f>
        <v>43</v>
      </c>
      <c r="E3996" t="s">
        <v>29</v>
      </c>
      <c r="F3996" t="s">
        <v>30</v>
      </c>
      <c r="G3996">
        <v>4</v>
      </c>
      <c r="H3996">
        <v>10375</v>
      </c>
      <c r="I3996">
        <v>1308</v>
      </c>
      <c r="J3996" t="s">
        <v>27</v>
      </c>
      <c r="K3996" t="str">
        <f>_xlfn.XLOOKUP(datos_ventas[[#This Row],[Ciudad]],Tabla2[Ciudades],Tabla2[Provincias],"no se encuentra")</f>
        <v>Sevilla</v>
      </c>
      <c r="L3996" t="str">
        <f>_xlfn.XLOOKUP(datos_ventas[[#This Row],[Provincia]],Tabla2[Provincias],Tabla2[Comunidades],"no se encuentra")</f>
        <v>Andalucía</v>
      </c>
      <c r="M3996" t="s">
        <v>28</v>
      </c>
      <c r="N3996">
        <v>2</v>
      </c>
    </row>
    <row r="3997" spans="1:14" x14ac:dyDescent="0.25">
      <c r="A3997">
        <v>4996</v>
      </c>
      <c r="B3997" s="1">
        <v>45853</v>
      </c>
      <c r="C3997" s="4">
        <f>MONTH(datos_ventas[[#This Row],[Fecha]])</f>
        <v>7</v>
      </c>
      <c r="D3997" s="4">
        <f>WEEKNUM(datos_ventas[[#This Row],[Fecha]],2)</f>
        <v>29</v>
      </c>
      <c r="E3997" t="s">
        <v>20</v>
      </c>
      <c r="F3997" t="s">
        <v>21</v>
      </c>
      <c r="G3997">
        <v>2</v>
      </c>
      <c r="H3997">
        <v>90178</v>
      </c>
      <c r="I3997">
        <v>4702</v>
      </c>
      <c r="J3997" t="s">
        <v>12</v>
      </c>
      <c r="K3997" t="str">
        <f>_xlfn.XLOOKUP(datos_ventas[[#This Row],[Ciudad]],Tabla2[Ciudades],Tabla2[Provincias],"no se encuentra")</f>
        <v>Málaga</v>
      </c>
      <c r="L3997" t="str">
        <f>_xlfn.XLOOKUP(datos_ventas[[#This Row],[Provincia]],Tabla2[Provincias],Tabla2[Comunidades],"no se encuentra")</f>
        <v>Andalucía</v>
      </c>
      <c r="M3997" t="s">
        <v>15</v>
      </c>
      <c r="N3997">
        <v>2</v>
      </c>
    </row>
    <row r="3998" spans="1:14" x14ac:dyDescent="0.25">
      <c r="A3998">
        <v>4997</v>
      </c>
      <c r="B3998" s="1">
        <v>45728</v>
      </c>
      <c r="C3998" s="4">
        <f>MONTH(datos_ventas[[#This Row],[Fecha]])</f>
        <v>3</v>
      </c>
      <c r="D3998" s="4">
        <f>WEEKNUM(datos_ventas[[#This Row],[Fecha]],2)</f>
        <v>11</v>
      </c>
      <c r="E3998" t="s">
        <v>26</v>
      </c>
      <c r="F3998" t="s">
        <v>18</v>
      </c>
      <c r="G3998">
        <v>4</v>
      </c>
      <c r="H3998">
        <v>53636</v>
      </c>
      <c r="I3998">
        <v>1535</v>
      </c>
      <c r="J3998" t="s">
        <v>22</v>
      </c>
      <c r="K3998" t="str">
        <f>_xlfn.XLOOKUP(datos_ventas[[#This Row],[Ciudad]],Tabla2[Ciudades],Tabla2[Provincias],"no se encuentra")</f>
        <v>Valencia</v>
      </c>
      <c r="L3998" t="str">
        <f>_xlfn.XLOOKUP(datos_ventas[[#This Row],[Provincia]],Tabla2[Provincias],Tabla2[Comunidades],"no se encuentra")</f>
        <v>Comunidad Valenciana</v>
      </c>
      <c r="M3998" t="s">
        <v>19</v>
      </c>
      <c r="N3998">
        <v>3</v>
      </c>
    </row>
    <row r="3999" spans="1:14" x14ac:dyDescent="0.25">
      <c r="A3999">
        <v>4998</v>
      </c>
      <c r="B3999" s="1">
        <v>45911</v>
      </c>
      <c r="C3999" s="4">
        <f>MONTH(datos_ventas[[#This Row],[Fecha]])</f>
        <v>9</v>
      </c>
      <c r="D3999" s="4">
        <f>WEEKNUM(datos_ventas[[#This Row],[Fecha]],2)</f>
        <v>37</v>
      </c>
      <c r="E3999" t="s">
        <v>10</v>
      </c>
      <c r="F3999" t="s">
        <v>11</v>
      </c>
      <c r="G3999">
        <v>4</v>
      </c>
      <c r="H3999">
        <v>96688</v>
      </c>
      <c r="I3999">
        <v>1219</v>
      </c>
      <c r="J3999" t="s">
        <v>12</v>
      </c>
      <c r="K3999" t="str">
        <f>_xlfn.XLOOKUP(datos_ventas[[#This Row],[Ciudad]],Tabla2[Ciudades],Tabla2[Provincias],"no se encuentra")</f>
        <v>Málaga</v>
      </c>
      <c r="L3999" t="str">
        <f>_xlfn.XLOOKUP(datos_ventas[[#This Row],[Provincia]],Tabla2[Provincias],Tabla2[Comunidades],"no se encuentra")</f>
        <v>Andalucía</v>
      </c>
      <c r="M3999" t="s">
        <v>15</v>
      </c>
      <c r="N3999">
        <v>5</v>
      </c>
    </row>
    <row r="4000" spans="1:14" x14ac:dyDescent="0.25">
      <c r="A4000">
        <v>4999</v>
      </c>
      <c r="B4000" s="1">
        <v>45701</v>
      </c>
      <c r="C4000" s="4">
        <f>MONTH(datos_ventas[[#This Row],[Fecha]])</f>
        <v>2</v>
      </c>
      <c r="D4000" s="4">
        <f>WEEKNUM(datos_ventas[[#This Row],[Fecha]],2)</f>
        <v>7</v>
      </c>
      <c r="E4000" t="s">
        <v>24</v>
      </c>
      <c r="F4000" t="s">
        <v>25</v>
      </c>
      <c r="G4000">
        <v>4</v>
      </c>
      <c r="H4000">
        <v>55894</v>
      </c>
      <c r="I4000">
        <v>414</v>
      </c>
      <c r="J4000" t="s">
        <v>27</v>
      </c>
      <c r="K4000" t="str">
        <f>_xlfn.XLOOKUP(datos_ventas[[#This Row],[Ciudad]],Tabla2[Ciudades],Tabla2[Provincias],"no se encuentra")</f>
        <v>Sevilla</v>
      </c>
      <c r="L4000" t="str">
        <f>_xlfn.XLOOKUP(datos_ventas[[#This Row],[Provincia]],Tabla2[Provincias],Tabla2[Comunidades],"no se encuentra")</f>
        <v>Andalucía</v>
      </c>
      <c r="M4000" t="s">
        <v>15</v>
      </c>
      <c r="N4000">
        <v>2</v>
      </c>
    </row>
    <row r="4001" spans="1:14" x14ac:dyDescent="0.25">
      <c r="A4001">
        <v>5000</v>
      </c>
      <c r="B4001" s="1">
        <v>45808</v>
      </c>
      <c r="C4001" s="4">
        <f>MONTH(datos_ventas[[#This Row],[Fecha]])</f>
        <v>5</v>
      </c>
      <c r="D4001" s="4">
        <f>WEEKNUM(datos_ventas[[#This Row],[Fecha]],2)</f>
        <v>22</v>
      </c>
      <c r="E4001" t="s">
        <v>16</v>
      </c>
      <c r="F4001" t="s">
        <v>11</v>
      </c>
      <c r="G4001">
        <v>1</v>
      </c>
      <c r="H4001">
        <v>54575</v>
      </c>
      <c r="I4001">
        <v>4427</v>
      </c>
      <c r="J4001" t="s">
        <v>22</v>
      </c>
      <c r="K4001" t="str">
        <f>_xlfn.XLOOKUP(datos_ventas[[#This Row],[Ciudad]],Tabla2[Ciudades],Tabla2[Provincias],"no se encuentra")</f>
        <v>Valencia</v>
      </c>
      <c r="L4001" t="str">
        <f>_xlfn.XLOOKUP(datos_ventas[[#This Row],[Provincia]],Tabla2[Provincias],Tabla2[Comunidades],"no se encuentra")</f>
        <v>Comunidad Valenciana</v>
      </c>
      <c r="M4001" t="s">
        <v>28</v>
      </c>
      <c r="N4001">
        <v>1</v>
      </c>
    </row>
    <row r="4002" spans="1:14" x14ac:dyDescent="0.25">
      <c r="A4002">
        <v>5001</v>
      </c>
      <c r="B4002" s="1">
        <v>45895</v>
      </c>
      <c r="C4002" s="4">
        <f>MONTH(datos_ventas[[#This Row],[Fecha]])</f>
        <v>8</v>
      </c>
      <c r="D4002" s="4">
        <f>WEEKNUM(datos_ventas[[#This Row],[Fecha]],2)</f>
        <v>35</v>
      </c>
      <c r="E4002" t="s">
        <v>16</v>
      </c>
      <c r="F4002" t="s">
        <v>11</v>
      </c>
      <c r="G4002">
        <v>2</v>
      </c>
      <c r="H4002">
        <v>46023</v>
      </c>
      <c r="I4002">
        <v>4565</v>
      </c>
      <c r="J4002" t="s">
        <v>27</v>
      </c>
      <c r="K4002" t="str">
        <f>_xlfn.XLOOKUP(datos_ventas[[#This Row],[Ciudad]],Tabla2[Ciudades],Tabla2[Provincias],"no se encuentra")</f>
        <v>Sevilla</v>
      </c>
      <c r="L4002" t="str">
        <f>_xlfn.XLOOKUP(datos_ventas[[#This Row],[Provincia]],Tabla2[Provincias],Tabla2[Comunidades],"no se encuentra")</f>
        <v>Andalucía</v>
      </c>
      <c r="M4002" t="s">
        <v>15</v>
      </c>
      <c r="N4002">
        <v>3</v>
      </c>
    </row>
    <row r="4003" spans="1:14" x14ac:dyDescent="0.25">
      <c r="A4003">
        <v>5002</v>
      </c>
      <c r="B4003" s="1">
        <v>45972</v>
      </c>
      <c r="C4003" s="4">
        <f>MONTH(datos_ventas[[#This Row],[Fecha]])</f>
        <v>11</v>
      </c>
      <c r="D4003" s="4">
        <f>WEEKNUM(datos_ventas[[#This Row],[Fecha]],2)</f>
        <v>46</v>
      </c>
      <c r="E4003" t="s">
        <v>20</v>
      </c>
      <c r="F4003" t="s">
        <v>21</v>
      </c>
      <c r="G4003">
        <v>2</v>
      </c>
      <c r="H4003">
        <v>99924</v>
      </c>
      <c r="I4003">
        <v>3412</v>
      </c>
      <c r="J4003" t="s">
        <v>32</v>
      </c>
      <c r="K4003" t="str">
        <f>_xlfn.XLOOKUP(datos_ventas[[#This Row],[Ciudad]],Tabla2[Ciudades],Tabla2[Provincias],"no se encuentra")</f>
        <v>Barcelona</v>
      </c>
      <c r="L4003" t="str">
        <f>_xlfn.XLOOKUP(datos_ventas[[#This Row],[Provincia]],Tabla2[Provincias],Tabla2[Comunidades],"no se encuentra")</f>
        <v>Cataluña</v>
      </c>
      <c r="M4003" t="s">
        <v>19</v>
      </c>
      <c r="N4003">
        <v>3</v>
      </c>
    </row>
    <row r="4004" spans="1:14" x14ac:dyDescent="0.25">
      <c r="A4004">
        <v>5003</v>
      </c>
      <c r="B4004" s="1">
        <v>45664</v>
      </c>
      <c r="C4004" s="4">
        <f>MONTH(datos_ventas[[#This Row],[Fecha]])</f>
        <v>1</v>
      </c>
      <c r="D4004" s="4">
        <f>WEEKNUM(datos_ventas[[#This Row],[Fecha]],2)</f>
        <v>2</v>
      </c>
      <c r="E4004" t="s">
        <v>29</v>
      </c>
      <c r="F4004" t="s">
        <v>30</v>
      </c>
      <c r="G4004">
        <v>3</v>
      </c>
      <c r="H4004">
        <v>116285</v>
      </c>
      <c r="I4004">
        <v>1472</v>
      </c>
      <c r="J4004" t="s">
        <v>12</v>
      </c>
      <c r="K4004" t="str">
        <f>_xlfn.XLOOKUP(datos_ventas[[#This Row],[Ciudad]],Tabla2[Ciudades],Tabla2[Provincias],"no se encuentra")</f>
        <v>Málaga</v>
      </c>
      <c r="L4004" t="str">
        <f>_xlfn.XLOOKUP(datos_ventas[[#This Row],[Provincia]],Tabla2[Provincias],Tabla2[Comunidades],"no se encuentra")</f>
        <v>Andalucía</v>
      </c>
      <c r="M4004" t="s">
        <v>13</v>
      </c>
      <c r="N4004">
        <v>2</v>
      </c>
    </row>
    <row r="4005" spans="1:14" x14ac:dyDescent="0.25">
      <c r="A4005">
        <v>5004</v>
      </c>
      <c r="B4005" s="1">
        <v>46005</v>
      </c>
      <c r="C4005" s="4">
        <f>MONTH(datos_ventas[[#This Row],[Fecha]])</f>
        <v>12</v>
      </c>
      <c r="D4005" s="4">
        <f>WEEKNUM(datos_ventas[[#This Row],[Fecha]],2)</f>
        <v>50</v>
      </c>
      <c r="E4005" t="s">
        <v>23</v>
      </c>
      <c r="F4005" t="s">
        <v>18</v>
      </c>
      <c r="G4005">
        <v>4</v>
      </c>
      <c r="H4005">
        <v>4058</v>
      </c>
      <c r="I4005">
        <v>3238</v>
      </c>
      <c r="J4005" t="s">
        <v>32</v>
      </c>
      <c r="K4005" t="str">
        <f>_xlfn.XLOOKUP(datos_ventas[[#This Row],[Ciudad]],Tabla2[Ciudades],Tabla2[Provincias],"no se encuentra")</f>
        <v>Barcelona</v>
      </c>
      <c r="L4005" t="str">
        <f>_xlfn.XLOOKUP(datos_ventas[[#This Row],[Provincia]],Tabla2[Provincias],Tabla2[Comunidades],"no se encuentra")</f>
        <v>Cataluña</v>
      </c>
      <c r="M4005" t="s">
        <v>15</v>
      </c>
      <c r="N4005">
        <v>3</v>
      </c>
    </row>
    <row r="4006" spans="1:14" x14ac:dyDescent="0.25">
      <c r="A4006">
        <v>5005</v>
      </c>
      <c r="B4006" s="1">
        <v>45727</v>
      </c>
      <c r="C4006" s="4">
        <f>MONTH(datos_ventas[[#This Row],[Fecha]])</f>
        <v>3</v>
      </c>
      <c r="D4006" s="4">
        <f>WEEKNUM(datos_ventas[[#This Row],[Fecha]],2)</f>
        <v>11</v>
      </c>
      <c r="E4006" t="s">
        <v>26</v>
      </c>
      <c r="F4006" t="s">
        <v>18</v>
      </c>
      <c r="G4006">
        <v>2</v>
      </c>
      <c r="H4006">
        <v>62573</v>
      </c>
      <c r="I4006">
        <v>3323</v>
      </c>
      <c r="J4006" t="s">
        <v>12</v>
      </c>
      <c r="K4006" t="str">
        <f>_xlfn.XLOOKUP(datos_ventas[[#This Row],[Ciudad]],Tabla2[Ciudades],Tabla2[Provincias],"no se encuentra")</f>
        <v>Málaga</v>
      </c>
      <c r="L4006" t="str">
        <f>_xlfn.XLOOKUP(datos_ventas[[#This Row],[Provincia]],Tabla2[Provincias],Tabla2[Comunidades],"no se encuentra")</f>
        <v>Andalucía</v>
      </c>
      <c r="M4006" t="s">
        <v>19</v>
      </c>
      <c r="N4006">
        <v>2</v>
      </c>
    </row>
    <row r="4007" spans="1:14" x14ac:dyDescent="0.25">
      <c r="A4007">
        <v>5006</v>
      </c>
      <c r="B4007" s="1">
        <v>45737</v>
      </c>
      <c r="C4007" s="4">
        <f>MONTH(datos_ventas[[#This Row],[Fecha]])</f>
        <v>3</v>
      </c>
      <c r="D4007" s="4">
        <f>WEEKNUM(datos_ventas[[#This Row],[Fecha]],2)</f>
        <v>12</v>
      </c>
      <c r="E4007" t="s">
        <v>26</v>
      </c>
      <c r="F4007" t="s">
        <v>18</v>
      </c>
      <c r="G4007">
        <v>3</v>
      </c>
      <c r="H4007">
        <v>19435</v>
      </c>
      <c r="I4007">
        <v>2193</v>
      </c>
      <c r="J4007" t="s">
        <v>27</v>
      </c>
      <c r="K4007" t="str">
        <f>_xlfn.XLOOKUP(datos_ventas[[#This Row],[Ciudad]],Tabla2[Ciudades],Tabla2[Provincias],"no se encuentra")</f>
        <v>Sevilla</v>
      </c>
      <c r="L4007" t="str">
        <f>_xlfn.XLOOKUP(datos_ventas[[#This Row],[Provincia]],Tabla2[Provincias],Tabla2[Comunidades],"no se encuentra")</f>
        <v>Andalucía</v>
      </c>
      <c r="M4007" t="s">
        <v>15</v>
      </c>
      <c r="N4007">
        <v>1</v>
      </c>
    </row>
    <row r="4008" spans="1:14" x14ac:dyDescent="0.25">
      <c r="A4008">
        <v>5007</v>
      </c>
      <c r="B4008" s="1">
        <v>45786</v>
      </c>
      <c r="C4008" s="4">
        <f>MONTH(datos_ventas[[#This Row],[Fecha]])</f>
        <v>5</v>
      </c>
      <c r="D4008" s="4">
        <f>WEEKNUM(datos_ventas[[#This Row],[Fecha]],2)</f>
        <v>19</v>
      </c>
      <c r="E4008" t="s">
        <v>23</v>
      </c>
      <c r="F4008" t="s">
        <v>18</v>
      </c>
      <c r="G4008">
        <v>1</v>
      </c>
      <c r="H4008">
        <v>54789</v>
      </c>
      <c r="I4008">
        <v>2124</v>
      </c>
      <c r="J4008" t="s">
        <v>12</v>
      </c>
      <c r="K4008" t="str">
        <f>_xlfn.XLOOKUP(datos_ventas[[#This Row],[Ciudad]],Tabla2[Ciudades],Tabla2[Provincias],"no se encuentra")</f>
        <v>Málaga</v>
      </c>
      <c r="L4008" t="str">
        <f>_xlfn.XLOOKUP(datos_ventas[[#This Row],[Provincia]],Tabla2[Provincias],Tabla2[Comunidades],"no se encuentra")</f>
        <v>Andalucía</v>
      </c>
      <c r="M4008" t="s">
        <v>19</v>
      </c>
      <c r="N4008">
        <v>2</v>
      </c>
    </row>
    <row r="4009" spans="1:14" x14ac:dyDescent="0.25">
      <c r="A4009">
        <v>5008</v>
      </c>
      <c r="B4009" s="1">
        <v>45756</v>
      </c>
      <c r="C4009" s="4">
        <f>MONTH(datos_ventas[[#This Row],[Fecha]])</f>
        <v>4</v>
      </c>
      <c r="D4009" s="4">
        <f>WEEKNUM(datos_ventas[[#This Row],[Fecha]],2)</f>
        <v>15</v>
      </c>
      <c r="E4009" t="s">
        <v>16</v>
      </c>
      <c r="F4009" t="s">
        <v>11</v>
      </c>
      <c r="G4009">
        <v>4</v>
      </c>
      <c r="H4009">
        <v>5537</v>
      </c>
      <c r="I4009">
        <v>2502</v>
      </c>
      <c r="J4009" t="s">
        <v>12</v>
      </c>
      <c r="K4009" t="str">
        <f>_xlfn.XLOOKUP(datos_ventas[[#This Row],[Ciudad]],Tabla2[Ciudades],Tabla2[Provincias],"no se encuentra")</f>
        <v>Málaga</v>
      </c>
      <c r="L4009" t="str">
        <f>_xlfn.XLOOKUP(datos_ventas[[#This Row],[Provincia]],Tabla2[Provincias],Tabla2[Comunidades],"no se encuentra")</f>
        <v>Andalucía</v>
      </c>
      <c r="M4009" t="s">
        <v>15</v>
      </c>
      <c r="N4009">
        <v>1</v>
      </c>
    </row>
    <row r="4010" spans="1:14" x14ac:dyDescent="0.25">
      <c r="A4010">
        <v>5009</v>
      </c>
      <c r="B4010" s="1">
        <v>45710</v>
      </c>
      <c r="C4010" s="4">
        <f>MONTH(datos_ventas[[#This Row],[Fecha]])</f>
        <v>2</v>
      </c>
      <c r="D4010" s="4">
        <f>WEEKNUM(datos_ventas[[#This Row],[Fecha]],2)</f>
        <v>8</v>
      </c>
      <c r="E4010" t="s">
        <v>26</v>
      </c>
      <c r="F4010" t="s">
        <v>18</v>
      </c>
      <c r="G4010">
        <v>4</v>
      </c>
      <c r="H4010">
        <v>6152</v>
      </c>
      <c r="I4010">
        <v>4424</v>
      </c>
      <c r="J4010" t="s">
        <v>14</v>
      </c>
      <c r="K4010" t="str">
        <f>_xlfn.XLOOKUP(datos_ventas[[#This Row],[Ciudad]],Tabla2[Ciudades],Tabla2[Provincias],"no se encuentra")</f>
        <v>Madrid</v>
      </c>
      <c r="L4010" t="str">
        <f>_xlfn.XLOOKUP(datos_ventas[[#This Row],[Provincia]],Tabla2[Provincias],Tabla2[Comunidades],"no se encuentra")</f>
        <v>Comunidad de Madrid</v>
      </c>
      <c r="M4010" t="s">
        <v>28</v>
      </c>
      <c r="N4010">
        <v>3</v>
      </c>
    </row>
    <row r="4011" spans="1:14" x14ac:dyDescent="0.25">
      <c r="A4011">
        <v>5010</v>
      </c>
      <c r="B4011" s="1">
        <v>45807</v>
      </c>
      <c r="C4011" s="4">
        <f>MONTH(datos_ventas[[#This Row],[Fecha]])</f>
        <v>5</v>
      </c>
      <c r="D4011" s="4">
        <f>WEEKNUM(datos_ventas[[#This Row],[Fecha]],2)</f>
        <v>22</v>
      </c>
      <c r="E4011" t="s">
        <v>26</v>
      </c>
      <c r="F4011" t="s">
        <v>18</v>
      </c>
      <c r="G4011">
        <v>2</v>
      </c>
      <c r="H4011">
        <v>27227</v>
      </c>
      <c r="I4011">
        <v>4121</v>
      </c>
      <c r="J4011" t="s">
        <v>14</v>
      </c>
      <c r="K4011" t="str">
        <f>_xlfn.XLOOKUP(datos_ventas[[#This Row],[Ciudad]],Tabla2[Ciudades],Tabla2[Provincias],"no se encuentra")</f>
        <v>Madrid</v>
      </c>
      <c r="L4011" t="str">
        <f>_xlfn.XLOOKUP(datos_ventas[[#This Row],[Provincia]],Tabla2[Provincias],Tabla2[Comunidades],"no se encuentra")</f>
        <v>Comunidad de Madrid</v>
      </c>
      <c r="M4011" t="s">
        <v>19</v>
      </c>
      <c r="N4011">
        <v>2</v>
      </c>
    </row>
    <row r="4012" spans="1:14" x14ac:dyDescent="0.25">
      <c r="A4012">
        <v>5011</v>
      </c>
      <c r="B4012" s="1">
        <v>45761</v>
      </c>
      <c r="C4012" s="4">
        <f>MONTH(datos_ventas[[#This Row],[Fecha]])</f>
        <v>4</v>
      </c>
      <c r="D4012" s="4">
        <f>WEEKNUM(datos_ventas[[#This Row],[Fecha]],2)</f>
        <v>16</v>
      </c>
      <c r="E4012" t="s">
        <v>17</v>
      </c>
      <c r="F4012" t="s">
        <v>18</v>
      </c>
      <c r="G4012">
        <v>3</v>
      </c>
      <c r="H4012">
        <v>104795</v>
      </c>
      <c r="I4012">
        <v>3743</v>
      </c>
      <c r="J4012" t="s">
        <v>32</v>
      </c>
      <c r="K4012" t="str">
        <f>_xlfn.XLOOKUP(datos_ventas[[#This Row],[Ciudad]],Tabla2[Ciudades],Tabla2[Provincias],"no se encuentra")</f>
        <v>Barcelona</v>
      </c>
      <c r="L4012" t="str">
        <f>_xlfn.XLOOKUP(datos_ventas[[#This Row],[Provincia]],Tabla2[Provincias],Tabla2[Comunidades],"no se encuentra")</f>
        <v>Cataluña</v>
      </c>
      <c r="M4012" t="s">
        <v>13</v>
      </c>
      <c r="N4012">
        <v>3</v>
      </c>
    </row>
    <row r="4013" spans="1:14" x14ac:dyDescent="0.25">
      <c r="A4013">
        <v>5012</v>
      </c>
      <c r="B4013" s="1">
        <v>45877</v>
      </c>
      <c r="C4013" s="4">
        <f>MONTH(datos_ventas[[#This Row],[Fecha]])</f>
        <v>8</v>
      </c>
      <c r="D4013" s="4">
        <f>WEEKNUM(datos_ventas[[#This Row],[Fecha]],2)</f>
        <v>32</v>
      </c>
      <c r="E4013" t="s">
        <v>26</v>
      </c>
      <c r="F4013" t="s">
        <v>18</v>
      </c>
      <c r="G4013">
        <v>2</v>
      </c>
      <c r="H4013">
        <v>5333</v>
      </c>
      <c r="I4013">
        <v>4131</v>
      </c>
      <c r="J4013" t="s">
        <v>32</v>
      </c>
      <c r="K4013" t="str">
        <f>_xlfn.XLOOKUP(datos_ventas[[#This Row],[Ciudad]],Tabla2[Ciudades],Tabla2[Provincias],"no se encuentra")</f>
        <v>Barcelona</v>
      </c>
      <c r="L4013" t="str">
        <f>_xlfn.XLOOKUP(datos_ventas[[#This Row],[Provincia]],Tabla2[Provincias],Tabla2[Comunidades],"no se encuentra")</f>
        <v>Cataluña</v>
      </c>
      <c r="M4013" t="s">
        <v>19</v>
      </c>
      <c r="N4013">
        <v>1</v>
      </c>
    </row>
    <row r="4014" spans="1:14" x14ac:dyDescent="0.25">
      <c r="A4014">
        <v>5013</v>
      </c>
      <c r="B4014" s="1">
        <v>45960</v>
      </c>
      <c r="C4014" s="4">
        <f>MONTH(datos_ventas[[#This Row],[Fecha]])</f>
        <v>10</v>
      </c>
      <c r="D4014" s="4">
        <f>WEEKNUM(datos_ventas[[#This Row],[Fecha]],2)</f>
        <v>44</v>
      </c>
      <c r="E4014" t="s">
        <v>16</v>
      </c>
      <c r="F4014" t="s">
        <v>11</v>
      </c>
      <c r="G4014">
        <v>1</v>
      </c>
      <c r="H4014">
        <v>100305</v>
      </c>
      <c r="I4014">
        <v>2771</v>
      </c>
      <c r="J4014" t="s">
        <v>22</v>
      </c>
      <c r="K4014" t="str">
        <f>_xlfn.XLOOKUP(datos_ventas[[#This Row],[Ciudad]],Tabla2[Ciudades],Tabla2[Provincias],"no se encuentra")</f>
        <v>Valencia</v>
      </c>
      <c r="L4014" t="str">
        <f>_xlfn.XLOOKUP(datos_ventas[[#This Row],[Provincia]],Tabla2[Provincias],Tabla2[Comunidades],"no se encuentra")</f>
        <v>Comunidad Valenciana</v>
      </c>
      <c r="M4014" t="s">
        <v>13</v>
      </c>
      <c r="N4014">
        <v>2</v>
      </c>
    </row>
    <row r="4015" spans="1:14" x14ac:dyDescent="0.25">
      <c r="A4015">
        <v>5014</v>
      </c>
      <c r="B4015" s="1">
        <v>45809</v>
      </c>
      <c r="C4015" s="4">
        <f>MONTH(datos_ventas[[#This Row],[Fecha]])</f>
        <v>6</v>
      </c>
      <c r="D4015" s="4">
        <f>WEEKNUM(datos_ventas[[#This Row],[Fecha]],2)</f>
        <v>22</v>
      </c>
      <c r="E4015" t="s">
        <v>16</v>
      </c>
      <c r="F4015" t="s">
        <v>11</v>
      </c>
      <c r="G4015">
        <v>3</v>
      </c>
      <c r="H4015">
        <v>51145</v>
      </c>
      <c r="I4015">
        <v>1152</v>
      </c>
      <c r="J4015" t="s">
        <v>32</v>
      </c>
      <c r="K4015" t="str">
        <f>_xlfn.XLOOKUP(datos_ventas[[#This Row],[Ciudad]],Tabla2[Ciudades],Tabla2[Provincias],"no se encuentra")</f>
        <v>Barcelona</v>
      </c>
      <c r="L4015" t="str">
        <f>_xlfn.XLOOKUP(datos_ventas[[#This Row],[Provincia]],Tabla2[Provincias],Tabla2[Comunidades],"no se encuentra")</f>
        <v>Cataluña</v>
      </c>
      <c r="M4015" t="s">
        <v>19</v>
      </c>
      <c r="N4015">
        <v>2</v>
      </c>
    </row>
    <row r="4016" spans="1:14" x14ac:dyDescent="0.25">
      <c r="A4016">
        <v>5015</v>
      </c>
      <c r="B4016" s="1">
        <v>45789</v>
      </c>
      <c r="C4016" s="4">
        <f>MONTH(datos_ventas[[#This Row],[Fecha]])</f>
        <v>5</v>
      </c>
      <c r="D4016" s="4">
        <f>WEEKNUM(datos_ventas[[#This Row],[Fecha]],2)</f>
        <v>20</v>
      </c>
      <c r="E4016" t="s">
        <v>23</v>
      </c>
      <c r="F4016" t="s">
        <v>18</v>
      </c>
      <c r="G4016">
        <v>3</v>
      </c>
      <c r="H4016">
        <v>86234</v>
      </c>
      <c r="I4016">
        <v>93</v>
      </c>
      <c r="J4016" t="s">
        <v>12</v>
      </c>
      <c r="K4016" t="str">
        <f>_xlfn.XLOOKUP(datos_ventas[[#This Row],[Ciudad]],Tabla2[Ciudades],Tabla2[Provincias],"no se encuentra")</f>
        <v>Málaga</v>
      </c>
      <c r="L4016" t="str">
        <f>_xlfn.XLOOKUP(datos_ventas[[#This Row],[Provincia]],Tabla2[Provincias],Tabla2[Comunidades],"no se encuentra")</f>
        <v>Andalucía</v>
      </c>
      <c r="M4016" t="s">
        <v>19</v>
      </c>
      <c r="N4016">
        <v>1</v>
      </c>
    </row>
    <row r="4017" spans="1:14" x14ac:dyDescent="0.25">
      <c r="A4017">
        <v>5016</v>
      </c>
      <c r="B4017" s="1">
        <v>45803</v>
      </c>
      <c r="C4017" s="4">
        <f>MONTH(datos_ventas[[#This Row],[Fecha]])</f>
        <v>5</v>
      </c>
      <c r="D4017" s="4">
        <f>WEEKNUM(datos_ventas[[#This Row],[Fecha]],2)</f>
        <v>22</v>
      </c>
      <c r="E4017" t="s">
        <v>16</v>
      </c>
      <c r="F4017" t="s">
        <v>11</v>
      </c>
      <c r="G4017">
        <v>5</v>
      </c>
      <c r="H4017">
        <v>6784</v>
      </c>
      <c r="I4017">
        <v>395</v>
      </c>
      <c r="J4017" t="s">
        <v>14</v>
      </c>
      <c r="K4017" t="str">
        <f>_xlfn.XLOOKUP(datos_ventas[[#This Row],[Ciudad]],Tabla2[Ciudades],Tabla2[Provincias],"no se encuentra")</f>
        <v>Madrid</v>
      </c>
      <c r="L4017" t="str">
        <f>_xlfn.XLOOKUP(datos_ventas[[#This Row],[Provincia]],Tabla2[Provincias],Tabla2[Comunidades],"no se encuentra")</f>
        <v>Comunidad de Madrid</v>
      </c>
      <c r="M4017" t="s">
        <v>19</v>
      </c>
      <c r="N4017">
        <v>1</v>
      </c>
    </row>
    <row r="4018" spans="1:14" x14ac:dyDescent="0.25">
      <c r="A4018">
        <v>5017</v>
      </c>
      <c r="B4018" s="1">
        <v>45968</v>
      </c>
      <c r="C4018" s="4">
        <f>MONTH(datos_ventas[[#This Row],[Fecha]])</f>
        <v>11</v>
      </c>
      <c r="D4018" s="4">
        <f>WEEKNUM(datos_ventas[[#This Row],[Fecha]],2)</f>
        <v>45</v>
      </c>
      <c r="E4018" t="s">
        <v>29</v>
      </c>
      <c r="F4018" t="s">
        <v>30</v>
      </c>
      <c r="G4018">
        <v>3</v>
      </c>
      <c r="H4018">
        <v>41748</v>
      </c>
      <c r="I4018">
        <v>3667</v>
      </c>
      <c r="J4018" t="s">
        <v>27</v>
      </c>
      <c r="K4018" t="str">
        <f>_xlfn.XLOOKUP(datos_ventas[[#This Row],[Ciudad]],Tabla2[Ciudades],Tabla2[Provincias],"no se encuentra")</f>
        <v>Sevilla</v>
      </c>
      <c r="L4018" t="str">
        <f>_xlfn.XLOOKUP(datos_ventas[[#This Row],[Provincia]],Tabla2[Provincias],Tabla2[Comunidades],"no se encuentra")</f>
        <v>Andalucía</v>
      </c>
      <c r="M4018" t="s">
        <v>19</v>
      </c>
      <c r="N4018">
        <v>1</v>
      </c>
    </row>
    <row r="4019" spans="1:14" x14ac:dyDescent="0.25">
      <c r="A4019">
        <v>5018</v>
      </c>
      <c r="B4019" s="1">
        <v>45954</v>
      </c>
      <c r="C4019" s="4">
        <f>MONTH(datos_ventas[[#This Row],[Fecha]])</f>
        <v>10</v>
      </c>
      <c r="D4019" s="4">
        <f>WEEKNUM(datos_ventas[[#This Row],[Fecha]],2)</f>
        <v>43</v>
      </c>
      <c r="E4019" t="s">
        <v>24</v>
      </c>
      <c r="F4019" t="s">
        <v>25</v>
      </c>
      <c r="G4019">
        <v>4</v>
      </c>
      <c r="H4019">
        <v>5565</v>
      </c>
      <c r="I4019">
        <v>2604</v>
      </c>
      <c r="J4019" t="s">
        <v>32</v>
      </c>
      <c r="K4019" t="str">
        <f>_xlfn.XLOOKUP(datos_ventas[[#This Row],[Ciudad]],Tabla2[Ciudades],Tabla2[Provincias],"no se encuentra")</f>
        <v>Barcelona</v>
      </c>
      <c r="L4019" t="str">
        <f>_xlfn.XLOOKUP(datos_ventas[[#This Row],[Provincia]],Tabla2[Provincias],Tabla2[Comunidades],"no se encuentra")</f>
        <v>Cataluña</v>
      </c>
      <c r="M4019" t="s">
        <v>19</v>
      </c>
      <c r="N4019">
        <v>2</v>
      </c>
    </row>
    <row r="4020" spans="1:14" x14ac:dyDescent="0.25">
      <c r="A4020">
        <v>5019</v>
      </c>
      <c r="B4020" s="1">
        <v>45822</v>
      </c>
      <c r="C4020" s="4">
        <f>MONTH(datos_ventas[[#This Row],[Fecha]])</f>
        <v>6</v>
      </c>
      <c r="D4020" s="4">
        <f>WEEKNUM(datos_ventas[[#This Row],[Fecha]],2)</f>
        <v>24</v>
      </c>
      <c r="E4020" t="s">
        <v>26</v>
      </c>
      <c r="F4020" t="s">
        <v>18</v>
      </c>
      <c r="G4020">
        <v>4</v>
      </c>
      <c r="H4020">
        <v>75485</v>
      </c>
      <c r="I4020">
        <v>308</v>
      </c>
      <c r="J4020" t="s">
        <v>22</v>
      </c>
      <c r="K4020" t="str">
        <f>_xlfn.XLOOKUP(datos_ventas[[#This Row],[Ciudad]],Tabla2[Ciudades],Tabla2[Provincias],"no se encuentra")</f>
        <v>Valencia</v>
      </c>
      <c r="L4020" t="str">
        <f>_xlfn.XLOOKUP(datos_ventas[[#This Row],[Provincia]],Tabla2[Provincias],Tabla2[Comunidades],"no se encuentra")</f>
        <v>Comunidad Valenciana</v>
      </c>
      <c r="M4020" t="s">
        <v>13</v>
      </c>
      <c r="N4020">
        <v>3</v>
      </c>
    </row>
    <row r="4021" spans="1:14" x14ac:dyDescent="0.25">
      <c r="A4021">
        <v>5020</v>
      </c>
      <c r="B4021" s="1">
        <v>45841</v>
      </c>
      <c r="C4021" s="4">
        <f>MONTH(datos_ventas[[#This Row],[Fecha]])</f>
        <v>7</v>
      </c>
      <c r="D4021" s="4">
        <f>WEEKNUM(datos_ventas[[#This Row],[Fecha]],2)</f>
        <v>27</v>
      </c>
      <c r="E4021" t="s">
        <v>26</v>
      </c>
      <c r="F4021" t="s">
        <v>18</v>
      </c>
      <c r="G4021">
        <v>5</v>
      </c>
      <c r="H4021">
        <v>52958</v>
      </c>
      <c r="I4021">
        <v>2608</v>
      </c>
      <c r="J4021" t="s">
        <v>12</v>
      </c>
      <c r="K4021" t="str">
        <f>_xlfn.XLOOKUP(datos_ventas[[#This Row],[Ciudad]],Tabla2[Ciudades],Tabla2[Provincias],"no se encuentra")</f>
        <v>Málaga</v>
      </c>
      <c r="L4021" t="str">
        <f>_xlfn.XLOOKUP(datos_ventas[[#This Row],[Provincia]],Tabla2[Provincias],Tabla2[Comunidades],"no se encuentra")</f>
        <v>Andalucía</v>
      </c>
      <c r="M4021" t="s">
        <v>15</v>
      </c>
      <c r="N4021">
        <v>5</v>
      </c>
    </row>
    <row r="4022" spans="1:14" x14ac:dyDescent="0.25">
      <c r="A4022">
        <v>5021</v>
      </c>
      <c r="B4022" s="1">
        <v>45872</v>
      </c>
      <c r="C4022" s="4">
        <f>MONTH(datos_ventas[[#This Row],[Fecha]])</f>
        <v>8</v>
      </c>
      <c r="D4022" s="4">
        <f>WEEKNUM(datos_ventas[[#This Row],[Fecha]],2)</f>
        <v>31</v>
      </c>
      <c r="E4022" t="s">
        <v>17</v>
      </c>
      <c r="F4022" t="s">
        <v>18</v>
      </c>
      <c r="G4022">
        <v>1</v>
      </c>
      <c r="H4022">
        <v>20574</v>
      </c>
      <c r="I4022">
        <v>4861</v>
      </c>
      <c r="J4022" t="s">
        <v>14</v>
      </c>
      <c r="K4022" t="str">
        <f>_xlfn.XLOOKUP(datos_ventas[[#This Row],[Ciudad]],Tabla2[Ciudades],Tabla2[Provincias],"no se encuentra")</f>
        <v>Madrid</v>
      </c>
      <c r="L4022" t="str">
        <f>_xlfn.XLOOKUP(datos_ventas[[#This Row],[Provincia]],Tabla2[Provincias],Tabla2[Comunidades],"no se encuentra")</f>
        <v>Comunidad de Madrid</v>
      </c>
      <c r="M4022" t="s">
        <v>19</v>
      </c>
      <c r="N4022">
        <v>1</v>
      </c>
    </row>
    <row r="4023" spans="1:14" x14ac:dyDescent="0.25">
      <c r="A4023">
        <v>5022</v>
      </c>
      <c r="B4023" s="1">
        <v>45941</v>
      </c>
      <c r="C4023" s="4">
        <f>MONTH(datos_ventas[[#This Row],[Fecha]])</f>
        <v>10</v>
      </c>
      <c r="D4023" s="4">
        <f>WEEKNUM(datos_ventas[[#This Row],[Fecha]],2)</f>
        <v>41</v>
      </c>
      <c r="E4023" t="s">
        <v>24</v>
      </c>
      <c r="F4023" t="s">
        <v>25</v>
      </c>
      <c r="G4023">
        <v>4</v>
      </c>
      <c r="H4023">
        <v>69447</v>
      </c>
      <c r="I4023">
        <v>4737</v>
      </c>
      <c r="J4023" t="s">
        <v>22</v>
      </c>
      <c r="K4023" t="str">
        <f>_xlfn.XLOOKUP(datos_ventas[[#This Row],[Ciudad]],Tabla2[Ciudades],Tabla2[Provincias],"no se encuentra")</f>
        <v>Valencia</v>
      </c>
      <c r="L4023" t="str">
        <f>_xlfn.XLOOKUP(datos_ventas[[#This Row],[Provincia]],Tabla2[Provincias],Tabla2[Comunidades],"no se encuentra")</f>
        <v>Comunidad Valenciana</v>
      </c>
      <c r="M4023" t="s">
        <v>15</v>
      </c>
      <c r="N4023">
        <v>1</v>
      </c>
    </row>
    <row r="4024" spans="1:14" x14ac:dyDescent="0.25">
      <c r="A4024">
        <v>5023</v>
      </c>
      <c r="B4024" s="1">
        <v>45689</v>
      </c>
      <c r="C4024" s="4">
        <f>MONTH(datos_ventas[[#This Row],[Fecha]])</f>
        <v>2</v>
      </c>
      <c r="D4024" s="4">
        <f>WEEKNUM(datos_ventas[[#This Row],[Fecha]],2)</f>
        <v>5</v>
      </c>
      <c r="E4024" t="s">
        <v>10</v>
      </c>
      <c r="F4024" t="s">
        <v>11</v>
      </c>
      <c r="G4024">
        <v>5</v>
      </c>
      <c r="H4024">
        <v>85681</v>
      </c>
      <c r="I4024">
        <v>3072</v>
      </c>
      <c r="J4024" t="s">
        <v>27</v>
      </c>
      <c r="K4024" t="str">
        <f>_xlfn.XLOOKUP(datos_ventas[[#This Row],[Ciudad]],Tabla2[Ciudades],Tabla2[Provincias],"no se encuentra")</f>
        <v>Sevilla</v>
      </c>
      <c r="L4024" t="str">
        <f>_xlfn.XLOOKUP(datos_ventas[[#This Row],[Provincia]],Tabla2[Provincias],Tabla2[Comunidades],"no se encuentra")</f>
        <v>Andalucía</v>
      </c>
      <c r="M4024" t="s">
        <v>13</v>
      </c>
      <c r="N4024">
        <v>5</v>
      </c>
    </row>
    <row r="4025" spans="1:14" x14ac:dyDescent="0.25">
      <c r="A4025">
        <v>5024</v>
      </c>
      <c r="B4025" s="1">
        <v>45853</v>
      </c>
      <c r="C4025" s="4">
        <f>MONTH(datos_ventas[[#This Row],[Fecha]])</f>
        <v>7</v>
      </c>
      <c r="D4025" s="4">
        <f>WEEKNUM(datos_ventas[[#This Row],[Fecha]],2)</f>
        <v>29</v>
      </c>
      <c r="E4025" t="s">
        <v>29</v>
      </c>
      <c r="F4025" t="s">
        <v>30</v>
      </c>
      <c r="G4025">
        <v>5</v>
      </c>
      <c r="H4025">
        <v>20337</v>
      </c>
      <c r="I4025">
        <v>300</v>
      </c>
      <c r="J4025" t="s">
        <v>27</v>
      </c>
      <c r="K4025" t="str">
        <f>_xlfn.XLOOKUP(datos_ventas[[#This Row],[Ciudad]],Tabla2[Ciudades],Tabla2[Provincias],"no se encuentra")</f>
        <v>Sevilla</v>
      </c>
      <c r="L4025" t="str">
        <f>_xlfn.XLOOKUP(datos_ventas[[#This Row],[Provincia]],Tabla2[Provincias],Tabla2[Comunidades],"no se encuentra")</f>
        <v>Andalucía</v>
      </c>
      <c r="M4025" t="s">
        <v>13</v>
      </c>
      <c r="N4025">
        <v>5</v>
      </c>
    </row>
    <row r="4026" spans="1:14" x14ac:dyDescent="0.25">
      <c r="A4026">
        <v>5025</v>
      </c>
      <c r="B4026" s="1">
        <v>45807</v>
      </c>
      <c r="C4026" s="4">
        <f>MONTH(datos_ventas[[#This Row],[Fecha]])</f>
        <v>5</v>
      </c>
      <c r="D4026" s="4">
        <f>WEEKNUM(datos_ventas[[#This Row],[Fecha]],2)</f>
        <v>22</v>
      </c>
      <c r="E4026" t="s">
        <v>29</v>
      </c>
      <c r="F4026" t="s">
        <v>30</v>
      </c>
      <c r="G4026">
        <v>1</v>
      </c>
      <c r="H4026">
        <v>11259</v>
      </c>
      <c r="I4026">
        <v>1989</v>
      </c>
      <c r="J4026" t="s">
        <v>14</v>
      </c>
      <c r="K4026" t="str">
        <f>_xlfn.XLOOKUP(datos_ventas[[#This Row],[Ciudad]],Tabla2[Ciudades],Tabla2[Provincias],"no se encuentra")</f>
        <v>Madrid</v>
      </c>
      <c r="L4026" t="str">
        <f>_xlfn.XLOOKUP(datos_ventas[[#This Row],[Provincia]],Tabla2[Provincias],Tabla2[Comunidades],"no se encuentra")</f>
        <v>Comunidad de Madrid</v>
      </c>
      <c r="M4026" t="s">
        <v>28</v>
      </c>
      <c r="N4026">
        <v>5</v>
      </c>
    </row>
    <row r="4027" spans="1:14" x14ac:dyDescent="0.25">
      <c r="A4027">
        <v>5026</v>
      </c>
      <c r="B4027" s="1">
        <v>45746</v>
      </c>
      <c r="C4027" s="4">
        <f>MONTH(datos_ventas[[#This Row],[Fecha]])</f>
        <v>3</v>
      </c>
      <c r="D4027" s="4">
        <f>WEEKNUM(datos_ventas[[#This Row],[Fecha]],2)</f>
        <v>13</v>
      </c>
      <c r="E4027" t="s">
        <v>29</v>
      </c>
      <c r="F4027" t="s">
        <v>30</v>
      </c>
      <c r="G4027">
        <v>1</v>
      </c>
      <c r="H4027">
        <v>73929</v>
      </c>
      <c r="I4027">
        <v>189</v>
      </c>
      <c r="J4027" t="s">
        <v>14</v>
      </c>
      <c r="K4027" t="str">
        <f>_xlfn.XLOOKUP(datos_ventas[[#This Row],[Ciudad]],Tabla2[Ciudades],Tabla2[Provincias],"no se encuentra")</f>
        <v>Madrid</v>
      </c>
      <c r="L4027" t="str">
        <f>_xlfn.XLOOKUP(datos_ventas[[#This Row],[Provincia]],Tabla2[Provincias],Tabla2[Comunidades],"no se encuentra")</f>
        <v>Comunidad de Madrid</v>
      </c>
      <c r="M4027" t="s">
        <v>19</v>
      </c>
      <c r="N4027">
        <v>4</v>
      </c>
    </row>
    <row r="4028" spans="1:14" x14ac:dyDescent="0.25">
      <c r="A4028">
        <v>5027</v>
      </c>
      <c r="B4028" s="1">
        <v>45920</v>
      </c>
      <c r="C4028" s="4">
        <f>MONTH(datos_ventas[[#This Row],[Fecha]])</f>
        <v>9</v>
      </c>
      <c r="D4028" s="4">
        <f>WEEKNUM(datos_ventas[[#This Row],[Fecha]],2)</f>
        <v>38</v>
      </c>
      <c r="E4028" t="s">
        <v>29</v>
      </c>
      <c r="F4028" t="s">
        <v>30</v>
      </c>
      <c r="G4028">
        <v>5</v>
      </c>
      <c r="H4028">
        <v>74348</v>
      </c>
      <c r="I4028">
        <v>2776</v>
      </c>
      <c r="J4028" t="s">
        <v>14</v>
      </c>
      <c r="K4028" t="str">
        <f>_xlfn.XLOOKUP(datos_ventas[[#This Row],[Ciudad]],Tabla2[Ciudades],Tabla2[Provincias],"no se encuentra")</f>
        <v>Madrid</v>
      </c>
      <c r="L4028" t="str">
        <f>_xlfn.XLOOKUP(datos_ventas[[#This Row],[Provincia]],Tabla2[Provincias],Tabla2[Comunidades],"no se encuentra")</f>
        <v>Comunidad de Madrid</v>
      </c>
      <c r="M4028" t="s">
        <v>13</v>
      </c>
      <c r="N4028">
        <v>3</v>
      </c>
    </row>
    <row r="4029" spans="1:14" x14ac:dyDescent="0.25">
      <c r="A4029">
        <v>5028</v>
      </c>
      <c r="B4029" s="1">
        <v>45782</v>
      </c>
      <c r="C4029" s="4">
        <f>MONTH(datos_ventas[[#This Row],[Fecha]])</f>
        <v>5</v>
      </c>
      <c r="D4029" s="4">
        <f>WEEKNUM(datos_ventas[[#This Row],[Fecha]],2)</f>
        <v>19</v>
      </c>
      <c r="E4029" t="s">
        <v>16</v>
      </c>
      <c r="F4029" t="s">
        <v>11</v>
      </c>
      <c r="G4029">
        <v>5</v>
      </c>
      <c r="H4029">
        <v>3343</v>
      </c>
      <c r="I4029">
        <v>4329</v>
      </c>
      <c r="J4029" t="s">
        <v>22</v>
      </c>
      <c r="K4029" t="str">
        <f>_xlfn.XLOOKUP(datos_ventas[[#This Row],[Ciudad]],Tabla2[Ciudades],Tabla2[Provincias],"no se encuentra")</f>
        <v>Valencia</v>
      </c>
      <c r="L4029" t="str">
        <f>_xlfn.XLOOKUP(datos_ventas[[#This Row],[Provincia]],Tabla2[Provincias],Tabla2[Comunidades],"no se encuentra")</f>
        <v>Comunidad Valenciana</v>
      </c>
      <c r="M4029" t="s">
        <v>13</v>
      </c>
      <c r="N4029">
        <v>3</v>
      </c>
    </row>
    <row r="4030" spans="1:14" x14ac:dyDescent="0.25">
      <c r="A4030">
        <v>5029</v>
      </c>
      <c r="B4030" s="1">
        <v>45764</v>
      </c>
      <c r="C4030" s="4">
        <f>MONTH(datos_ventas[[#This Row],[Fecha]])</f>
        <v>4</v>
      </c>
      <c r="D4030" s="4">
        <f>WEEKNUM(datos_ventas[[#This Row],[Fecha]],2)</f>
        <v>16</v>
      </c>
      <c r="E4030" t="s">
        <v>17</v>
      </c>
      <c r="F4030" t="s">
        <v>18</v>
      </c>
      <c r="G4030">
        <v>3</v>
      </c>
      <c r="H4030">
        <v>101355</v>
      </c>
      <c r="I4030">
        <v>946</v>
      </c>
      <c r="J4030" t="s">
        <v>31</v>
      </c>
      <c r="K4030" t="str">
        <f>_xlfn.XLOOKUP(datos_ventas[[#This Row],[Ciudad]],Tabla2[Ciudades],Tabla2[Provincias],"no se encuentra")</f>
        <v>Vizcaya</v>
      </c>
      <c r="L4030" t="str">
        <f>_xlfn.XLOOKUP(datos_ventas[[#This Row],[Provincia]],Tabla2[Provincias],Tabla2[Comunidades],"no se encuentra")</f>
        <v>País Vasco</v>
      </c>
      <c r="M4030" t="s">
        <v>13</v>
      </c>
      <c r="N4030">
        <v>5</v>
      </c>
    </row>
    <row r="4031" spans="1:14" x14ac:dyDescent="0.25">
      <c r="A4031">
        <v>5030</v>
      </c>
      <c r="B4031" s="1">
        <v>45737</v>
      </c>
      <c r="C4031" s="4">
        <f>MONTH(datos_ventas[[#This Row],[Fecha]])</f>
        <v>3</v>
      </c>
      <c r="D4031" s="4">
        <f>WEEKNUM(datos_ventas[[#This Row],[Fecha]],2)</f>
        <v>12</v>
      </c>
      <c r="E4031" t="s">
        <v>29</v>
      </c>
      <c r="F4031" t="s">
        <v>30</v>
      </c>
      <c r="G4031">
        <v>1</v>
      </c>
      <c r="H4031">
        <v>58868</v>
      </c>
      <c r="I4031">
        <v>3632</v>
      </c>
      <c r="J4031" t="s">
        <v>14</v>
      </c>
      <c r="K4031" t="str">
        <f>_xlfn.XLOOKUP(datos_ventas[[#This Row],[Ciudad]],Tabla2[Ciudades],Tabla2[Provincias],"no se encuentra")</f>
        <v>Madrid</v>
      </c>
      <c r="L4031" t="str">
        <f>_xlfn.XLOOKUP(datos_ventas[[#This Row],[Provincia]],Tabla2[Provincias],Tabla2[Comunidades],"no se encuentra")</f>
        <v>Comunidad de Madrid</v>
      </c>
      <c r="M4031" t="s">
        <v>19</v>
      </c>
      <c r="N4031">
        <v>4</v>
      </c>
    </row>
    <row r="4032" spans="1:14" x14ac:dyDescent="0.25">
      <c r="A4032">
        <v>5031</v>
      </c>
      <c r="B4032" s="1">
        <v>45951</v>
      </c>
      <c r="C4032" s="4">
        <f>MONTH(datos_ventas[[#This Row],[Fecha]])</f>
        <v>10</v>
      </c>
      <c r="D4032" s="4">
        <f>WEEKNUM(datos_ventas[[#This Row],[Fecha]],2)</f>
        <v>43</v>
      </c>
      <c r="E4032" t="s">
        <v>10</v>
      </c>
      <c r="F4032" t="s">
        <v>11</v>
      </c>
      <c r="G4032">
        <v>1</v>
      </c>
      <c r="H4032">
        <v>26288</v>
      </c>
      <c r="I4032">
        <v>371</v>
      </c>
      <c r="J4032" t="s">
        <v>14</v>
      </c>
      <c r="K4032" t="str">
        <f>_xlfn.XLOOKUP(datos_ventas[[#This Row],[Ciudad]],Tabla2[Ciudades],Tabla2[Provincias],"no se encuentra")</f>
        <v>Madrid</v>
      </c>
      <c r="L4032" t="str">
        <f>_xlfn.XLOOKUP(datos_ventas[[#This Row],[Provincia]],Tabla2[Provincias],Tabla2[Comunidades],"no se encuentra")</f>
        <v>Comunidad de Madrid</v>
      </c>
      <c r="M4032" t="s">
        <v>13</v>
      </c>
      <c r="N4032">
        <v>5</v>
      </c>
    </row>
    <row r="4033" spans="1:14" x14ac:dyDescent="0.25">
      <c r="A4033">
        <v>5032</v>
      </c>
      <c r="B4033" s="1">
        <v>45719</v>
      </c>
      <c r="C4033" s="4">
        <f>MONTH(datos_ventas[[#This Row],[Fecha]])</f>
        <v>3</v>
      </c>
      <c r="D4033" s="4">
        <f>WEEKNUM(datos_ventas[[#This Row],[Fecha]],2)</f>
        <v>10</v>
      </c>
      <c r="E4033" t="s">
        <v>23</v>
      </c>
      <c r="F4033" t="s">
        <v>18</v>
      </c>
      <c r="G4033">
        <v>4</v>
      </c>
      <c r="H4033">
        <v>76665</v>
      </c>
      <c r="I4033">
        <v>4219</v>
      </c>
      <c r="J4033" t="s">
        <v>14</v>
      </c>
      <c r="K4033" t="str">
        <f>_xlfn.XLOOKUP(datos_ventas[[#This Row],[Ciudad]],Tabla2[Ciudades],Tabla2[Provincias],"no se encuentra")</f>
        <v>Madrid</v>
      </c>
      <c r="L4033" t="str">
        <f>_xlfn.XLOOKUP(datos_ventas[[#This Row],[Provincia]],Tabla2[Provincias],Tabla2[Comunidades],"no se encuentra")</f>
        <v>Comunidad de Madrid</v>
      </c>
      <c r="M4033" t="s">
        <v>13</v>
      </c>
      <c r="N4033">
        <v>1</v>
      </c>
    </row>
    <row r="4034" spans="1:14" x14ac:dyDescent="0.25">
      <c r="A4034">
        <v>5033</v>
      </c>
      <c r="B4034" s="1">
        <v>45739</v>
      </c>
      <c r="C4034" s="4">
        <f>MONTH(datos_ventas[[#This Row],[Fecha]])</f>
        <v>3</v>
      </c>
      <c r="D4034" s="4">
        <f>WEEKNUM(datos_ventas[[#This Row],[Fecha]],2)</f>
        <v>12</v>
      </c>
      <c r="E4034" t="s">
        <v>29</v>
      </c>
      <c r="F4034" t="s">
        <v>30</v>
      </c>
      <c r="G4034">
        <v>1</v>
      </c>
      <c r="H4034">
        <v>105643</v>
      </c>
      <c r="I4034">
        <v>2797</v>
      </c>
      <c r="J4034" t="s">
        <v>22</v>
      </c>
      <c r="K4034" t="str">
        <f>_xlfn.XLOOKUP(datos_ventas[[#This Row],[Ciudad]],Tabla2[Ciudades],Tabla2[Provincias],"no se encuentra")</f>
        <v>Valencia</v>
      </c>
      <c r="L4034" t="str">
        <f>_xlfn.XLOOKUP(datos_ventas[[#This Row],[Provincia]],Tabla2[Provincias],Tabla2[Comunidades],"no se encuentra")</f>
        <v>Comunidad Valenciana</v>
      </c>
      <c r="M4034" t="s">
        <v>15</v>
      </c>
      <c r="N4034">
        <v>5</v>
      </c>
    </row>
    <row r="4035" spans="1:14" x14ac:dyDescent="0.25">
      <c r="A4035">
        <v>5034</v>
      </c>
      <c r="B4035" s="1">
        <v>45788</v>
      </c>
      <c r="C4035" s="4">
        <f>MONTH(datos_ventas[[#This Row],[Fecha]])</f>
        <v>5</v>
      </c>
      <c r="D4035" s="4">
        <f>WEEKNUM(datos_ventas[[#This Row],[Fecha]],2)</f>
        <v>19</v>
      </c>
      <c r="E4035" t="s">
        <v>23</v>
      </c>
      <c r="F4035" t="s">
        <v>18</v>
      </c>
      <c r="G4035">
        <v>3</v>
      </c>
      <c r="H4035">
        <v>52487</v>
      </c>
      <c r="I4035">
        <v>2703</v>
      </c>
      <c r="J4035" t="s">
        <v>27</v>
      </c>
      <c r="K4035" t="str">
        <f>_xlfn.XLOOKUP(datos_ventas[[#This Row],[Ciudad]],Tabla2[Ciudades],Tabla2[Provincias],"no se encuentra")</f>
        <v>Sevilla</v>
      </c>
      <c r="L4035" t="str">
        <f>_xlfn.XLOOKUP(datos_ventas[[#This Row],[Provincia]],Tabla2[Provincias],Tabla2[Comunidades],"no se encuentra")</f>
        <v>Andalucía</v>
      </c>
      <c r="M4035" t="s">
        <v>28</v>
      </c>
      <c r="N4035">
        <v>2</v>
      </c>
    </row>
    <row r="4036" spans="1:14" x14ac:dyDescent="0.25">
      <c r="A4036">
        <v>5035</v>
      </c>
      <c r="B4036" s="1">
        <v>45972</v>
      </c>
      <c r="C4036" s="4">
        <f>MONTH(datos_ventas[[#This Row],[Fecha]])</f>
        <v>11</v>
      </c>
      <c r="D4036" s="4">
        <f>WEEKNUM(datos_ventas[[#This Row],[Fecha]],2)</f>
        <v>46</v>
      </c>
      <c r="E4036" t="s">
        <v>10</v>
      </c>
      <c r="F4036" t="s">
        <v>11</v>
      </c>
      <c r="G4036">
        <v>2</v>
      </c>
      <c r="H4036">
        <v>28827</v>
      </c>
      <c r="I4036">
        <v>4276</v>
      </c>
      <c r="J4036" t="s">
        <v>27</v>
      </c>
      <c r="K4036" t="str">
        <f>_xlfn.XLOOKUP(datos_ventas[[#This Row],[Ciudad]],Tabla2[Ciudades],Tabla2[Provincias],"no se encuentra")</f>
        <v>Sevilla</v>
      </c>
      <c r="L4036" t="str">
        <f>_xlfn.XLOOKUP(datos_ventas[[#This Row],[Provincia]],Tabla2[Provincias],Tabla2[Comunidades],"no se encuentra")</f>
        <v>Andalucía</v>
      </c>
      <c r="M4036" t="s">
        <v>28</v>
      </c>
      <c r="N4036">
        <v>3</v>
      </c>
    </row>
    <row r="4037" spans="1:14" x14ac:dyDescent="0.25">
      <c r="A4037">
        <v>5036</v>
      </c>
      <c r="B4037" s="1">
        <v>45723</v>
      </c>
      <c r="C4037" s="4">
        <f>MONTH(datos_ventas[[#This Row],[Fecha]])</f>
        <v>3</v>
      </c>
      <c r="D4037" s="4">
        <f>WEEKNUM(datos_ventas[[#This Row],[Fecha]],2)</f>
        <v>10</v>
      </c>
      <c r="E4037" t="s">
        <v>23</v>
      </c>
      <c r="F4037" t="s">
        <v>18</v>
      </c>
      <c r="G4037">
        <v>3</v>
      </c>
      <c r="H4037">
        <v>88596</v>
      </c>
      <c r="I4037">
        <v>4266</v>
      </c>
      <c r="J4037" t="s">
        <v>32</v>
      </c>
      <c r="K4037" t="str">
        <f>_xlfn.XLOOKUP(datos_ventas[[#This Row],[Ciudad]],Tabla2[Ciudades],Tabla2[Provincias],"no se encuentra")</f>
        <v>Barcelona</v>
      </c>
      <c r="L4037" t="str">
        <f>_xlfn.XLOOKUP(datos_ventas[[#This Row],[Provincia]],Tabla2[Provincias],Tabla2[Comunidades],"no se encuentra")</f>
        <v>Cataluña</v>
      </c>
      <c r="M4037" t="s">
        <v>15</v>
      </c>
      <c r="N4037">
        <v>4</v>
      </c>
    </row>
    <row r="4038" spans="1:14" x14ac:dyDescent="0.25">
      <c r="A4038">
        <v>5037</v>
      </c>
      <c r="B4038" s="1">
        <v>45741</v>
      </c>
      <c r="C4038" s="4">
        <f>MONTH(datos_ventas[[#This Row],[Fecha]])</f>
        <v>3</v>
      </c>
      <c r="D4038" s="4">
        <f>WEEKNUM(datos_ventas[[#This Row],[Fecha]],2)</f>
        <v>13</v>
      </c>
      <c r="E4038" t="s">
        <v>20</v>
      </c>
      <c r="F4038" t="s">
        <v>21</v>
      </c>
      <c r="G4038">
        <v>1</v>
      </c>
      <c r="H4038">
        <v>82275</v>
      </c>
      <c r="I4038">
        <v>3773</v>
      </c>
      <c r="J4038" t="s">
        <v>32</v>
      </c>
      <c r="K4038" t="str">
        <f>_xlfn.XLOOKUP(datos_ventas[[#This Row],[Ciudad]],Tabla2[Ciudades],Tabla2[Provincias],"no se encuentra")</f>
        <v>Barcelona</v>
      </c>
      <c r="L4038" t="str">
        <f>_xlfn.XLOOKUP(datos_ventas[[#This Row],[Provincia]],Tabla2[Provincias],Tabla2[Comunidades],"no se encuentra")</f>
        <v>Cataluña</v>
      </c>
      <c r="M4038" t="s">
        <v>28</v>
      </c>
      <c r="N4038">
        <v>3</v>
      </c>
    </row>
    <row r="4039" spans="1:14" x14ac:dyDescent="0.25">
      <c r="A4039">
        <v>5038</v>
      </c>
      <c r="B4039" s="1">
        <v>45717</v>
      </c>
      <c r="C4039" s="4">
        <f>MONTH(datos_ventas[[#This Row],[Fecha]])</f>
        <v>3</v>
      </c>
      <c r="D4039" s="4">
        <f>WEEKNUM(datos_ventas[[#This Row],[Fecha]],2)</f>
        <v>9</v>
      </c>
      <c r="E4039" t="s">
        <v>24</v>
      </c>
      <c r="F4039" t="s">
        <v>25</v>
      </c>
      <c r="G4039">
        <v>5</v>
      </c>
      <c r="H4039">
        <v>2762</v>
      </c>
      <c r="I4039">
        <v>1396</v>
      </c>
      <c r="J4039" t="s">
        <v>14</v>
      </c>
      <c r="K4039" t="str">
        <f>_xlfn.XLOOKUP(datos_ventas[[#This Row],[Ciudad]],Tabla2[Ciudades],Tabla2[Provincias],"no se encuentra")</f>
        <v>Madrid</v>
      </c>
      <c r="L4039" t="str">
        <f>_xlfn.XLOOKUP(datos_ventas[[#This Row],[Provincia]],Tabla2[Provincias],Tabla2[Comunidades],"no se encuentra")</f>
        <v>Comunidad de Madrid</v>
      </c>
      <c r="M4039" t="s">
        <v>19</v>
      </c>
      <c r="N4039">
        <v>3</v>
      </c>
    </row>
    <row r="4040" spans="1:14" x14ac:dyDescent="0.25">
      <c r="A4040">
        <v>5039</v>
      </c>
      <c r="B4040" s="1">
        <v>45801</v>
      </c>
      <c r="C4040" s="4">
        <f>MONTH(datos_ventas[[#This Row],[Fecha]])</f>
        <v>5</v>
      </c>
      <c r="D4040" s="4">
        <f>WEEKNUM(datos_ventas[[#This Row],[Fecha]],2)</f>
        <v>21</v>
      </c>
      <c r="E4040" t="s">
        <v>17</v>
      </c>
      <c r="F4040" t="s">
        <v>18</v>
      </c>
      <c r="G4040">
        <v>3</v>
      </c>
      <c r="H4040">
        <v>53333</v>
      </c>
      <c r="I4040">
        <v>1946</v>
      </c>
      <c r="J4040" t="s">
        <v>14</v>
      </c>
      <c r="K4040" t="str">
        <f>_xlfn.XLOOKUP(datos_ventas[[#This Row],[Ciudad]],Tabla2[Ciudades],Tabla2[Provincias],"no se encuentra")</f>
        <v>Madrid</v>
      </c>
      <c r="L4040" t="str">
        <f>_xlfn.XLOOKUP(datos_ventas[[#This Row],[Provincia]],Tabla2[Provincias],Tabla2[Comunidades],"no se encuentra")</f>
        <v>Comunidad de Madrid</v>
      </c>
      <c r="M4040" t="s">
        <v>13</v>
      </c>
      <c r="N4040">
        <v>4</v>
      </c>
    </row>
    <row r="4041" spans="1:14" x14ac:dyDescent="0.25">
      <c r="A4041">
        <v>5040</v>
      </c>
      <c r="B4041" s="1">
        <v>45951</v>
      </c>
      <c r="C4041" s="4">
        <f>MONTH(datos_ventas[[#This Row],[Fecha]])</f>
        <v>10</v>
      </c>
      <c r="D4041" s="4">
        <f>WEEKNUM(datos_ventas[[#This Row],[Fecha]],2)</f>
        <v>43</v>
      </c>
      <c r="E4041" t="s">
        <v>23</v>
      </c>
      <c r="F4041" t="s">
        <v>18</v>
      </c>
      <c r="G4041">
        <v>3</v>
      </c>
      <c r="H4041">
        <v>8011</v>
      </c>
      <c r="I4041">
        <v>3725</v>
      </c>
      <c r="J4041" t="s">
        <v>27</v>
      </c>
      <c r="K4041" t="str">
        <f>_xlfn.XLOOKUP(datos_ventas[[#This Row],[Ciudad]],Tabla2[Ciudades],Tabla2[Provincias],"no se encuentra")</f>
        <v>Sevilla</v>
      </c>
      <c r="L4041" t="str">
        <f>_xlfn.XLOOKUP(datos_ventas[[#This Row],[Provincia]],Tabla2[Provincias],Tabla2[Comunidades],"no se encuentra")</f>
        <v>Andalucía</v>
      </c>
      <c r="M4041" t="s">
        <v>28</v>
      </c>
      <c r="N4041">
        <v>2</v>
      </c>
    </row>
    <row r="4042" spans="1:14" x14ac:dyDescent="0.25">
      <c r="A4042">
        <v>5041</v>
      </c>
      <c r="B4042" s="1">
        <v>45874</v>
      </c>
      <c r="C4042" s="4">
        <f>MONTH(datos_ventas[[#This Row],[Fecha]])</f>
        <v>8</v>
      </c>
      <c r="D4042" s="4">
        <f>WEEKNUM(datos_ventas[[#This Row],[Fecha]],2)</f>
        <v>32</v>
      </c>
      <c r="E4042" t="s">
        <v>10</v>
      </c>
      <c r="F4042" t="s">
        <v>11</v>
      </c>
      <c r="G4042">
        <v>4</v>
      </c>
      <c r="H4042">
        <v>114156</v>
      </c>
      <c r="I4042">
        <v>2823</v>
      </c>
      <c r="J4042" t="s">
        <v>12</v>
      </c>
      <c r="K4042" t="str">
        <f>_xlfn.XLOOKUP(datos_ventas[[#This Row],[Ciudad]],Tabla2[Ciudades],Tabla2[Provincias],"no se encuentra")</f>
        <v>Málaga</v>
      </c>
      <c r="L4042" t="str">
        <f>_xlfn.XLOOKUP(datos_ventas[[#This Row],[Provincia]],Tabla2[Provincias],Tabla2[Comunidades],"no se encuentra")</f>
        <v>Andalucía</v>
      </c>
      <c r="M4042" t="s">
        <v>19</v>
      </c>
      <c r="N4042">
        <v>3</v>
      </c>
    </row>
    <row r="4043" spans="1:14" x14ac:dyDescent="0.25">
      <c r="A4043">
        <v>5042</v>
      </c>
      <c r="B4043" s="1">
        <v>45759</v>
      </c>
      <c r="C4043" s="4">
        <f>MONTH(datos_ventas[[#This Row],[Fecha]])</f>
        <v>4</v>
      </c>
      <c r="D4043" s="4">
        <f>WEEKNUM(datos_ventas[[#This Row],[Fecha]],2)</f>
        <v>15</v>
      </c>
      <c r="E4043" t="s">
        <v>20</v>
      </c>
      <c r="F4043" t="s">
        <v>21</v>
      </c>
      <c r="G4043">
        <v>4</v>
      </c>
      <c r="H4043">
        <v>60507</v>
      </c>
      <c r="I4043">
        <v>2745</v>
      </c>
      <c r="J4043" t="s">
        <v>22</v>
      </c>
      <c r="K4043" t="str">
        <f>_xlfn.XLOOKUP(datos_ventas[[#This Row],[Ciudad]],Tabla2[Ciudades],Tabla2[Provincias],"no se encuentra")</f>
        <v>Valencia</v>
      </c>
      <c r="L4043" t="str">
        <f>_xlfn.XLOOKUP(datos_ventas[[#This Row],[Provincia]],Tabla2[Provincias],Tabla2[Comunidades],"no se encuentra")</f>
        <v>Comunidad Valenciana</v>
      </c>
      <c r="M4043" t="s">
        <v>15</v>
      </c>
      <c r="N4043">
        <v>3</v>
      </c>
    </row>
    <row r="4044" spans="1:14" x14ac:dyDescent="0.25">
      <c r="A4044">
        <v>5043</v>
      </c>
      <c r="B4044" s="1">
        <v>45884</v>
      </c>
      <c r="C4044" s="4">
        <f>MONTH(datos_ventas[[#This Row],[Fecha]])</f>
        <v>8</v>
      </c>
      <c r="D4044" s="4">
        <f>WEEKNUM(datos_ventas[[#This Row],[Fecha]],2)</f>
        <v>33</v>
      </c>
      <c r="E4044" t="s">
        <v>23</v>
      </c>
      <c r="F4044" t="s">
        <v>18</v>
      </c>
      <c r="G4044">
        <v>1</v>
      </c>
      <c r="H4044">
        <v>31462</v>
      </c>
      <c r="I4044">
        <v>3955</v>
      </c>
      <c r="J4044" t="s">
        <v>27</v>
      </c>
      <c r="K4044" t="str">
        <f>_xlfn.XLOOKUP(datos_ventas[[#This Row],[Ciudad]],Tabla2[Ciudades],Tabla2[Provincias],"no se encuentra")</f>
        <v>Sevilla</v>
      </c>
      <c r="L4044" t="str">
        <f>_xlfn.XLOOKUP(datos_ventas[[#This Row],[Provincia]],Tabla2[Provincias],Tabla2[Comunidades],"no se encuentra")</f>
        <v>Andalucía</v>
      </c>
      <c r="M4044" t="s">
        <v>19</v>
      </c>
      <c r="N4044">
        <v>3</v>
      </c>
    </row>
    <row r="4045" spans="1:14" x14ac:dyDescent="0.25">
      <c r="A4045">
        <v>5044</v>
      </c>
      <c r="B4045" s="1">
        <v>45813</v>
      </c>
      <c r="C4045" s="4">
        <f>MONTH(datos_ventas[[#This Row],[Fecha]])</f>
        <v>6</v>
      </c>
      <c r="D4045" s="4">
        <f>WEEKNUM(datos_ventas[[#This Row],[Fecha]],2)</f>
        <v>23</v>
      </c>
      <c r="E4045" t="s">
        <v>29</v>
      </c>
      <c r="F4045" t="s">
        <v>30</v>
      </c>
      <c r="G4045">
        <v>5</v>
      </c>
      <c r="H4045">
        <v>6872</v>
      </c>
      <c r="I4045">
        <v>3171</v>
      </c>
      <c r="J4045" t="s">
        <v>31</v>
      </c>
      <c r="K4045" t="str">
        <f>_xlfn.XLOOKUP(datos_ventas[[#This Row],[Ciudad]],Tabla2[Ciudades],Tabla2[Provincias],"no se encuentra")</f>
        <v>Vizcaya</v>
      </c>
      <c r="L4045" t="str">
        <f>_xlfn.XLOOKUP(datos_ventas[[#This Row],[Provincia]],Tabla2[Provincias],Tabla2[Comunidades],"no se encuentra")</f>
        <v>País Vasco</v>
      </c>
      <c r="M4045" t="s">
        <v>19</v>
      </c>
      <c r="N4045">
        <v>5</v>
      </c>
    </row>
    <row r="4046" spans="1:14" x14ac:dyDescent="0.25">
      <c r="A4046">
        <v>5045</v>
      </c>
      <c r="B4046" s="1">
        <v>45723</v>
      </c>
      <c r="C4046" s="4">
        <f>MONTH(datos_ventas[[#This Row],[Fecha]])</f>
        <v>3</v>
      </c>
      <c r="D4046" s="4">
        <f>WEEKNUM(datos_ventas[[#This Row],[Fecha]],2)</f>
        <v>10</v>
      </c>
      <c r="E4046" t="s">
        <v>24</v>
      </c>
      <c r="F4046" t="s">
        <v>25</v>
      </c>
      <c r="G4046">
        <v>3</v>
      </c>
      <c r="H4046">
        <v>79547</v>
      </c>
      <c r="I4046">
        <v>4856</v>
      </c>
      <c r="J4046" t="s">
        <v>14</v>
      </c>
      <c r="K4046" t="str">
        <f>_xlfn.XLOOKUP(datos_ventas[[#This Row],[Ciudad]],Tabla2[Ciudades],Tabla2[Provincias],"no se encuentra")</f>
        <v>Madrid</v>
      </c>
      <c r="L4046" t="str">
        <f>_xlfn.XLOOKUP(datos_ventas[[#This Row],[Provincia]],Tabla2[Provincias],Tabla2[Comunidades],"no se encuentra")</f>
        <v>Comunidad de Madrid</v>
      </c>
      <c r="M4046" t="s">
        <v>15</v>
      </c>
      <c r="N4046">
        <v>2</v>
      </c>
    </row>
    <row r="4047" spans="1:14" x14ac:dyDescent="0.25">
      <c r="A4047">
        <v>5046</v>
      </c>
      <c r="B4047" s="1">
        <v>45731</v>
      </c>
      <c r="C4047" s="4">
        <f>MONTH(datos_ventas[[#This Row],[Fecha]])</f>
        <v>3</v>
      </c>
      <c r="D4047" s="4">
        <f>WEEKNUM(datos_ventas[[#This Row],[Fecha]],2)</f>
        <v>11</v>
      </c>
      <c r="E4047" t="s">
        <v>24</v>
      </c>
      <c r="F4047" t="s">
        <v>25</v>
      </c>
      <c r="G4047">
        <v>4</v>
      </c>
      <c r="H4047">
        <v>70468</v>
      </c>
      <c r="I4047">
        <v>354</v>
      </c>
      <c r="J4047" t="s">
        <v>12</v>
      </c>
      <c r="K4047" t="str">
        <f>_xlfn.XLOOKUP(datos_ventas[[#This Row],[Ciudad]],Tabla2[Ciudades],Tabla2[Provincias],"no se encuentra")</f>
        <v>Málaga</v>
      </c>
      <c r="L4047" t="str">
        <f>_xlfn.XLOOKUP(datos_ventas[[#This Row],[Provincia]],Tabla2[Provincias],Tabla2[Comunidades],"no se encuentra")</f>
        <v>Andalucía</v>
      </c>
      <c r="M4047" t="s">
        <v>28</v>
      </c>
      <c r="N4047">
        <v>3</v>
      </c>
    </row>
    <row r="4048" spans="1:14" x14ac:dyDescent="0.25">
      <c r="A4048">
        <v>5047</v>
      </c>
      <c r="B4048" s="1">
        <v>45912</v>
      </c>
      <c r="C4048" s="4">
        <f>MONTH(datos_ventas[[#This Row],[Fecha]])</f>
        <v>9</v>
      </c>
      <c r="D4048" s="4">
        <f>WEEKNUM(datos_ventas[[#This Row],[Fecha]],2)</f>
        <v>37</v>
      </c>
      <c r="E4048" t="s">
        <v>17</v>
      </c>
      <c r="F4048" t="s">
        <v>18</v>
      </c>
      <c r="G4048">
        <v>2</v>
      </c>
      <c r="H4048">
        <v>105712</v>
      </c>
      <c r="I4048">
        <v>207</v>
      </c>
      <c r="J4048" t="s">
        <v>31</v>
      </c>
      <c r="K4048" t="str">
        <f>_xlfn.XLOOKUP(datos_ventas[[#This Row],[Ciudad]],Tabla2[Ciudades],Tabla2[Provincias],"no se encuentra")</f>
        <v>Vizcaya</v>
      </c>
      <c r="L4048" t="str">
        <f>_xlfn.XLOOKUP(datos_ventas[[#This Row],[Provincia]],Tabla2[Provincias],Tabla2[Comunidades],"no se encuentra")</f>
        <v>País Vasco</v>
      </c>
      <c r="M4048" t="s">
        <v>15</v>
      </c>
      <c r="N4048">
        <v>4</v>
      </c>
    </row>
    <row r="4049" spans="1:14" x14ac:dyDescent="0.25">
      <c r="A4049">
        <v>5048</v>
      </c>
      <c r="B4049" s="1">
        <v>45990</v>
      </c>
      <c r="C4049" s="4">
        <f>MONTH(datos_ventas[[#This Row],[Fecha]])</f>
        <v>11</v>
      </c>
      <c r="D4049" s="4">
        <f>WEEKNUM(datos_ventas[[#This Row],[Fecha]],2)</f>
        <v>48</v>
      </c>
      <c r="E4049" t="s">
        <v>16</v>
      </c>
      <c r="F4049" t="s">
        <v>11</v>
      </c>
      <c r="G4049">
        <v>1</v>
      </c>
      <c r="H4049">
        <v>63854</v>
      </c>
      <c r="I4049">
        <v>55</v>
      </c>
      <c r="J4049" t="s">
        <v>32</v>
      </c>
      <c r="K4049" t="str">
        <f>_xlfn.XLOOKUP(datos_ventas[[#This Row],[Ciudad]],Tabla2[Ciudades],Tabla2[Provincias],"no se encuentra")</f>
        <v>Barcelona</v>
      </c>
      <c r="L4049" t="str">
        <f>_xlfn.XLOOKUP(datos_ventas[[#This Row],[Provincia]],Tabla2[Provincias],Tabla2[Comunidades],"no se encuentra")</f>
        <v>Cataluña</v>
      </c>
      <c r="M4049" t="s">
        <v>28</v>
      </c>
      <c r="N4049">
        <v>2</v>
      </c>
    </row>
    <row r="4050" spans="1:14" x14ac:dyDescent="0.25">
      <c r="A4050">
        <v>5049</v>
      </c>
      <c r="B4050" s="1">
        <v>45786</v>
      </c>
      <c r="C4050" s="4">
        <f>MONTH(datos_ventas[[#This Row],[Fecha]])</f>
        <v>5</v>
      </c>
      <c r="D4050" s="4">
        <f>WEEKNUM(datos_ventas[[#This Row],[Fecha]],2)</f>
        <v>19</v>
      </c>
      <c r="E4050" t="s">
        <v>16</v>
      </c>
      <c r="F4050" t="s">
        <v>11</v>
      </c>
      <c r="G4050">
        <v>1</v>
      </c>
      <c r="H4050">
        <v>98644</v>
      </c>
      <c r="I4050">
        <v>4006</v>
      </c>
      <c r="J4050" t="s">
        <v>31</v>
      </c>
      <c r="K4050" t="str">
        <f>_xlfn.XLOOKUP(datos_ventas[[#This Row],[Ciudad]],Tabla2[Ciudades],Tabla2[Provincias],"no se encuentra")</f>
        <v>Vizcaya</v>
      </c>
      <c r="L4050" t="str">
        <f>_xlfn.XLOOKUP(datos_ventas[[#This Row],[Provincia]],Tabla2[Provincias],Tabla2[Comunidades],"no se encuentra")</f>
        <v>País Vasco</v>
      </c>
      <c r="M4050" t="s">
        <v>19</v>
      </c>
      <c r="N4050">
        <v>4</v>
      </c>
    </row>
    <row r="4051" spans="1:14" x14ac:dyDescent="0.25">
      <c r="A4051">
        <v>5050</v>
      </c>
      <c r="B4051" s="1">
        <v>45741</v>
      </c>
      <c r="C4051" s="4">
        <f>MONTH(datos_ventas[[#This Row],[Fecha]])</f>
        <v>3</v>
      </c>
      <c r="D4051" s="4">
        <f>WEEKNUM(datos_ventas[[#This Row],[Fecha]],2)</f>
        <v>13</v>
      </c>
      <c r="E4051" t="s">
        <v>23</v>
      </c>
      <c r="F4051" t="s">
        <v>18</v>
      </c>
      <c r="G4051">
        <v>4</v>
      </c>
      <c r="H4051">
        <v>24531</v>
      </c>
      <c r="I4051">
        <v>1206</v>
      </c>
      <c r="J4051" t="s">
        <v>27</v>
      </c>
      <c r="K4051" t="str">
        <f>_xlfn.XLOOKUP(datos_ventas[[#This Row],[Ciudad]],Tabla2[Ciudades],Tabla2[Provincias],"no se encuentra")</f>
        <v>Sevilla</v>
      </c>
      <c r="L4051" t="str">
        <f>_xlfn.XLOOKUP(datos_ventas[[#This Row],[Provincia]],Tabla2[Provincias],Tabla2[Comunidades],"no se encuentra")</f>
        <v>Andalucía</v>
      </c>
      <c r="M4051" t="s">
        <v>28</v>
      </c>
      <c r="N4051">
        <v>5</v>
      </c>
    </row>
    <row r="4052" spans="1:14" x14ac:dyDescent="0.25">
      <c r="A4052">
        <v>5051</v>
      </c>
      <c r="B4052" s="1">
        <v>45912</v>
      </c>
      <c r="C4052" s="4">
        <f>MONTH(datos_ventas[[#This Row],[Fecha]])</f>
        <v>9</v>
      </c>
      <c r="D4052" s="4">
        <f>WEEKNUM(datos_ventas[[#This Row],[Fecha]],2)</f>
        <v>37</v>
      </c>
      <c r="E4052" t="s">
        <v>26</v>
      </c>
      <c r="F4052" t="s">
        <v>18</v>
      </c>
      <c r="G4052">
        <v>2</v>
      </c>
      <c r="H4052">
        <v>87459</v>
      </c>
      <c r="I4052">
        <v>4873</v>
      </c>
      <c r="J4052" t="s">
        <v>32</v>
      </c>
      <c r="K4052" t="str">
        <f>_xlfn.XLOOKUP(datos_ventas[[#This Row],[Ciudad]],Tabla2[Ciudades],Tabla2[Provincias],"no se encuentra")</f>
        <v>Barcelona</v>
      </c>
      <c r="L4052" t="str">
        <f>_xlfn.XLOOKUP(datos_ventas[[#This Row],[Provincia]],Tabla2[Provincias],Tabla2[Comunidades],"no se encuentra")</f>
        <v>Cataluña</v>
      </c>
      <c r="M4052" t="s">
        <v>15</v>
      </c>
      <c r="N4052">
        <v>3</v>
      </c>
    </row>
    <row r="4053" spans="1:14" x14ac:dyDescent="0.25">
      <c r="A4053">
        <v>5052</v>
      </c>
      <c r="B4053" s="1">
        <v>45868</v>
      </c>
      <c r="C4053" s="4">
        <f>MONTH(datos_ventas[[#This Row],[Fecha]])</f>
        <v>7</v>
      </c>
      <c r="D4053" s="4">
        <f>WEEKNUM(datos_ventas[[#This Row],[Fecha]],2)</f>
        <v>31</v>
      </c>
      <c r="E4053" t="s">
        <v>24</v>
      </c>
      <c r="F4053" t="s">
        <v>25</v>
      </c>
      <c r="G4053">
        <v>4</v>
      </c>
      <c r="H4053">
        <v>45611</v>
      </c>
      <c r="I4053">
        <v>4899</v>
      </c>
      <c r="J4053" t="s">
        <v>12</v>
      </c>
      <c r="K4053" t="str">
        <f>_xlfn.XLOOKUP(datos_ventas[[#This Row],[Ciudad]],Tabla2[Ciudades],Tabla2[Provincias],"no se encuentra")</f>
        <v>Málaga</v>
      </c>
      <c r="L4053" t="str">
        <f>_xlfn.XLOOKUP(datos_ventas[[#This Row],[Provincia]],Tabla2[Provincias],Tabla2[Comunidades],"no se encuentra")</f>
        <v>Andalucía</v>
      </c>
      <c r="M4053" t="s">
        <v>28</v>
      </c>
      <c r="N4053">
        <v>5</v>
      </c>
    </row>
    <row r="4054" spans="1:14" x14ac:dyDescent="0.25">
      <c r="A4054">
        <v>5053</v>
      </c>
      <c r="B4054" s="1">
        <v>46000</v>
      </c>
      <c r="C4054" s="4">
        <f>MONTH(datos_ventas[[#This Row],[Fecha]])</f>
        <v>12</v>
      </c>
      <c r="D4054" s="4">
        <f>WEEKNUM(datos_ventas[[#This Row],[Fecha]],2)</f>
        <v>50</v>
      </c>
      <c r="E4054" t="s">
        <v>26</v>
      </c>
      <c r="F4054" t="s">
        <v>18</v>
      </c>
      <c r="G4054">
        <v>5</v>
      </c>
      <c r="H4054">
        <v>55876</v>
      </c>
      <c r="I4054">
        <v>4808</v>
      </c>
      <c r="J4054" t="s">
        <v>32</v>
      </c>
      <c r="K4054" t="str">
        <f>_xlfn.XLOOKUP(datos_ventas[[#This Row],[Ciudad]],Tabla2[Ciudades],Tabla2[Provincias],"no se encuentra")</f>
        <v>Barcelona</v>
      </c>
      <c r="L4054" t="str">
        <f>_xlfn.XLOOKUP(datos_ventas[[#This Row],[Provincia]],Tabla2[Provincias],Tabla2[Comunidades],"no se encuentra")</f>
        <v>Cataluña</v>
      </c>
      <c r="M4054" t="s">
        <v>28</v>
      </c>
      <c r="N4054">
        <v>3</v>
      </c>
    </row>
    <row r="4055" spans="1:14" x14ac:dyDescent="0.25">
      <c r="A4055">
        <v>5054</v>
      </c>
      <c r="B4055" s="1">
        <v>45741</v>
      </c>
      <c r="C4055" s="4">
        <f>MONTH(datos_ventas[[#This Row],[Fecha]])</f>
        <v>3</v>
      </c>
      <c r="D4055" s="4">
        <f>WEEKNUM(datos_ventas[[#This Row],[Fecha]],2)</f>
        <v>13</v>
      </c>
      <c r="E4055" t="s">
        <v>20</v>
      </c>
      <c r="F4055" t="s">
        <v>21</v>
      </c>
      <c r="G4055">
        <v>1</v>
      </c>
      <c r="H4055">
        <v>13853</v>
      </c>
      <c r="I4055">
        <v>1454</v>
      </c>
      <c r="J4055" t="s">
        <v>12</v>
      </c>
      <c r="K4055" t="str">
        <f>_xlfn.XLOOKUP(datos_ventas[[#This Row],[Ciudad]],Tabla2[Ciudades],Tabla2[Provincias],"no se encuentra")</f>
        <v>Málaga</v>
      </c>
      <c r="L4055" t="str">
        <f>_xlfn.XLOOKUP(datos_ventas[[#This Row],[Provincia]],Tabla2[Provincias],Tabla2[Comunidades],"no se encuentra")</f>
        <v>Andalucía</v>
      </c>
      <c r="M4055" t="s">
        <v>13</v>
      </c>
      <c r="N4055">
        <v>4</v>
      </c>
    </row>
    <row r="4056" spans="1:14" x14ac:dyDescent="0.25">
      <c r="A4056">
        <v>5055</v>
      </c>
      <c r="B4056" s="1">
        <v>45729</v>
      </c>
      <c r="C4056" s="4">
        <f>MONTH(datos_ventas[[#This Row],[Fecha]])</f>
        <v>3</v>
      </c>
      <c r="D4056" s="4">
        <f>WEEKNUM(datos_ventas[[#This Row],[Fecha]],2)</f>
        <v>11</v>
      </c>
      <c r="E4056" t="s">
        <v>17</v>
      </c>
      <c r="F4056" t="s">
        <v>18</v>
      </c>
      <c r="G4056">
        <v>2</v>
      </c>
      <c r="H4056">
        <v>114455</v>
      </c>
      <c r="I4056">
        <v>978</v>
      </c>
      <c r="J4056" t="s">
        <v>27</v>
      </c>
      <c r="K4056" t="str">
        <f>_xlfn.XLOOKUP(datos_ventas[[#This Row],[Ciudad]],Tabla2[Ciudades],Tabla2[Provincias],"no se encuentra")</f>
        <v>Sevilla</v>
      </c>
      <c r="L4056" t="str">
        <f>_xlfn.XLOOKUP(datos_ventas[[#This Row],[Provincia]],Tabla2[Provincias],Tabla2[Comunidades],"no se encuentra")</f>
        <v>Andalucía</v>
      </c>
      <c r="M4056" t="s">
        <v>13</v>
      </c>
      <c r="N4056">
        <v>3</v>
      </c>
    </row>
    <row r="4057" spans="1:14" x14ac:dyDescent="0.25">
      <c r="A4057">
        <v>5056</v>
      </c>
      <c r="B4057" s="1">
        <v>45904</v>
      </c>
      <c r="C4057" s="4">
        <f>MONTH(datos_ventas[[#This Row],[Fecha]])</f>
        <v>9</v>
      </c>
      <c r="D4057" s="4">
        <f>WEEKNUM(datos_ventas[[#This Row],[Fecha]],2)</f>
        <v>36</v>
      </c>
      <c r="E4057" t="s">
        <v>23</v>
      </c>
      <c r="F4057" t="s">
        <v>18</v>
      </c>
      <c r="G4057">
        <v>1</v>
      </c>
      <c r="H4057">
        <v>28192</v>
      </c>
      <c r="I4057">
        <v>3553</v>
      </c>
      <c r="J4057" t="s">
        <v>14</v>
      </c>
      <c r="K4057" t="str">
        <f>_xlfn.XLOOKUP(datos_ventas[[#This Row],[Ciudad]],Tabla2[Ciudades],Tabla2[Provincias],"no se encuentra")</f>
        <v>Madrid</v>
      </c>
      <c r="L4057" t="str">
        <f>_xlfn.XLOOKUP(datos_ventas[[#This Row],[Provincia]],Tabla2[Provincias],Tabla2[Comunidades],"no se encuentra")</f>
        <v>Comunidad de Madrid</v>
      </c>
      <c r="M4057" t="s">
        <v>28</v>
      </c>
      <c r="N4057">
        <v>1</v>
      </c>
    </row>
    <row r="4058" spans="1:14" x14ac:dyDescent="0.25">
      <c r="A4058">
        <v>5057</v>
      </c>
      <c r="B4058" s="1">
        <v>45790</v>
      </c>
      <c r="C4058" s="4">
        <f>MONTH(datos_ventas[[#This Row],[Fecha]])</f>
        <v>5</v>
      </c>
      <c r="D4058" s="4">
        <f>WEEKNUM(datos_ventas[[#This Row],[Fecha]],2)</f>
        <v>20</v>
      </c>
      <c r="E4058" t="s">
        <v>16</v>
      </c>
      <c r="F4058" t="s">
        <v>11</v>
      </c>
      <c r="G4058">
        <v>2</v>
      </c>
      <c r="H4058">
        <v>9164</v>
      </c>
      <c r="I4058">
        <v>4867</v>
      </c>
      <c r="J4058" t="s">
        <v>32</v>
      </c>
      <c r="K4058" t="str">
        <f>_xlfn.XLOOKUP(datos_ventas[[#This Row],[Ciudad]],Tabla2[Ciudades],Tabla2[Provincias],"no se encuentra")</f>
        <v>Barcelona</v>
      </c>
      <c r="L4058" t="str">
        <f>_xlfn.XLOOKUP(datos_ventas[[#This Row],[Provincia]],Tabla2[Provincias],Tabla2[Comunidades],"no se encuentra")</f>
        <v>Cataluña</v>
      </c>
      <c r="M4058" t="s">
        <v>19</v>
      </c>
      <c r="N4058">
        <v>2</v>
      </c>
    </row>
    <row r="4059" spans="1:14" x14ac:dyDescent="0.25">
      <c r="A4059">
        <v>5058</v>
      </c>
      <c r="B4059" s="1">
        <v>45957</v>
      </c>
      <c r="C4059" s="4">
        <f>MONTH(datos_ventas[[#This Row],[Fecha]])</f>
        <v>10</v>
      </c>
      <c r="D4059" s="4">
        <f>WEEKNUM(datos_ventas[[#This Row],[Fecha]],2)</f>
        <v>44</v>
      </c>
      <c r="E4059" t="s">
        <v>20</v>
      </c>
      <c r="F4059" t="s">
        <v>21</v>
      </c>
      <c r="G4059">
        <v>5</v>
      </c>
      <c r="H4059">
        <v>10965</v>
      </c>
      <c r="I4059">
        <v>2443</v>
      </c>
      <c r="J4059" t="s">
        <v>12</v>
      </c>
      <c r="K4059" t="str">
        <f>_xlfn.XLOOKUP(datos_ventas[[#This Row],[Ciudad]],Tabla2[Ciudades],Tabla2[Provincias],"no se encuentra")</f>
        <v>Málaga</v>
      </c>
      <c r="L4059" t="str">
        <f>_xlfn.XLOOKUP(datos_ventas[[#This Row],[Provincia]],Tabla2[Provincias],Tabla2[Comunidades],"no se encuentra")</f>
        <v>Andalucía</v>
      </c>
      <c r="M4059" t="s">
        <v>19</v>
      </c>
      <c r="N4059">
        <v>4</v>
      </c>
    </row>
    <row r="4060" spans="1:14" x14ac:dyDescent="0.25">
      <c r="A4060">
        <v>5059</v>
      </c>
      <c r="B4060" s="1">
        <v>45819</v>
      </c>
      <c r="C4060" s="4">
        <f>MONTH(datos_ventas[[#This Row],[Fecha]])</f>
        <v>6</v>
      </c>
      <c r="D4060" s="4">
        <f>WEEKNUM(datos_ventas[[#This Row],[Fecha]],2)</f>
        <v>24</v>
      </c>
      <c r="E4060" t="s">
        <v>10</v>
      </c>
      <c r="F4060" t="s">
        <v>11</v>
      </c>
      <c r="G4060">
        <v>3</v>
      </c>
      <c r="H4060">
        <v>9280</v>
      </c>
      <c r="I4060">
        <v>2456</v>
      </c>
      <c r="J4060" t="s">
        <v>31</v>
      </c>
      <c r="K4060" t="str">
        <f>_xlfn.XLOOKUP(datos_ventas[[#This Row],[Ciudad]],Tabla2[Ciudades],Tabla2[Provincias],"no se encuentra")</f>
        <v>Vizcaya</v>
      </c>
      <c r="L4060" t="str">
        <f>_xlfn.XLOOKUP(datos_ventas[[#This Row],[Provincia]],Tabla2[Provincias],Tabla2[Comunidades],"no se encuentra")</f>
        <v>País Vasco</v>
      </c>
      <c r="M4060" t="s">
        <v>28</v>
      </c>
      <c r="N4060">
        <v>2</v>
      </c>
    </row>
    <row r="4061" spans="1:14" x14ac:dyDescent="0.25">
      <c r="A4061">
        <v>5060</v>
      </c>
      <c r="B4061" s="1">
        <v>45939</v>
      </c>
      <c r="C4061" s="4">
        <f>MONTH(datos_ventas[[#This Row],[Fecha]])</f>
        <v>10</v>
      </c>
      <c r="D4061" s="4">
        <f>WEEKNUM(datos_ventas[[#This Row],[Fecha]],2)</f>
        <v>41</v>
      </c>
      <c r="E4061" t="s">
        <v>24</v>
      </c>
      <c r="F4061" t="s">
        <v>25</v>
      </c>
      <c r="G4061">
        <v>4</v>
      </c>
      <c r="H4061">
        <v>87409</v>
      </c>
      <c r="I4061">
        <v>1138</v>
      </c>
      <c r="J4061" t="s">
        <v>32</v>
      </c>
      <c r="K4061" t="str">
        <f>_xlfn.XLOOKUP(datos_ventas[[#This Row],[Ciudad]],Tabla2[Ciudades],Tabla2[Provincias],"no se encuentra")</f>
        <v>Barcelona</v>
      </c>
      <c r="L4061" t="str">
        <f>_xlfn.XLOOKUP(datos_ventas[[#This Row],[Provincia]],Tabla2[Provincias],Tabla2[Comunidades],"no se encuentra")</f>
        <v>Cataluña</v>
      </c>
      <c r="M4061" t="s">
        <v>28</v>
      </c>
      <c r="N4061">
        <v>1</v>
      </c>
    </row>
    <row r="4062" spans="1:14" x14ac:dyDescent="0.25">
      <c r="A4062">
        <v>5061</v>
      </c>
      <c r="B4062" s="1">
        <v>45680</v>
      </c>
      <c r="C4062" s="4">
        <f>MONTH(datos_ventas[[#This Row],[Fecha]])</f>
        <v>1</v>
      </c>
      <c r="D4062" s="4">
        <f>WEEKNUM(datos_ventas[[#This Row],[Fecha]],2)</f>
        <v>4</v>
      </c>
      <c r="E4062" t="s">
        <v>17</v>
      </c>
      <c r="F4062" t="s">
        <v>18</v>
      </c>
      <c r="G4062">
        <v>5</v>
      </c>
      <c r="H4062">
        <v>92358</v>
      </c>
      <c r="I4062">
        <v>4628</v>
      </c>
      <c r="J4062" t="s">
        <v>22</v>
      </c>
      <c r="K4062" t="str">
        <f>_xlfn.XLOOKUP(datos_ventas[[#This Row],[Ciudad]],Tabla2[Ciudades],Tabla2[Provincias],"no se encuentra")</f>
        <v>Valencia</v>
      </c>
      <c r="L4062" t="str">
        <f>_xlfn.XLOOKUP(datos_ventas[[#This Row],[Provincia]],Tabla2[Provincias],Tabla2[Comunidades],"no se encuentra")</f>
        <v>Comunidad Valenciana</v>
      </c>
      <c r="M4062" t="s">
        <v>15</v>
      </c>
      <c r="N4062">
        <v>3</v>
      </c>
    </row>
    <row r="4063" spans="1:14" x14ac:dyDescent="0.25">
      <c r="A4063">
        <v>5062</v>
      </c>
      <c r="B4063" s="1">
        <v>45928</v>
      </c>
      <c r="C4063" s="4">
        <f>MONTH(datos_ventas[[#This Row],[Fecha]])</f>
        <v>9</v>
      </c>
      <c r="D4063" s="4">
        <f>WEEKNUM(datos_ventas[[#This Row],[Fecha]],2)</f>
        <v>39</v>
      </c>
      <c r="E4063" t="s">
        <v>29</v>
      </c>
      <c r="F4063" t="s">
        <v>30</v>
      </c>
      <c r="G4063">
        <v>1</v>
      </c>
      <c r="H4063">
        <v>60569</v>
      </c>
      <c r="I4063">
        <v>1725</v>
      </c>
      <c r="J4063" t="s">
        <v>31</v>
      </c>
      <c r="K4063" t="str">
        <f>_xlfn.XLOOKUP(datos_ventas[[#This Row],[Ciudad]],Tabla2[Ciudades],Tabla2[Provincias],"no se encuentra")</f>
        <v>Vizcaya</v>
      </c>
      <c r="L4063" t="str">
        <f>_xlfn.XLOOKUP(datos_ventas[[#This Row],[Provincia]],Tabla2[Provincias],Tabla2[Comunidades],"no se encuentra")</f>
        <v>País Vasco</v>
      </c>
      <c r="M4063" t="s">
        <v>15</v>
      </c>
      <c r="N4063">
        <v>5</v>
      </c>
    </row>
    <row r="4064" spans="1:14" x14ac:dyDescent="0.25">
      <c r="A4064">
        <v>5063</v>
      </c>
      <c r="B4064" s="1">
        <v>46016</v>
      </c>
      <c r="C4064" s="4">
        <f>MONTH(datos_ventas[[#This Row],[Fecha]])</f>
        <v>12</v>
      </c>
      <c r="D4064" s="4">
        <f>WEEKNUM(datos_ventas[[#This Row],[Fecha]],2)</f>
        <v>52</v>
      </c>
      <c r="E4064" t="s">
        <v>29</v>
      </c>
      <c r="F4064" t="s">
        <v>30</v>
      </c>
      <c r="G4064">
        <v>4</v>
      </c>
      <c r="H4064">
        <v>26275</v>
      </c>
      <c r="I4064">
        <v>2131</v>
      </c>
      <c r="J4064" t="s">
        <v>32</v>
      </c>
      <c r="K4064" t="str">
        <f>_xlfn.XLOOKUP(datos_ventas[[#This Row],[Ciudad]],Tabla2[Ciudades],Tabla2[Provincias],"no se encuentra")</f>
        <v>Barcelona</v>
      </c>
      <c r="L4064" t="str">
        <f>_xlfn.XLOOKUP(datos_ventas[[#This Row],[Provincia]],Tabla2[Provincias],Tabla2[Comunidades],"no se encuentra")</f>
        <v>Cataluña</v>
      </c>
      <c r="M4064" t="s">
        <v>15</v>
      </c>
      <c r="N4064">
        <v>5</v>
      </c>
    </row>
    <row r="4065" spans="1:14" x14ac:dyDescent="0.25">
      <c r="A4065">
        <v>5064</v>
      </c>
      <c r="B4065" s="1">
        <v>45937</v>
      </c>
      <c r="C4065" s="4">
        <f>MONTH(datos_ventas[[#This Row],[Fecha]])</f>
        <v>10</v>
      </c>
      <c r="D4065" s="4">
        <f>WEEKNUM(datos_ventas[[#This Row],[Fecha]],2)</f>
        <v>41</v>
      </c>
      <c r="E4065" t="s">
        <v>26</v>
      </c>
      <c r="F4065" t="s">
        <v>18</v>
      </c>
      <c r="G4065">
        <v>1</v>
      </c>
      <c r="H4065">
        <v>3559</v>
      </c>
      <c r="I4065">
        <v>2647</v>
      </c>
      <c r="J4065" t="s">
        <v>27</v>
      </c>
      <c r="K4065" t="str">
        <f>_xlfn.XLOOKUP(datos_ventas[[#This Row],[Ciudad]],Tabla2[Ciudades],Tabla2[Provincias],"no se encuentra")</f>
        <v>Sevilla</v>
      </c>
      <c r="L4065" t="str">
        <f>_xlfn.XLOOKUP(datos_ventas[[#This Row],[Provincia]],Tabla2[Provincias],Tabla2[Comunidades],"no se encuentra")</f>
        <v>Andalucía</v>
      </c>
      <c r="M4065" t="s">
        <v>13</v>
      </c>
      <c r="N4065">
        <v>5</v>
      </c>
    </row>
    <row r="4066" spans="1:14" x14ac:dyDescent="0.25">
      <c r="A4066">
        <v>5065</v>
      </c>
      <c r="B4066" s="1">
        <v>45743</v>
      </c>
      <c r="C4066" s="4">
        <f>MONTH(datos_ventas[[#This Row],[Fecha]])</f>
        <v>3</v>
      </c>
      <c r="D4066" s="4">
        <f>WEEKNUM(datos_ventas[[#This Row],[Fecha]],2)</f>
        <v>13</v>
      </c>
      <c r="E4066" t="s">
        <v>10</v>
      </c>
      <c r="F4066" t="s">
        <v>11</v>
      </c>
      <c r="G4066">
        <v>5</v>
      </c>
      <c r="H4066">
        <v>81028</v>
      </c>
      <c r="I4066">
        <v>2187</v>
      </c>
      <c r="J4066" t="s">
        <v>22</v>
      </c>
      <c r="K4066" t="str">
        <f>_xlfn.XLOOKUP(datos_ventas[[#This Row],[Ciudad]],Tabla2[Ciudades],Tabla2[Provincias],"no se encuentra")</f>
        <v>Valencia</v>
      </c>
      <c r="L4066" t="str">
        <f>_xlfn.XLOOKUP(datos_ventas[[#This Row],[Provincia]],Tabla2[Provincias],Tabla2[Comunidades],"no se encuentra")</f>
        <v>Comunidad Valenciana</v>
      </c>
      <c r="M4066" t="s">
        <v>15</v>
      </c>
      <c r="N4066">
        <v>1</v>
      </c>
    </row>
    <row r="4067" spans="1:14" x14ac:dyDescent="0.25">
      <c r="A4067">
        <v>5066</v>
      </c>
      <c r="B4067" s="1">
        <v>45669</v>
      </c>
      <c r="C4067" s="4">
        <f>MONTH(datos_ventas[[#This Row],[Fecha]])</f>
        <v>1</v>
      </c>
      <c r="D4067" s="4">
        <f>WEEKNUM(datos_ventas[[#This Row],[Fecha]],2)</f>
        <v>2</v>
      </c>
      <c r="E4067" t="s">
        <v>23</v>
      </c>
      <c r="F4067" t="s">
        <v>18</v>
      </c>
      <c r="G4067">
        <v>5</v>
      </c>
      <c r="H4067">
        <v>9159</v>
      </c>
      <c r="I4067">
        <v>4498</v>
      </c>
      <c r="J4067" t="s">
        <v>12</v>
      </c>
      <c r="K4067" t="str">
        <f>_xlfn.XLOOKUP(datos_ventas[[#This Row],[Ciudad]],Tabla2[Ciudades],Tabla2[Provincias],"no se encuentra")</f>
        <v>Málaga</v>
      </c>
      <c r="L4067" t="str">
        <f>_xlfn.XLOOKUP(datos_ventas[[#This Row],[Provincia]],Tabla2[Provincias],Tabla2[Comunidades],"no se encuentra")</f>
        <v>Andalucía</v>
      </c>
      <c r="M4067" t="s">
        <v>28</v>
      </c>
      <c r="N4067">
        <v>4</v>
      </c>
    </row>
    <row r="4068" spans="1:14" x14ac:dyDescent="0.25">
      <c r="A4068">
        <v>5067</v>
      </c>
      <c r="B4068" s="1">
        <v>45745</v>
      </c>
      <c r="C4068" s="4">
        <f>MONTH(datos_ventas[[#This Row],[Fecha]])</f>
        <v>3</v>
      </c>
      <c r="D4068" s="4">
        <f>WEEKNUM(datos_ventas[[#This Row],[Fecha]],2)</f>
        <v>13</v>
      </c>
      <c r="E4068" t="s">
        <v>23</v>
      </c>
      <c r="F4068" t="s">
        <v>18</v>
      </c>
      <c r="G4068">
        <v>2</v>
      </c>
      <c r="H4068">
        <v>75196</v>
      </c>
      <c r="I4068">
        <v>2911</v>
      </c>
      <c r="J4068" t="s">
        <v>12</v>
      </c>
      <c r="K4068" t="str">
        <f>_xlfn.XLOOKUP(datos_ventas[[#This Row],[Ciudad]],Tabla2[Ciudades],Tabla2[Provincias],"no se encuentra")</f>
        <v>Málaga</v>
      </c>
      <c r="L4068" t="str">
        <f>_xlfn.XLOOKUP(datos_ventas[[#This Row],[Provincia]],Tabla2[Provincias],Tabla2[Comunidades],"no se encuentra")</f>
        <v>Andalucía</v>
      </c>
      <c r="M4068" t="s">
        <v>19</v>
      </c>
      <c r="N4068">
        <v>3</v>
      </c>
    </row>
    <row r="4069" spans="1:14" x14ac:dyDescent="0.25">
      <c r="A4069">
        <v>5068</v>
      </c>
      <c r="B4069" s="1">
        <v>45968</v>
      </c>
      <c r="C4069" s="4">
        <f>MONTH(datos_ventas[[#This Row],[Fecha]])</f>
        <v>11</v>
      </c>
      <c r="D4069" s="4">
        <f>WEEKNUM(datos_ventas[[#This Row],[Fecha]],2)</f>
        <v>45</v>
      </c>
      <c r="E4069" t="s">
        <v>20</v>
      </c>
      <c r="F4069" t="s">
        <v>21</v>
      </c>
      <c r="G4069">
        <v>1</v>
      </c>
      <c r="H4069">
        <v>72748</v>
      </c>
      <c r="I4069">
        <v>1825</v>
      </c>
      <c r="J4069" t="s">
        <v>27</v>
      </c>
      <c r="K4069" t="str">
        <f>_xlfn.XLOOKUP(datos_ventas[[#This Row],[Ciudad]],Tabla2[Ciudades],Tabla2[Provincias],"no se encuentra")</f>
        <v>Sevilla</v>
      </c>
      <c r="L4069" t="str">
        <f>_xlfn.XLOOKUP(datos_ventas[[#This Row],[Provincia]],Tabla2[Provincias],Tabla2[Comunidades],"no se encuentra")</f>
        <v>Andalucía</v>
      </c>
      <c r="M4069" t="s">
        <v>15</v>
      </c>
      <c r="N4069">
        <v>1</v>
      </c>
    </row>
    <row r="4070" spans="1:14" x14ac:dyDescent="0.25">
      <c r="A4070">
        <v>5069</v>
      </c>
      <c r="B4070" s="1">
        <v>45998</v>
      </c>
      <c r="C4070" s="4">
        <f>MONTH(datos_ventas[[#This Row],[Fecha]])</f>
        <v>12</v>
      </c>
      <c r="D4070" s="4">
        <f>WEEKNUM(datos_ventas[[#This Row],[Fecha]],2)</f>
        <v>49</v>
      </c>
      <c r="E4070" t="s">
        <v>20</v>
      </c>
      <c r="F4070" t="s">
        <v>21</v>
      </c>
      <c r="G4070">
        <v>4</v>
      </c>
      <c r="H4070">
        <v>15711</v>
      </c>
      <c r="I4070">
        <v>3191</v>
      </c>
      <c r="J4070" t="s">
        <v>32</v>
      </c>
      <c r="K4070" t="str">
        <f>_xlfn.XLOOKUP(datos_ventas[[#This Row],[Ciudad]],Tabla2[Ciudades],Tabla2[Provincias],"no se encuentra")</f>
        <v>Barcelona</v>
      </c>
      <c r="L4070" t="str">
        <f>_xlfn.XLOOKUP(datos_ventas[[#This Row],[Provincia]],Tabla2[Provincias],Tabla2[Comunidades],"no se encuentra")</f>
        <v>Cataluña</v>
      </c>
      <c r="M4070" t="s">
        <v>15</v>
      </c>
      <c r="N4070">
        <v>5</v>
      </c>
    </row>
    <row r="4071" spans="1:14" x14ac:dyDescent="0.25">
      <c r="A4071">
        <v>5070</v>
      </c>
      <c r="B4071" s="1">
        <v>45698</v>
      </c>
      <c r="C4071" s="4">
        <f>MONTH(datos_ventas[[#This Row],[Fecha]])</f>
        <v>2</v>
      </c>
      <c r="D4071" s="4">
        <f>WEEKNUM(datos_ventas[[#This Row],[Fecha]],2)</f>
        <v>7</v>
      </c>
      <c r="E4071" t="s">
        <v>10</v>
      </c>
      <c r="F4071" t="s">
        <v>11</v>
      </c>
      <c r="G4071">
        <v>4</v>
      </c>
      <c r="H4071">
        <v>65855</v>
      </c>
      <c r="I4071">
        <v>673</v>
      </c>
      <c r="J4071" t="s">
        <v>12</v>
      </c>
      <c r="K4071" t="str">
        <f>_xlfn.XLOOKUP(datos_ventas[[#This Row],[Ciudad]],Tabla2[Ciudades],Tabla2[Provincias],"no se encuentra")</f>
        <v>Málaga</v>
      </c>
      <c r="L4071" t="str">
        <f>_xlfn.XLOOKUP(datos_ventas[[#This Row],[Provincia]],Tabla2[Provincias],Tabla2[Comunidades],"no se encuentra")</f>
        <v>Andalucía</v>
      </c>
      <c r="M4071" t="s">
        <v>13</v>
      </c>
      <c r="N4071">
        <v>5</v>
      </c>
    </row>
    <row r="4072" spans="1:14" x14ac:dyDescent="0.25">
      <c r="A4072">
        <v>5071</v>
      </c>
      <c r="B4072" s="1">
        <v>45925</v>
      </c>
      <c r="C4072" s="4">
        <f>MONTH(datos_ventas[[#This Row],[Fecha]])</f>
        <v>9</v>
      </c>
      <c r="D4072" s="4">
        <f>WEEKNUM(datos_ventas[[#This Row],[Fecha]],2)</f>
        <v>39</v>
      </c>
      <c r="E4072" t="s">
        <v>24</v>
      </c>
      <c r="F4072" t="s">
        <v>25</v>
      </c>
      <c r="G4072">
        <v>2</v>
      </c>
      <c r="H4072">
        <v>89936</v>
      </c>
      <c r="I4072">
        <v>1643</v>
      </c>
      <c r="J4072" t="s">
        <v>32</v>
      </c>
      <c r="K4072" t="str">
        <f>_xlfn.XLOOKUP(datos_ventas[[#This Row],[Ciudad]],Tabla2[Ciudades],Tabla2[Provincias],"no se encuentra")</f>
        <v>Barcelona</v>
      </c>
      <c r="L4072" t="str">
        <f>_xlfn.XLOOKUP(datos_ventas[[#This Row],[Provincia]],Tabla2[Provincias],Tabla2[Comunidades],"no se encuentra")</f>
        <v>Cataluña</v>
      </c>
      <c r="M4072" t="s">
        <v>28</v>
      </c>
      <c r="N4072">
        <v>2</v>
      </c>
    </row>
    <row r="4073" spans="1:14" x14ac:dyDescent="0.25">
      <c r="A4073">
        <v>5072</v>
      </c>
      <c r="B4073" s="1">
        <v>45669</v>
      </c>
      <c r="C4073" s="4">
        <f>MONTH(datos_ventas[[#This Row],[Fecha]])</f>
        <v>1</v>
      </c>
      <c r="D4073" s="4">
        <f>WEEKNUM(datos_ventas[[#This Row],[Fecha]],2)</f>
        <v>2</v>
      </c>
      <c r="E4073" t="s">
        <v>26</v>
      </c>
      <c r="F4073" t="s">
        <v>18</v>
      </c>
      <c r="G4073">
        <v>3</v>
      </c>
      <c r="H4073">
        <v>91649</v>
      </c>
      <c r="I4073">
        <v>3367</v>
      </c>
      <c r="J4073" t="s">
        <v>27</v>
      </c>
      <c r="K4073" t="str">
        <f>_xlfn.XLOOKUP(datos_ventas[[#This Row],[Ciudad]],Tabla2[Ciudades],Tabla2[Provincias],"no se encuentra")</f>
        <v>Sevilla</v>
      </c>
      <c r="L4073" t="str">
        <f>_xlfn.XLOOKUP(datos_ventas[[#This Row],[Provincia]],Tabla2[Provincias],Tabla2[Comunidades],"no se encuentra")</f>
        <v>Andalucía</v>
      </c>
      <c r="M4073" t="s">
        <v>28</v>
      </c>
      <c r="N4073">
        <v>5</v>
      </c>
    </row>
    <row r="4074" spans="1:14" x14ac:dyDescent="0.25">
      <c r="A4074">
        <v>5073</v>
      </c>
      <c r="B4074" s="1">
        <v>45984</v>
      </c>
      <c r="C4074" s="4">
        <f>MONTH(datos_ventas[[#This Row],[Fecha]])</f>
        <v>11</v>
      </c>
      <c r="D4074" s="4">
        <f>WEEKNUM(datos_ventas[[#This Row],[Fecha]],2)</f>
        <v>47</v>
      </c>
      <c r="E4074" t="s">
        <v>24</v>
      </c>
      <c r="F4074" t="s">
        <v>25</v>
      </c>
      <c r="G4074">
        <v>3</v>
      </c>
      <c r="H4074">
        <v>58689</v>
      </c>
      <c r="I4074">
        <v>2138</v>
      </c>
      <c r="J4074" t="s">
        <v>31</v>
      </c>
      <c r="K4074" t="str">
        <f>_xlfn.XLOOKUP(datos_ventas[[#This Row],[Ciudad]],Tabla2[Ciudades],Tabla2[Provincias],"no se encuentra")</f>
        <v>Vizcaya</v>
      </c>
      <c r="L4074" t="str">
        <f>_xlfn.XLOOKUP(datos_ventas[[#This Row],[Provincia]],Tabla2[Provincias],Tabla2[Comunidades],"no se encuentra")</f>
        <v>País Vasco</v>
      </c>
      <c r="M4074" t="s">
        <v>19</v>
      </c>
      <c r="N4074">
        <v>5</v>
      </c>
    </row>
    <row r="4075" spans="1:14" x14ac:dyDescent="0.25">
      <c r="A4075">
        <v>5074</v>
      </c>
      <c r="B4075" s="1">
        <v>45783</v>
      </c>
      <c r="C4075" s="4">
        <f>MONTH(datos_ventas[[#This Row],[Fecha]])</f>
        <v>5</v>
      </c>
      <c r="D4075" s="4">
        <f>WEEKNUM(datos_ventas[[#This Row],[Fecha]],2)</f>
        <v>19</v>
      </c>
      <c r="E4075" t="s">
        <v>29</v>
      </c>
      <c r="F4075" t="s">
        <v>30</v>
      </c>
      <c r="G4075">
        <v>5</v>
      </c>
      <c r="H4075">
        <v>71482</v>
      </c>
      <c r="I4075">
        <v>2637</v>
      </c>
      <c r="J4075" t="s">
        <v>22</v>
      </c>
      <c r="K4075" t="str">
        <f>_xlfn.XLOOKUP(datos_ventas[[#This Row],[Ciudad]],Tabla2[Ciudades],Tabla2[Provincias],"no se encuentra")</f>
        <v>Valencia</v>
      </c>
      <c r="L4075" t="str">
        <f>_xlfn.XLOOKUP(datos_ventas[[#This Row],[Provincia]],Tabla2[Provincias],Tabla2[Comunidades],"no se encuentra")</f>
        <v>Comunidad Valenciana</v>
      </c>
      <c r="M4075" t="s">
        <v>15</v>
      </c>
      <c r="N4075">
        <v>1</v>
      </c>
    </row>
    <row r="4076" spans="1:14" x14ac:dyDescent="0.25">
      <c r="A4076">
        <v>5075</v>
      </c>
      <c r="B4076" s="1">
        <v>45707</v>
      </c>
      <c r="C4076" s="4">
        <f>MONTH(datos_ventas[[#This Row],[Fecha]])</f>
        <v>2</v>
      </c>
      <c r="D4076" s="4">
        <f>WEEKNUM(datos_ventas[[#This Row],[Fecha]],2)</f>
        <v>8</v>
      </c>
      <c r="E4076" t="s">
        <v>29</v>
      </c>
      <c r="F4076" t="s">
        <v>30</v>
      </c>
      <c r="G4076">
        <v>1</v>
      </c>
      <c r="H4076">
        <v>61271</v>
      </c>
      <c r="I4076">
        <v>2068</v>
      </c>
      <c r="J4076" t="s">
        <v>27</v>
      </c>
      <c r="K4076" t="str">
        <f>_xlfn.XLOOKUP(datos_ventas[[#This Row],[Ciudad]],Tabla2[Ciudades],Tabla2[Provincias],"no se encuentra")</f>
        <v>Sevilla</v>
      </c>
      <c r="L4076" t="str">
        <f>_xlfn.XLOOKUP(datos_ventas[[#This Row],[Provincia]],Tabla2[Provincias],Tabla2[Comunidades],"no se encuentra")</f>
        <v>Andalucía</v>
      </c>
      <c r="M4076" t="s">
        <v>28</v>
      </c>
      <c r="N4076">
        <v>5</v>
      </c>
    </row>
    <row r="4077" spans="1:14" x14ac:dyDescent="0.25">
      <c r="A4077">
        <v>5076</v>
      </c>
      <c r="B4077" s="1">
        <v>46021</v>
      </c>
      <c r="C4077" s="4">
        <f>MONTH(datos_ventas[[#This Row],[Fecha]])</f>
        <v>12</v>
      </c>
      <c r="D4077" s="4">
        <f>WEEKNUM(datos_ventas[[#This Row],[Fecha]],2)</f>
        <v>53</v>
      </c>
      <c r="E4077" t="s">
        <v>29</v>
      </c>
      <c r="F4077" t="s">
        <v>30</v>
      </c>
      <c r="G4077">
        <v>2</v>
      </c>
      <c r="H4077">
        <v>14951</v>
      </c>
      <c r="I4077">
        <v>1613</v>
      </c>
      <c r="J4077" t="s">
        <v>31</v>
      </c>
      <c r="K4077" t="str">
        <f>_xlfn.XLOOKUP(datos_ventas[[#This Row],[Ciudad]],Tabla2[Ciudades],Tabla2[Provincias],"no se encuentra")</f>
        <v>Vizcaya</v>
      </c>
      <c r="L4077" t="str">
        <f>_xlfn.XLOOKUP(datos_ventas[[#This Row],[Provincia]],Tabla2[Provincias],Tabla2[Comunidades],"no se encuentra")</f>
        <v>País Vasco</v>
      </c>
      <c r="M4077" t="s">
        <v>13</v>
      </c>
      <c r="N4077">
        <v>3</v>
      </c>
    </row>
    <row r="4078" spans="1:14" x14ac:dyDescent="0.25">
      <c r="A4078">
        <v>5077</v>
      </c>
      <c r="B4078" s="1">
        <v>45937</v>
      </c>
      <c r="C4078" s="4">
        <f>MONTH(datos_ventas[[#This Row],[Fecha]])</f>
        <v>10</v>
      </c>
      <c r="D4078" s="4">
        <f>WEEKNUM(datos_ventas[[#This Row],[Fecha]],2)</f>
        <v>41</v>
      </c>
      <c r="E4078" t="s">
        <v>20</v>
      </c>
      <c r="F4078" t="s">
        <v>21</v>
      </c>
      <c r="G4078">
        <v>1</v>
      </c>
      <c r="H4078">
        <v>53397</v>
      </c>
      <c r="I4078">
        <v>282</v>
      </c>
      <c r="J4078" t="s">
        <v>14</v>
      </c>
      <c r="K4078" t="str">
        <f>_xlfn.XLOOKUP(datos_ventas[[#This Row],[Ciudad]],Tabla2[Ciudades],Tabla2[Provincias],"no se encuentra")</f>
        <v>Madrid</v>
      </c>
      <c r="L4078" t="str">
        <f>_xlfn.XLOOKUP(datos_ventas[[#This Row],[Provincia]],Tabla2[Provincias],Tabla2[Comunidades],"no se encuentra")</f>
        <v>Comunidad de Madrid</v>
      </c>
      <c r="M4078" t="s">
        <v>28</v>
      </c>
      <c r="N4078">
        <v>3</v>
      </c>
    </row>
    <row r="4079" spans="1:14" x14ac:dyDescent="0.25">
      <c r="A4079">
        <v>5078</v>
      </c>
      <c r="B4079" s="1">
        <v>45827</v>
      </c>
      <c r="C4079" s="4">
        <f>MONTH(datos_ventas[[#This Row],[Fecha]])</f>
        <v>6</v>
      </c>
      <c r="D4079" s="4">
        <f>WEEKNUM(datos_ventas[[#This Row],[Fecha]],2)</f>
        <v>25</v>
      </c>
      <c r="E4079" t="s">
        <v>20</v>
      </c>
      <c r="F4079" t="s">
        <v>21</v>
      </c>
      <c r="G4079">
        <v>2</v>
      </c>
      <c r="H4079">
        <v>65128</v>
      </c>
      <c r="I4079">
        <v>893</v>
      </c>
      <c r="J4079" t="s">
        <v>31</v>
      </c>
      <c r="K4079" t="str">
        <f>_xlfn.XLOOKUP(datos_ventas[[#This Row],[Ciudad]],Tabla2[Ciudades],Tabla2[Provincias],"no se encuentra")</f>
        <v>Vizcaya</v>
      </c>
      <c r="L4079" t="str">
        <f>_xlfn.XLOOKUP(datos_ventas[[#This Row],[Provincia]],Tabla2[Provincias],Tabla2[Comunidades],"no se encuentra")</f>
        <v>País Vasco</v>
      </c>
      <c r="M4079" t="s">
        <v>28</v>
      </c>
      <c r="N4079">
        <v>2</v>
      </c>
    </row>
    <row r="4080" spans="1:14" x14ac:dyDescent="0.25">
      <c r="A4080">
        <v>5079</v>
      </c>
      <c r="B4080" s="1">
        <v>45866</v>
      </c>
      <c r="C4080" s="4">
        <f>MONTH(datos_ventas[[#This Row],[Fecha]])</f>
        <v>7</v>
      </c>
      <c r="D4080" s="4">
        <f>WEEKNUM(datos_ventas[[#This Row],[Fecha]],2)</f>
        <v>31</v>
      </c>
      <c r="E4080" t="s">
        <v>20</v>
      </c>
      <c r="F4080" t="s">
        <v>21</v>
      </c>
      <c r="G4080">
        <v>1</v>
      </c>
      <c r="H4080">
        <v>82342</v>
      </c>
      <c r="I4080">
        <v>2891</v>
      </c>
      <c r="J4080" t="s">
        <v>22</v>
      </c>
      <c r="K4080" t="str">
        <f>_xlfn.XLOOKUP(datos_ventas[[#This Row],[Ciudad]],Tabla2[Ciudades],Tabla2[Provincias],"no se encuentra")</f>
        <v>Valencia</v>
      </c>
      <c r="L4080" t="str">
        <f>_xlfn.XLOOKUP(datos_ventas[[#This Row],[Provincia]],Tabla2[Provincias],Tabla2[Comunidades],"no se encuentra")</f>
        <v>Comunidad Valenciana</v>
      </c>
      <c r="M4080" t="s">
        <v>13</v>
      </c>
      <c r="N4080">
        <v>5</v>
      </c>
    </row>
    <row r="4081" spans="1:14" x14ac:dyDescent="0.25">
      <c r="A4081">
        <v>5080</v>
      </c>
      <c r="B4081" s="1">
        <v>45740</v>
      </c>
      <c r="C4081" s="4">
        <f>MONTH(datos_ventas[[#This Row],[Fecha]])</f>
        <v>3</v>
      </c>
      <c r="D4081" s="4">
        <f>WEEKNUM(datos_ventas[[#This Row],[Fecha]],2)</f>
        <v>13</v>
      </c>
      <c r="E4081" t="s">
        <v>10</v>
      </c>
      <c r="F4081" t="s">
        <v>11</v>
      </c>
      <c r="G4081">
        <v>4</v>
      </c>
      <c r="H4081">
        <v>33336</v>
      </c>
      <c r="I4081">
        <v>227</v>
      </c>
      <c r="J4081" t="s">
        <v>14</v>
      </c>
      <c r="K4081" t="str">
        <f>_xlfn.XLOOKUP(datos_ventas[[#This Row],[Ciudad]],Tabla2[Ciudades],Tabla2[Provincias],"no se encuentra")</f>
        <v>Madrid</v>
      </c>
      <c r="L4081" t="str">
        <f>_xlfn.XLOOKUP(datos_ventas[[#This Row],[Provincia]],Tabla2[Provincias],Tabla2[Comunidades],"no se encuentra")</f>
        <v>Comunidad de Madrid</v>
      </c>
      <c r="M4081" t="s">
        <v>28</v>
      </c>
      <c r="N4081">
        <v>5</v>
      </c>
    </row>
    <row r="4082" spans="1:14" x14ac:dyDescent="0.25">
      <c r="A4082">
        <v>5081</v>
      </c>
      <c r="B4082" s="1">
        <v>45714</v>
      </c>
      <c r="C4082" s="4">
        <f>MONTH(datos_ventas[[#This Row],[Fecha]])</f>
        <v>2</v>
      </c>
      <c r="D4082" s="4">
        <f>WEEKNUM(datos_ventas[[#This Row],[Fecha]],2)</f>
        <v>9</v>
      </c>
      <c r="E4082" t="s">
        <v>29</v>
      </c>
      <c r="F4082" t="s">
        <v>30</v>
      </c>
      <c r="G4082">
        <v>5</v>
      </c>
      <c r="H4082">
        <v>37399</v>
      </c>
      <c r="I4082">
        <v>598</v>
      </c>
      <c r="J4082" t="s">
        <v>14</v>
      </c>
      <c r="K4082" t="str">
        <f>_xlfn.XLOOKUP(datos_ventas[[#This Row],[Ciudad]],Tabla2[Ciudades],Tabla2[Provincias],"no se encuentra")</f>
        <v>Madrid</v>
      </c>
      <c r="L4082" t="str">
        <f>_xlfn.XLOOKUP(datos_ventas[[#This Row],[Provincia]],Tabla2[Provincias],Tabla2[Comunidades],"no se encuentra")</f>
        <v>Comunidad de Madrid</v>
      </c>
      <c r="M4082" t="s">
        <v>15</v>
      </c>
      <c r="N4082">
        <v>3</v>
      </c>
    </row>
    <row r="4083" spans="1:14" x14ac:dyDescent="0.25">
      <c r="A4083">
        <v>5082</v>
      </c>
      <c r="B4083" s="1">
        <v>45728</v>
      </c>
      <c r="C4083" s="4">
        <f>MONTH(datos_ventas[[#This Row],[Fecha]])</f>
        <v>3</v>
      </c>
      <c r="D4083" s="4">
        <f>WEEKNUM(datos_ventas[[#This Row],[Fecha]],2)</f>
        <v>11</v>
      </c>
      <c r="E4083" t="s">
        <v>20</v>
      </c>
      <c r="F4083" t="s">
        <v>21</v>
      </c>
      <c r="G4083">
        <v>2</v>
      </c>
      <c r="H4083">
        <v>87119</v>
      </c>
      <c r="I4083">
        <v>3391</v>
      </c>
      <c r="J4083" t="s">
        <v>32</v>
      </c>
      <c r="K4083" t="str">
        <f>_xlfn.XLOOKUP(datos_ventas[[#This Row],[Ciudad]],Tabla2[Ciudades],Tabla2[Provincias],"no se encuentra")</f>
        <v>Barcelona</v>
      </c>
      <c r="L4083" t="str">
        <f>_xlfn.XLOOKUP(datos_ventas[[#This Row],[Provincia]],Tabla2[Provincias],Tabla2[Comunidades],"no se encuentra")</f>
        <v>Cataluña</v>
      </c>
      <c r="M4083" t="s">
        <v>13</v>
      </c>
      <c r="N4083">
        <v>3</v>
      </c>
    </row>
    <row r="4084" spans="1:14" x14ac:dyDescent="0.25">
      <c r="A4084">
        <v>5083</v>
      </c>
      <c r="B4084" s="1">
        <v>45887</v>
      </c>
      <c r="C4084" s="4">
        <f>MONTH(datos_ventas[[#This Row],[Fecha]])</f>
        <v>8</v>
      </c>
      <c r="D4084" s="4">
        <f>WEEKNUM(datos_ventas[[#This Row],[Fecha]],2)</f>
        <v>34</v>
      </c>
      <c r="E4084" t="s">
        <v>16</v>
      </c>
      <c r="F4084" t="s">
        <v>11</v>
      </c>
      <c r="G4084">
        <v>4</v>
      </c>
      <c r="H4084">
        <v>83245</v>
      </c>
      <c r="I4084">
        <v>1475</v>
      </c>
      <c r="J4084" t="s">
        <v>27</v>
      </c>
      <c r="K4084" t="str">
        <f>_xlfn.XLOOKUP(datos_ventas[[#This Row],[Ciudad]],Tabla2[Ciudades],Tabla2[Provincias],"no se encuentra")</f>
        <v>Sevilla</v>
      </c>
      <c r="L4084" t="str">
        <f>_xlfn.XLOOKUP(datos_ventas[[#This Row],[Provincia]],Tabla2[Provincias],Tabla2[Comunidades],"no se encuentra")</f>
        <v>Andalucía</v>
      </c>
      <c r="M4084" t="s">
        <v>13</v>
      </c>
      <c r="N4084">
        <v>1</v>
      </c>
    </row>
    <row r="4085" spans="1:14" x14ac:dyDescent="0.25">
      <c r="A4085">
        <v>5084</v>
      </c>
      <c r="B4085" s="1">
        <v>45839</v>
      </c>
      <c r="C4085" s="4">
        <f>MONTH(datos_ventas[[#This Row],[Fecha]])</f>
        <v>7</v>
      </c>
      <c r="D4085" s="4">
        <f>WEEKNUM(datos_ventas[[#This Row],[Fecha]],2)</f>
        <v>27</v>
      </c>
      <c r="E4085" t="s">
        <v>24</v>
      </c>
      <c r="F4085" t="s">
        <v>25</v>
      </c>
      <c r="G4085">
        <v>3</v>
      </c>
      <c r="H4085">
        <v>2109</v>
      </c>
      <c r="I4085">
        <v>367</v>
      </c>
      <c r="J4085" t="s">
        <v>27</v>
      </c>
      <c r="K4085" t="str">
        <f>_xlfn.XLOOKUP(datos_ventas[[#This Row],[Ciudad]],Tabla2[Ciudades],Tabla2[Provincias],"no se encuentra")</f>
        <v>Sevilla</v>
      </c>
      <c r="L4085" t="str">
        <f>_xlfn.XLOOKUP(datos_ventas[[#This Row],[Provincia]],Tabla2[Provincias],Tabla2[Comunidades],"no se encuentra")</f>
        <v>Andalucía</v>
      </c>
      <c r="M4085" t="s">
        <v>13</v>
      </c>
      <c r="N4085">
        <v>1</v>
      </c>
    </row>
    <row r="4086" spans="1:14" x14ac:dyDescent="0.25">
      <c r="A4086">
        <v>5085</v>
      </c>
      <c r="B4086" s="1">
        <v>45714</v>
      </c>
      <c r="C4086" s="4">
        <f>MONTH(datos_ventas[[#This Row],[Fecha]])</f>
        <v>2</v>
      </c>
      <c r="D4086" s="4">
        <f>WEEKNUM(datos_ventas[[#This Row],[Fecha]],2)</f>
        <v>9</v>
      </c>
      <c r="E4086" t="s">
        <v>26</v>
      </c>
      <c r="F4086" t="s">
        <v>18</v>
      </c>
      <c r="G4086">
        <v>1</v>
      </c>
      <c r="H4086">
        <v>11391</v>
      </c>
      <c r="I4086">
        <v>526</v>
      </c>
      <c r="J4086" t="s">
        <v>22</v>
      </c>
      <c r="K4086" t="str">
        <f>_xlfn.XLOOKUP(datos_ventas[[#This Row],[Ciudad]],Tabla2[Ciudades],Tabla2[Provincias],"no se encuentra")</f>
        <v>Valencia</v>
      </c>
      <c r="L4086" t="str">
        <f>_xlfn.XLOOKUP(datos_ventas[[#This Row],[Provincia]],Tabla2[Provincias],Tabla2[Comunidades],"no se encuentra")</f>
        <v>Comunidad Valenciana</v>
      </c>
      <c r="M4086" t="s">
        <v>19</v>
      </c>
      <c r="N4086">
        <v>2</v>
      </c>
    </row>
    <row r="4087" spans="1:14" x14ac:dyDescent="0.25">
      <c r="A4087">
        <v>5086</v>
      </c>
      <c r="B4087" s="1">
        <v>45893</v>
      </c>
      <c r="C4087" s="4">
        <f>MONTH(datos_ventas[[#This Row],[Fecha]])</f>
        <v>8</v>
      </c>
      <c r="D4087" s="4">
        <f>WEEKNUM(datos_ventas[[#This Row],[Fecha]],2)</f>
        <v>34</v>
      </c>
      <c r="E4087" t="s">
        <v>24</v>
      </c>
      <c r="F4087" t="s">
        <v>25</v>
      </c>
      <c r="G4087">
        <v>4</v>
      </c>
      <c r="H4087">
        <v>71178</v>
      </c>
      <c r="I4087">
        <v>3531</v>
      </c>
      <c r="J4087" t="s">
        <v>12</v>
      </c>
      <c r="K4087" t="str">
        <f>_xlfn.XLOOKUP(datos_ventas[[#This Row],[Ciudad]],Tabla2[Ciudades],Tabla2[Provincias],"no se encuentra")</f>
        <v>Málaga</v>
      </c>
      <c r="L4087" t="str">
        <f>_xlfn.XLOOKUP(datos_ventas[[#This Row],[Provincia]],Tabla2[Provincias],Tabla2[Comunidades],"no se encuentra")</f>
        <v>Andalucía</v>
      </c>
      <c r="M4087" t="s">
        <v>28</v>
      </c>
      <c r="N4087">
        <v>3</v>
      </c>
    </row>
    <row r="4088" spans="1:14" x14ac:dyDescent="0.25">
      <c r="A4088">
        <v>5087</v>
      </c>
      <c r="B4088" s="1">
        <v>46022</v>
      </c>
      <c r="C4088" s="4">
        <f>MONTH(datos_ventas[[#This Row],[Fecha]])</f>
        <v>12</v>
      </c>
      <c r="D4088" s="4">
        <f>WEEKNUM(datos_ventas[[#This Row],[Fecha]],2)</f>
        <v>53</v>
      </c>
      <c r="E4088" t="s">
        <v>23</v>
      </c>
      <c r="F4088" t="s">
        <v>18</v>
      </c>
      <c r="G4088">
        <v>1</v>
      </c>
      <c r="H4088">
        <v>2135</v>
      </c>
      <c r="I4088">
        <v>441</v>
      </c>
      <c r="J4088" t="s">
        <v>32</v>
      </c>
      <c r="K4088" t="str">
        <f>_xlfn.XLOOKUP(datos_ventas[[#This Row],[Ciudad]],Tabla2[Ciudades],Tabla2[Provincias],"no se encuentra")</f>
        <v>Barcelona</v>
      </c>
      <c r="L4088" t="str">
        <f>_xlfn.XLOOKUP(datos_ventas[[#This Row],[Provincia]],Tabla2[Provincias],Tabla2[Comunidades],"no se encuentra")</f>
        <v>Cataluña</v>
      </c>
      <c r="M4088" t="s">
        <v>15</v>
      </c>
      <c r="N4088">
        <v>4</v>
      </c>
    </row>
    <row r="4089" spans="1:14" x14ac:dyDescent="0.25">
      <c r="A4089">
        <v>5088</v>
      </c>
      <c r="B4089" s="1">
        <v>45791</v>
      </c>
      <c r="C4089" s="4">
        <f>MONTH(datos_ventas[[#This Row],[Fecha]])</f>
        <v>5</v>
      </c>
      <c r="D4089" s="4">
        <f>WEEKNUM(datos_ventas[[#This Row],[Fecha]],2)</f>
        <v>20</v>
      </c>
      <c r="E4089" t="s">
        <v>17</v>
      </c>
      <c r="F4089" t="s">
        <v>18</v>
      </c>
      <c r="G4089">
        <v>3</v>
      </c>
      <c r="H4089">
        <v>28108</v>
      </c>
      <c r="I4089">
        <v>914</v>
      </c>
      <c r="J4089" t="s">
        <v>27</v>
      </c>
      <c r="K4089" t="str">
        <f>_xlfn.XLOOKUP(datos_ventas[[#This Row],[Ciudad]],Tabla2[Ciudades],Tabla2[Provincias],"no se encuentra")</f>
        <v>Sevilla</v>
      </c>
      <c r="L4089" t="str">
        <f>_xlfn.XLOOKUP(datos_ventas[[#This Row],[Provincia]],Tabla2[Provincias],Tabla2[Comunidades],"no se encuentra")</f>
        <v>Andalucía</v>
      </c>
      <c r="M4089" t="s">
        <v>15</v>
      </c>
      <c r="N4089">
        <v>3</v>
      </c>
    </row>
    <row r="4090" spans="1:14" x14ac:dyDescent="0.25">
      <c r="A4090">
        <v>5089</v>
      </c>
      <c r="B4090" s="1">
        <v>45868</v>
      </c>
      <c r="C4090" s="4">
        <f>MONTH(datos_ventas[[#This Row],[Fecha]])</f>
        <v>7</v>
      </c>
      <c r="D4090" s="4">
        <f>WEEKNUM(datos_ventas[[#This Row],[Fecha]],2)</f>
        <v>31</v>
      </c>
      <c r="E4090" t="s">
        <v>24</v>
      </c>
      <c r="F4090" t="s">
        <v>25</v>
      </c>
      <c r="G4090">
        <v>1</v>
      </c>
      <c r="H4090">
        <v>68279</v>
      </c>
      <c r="I4090">
        <v>1367</v>
      </c>
      <c r="J4090" t="s">
        <v>14</v>
      </c>
      <c r="K4090" t="str">
        <f>_xlfn.XLOOKUP(datos_ventas[[#This Row],[Ciudad]],Tabla2[Ciudades],Tabla2[Provincias],"no se encuentra")</f>
        <v>Madrid</v>
      </c>
      <c r="L4090" t="str">
        <f>_xlfn.XLOOKUP(datos_ventas[[#This Row],[Provincia]],Tabla2[Provincias],Tabla2[Comunidades],"no se encuentra")</f>
        <v>Comunidad de Madrid</v>
      </c>
      <c r="M4090" t="s">
        <v>28</v>
      </c>
      <c r="N4090">
        <v>3</v>
      </c>
    </row>
    <row r="4091" spans="1:14" x14ac:dyDescent="0.25">
      <c r="A4091">
        <v>5090</v>
      </c>
      <c r="B4091" s="1">
        <v>45712</v>
      </c>
      <c r="C4091" s="4">
        <f>MONTH(datos_ventas[[#This Row],[Fecha]])</f>
        <v>2</v>
      </c>
      <c r="D4091" s="4">
        <f>WEEKNUM(datos_ventas[[#This Row],[Fecha]],2)</f>
        <v>9</v>
      </c>
      <c r="E4091" t="s">
        <v>23</v>
      </c>
      <c r="F4091" t="s">
        <v>18</v>
      </c>
      <c r="G4091">
        <v>5</v>
      </c>
      <c r="H4091">
        <v>114008</v>
      </c>
      <c r="I4091">
        <v>4331</v>
      </c>
      <c r="J4091" t="s">
        <v>22</v>
      </c>
      <c r="K4091" t="str">
        <f>_xlfn.XLOOKUP(datos_ventas[[#This Row],[Ciudad]],Tabla2[Ciudades],Tabla2[Provincias],"no se encuentra")</f>
        <v>Valencia</v>
      </c>
      <c r="L4091" t="str">
        <f>_xlfn.XLOOKUP(datos_ventas[[#This Row],[Provincia]],Tabla2[Provincias],Tabla2[Comunidades],"no se encuentra")</f>
        <v>Comunidad Valenciana</v>
      </c>
      <c r="M4091" t="s">
        <v>13</v>
      </c>
      <c r="N4091">
        <v>5</v>
      </c>
    </row>
    <row r="4092" spans="1:14" x14ac:dyDescent="0.25">
      <c r="A4092">
        <v>5091</v>
      </c>
      <c r="B4092" s="1">
        <v>45674</v>
      </c>
      <c r="C4092" s="4">
        <f>MONTH(datos_ventas[[#This Row],[Fecha]])</f>
        <v>1</v>
      </c>
      <c r="D4092" s="4">
        <f>WEEKNUM(datos_ventas[[#This Row],[Fecha]],2)</f>
        <v>3</v>
      </c>
      <c r="E4092" t="s">
        <v>17</v>
      </c>
      <c r="F4092" t="s">
        <v>18</v>
      </c>
      <c r="G4092">
        <v>5</v>
      </c>
      <c r="H4092">
        <v>100629</v>
      </c>
      <c r="I4092">
        <v>2656</v>
      </c>
      <c r="J4092" t="s">
        <v>32</v>
      </c>
      <c r="K4092" t="str">
        <f>_xlfn.XLOOKUP(datos_ventas[[#This Row],[Ciudad]],Tabla2[Ciudades],Tabla2[Provincias],"no se encuentra")</f>
        <v>Barcelona</v>
      </c>
      <c r="L4092" t="str">
        <f>_xlfn.XLOOKUP(datos_ventas[[#This Row],[Provincia]],Tabla2[Provincias],Tabla2[Comunidades],"no se encuentra")</f>
        <v>Cataluña</v>
      </c>
      <c r="M4092" t="s">
        <v>28</v>
      </c>
      <c r="N4092">
        <v>2</v>
      </c>
    </row>
    <row r="4093" spans="1:14" x14ac:dyDescent="0.25">
      <c r="A4093">
        <v>5092</v>
      </c>
      <c r="B4093" s="1">
        <v>45662</v>
      </c>
      <c r="C4093" s="4">
        <f>MONTH(datos_ventas[[#This Row],[Fecha]])</f>
        <v>1</v>
      </c>
      <c r="D4093" s="4">
        <f>WEEKNUM(datos_ventas[[#This Row],[Fecha]],2)</f>
        <v>1</v>
      </c>
      <c r="E4093" t="s">
        <v>20</v>
      </c>
      <c r="F4093" t="s">
        <v>21</v>
      </c>
      <c r="G4093">
        <v>5</v>
      </c>
      <c r="H4093">
        <v>65718</v>
      </c>
      <c r="I4093">
        <v>2083</v>
      </c>
      <c r="J4093" t="s">
        <v>12</v>
      </c>
      <c r="K4093" t="str">
        <f>_xlfn.XLOOKUP(datos_ventas[[#This Row],[Ciudad]],Tabla2[Ciudades],Tabla2[Provincias],"no se encuentra")</f>
        <v>Málaga</v>
      </c>
      <c r="L4093" t="str">
        <f>_xlfn.XLOOKUP(datos_ventas[[#This Row],[Provincia]],Tabla2[Provincias],Tabla2[Comunidades],"no se encuentra")</f>
        <v>Andalucía</v>
      </c>
      <c r="M4093" t="s">
        <v>19</v>
      </c>
      <c r="N4093">
        <v>2</v>
      </c>
    </row>
    <row r="4094" spans="1:14" x14ac:dyDescent="0.25">
      <c r="A4094">
        <v>5093</v>
      </c>
      <c r="B4094" s="1">
        <v>45832</v>
      </c>
      <c r="C4094" s="4">
        <f>MONTH(datos_ventas[[#This Row],[Fecha]])</f>
        <v>6</v>
      </c>
      <c r="D4094" s="4">
        <f>WEEKNUM(datos_ventas[[#This Row],[Fecha]],2)</f>
        <v>26</v>
      </c>
      <c r="E4094" t="s">
        <v>24</v>
      </c>
      <c r="F4094" t="s">
        <v>25</v>
      </c>
      <c r="G4094">
        <v>2</v>
      </c>
      <c r="H4094">
        <v>59014</v>
      </c>
      <c r="I4094">
        <v>2021</v>
      </c>
      <c r="J4094" t="s">
        <v>14</v>
      </c>
      <c r="K4094" t="str">
        <f>_xlfn.XLOOKUP(datos_ventas[[#This Row],[Ciudad]],Tabla2[Ciudades],Tabla2[Provincias],"no se encuentra")</f>
        <v>Madrid</v>
      </c>
      <c r="L4094" t="str">
        <f>_xlfn.XLOOKUP(datos_ventas[[#This Row],[Provincia]],Tabla2[Provincias],Tabla2[Comunidades],"no se encuentra")</f>
        <v>Comunidad de Madrid</v>
      </c>
      <c r="M4094" t="s">
        <v>15</v>
      </c>
      <c r="N4094">
        <v>4</v>
      </c>
    </row>
    <row r="4095" spans="1:14" x14ac:dyDescent="0.25">
      <c r="A4095">
        <v>5094</v>
      </c>
      <c r="B4095" s="1">
        <v>46003</v>
      </c>
      <c r="C4095" s="4">
        <f>MONTH(datos_ventas[[#This Row],[Fecha]])</f>
        <v>12</v>
      </c>
      <c r="D4095" s="4">
        <f>WEEKNUM(datos_ventas[[#This Row],[Fecha]],2)</f>
        <v>50</v>
      </c>
      <c r="E4095" t="s">
        <v>26</v>
      </c>
      <c r="F4095" t="s">
        <v>18</v>
      </c>
      <c r="G4095">
        <v>3</v>
      </c>
      <c r="H4095">
        <v>4019</v>
      </c>
      <c r="I4095">
        <v>1051</v>
      </c>
      <c r="J4095" t="s">
        <v>32</v>
      </c>
      <c r="K4095" t="str">
        <f>_xlfn.XLOOKUP(datos_ventas[[#This Row],[Ciudad]],Tabla2[Ciudades],Tabla2[Provincias],"no se encuentra")</f>
        <v>Barcelona</v>
      </c>
      <c r="L4095" t="str">
        <f>_xlfn.XLOOKUP(datos_ventas[[#This Row],[Provincia]],Tabla2[Provincias],Tabla2[Comunidades],"no se encuentra")</f>
        <v>Cataluña</v>
      </c>
      <c r="M4095" t="s">
        <v>28</v>
      </c>
      <c r="N4095">
        <v>4</v>
      </c>
    </row>
    <row r="4096" spans="1:14" x14ac:dyDescent="0.25">
      <c r="A4096">
        <v>5095</v>
      </c>
      <c r="B4096" s="1">
        <v>45819</v>
      </c>
      <c r="C4096" s="4">
        <f>MONTH(datos_ventas[[#This Row],[Fecha]])</f>
        <v>6</v>
      </c>
      <c r="D4096" s="4">
        <f>WEEKNUM(datos_ventas[[#This Row],[Fecha]],2)</f>
        <v>24</v>
      </c>
      <c r="E4096" t="s">
        <v>10</v>
      </c>
      <c r="F4096" t="s">
        <v>11</v>
      </c>
      <c r="G4096">
        <v>3</v>
      </c>
      <c r="H4096">
        <v>85211</v>
      </c>
      <c r="I4096">
        <v>3265</v>
      </c>
      <c r="J4096" t="s">
        <v>22</v>
      </c>
      <c r="K4096" t="str">
        <f>_xlfn.XLOOKUP(datos_ventas[[#This Row],[Ciudad]],Tabla2[Ciudades],Tabla2[Provincias],"no se encuentra")</f>
        <v>Valencia</v>
      </c>
      <c r="L4096" t="str">
        <f>_xlfn.XLOOKUP(datos_ventas[[#This Row],[Provincia]],Tabla2[Provincias],Tabla2[Comunidades],"no se encuentra")</f>
        <v>Comunidad Valenciana</v>
      </c>
      <c r="M4096" t="s">
        <v>19</v>
      </c>
      <c r="N4096">
        <v>2</v>
      </c>
    </row>
    <row r="4097" spans="1:14" x14ac:dyDescent="0.25">
      <c r="A4097">
        <v>5096</v>
      </c>
      <c r="B4097" s="1">
        <v>45977</v>
      </c>
      <c r="C4097" s="4">
        <f>MONTH(datos_ventas[[#This Row],[Fecha]])</f>
        <v>11</v>
      </c>
      <c r="D4097" s="4">
        <f>WEEKNUM(datos_ventas[[#This Row],[Fecha]],2)</f>
        <v>46</v>
      </c>
      <c r="E4097" t="s">
        <v>10</v>
      </c>
      <c r="F4097" t="s">
        <v>11</v>
      </c>
      <c r="G4097">
        <v>5</v>
      </c>
      <c r="H4097">
        <v>29102</v>
      </c>
      <c r="I4097">
        <v>3631</v>
      </c>
      <c r="J4097" t="s">
        <v>12</v>
      </c>
      <c r="K4097" t="str">
        <f>_xlfn.XLOOKUP(datos_ventas[[#This Row],[Ciudad]],Tabla2[Ciudades],Tabla2[Provincias],"no se encuentra")</f>
        <v>Málaga</v>
      </c>
      <c r="L4097" t="str">
        <f>_xlfn.XLOOKUP(datos_ventas[[#This Row],[Provincia]],Tabla2[Provincias],Tabla2[Comunidades],"no se encuentra")</f>
        <v>Andalucía</v>
      </c>
      <c r="M4097" t="s">
        <v>15</v>
      </c>
      <c r="N4097">
        <v>4</v>
      </c>
    </row>
    <row r="4098" spans="1:14" x14ac:dyDescent="0.25">
      <c r="A4098">
        <v>5097</v>
      </c>
      <c r="B4098" s="1">
        <v>45833</v>
      </c>
      <c r="C4098" s="4">
        <f>MONTH(datos_ventas[[#This Row],[Fecha]])</f>
        <v>6</v>
      </c>
      <c r="D4098" s="4">
        <f>WEEKNUM(datos_ventas[[#This Row],[Fecha]],2)</f>
        <v>26</v>
      </c>
      <c r="E4098" t="s">
        <v>23</v>
      </c>
      <c r="F4098" t="s">
        <v>18</v>
      </c>
      <c r="G4098">
        <v>4</v>
      </c>
      <c r="H4098">
        <v>91464</v>
      </c>
      <c r="I4098">
        <v>2177</v>
      </c>
      <c r="J4098" t="s">
        <v>27</v>
      </c>
      <c r="K4098" t="str">
        <f>_xlfn.XLOOKUP(datos_ventas[[#This Row],[Ciudad]],Tabla2[Ciudades],Tabla2[Provincias],"no se encuentra")</f>
        <v>Sevilla</v>
      </c>
      <c r="L4098" t="str">
        <f>_xlfn.XLOOKUP(datos_ventas[[#This Row],[Provincia]],Tabla2[Provincias],Tabla2[Comunidades],"no se encuentra")</f>
        <v>Andalucía</v>
      </c>
      <c r="M4098" t="s">
        <v>19</v>
      </c>
      <c r="N4098">
        <v>4</v>
      </c>
    </row>
    <row r="4099" spans="1:14" x14ac:dyDescent="0.25">
      <c r="A4099">
        <v>5098</v>
      </c>
      <c r="B4099" s="1">
        <v>46019</v>
      </c>
      <c r="C4099" s="4">
        <f>MONTH(datos_ventas[[#This Row],[Fecha]])</f>
        <v>12</v>
      </c>
      <c r="D4099" s="4">
        <f>WEEKNUM(datos_ventas[[#This Row],[Fecha]],2)</f>
        <v>52</v>
      </c>
      <c r="E4099" t="s">
        <v>17</v>
      </c>
      <c r="F4099" t="s">
        <v>18</v>
      </c>
      <c r="G4099">
        <v>2</v>
      </c>
      <c r="H4099">
        <v>23325</v>
      </c>
      <c r="I4099">
        <v>3666</v>
      </c>
      <c r="J4099" t="s">
        <v>14</v>
      </c>
      <c r="K4099" t="str">
        <f>_xlfn.XLOOKUP(datos_ventas[[#This Row],[Ciudad]],Tabla2[Ciudades],Tabla2[Provincias],"no se encuentra")</f>
        <v>Madrid</v>
      </c>
      <c r="L4099" t="str">
        <f>_xlfn.XLOOKUP(datos_ventas[[#This Row],[Provincia]],Tabla2[Provincias],Tabla2[Comunidades],"no se encuentra")</f>
        <v>Comunidad de Madrid</v>
      </c>
      <c r="M4099" t="s">
        <v>13</v>
      </c>
      <c r="N4099">
        <v>2</v>
      </c>
    </row>
    <row r="4100" spans="1:14" x14ac:dyDescent="0.25">
      <c r="A4100">
        <v>5099</v>
      </c>
      <c r="B4100" s="1">
        <v>45879</v>
      </c>
      <c r="C4100" s="4">
        <f>MONTH(datos_ventas[[#This Row],[Fecha]])</f>
        <v>8</v>
      </c>
      <c r="D4100" s="4">
        <f>WEEKNUM(datos_ventas[[#This Row],[Fecha]],2)</f>
        <v>32</v>
      </c>
      <c r="E4100" t="s">
        <v>16</v>
      </c>
      <c r="F4100" t="s">
        <v>11</v>
      </c>
      <c r="G4100">
        <v>5</v>
      </c>
      <c r="H4100">
        <v>62149</v>
      </c>
      <c r="I4100">
        <v>4414</v>
      </c>
      <c r="J4100" t="s">
        <v>22</v>
      </c>
      <c r="K4100" t="str">
        <f>_xlfn.XLOOKUP(datos_ventas[[#This Row],[Ciudad]],Tabla2[Ciudades],Tabla2[Provincias],"no se encuentra")</f>
        <v>Valencia</v>
      </c>
      <c r="L4100" t="str">
        <f>_xlfn.XLOOKUP(datos_ventas[[#This Row],[Provincia]],Tabla2[Provincias],Tabla2[Comunidades],"no se encuentra")</f>
        <v>Comunidad Valenciana</v>
      </c>
      <c r="M4100" t="s">
        <v>19</v>
      </c>
      <c r="N4100">
        <v>1</v>
      </c>
    </row>
    <row r="4101" spans="1:14" x14ac:dyDescent="0.25">
      <c r="A4101">
        <v>5100</v>
      </c>
      <c r="B4101" s="1">
        <v>45815</v>
      </c>
      <c r="C4101" s="4">
        <f>MONTH(datos_ventas[[#This Row],[Fecha]])</f>
        <v>6</v>
      </c>
      <c r="D4101" s="4">
        <f>WEEKNUM(datos_ventas[[#This Row],[Fecha]],2)</f>
        <v>23</v>
      </c>
      <c r="E4101" t="s">
        <v>29</v>
      </c>
      <c r="F4101" t="s">
        <v>30</v>
      </c>
      <c r="G4101">
        <v>3</v>
      </c>
      <c r="H4101">
        <v>43984</v>
      </c>
      <c r="I4101">
        <v>2197</v>
      </c>
      <c r="J4101" t="s">
        <v>12</v>
      </c>
      <c r="K4101" t="str">
        <f>_xlfn.XLOOKUP(datos_ventas[[#This Row],[Ciudad]],Tabla2[Ciudades],Tabla2[Provincias],"no se encuentra")</f>
        <v>Málaga</v>
      </c>
      <c r="L4101" t="str">
        <f>_xlfn.XLOOKUP(datos_ventas[[#This Row],[Provincia]],Tabla2[Provincias],Tabla2[Comunidades],"no se encuentra")</f>
        <v>Andalucía</v>
      </c>
      <c r="M4101" t="s">
        <v>15</v>
      </c>
      <c r="N4101">
        <v>2</v>
      </c>
    </row>
    <row r="4102" spans="1:14" x14ac:dyDescent="0.25">
      <c r="A4102">
        <v>5101</v>
      </c>
      <c r="B4102" s="1">
        <v>45705</v>
      </c>
      <c r="C4102" s="4">
        <f>MONTH(datos_ventas[[#This Row],[Fecha]])</f>
        <v>2</v>
      </c>
      <c r="D4102" s="4">
        <f>WEEKNUM(datos_ventas[[#This Row],[Fecha]],2)</f>
        <v>8</v>
      </c>
      <c r="E4102" t="s">
        <v>26</v>
      </c>
      <c r="F4102" t="s">
        <v>18</v>
      </c>
      <c r="G4102">
        <v>5</v>
      </c>
      <c r="H4102">
        <v>7353</v>
      </c>
      <c r="I4102">
        <v>4012</v>
      </c>
      <c r="J4102" t="s">
        <v>27</v>
      </c>
      <c r="K4102" t="str">
        <f>_xlfn.XLOOKUP(datos_ventas[[#This Row],[Ciudad]],Tabla2[Ciudades],Tabla2[Provincias],"no se encuentra")</f>
        <v>Sevilla</v>
      </c>
      <c r="L4102" t="str">
        <f>_xlfn.XLOOKUP(datos_ventas[[#This Row],[Provincia]],Tabla2[Provincias],Tabla2[Comunidades],"no se encuentra")</f>
        <v>Andalucía</v>
      </c>
      <c r="M4102" t="s">
        <v>19</v>
      </c>
      <c r="N4102">
        <v>5</v>
      </c>
    </row>
    <row r="4103" spans="1:14" x14ac:dyDescent="0.25">
      <c r="A4103">
        <v>5102</v>
      </c>
      <c r="B4103" s="1">
        <v>45859</v>
      </c>
      <c r="C4103" s="4">
        <f>MONTH(datos_ventas[[#This Row],[Fecha]])</f>
        <v>7</v>
      </c>
      <c r="D4103" s="4">
        <f>WEEKNUM(datos_ventas[[#This Row],[Fecha]],2)</f>
        <v>30</v>
      </c>
      <c r="E4103" t="s">
        <v>24</v>
      </c>
      <c r="F4103" t="s">
        <v>25</v>
      </c>
      <c r="G4103">
        <v>1</v>
      </c>
      <c r="H4103">
        <v>117576</v>
      </c>
      <c r="I4103">
        <v>1789</v>
      </c>
      <c r="J4103" t="s">
        <v>31</v>
      </c>
      <c r="K4103" t="str">
        <f>_xlfn.XLOOKUP(datos_ventas[[#This Row],[Ciudad]],Tabla2[Ciudades],Tabla2[Provincias],"no se encuentra")</f>
        <v>Vizcaya</v>
      </c>
      <c r="L4103" t="str">
        <f>_xlfn.XLOOKUP(datos_ventas[[#This Row],[Provincia]],Tabla2[Provincias],Tabla2[Comunidades],"no se encuentra")</f>
        <v>País Vasco</v>
      </c>
      <c r="M4103" t="s">
        <v>13</v>
      </c>
      <c r="N4103">
        <v>5</v>
      </c>
    </row>
    <row r="4104" spans="1:14" x14ac:dyDescent="0.25">
      <c r="A4104">
        <v>5103</v>
      </c>
      <c r="B4104" s="1">
        <v>46004</v>
      </c>
      <c r="C4104" s="4">
        <f>MONTH(datos_ventas[[#This Row],[Fecha]])</f>
        <v>12</v>
      </c>
      <c r="D4104" s="4">
        <f>WEEKNUM(datos_ventas[[#This Row],[Fecha]],2)</f>
        <v>50</v>
      </c>
      <c r="E4104" t="s">
        <v>29</v>
      </c>
      <c r="F4104" t="s">
        <v>30</v>
      </c>
      <c r="G4104">
        <v>3</v>
      </c>
      <c r="H4104">
        <v>54347</v>
      </c>
      <c r="I4104">
        <v>4873</v>
      </c>
      <c r="J4104" t="s">
        <v>22</v>
      </c>
      <c r="K4104" t="str">
        <f>_xlfn.XLOOKUP(datos_ventas[[#This Row],[Ciudad]],Tabla2[Ciudades],Tabla2[Provincias],"no se encuentra")</f>
        <v>Valencia</v>
      </c>
      <c r="L4104" t="str">
        <f>_xlfn.XLOOKUP(datos_ventas[[#This Row],[Provincia]],Tabla2[Provincias],Tabla2[Comunidades],"no se encuentra")</f>
        <v>Comunidad Valenciana</v>
      </c>
      <c r="M4104" t="s">
        <v>28</v>
      </c>
      <c r="N4104">
        <v>5</v>
      </c>
    </row>
    <row r="4105" spans="1:14" x14ac:dyDescent="0.25">
      <c r="A4105">
        <v>5104</v>
      </c>
      <c r="B4105" s="1">
        <v>45692</v>
      </c>
      <c r="C4105" s="4">
        <f>MONTH(datos_ventas[[#This Row],[Fecha]])</f>
        <v>2</v>
      </c>
      <c r="D4105" s="4">
        <f>WEEKNUM(datos_ventas[[#This Row],[Fecha]],2)</f>
        <v>6</v>
      </c>
      <c r="E4105" t="s">
        <v>16</v>
      </c>
      <c r="F4105" t="s">
        <v>11</v>
      </c>
      <c r="G4105">
        <v>5</v>
      </c>
      <c r="H4105">
        <v>7285</v>
      </c>
      <c r="I4105">
        <v>4922</v>
      </c>
      <c r="J4105" t="s">
        <v>12</v>
      </c>
      <c r="K4105" t="str">
        <f>_xlfn.XLOOKUP(datos_ventas[[#This Row],[Ciudad]],Tabla2[Ciudades],Tabla2[Provincias],"no se encuentra")</f>
        <v>Málaga</v>
      </c>
      <c r="L4105" t="str">
        <f>_xlfn.XLOOKUP(datos_ventas[[#This Row],[Provincia]],Tabla2[Provincias],Tabla2[Comunidades],"no se encuentra")</f>
        <v>Andalucía</v>
      </c>
      <c r="M4105" t="s">
        <v>19</v>
      </c>
      <c r="N4105">
        <v>3</v>
      </c>
    </row>
    <row r="4106" spans="1:14" x14ac:dyDescent="0.25">
      <c r="A4106">
        <v>5105</v>
      </c>
      <c r="B4106" s="1">
        <v>45838</v>
      </c>
      <c r="C4106" s="4">
        <f>MONTH(datos_ventas[[#This Row],[Fecha]])</f>
        <v>6</v>
      </c>
      <c r="D4106" s="4">
        <f>WEEKNUM(datos_ventas[[#This Row],[Fecha]],2)</f>
        <v>27</v>
      </c>
      <c r="E4106" t="s">
        <v>26</v>
      </c>
      <c r="F4106" t="s">
        <v>18</v>
      </c>
      <c r="G4106">
        <v>4</v>
      </c>
      <c r="H4106">
        <v>39434</v>
      </c>
      <c r="I4106">
        <v>3954</v>
      </c>
      <c r="J4106" t="s">
        <v>31</v>
      </c>
      <c r="K4106" t="str">
        <f>_xlfn.XLOOKUP(datos_ventas[[#This Row],[Ciudad]],Tabla2[Ciudades],Tabla2[Provincias],"no se encuentra")</f>
        <v>Vizcaya</v>
      </c>
      <c r="L4106" t="str">
        <f>_xlfn.XLOOKUP(datos_ventas[[#This Row],[Provincia]],Tabla2[Provincias],Tabla2[Comunidades],"no se encuentra")</f>
        <v>País Vasco</v>
      </c>
      <c r="M4106" t="s">
        <v>28</v>
      </c>
      <c r="N4106">
        <v>4</v>
      </c>
    </row>
    <row r="4107" spans="1:14" x14ac:dyDescent="0.25">
      <c r="A4107">
        <v>5106</v>
      </c>
      <c r="B4107" s="1">
        <v>45750</v>
      </c>
      <c r="C4107" s="4">
        <f>MONTH(datos_ventas[[#This Row],[Fecha]])</f>
        <v>4</v>
      </c>
      <c r="D4107" s="4">
        <f>WEEKNUM(datos_ventas[[#This Row],[Fecha]],2)</f>
        <v>14</v>
      </c>
      <c r="E4107" t="s">
        <v>20</v>
      </c>
      <c r="F4107" t="s">
        <v>21</v>
      </c>
      <c r="G4107">
        <v>4</v>
      </c>
      <c r="H4107">
        <v>118083</v>
      </c>
      <c r="I4107">
        <v>3684</v>
      </c>
      <c r="J4107" t="s">
        <v>14</v>
      </c>
      <c r="K4107" t="str">
        <f>_xlfn.XLOOKUP(datos_ventas[[#This Row],[Ciudad]],Tabla2[Ciudades],Tabla2[Provincias],"no se encuentra")</f>
        <v>Madrid</v>
      </c>
      <c r="L4107" t="str">
        <f>_xlfn.XLOOKUP(datos_ventas[[#This Row],[Provincia]],Tabla2[Provincias],Tabla2[Comunidades],"no se encuentra")</f>
        <v>Comunidad de Madrid</v>
      </c>
      <c r="M4107" t="s">
        <v>19</v>
      </c>
      <c r="N4107">
        <v>2</v>
      </c>
    </row>
    <row r="4108" spans="1:14" x14ac:dyDescent="0.25">
      <c r="A4108">
        <v>5107</v>
      </c>
      <c r="B4108" s="1">
        <v>45718</v>
      </c>
      <c r="C4108" s="4">
        <f>MONTH(datos_ventas[[#This Row],[Fecha]])</f>
        <v>3</v>
      </c>
      <c r="D4108" s="4">
        <f>WEEKNUM(datos_ventas[[#This Row],[Fecha]],2)</f>
        <v>9</v>
      </c>
      <c r="E4108" t="s">
        <v>23</v>
      </c>
      <c r="F4108" t="s">
        <v>18</v>
      </c>
      <c r="G4108">
        <v>3</v>
      </c>
      <c r="H4108">
        <v>92908</v>
      </c>
      <c r="I4108">
        <v>1768</v>
      </c>
      <c r="J4108" t="s">
        <v>31</v>
      </c>
      <c r="K4108" t="str">
        <f>_xlfn.XLOOKUP(datos_ventas[[#This Row],[Ciudad]],Tabla2[Ciudades],Tabla2[Provincias],"no se encuentra")</f>
        <v>Vizcaya</v>
      </c>
      <c r="L4108" t="str">
        <f>_xlfn.XLOOKUP(datos_ventas[[#This Row],[Provincia]],Tabla2[Provincias],Tabla2[Comunidades],"no se encuentra")</f>
        <v>País Vasco</v>
      </c>
      <c r="M4108" t="s">
        <v>28</v>
      </c>
      <c r="N4108">
        <v>3</v>
      </c>
    </row>
    <row r="4109" spans="1:14" x14ac:dyDescent="0.25">
      <c r="A4109">
        <v>5108</v>
      </c>
      <c r="B4109" s="1">
        <v>46006</v>
      </c>
      <c r="C4109" s="4">
        <f>MONTH(datos_ventas[[#This Row],[Fecha]])</f>
        <v>12</v>
      </c>
      <c r="D4109" s="4">
        <f>WEEKNUM(datos_ventas[[#This Row],[Fecha]],2)</f>
        <v>51</v>
      </c>
      <c r="E4109" t="s">
        <v>29</v>
      </c>
      <c r="F4109" t="s">
        <v>30</v>
      </c>
      <c r="G4109">
        <v>3</v>
      </c>
      <c r="H4109">
        <v>103988</v>
      </c>
      <c r="I4109">
        <v>831</v>
      </c>
      <c r="J4109" t="s">
        <v>12</v>
      </c>
      <c r="K4109" t="str">
        <f>_xlfn.XLOOKUP(datos_ventas[[#This Row],[Ciudad]],Tabla2[Ciudades],Tabla2[Provincias],"no se encuentra")</f>
        <v>Málaga</v>
      </c>
      <c r="L4109" t="str">
        <f>_xlfn.XLOOKUP(datos_ventas[[#This Row],[Provincia]],Tabla2[Provincias],Tabla2[Comunidades],"no se encuentra")</f>
        <v>Andalucía</v>
      </c>
      <c r="M4109" t="s">
        <v>28</v>
      </c>
      <c r="N4109">
        <v>5</v>
      </c>
    </row>
    <row r="4110" spans="1:14" x14ac:dyDescent="0.25">
      <c r="A4110">
        <v>5109</v>
      </c>
      <c r="B4110" s="1">
        <v>45797</v>
      </c>
      <c r="C4110" s="4">
        <f>MONTH(datos_ventas[[#This Row],[Fecha]])</f>
        <v>5</v>
      </c>
      <c r="D4110" s="4">
        <f>WEEKNUM(datos_ventas[[#This Row],[Fecha]],2)</f>
        <v>21</v>
      </c>
      <c r="E4110" t="s">
        <v>16</v>
      </c>
      <c r="F4110" t="s">
        <v>11</v>
      </c>
      <c r="G4110">
        <v>1</v>
      </c>
      <c r="H4110">
        <v>17376</v>
      </c>
      <c r="I4110">
        <v>3006</v>
      </c>
      <c r="J4110" t="s">
        <v>32</v>
      </c>
      <c r="K4110" t="str">
        <f>_xlfn.XLOOKUP(datos_ventas[[#This Row],[Ciudad]],Tabla2[Ciudades],Tabla2[Provincias],"no se encuentra")</f>
        <v>Barcelona</v>
      </c>
      <c r="L4110" t="str">
        <f>_xlfn.XLOOKUP(datos_ventas[[#This Row],[Provincia]],Tabla2[Provincias],Tabla2[Comunidades],"no se encuentra")</f>
        <v>Cataluña</v>
      </c>
      <c r="M4110" t="s">
        <v>28</v>
      </c>
      <c r="N4110">
        <v>2</v>
      </c>
    </row>
    <row r="4111" spans="1:14" x14ac:dyDescent="0.25">
      <c r="A4111">
        <v>5110</v>
      </c>
      <c r="B4111" s="1">
        <v>45857</v>
      </c>
      <c r="C4111" s="4">
        <f>MONTH(datos_ventas[[#This Row],[Fecha]])</f>
        <v>7</v>
      </c>
      <c r="D4111" s="4">
        <f>WEEKNUM(datos_ventas[[#This Row],[Fecha]],2)</f>
        <v>29</v>
      </c>
      <c r="E4111" t="s">
        <v>10</v>
      </c>
      <c r="F4111" t="s">
        <v>11</v>
      </c>
      <c r="G4111">
        <v>3</v>
      </c>
      <c r="H4111">
        <v>927</v>
      </c>
      <c r="I4111">
        <v>2313</v>
      </c>
      <c r="J4111" t="s">
        <v>22</v>
      </c>
      <c r="K4111" t="str">
        <f>_xlfn.XLOOKUP(datos_ventas[[#This Row],[Ciudad]],Tabla2[Ciudades],Tabla2[Provincias],"no se encuentra")</f>
        <v>Valencia</v>
      </c>
      <c r="L4111" t="str">
        <f>_xlfn.XLOOKUP(datos_ventas[[#This Row],[Provincia]],Tabla2[Provincias],Tabla2[Comunidades],"no se encuentra")</f>
        <v>Comunidad Valenciana</v>
      </c>
      <c r="M4111" t="s">
        <v>28</v>
      </c>
      <c r="N4111">
        <v>5</v>
      </c>
    </row>
    <row r="4112" spans="1:14" x14ac:dyDescent="0.25">
      <c r="A4112">
        <v>5111</v>
      </c>
      <c r="B4112" s="1">
        <v>45804</v>
      </c>
      <c r="C4112" s="4">
        <f>MONTH(datos_ventas[[#This Row],[Fecha]])</f>
        <v>5</v>
      </c>
      <c r="D4112" s="4">
        <f>WEEKNUM(datos_ventas[[#This Row],[Fecha]],2)</f>
        <v>22</v>
      </c>
      <c r="E4112" t="s">
        <v>24</v>
      </c>
      <c r="F4112" t="s">
        <v>25</v>
      </c>
      <c r="G4112">
        <v>5</v>
      </c>
      <c r="H4112">
        <v>34701</v>
      </c>
      <c r="I4112">
        <v>2456</v>
      </c>
      <c r="J4112" t="s">
        <v>31</v>
      </c>
      <c r="K4112" t="str">
        <f>_xlfn.XLOOKUP(datos_ventas[[#This Row],[Ciudad]],Tabla2[Ciudades],Tabla2[Provincias],"no se encuentra")</f>
        <v>Vizcaya</v>
      </c>
      <c r="L4112" t="str">
        <f>_xlfn.XLOOKUP(datos_ventas[[#This Row],[Provincia]],Tabla2[Provincias],Tabla2[Comunidades],"no se encuentra")</f>
        <v>País Vasco</v>
      </c>
      <c r="M4112" t="s">
        <v>13</v>
      </c>
      <c r="N4112">
        <v>3</v>
      </c>
    </row>
    <row r="4113" spans="1:14" x14ac:dyDescent="0.25">
      <c r="A4113">
        <v>5112</v>
      </c>
      <c r="B4113" s="1">
        <v>45779</v>
      </c>
      <c r="C4113" s="4">
        <f>MONTH(datos_ventas[[#This Row],[Fecha]])</f>
        <v>5</v>
      </c>
      <c r="D4113" s="4">
        <f>WEEKNUM(datos_ventas[[#This Row],[Fecha]],2)</f>
        <v>18</v>
      </c>
      <c r="E4113" t="s">
        <v>10</v>
      </c>
      <c r="F4113" t="s">
        <v>11</v>
      </c>
      <c r="G4113">
        <v>3</v>
      </c>
      <c r="H4113">
        <v>82904</v>
      </c>
      <c r="I4113">
        <v>3741</v>
      </c>
      <c r="J4113" t="s">
        <v>27</v>
      </c>
      <c r="K4113" t="str">
        <f>_xlfn.XLOOKUP(datos_ventas[[#This Row],[Ciudad]],Tabla2[Ciudades],Tabla2[Provincias],"no se encuentra")</f>
        <v>Sevilla</v>
      </c>
      <c r="L4113" t="str">
        <f>_xlfn.XLOOKUP(datos_ventas[[#This Row],[Provincia]],Tabla2[Provincias],Tabla2[Comunidades],"no se encuentra")</f>
        <v>Andalucía</v>
      </c>
      <c r="M4113" t="s">
        <v>19</v>
      </c>
      <c r="N4113">
        <v>1</v>
      </c>
    </row>
    <row r="4114" spans="1:14" x14ac:dyDescent="0.25">
      <c r="A4114">
        <v>5113</v>
      </c>
      <c r="B4114" s="1">
        <v>45681</v>
      </c>
      <c r="C4114" s="4">
        <f>MONTH(datos_ventas[[#This Row],[Fecha]])</f>
        <v>1</v>
      </c>
      <c r="D4114" s="4">
        <f>WEEKNUM(datos_ventas[[#This Row],[Fecha]],2)</f>
        <v>4</v>
      </c>
      <c r="E4114" t="s">
        <v>17</v>
      </c>
      <c r="F4114" t="s">
        <v>18</v>
      </c>
      <c r="G4114">
        <v>1</v>
      </c>
      <c r="H4114">
        <v>46261</v>
      </c>
      <c r="I4114">
        <v>1556</v>
      </c>
      <c r="J4114" t="s">
        <v>27</v>
      </c>
      <c r="K4114" t="str">
        <f>_xlfn.XLOOKUP(datos_ventas[[#This Row],[Ciudad]],Tabla2[Ciudades],Tabla2[Provincias],"no se encuentra")</f>
        <v>Sevilla</v>
      </c>
      <c r="L4114" t="str">
        <f>_xlfn.XLOOKUP(datos_ventas[[#This Row],[Provincia]],Tabla2[Provincias],Tabla2[Comunidades],"no se encuentra")</f>
        <v>Andalucía</v>
      </c>
      <c r="M4114" t="s">
        <v>13</v>
      </c>
      <c r="N4114">
        <v>4</v>
      </c>
    </row>
    <row r="4115" spans="1:14" x14ac:dyDescent="0.25">
      <c r="A4115">
        <v>5114</v>
      </c>
      <c r="B4115" s="1">
        <v>45794</v>
      </c>
      <c r="C4115" s="4">
        <f>MONTH(datos_ventas[[#This Row],[Fecha]])</f>
        <v>5</v>
      </c>
      <c r="D4115" s="4">
        <f>WEEKNUM(datos_ventas[[#This Row],[Fecha]],2)</f>
        <v>20</v>
      </c>
      <c r="E4115" t="s">
        <v>23</v>
      </c>
      <c r="F4115" t="s">
        <v>18</v>
      </c>
      <c r="G4115">
        <v>2</v>
      </c>
      <c r="H4115">
        <v>61877</v>
      </c>
      <c r="I4115">
        <v>2155</v>
      </c>
      <c r="J4115" t="s">
        <v>27</v>
      </c>
      <c r="K4115" t="str">
        <f>_xlfn.XLOOKUP(datos_ventas[[#This Row],[Ciudad]],Tabla2[Ciudades],Tabla2[Provincias],"no se encuentra")</f>
        <v>Sevilla</v>
      </c>
      <c r="L4115" t="str">
        <f>_xlfn.XLOOKUP(datos_ventas[[#This Row],[Provincia]],Tabla2[Provincias],Tabla2[Comunidades],"no se encuentra")</f>
        <v>Andalucía</v>
      </c>
      <c r="M4115" t="s">
        <v>13</v>
      </c>
      <c r="N4115">
        <v>5</v>
      </c>
    </row>
    <row r="4116" spans="1:14" x14ac:dyDescent="0.25">
      <c r="A4116">
        <v>5115</v>
      </c>
      <c r="B4116" s="1">
        <v>45866</v>
      </c>
      <c r="C4116" s="4">
        <f>MONTH(datos_ventas[[#This Row],[Fecha]])</f>
        <v>7</v>
      </c>
      <c r="D4116" s="4">
        <f>WEEKNUM(datos_ventas[[#This Row],[Fecha]],2)</f>
        <v>31</v>
      </c>
      <c r="E4116" t="s">
        <v>16</v>
      </c>
      <c r="F4116" t="s">
        <v>11</v>
      </c>
      <c r="G4116">
        <v>3</v>
      </c>
      <c r="H4116">
        <v>4562</v>
      </c>
      <c r="I4116">
        <v>4875</v>
      </c>
      <c r="J4116" t="s">
        <v>32</v>
      </c>
      <c r="K4116" t="str">
        <f>_xlfn.XLOOKUP(datos_ventas[[#This Row],[Ciudad]],Tabla2[Ciudades],Tabla2[Provincias],"no se encuentra")</f>
        <v>Barcelona</v>
      </c>
      <c r="L4116" t="str">
        <f>_xlfn.XLOOKUP(datos_ventas[[#This Row],[Provincia]],Tabla2[Provincias],Tabla2[Comunidades],"no se encuentra")</f>
        <v>Cataluña</v>
      </c>
      <c r="M4116" t="s">
        <v>19</v>
      </c>
      <c r="N4116">
        <v>1</v>
      </c>
    </row>
    <row r="4117" spans="1:14" x14ac:dyDescent="0.25">
      <c r="A4117">
        <v>5116</v>
      </c>
      <c r="B4117" s="1">
        <v>45912</v>
      </c>
      <c r="C4117" s="4">
        <f>MONTH(datos_ventas[[#This Row],[Fecha]])</f>
        <v>9</v>
      </c>
      <c r="D4117" s="4">
        <f>WEEKNUM(datos_ventas[[#This Row],[Fecha]],2)</f>
        <v>37</v>
      </c>
      <c r="E4117" t="s">
        <v>16</v>
      </c>
      <c r="F4117" t="s">
        <v>11</v>
      </c>
      <c r="G4117">
        <v>1</v>
      </c>
      <c r="H4117">
        <v>90717</v>
      </c>
      <c r="I4117">
        <v>3968</v>
      </c>
      <c r="J4117" t="s">
        <v>32</v>
      </c>
      <c r="K4117" t="str">
        <f>_xlfn.XLOOKUP(datos_ventas[[#This Row],[Ciudad]],Tabla2[Ciudades],Tabla2[Provincias],"no se encuentra")</f>
        <v>Barcelona</v>
      </c>
      <c r="L4117" t="str">
        <f>_xlfn.XLOOKUP(datos_ventas[[#This Row],[Provincia]],Tabla2[Provincias],Tabla2[Comunidades],"no se encuentra")</f>
        <v>Cataluña</v>
      </c>
      <c r="M4117" t="s">
        <v>13</v>
      </c>
      <c r="N4117">
        <v>2</v>
      </c>
    </row>
    <row r="4118" spans="1:14" x14ac:dyDescent="0.25">
      <c r="A4118">
        <v>5117</v>
      </c>
      <c r="B4118" s="1">
        <v>45925</v>
      </c>
      <c r="C4118" s="4">
        <f>MONTH(datos_ventas[[#This Row],[Fecha]])</f>
        <v>9</v>
      </c>
      <c r="D4118" s="4">
        <f>WEEKNUM(datos_ventas[[#This Row],[Fecha]],2)</f>
        <v>39</v>
      </c>
      <c r="E4118" t="s">
        <v>17</v>
      </c>
      <c r="F4118" t="s">
        <v>18</v>
      </c>
      <c r="G4118">
        <v>3</v>
      </c>
      <c r="H4118">
        <v>118669</v>
      </c>
      <c r="I4118">
        <v>2703</v>
      </c>
      <c r="J4118" t="s">
        <v>27</v>
      </c>
      <c r="K4118" t="str">
        <f>_xlfn.XLOOKUP(datos_ventas[[#This Row],[Ciudad]],Tabla2[Ciudades],Tabla2[Provincias],"no se encuentra")</f>
        <v>Sevilla</v>
      </c>
      <c r="L4118" t="str">
        <f>_xlfn.XLOOKUP(datos_ventas[[#This Row],[Provincia]],Tabla2[Provincias],Tabla2[Comunidades],"no se encuentra")</f>
        <v>Andalucía</v>
      </c>
      <c r="M4118" t="s">
        <v>13</v>
      </c>
      <c r="N4118">
        <v>2</v>
      </c>
    </row>
    <row r="4119" spans="1:14" x14ac:dyDescent="0.25">
      <c r="A4119">
        <v>5118</v>
      </c>
      <c r="B4119" s="1">
        <v>45926</v>
      </c>
      <c r="C4119" s="4">
        <f>MONTH(datos_ventas[[#This Row],[Fecha]])</f>
        <v>9</v>
      </c>
      <c r="D4119" s="4">
        <f>WEEKNUM(datos_ventas[[#This Row],[Fecha]],2)</f>
        <v>39</v>
      </c>
      <c r="E4119" t="s">
        <v>17</v>
      </c>
      <c r="F4119" t="s">
        <v>18</v>
      </c>
      <c r="G4119">
        <v>2</v>
      </c>
      <c r="H4119">
        <v>51245</v>
      </c>
      <c r="I4119">
        <v>2726</v>
      </c>
      <c r="J4119" t="s">
        <v>31</v>
      </c>
      <c r="K4119" t="str">
        <f>_xlfn.XLOOKUP(datos_ventas[[#This Row],[Ciudad]],Tabla2[Ciudades],Tabla2[Provincias],"no se encuentra")</f>
        <v>Vizcaya</v>
      </c>
      <c r="L4119" t="str">
        <f>_xlfn.XLOOKUP(datos_ventas[[#This Row],[Provincia]],Tabla2[Provincias],Tabla2[Comunidades],"no se encuentra")</f>
        <v>País Vasco</v>
      </c>
      <c r="M4119" t="s">
        <v>28</v>
      </c>
      <c r="N4119">
        <v>4</v>
      </c>
    </row>
    <row r="4120" spans="1:14" x14ac:dyDescent="0.25">
      <c r="A4120">
        <v>5119</v>
      </c>
      <c r="B4120" s="1">
        <v>45789</v>
      </c>
      <c r="C4120" s="4">
        <f>MONTH(datos_ventas[[#This Row],[Fecha]])</f>
        <v>5</v>
      </c>
      <c r="D4120" s="4">
        <f>WEEKNUM(datos_ventas[[#This Row],[Fecha]],2)</f>
        <v>20</v>
      </c>
      <c r="E4120" t="s">
        <v>29</v>
      </c>
      <c r="F4120" t="s">
        <v>30</v>
      </c>
      <c r="G4120">
        <v>3</v>
      </c>
      <c r="H4120">
        <v>11883</v>
      </c>
      <c r="I4120">
        <v>3751</v>
      </c>
      <c r="J4120" t="s">
        <v>27</v>
      </c>
      <c r="K4120" t="str">
        <f>_xlfn.XLOOKUP(datos_ventas[[#This Row],[Ciudad]],Tabla2[Ciudades],Tabla2[Provincias],"no se encuentra")</f>
        <v>Sevilla</v>
      </c>
      <c r="L4120" t="str">
        <f>_xlfn.XLOOKUP(datos_ventas[[#This Row],[Provincia]],Tabla2[Provincias],Tabla2[Comunidades],"no se encuentra")</f>
        <v>Andalucía</v>
      </c>
      <c r="M4120" t="s">
        <v>13</v>
      </c>
      <c r="N4120">
        <v>2</v>
      </c>
    </row>
    <row r="4121" spans="1:14" x14ac:dyDescent="0.25">
      <c r="A4121">
        <v>5120</v>
      </c>
      <c r="B4121" s="1">
        <v>45963</v>
      </c>
      <c r="C4121" s="4">
        <f>MONTH(datos_ventas[[#This Row],[Fecha]])</f>
        <v>11</v>
      </c>
      <c r="D4121" s="4">
        <f>WEEKNUM(datos_ventas[[#This Row],[Fecha]],2)</f>
        <v>44</v>
      </c>
      <c r="E4121" t="s">
        <v>23</v>
      </c>
      <c r="F4121" t="s">
        <v>18</v>
      </c>
      <c r="G4121">
        <v>2</v>
      </c>
      <c r="H4121">
        <v>55942</v>
      </c>
      <c r="I4121">
        <v>3745</v>
      </c>
      <c r="J4121" t="s">
        <v>27</v>
      </c>
      <c r="K4121" t="str">
        <f>_xlfn.XLOOKUP(datos_ventas[[#This Row],[Ciudad]],Tabla2[Ciudades],Tabla2[Provincias],"no se encuentra")</f>
        <v>Sevilla</v>
      </c>
      <c r="L4121" t="str">
        <f>_xlfn.XLOOKUP(datos_ventas[[#This Row],[Provincia]],Tabla2[Provincias],Tabla2[Comunidades],"no se encuentra")</f>
        <v>Andalucía</v>
      </c>
      <c r="M4121" t="s">
        <v>13</v>
      </c>
      <c r="N4121">
        <v>4</v>
      </c>
    </row>
    <row r="4122" spans="1:14" x14ac:dyDescent="0.25">
      <c r="A4122">
        <v>5121</v>
      </c>
      <c r="B4122" s="1">
        <v>45950</v>
      </c>
      <c r="C4122" s="4">
        <f>MONTH(datos_ventas[[#This Row],[Fecha]])</f>
        <v>10</v>
      </c>
      <c r="D4122" s="4">
        <f>WEEKNUM(datos_ventas[[#This Row],[Fecha]],2)</f>
        <v>43</v>
      </c>
      <c r="E4122" t="s">
        <v>24</v>
      </c>
      <c r="F4122" t="s">
        <v>25</v>
      </c>
      <c r="G4122">
        <v>4</v>
      </c>
      <c r="H4122">
        <v>8666</v>
      </c>
      <c r="I4122">
        <v>2323</v>
      </c>
      <c r="J4122" t="s">
        <v>14</v>
      </c>
      <c r="K4122" t="str">
        <f>_xlfn.XLOOKUP(datos_ventas[[#This Row],[Ciudad]],Tabla2[Ciudades],Tabla2[Provincias],"no se encuentra")</f>
        <v>Madrid</v>
      </c>
      <c r="L4122" t="str">
        <f>_xlfn.XLOOKUP(datos_ventas[[#This Row],[Provincia]],Tabla2[Provincias],Tabla2[Comunidades],"no se encuentra")</f>
        <v>Comunidad de Madrid</v>
      </c>
      <c r="M4122" t="s">
        <v>13</v>
      </c>
      <c r="N4122">
        <v>4</v>
      </c>
    </row>
    <row r="4123" spans="1:14" x14ac:dyDescent="0.25">
      <c r="A4123">
        <v>5122</v>
      </c>
      <c r="B4123" s="1">
        <v>45992</v>
      </c>
      <c r="C4123" s="4">
        <f>MONTH(datos_ventas[[#This Row],[Fecha]])</f>
        <v>12</v>
      </c>
      <c r="D4123" s="4">
        <f>WEEKNUM(datos_ventas[[#This Row],[Fecha]],2)</f>
        <v>49</v>
      </c>
      <c r="E4123" t="s">
        <v>29</v>
      </c>
      <c r="F4123" t="s">
        <v>30</v>
      </c>
      <c r="G4123">
        <v>4</v>
      </c>
      <c r="H4123">
        <v>103462</v>
      </c>
      <c r="I4123">
        <v>4744</v>
      </c>
      <c r="J4123" t="s">
        <v>27</v>
      </c>
      <c r="K4123" t="str">
        <f>_xlfn.XLOOKUP(datos_ventas[[#This Row],[Ciudad]],Tabla2[Ciudades],Tabla2[Provincias],"no se encuentra")</f>
        <v>Sevilla</v>
      </c>
      <c r="L4123" t="str">
        <f>_xlfn.XLOOKUP(datos_ventas[[#This Row],[Provincia]],Tabla2[Provincias],Tabla2[Comunidades],"no se encuentra")</f>
        <v>Andalucía</v>
      </c>
      <c r="M4123" t="s">
        <v>19</v>
      </c>
      <c r="N4123">
        <v>4</v>
      </c>
    </row>
    <row r="4124" spans="1:14" x14ac:dyDescent="0.25">
      <c r="A4124">
        <v>5123</v>
      </c>
      <c r="B4124" s="1">
        <v>45767</v>
      </c>
      <c r="C4124" s="4">
        <f>MONTH(datos_ventas[[#This Row],[Fecha]])</f>
        <v>4</v>
      </c>
      <c r="D4124" s="4">
        <f>WEEKNUM(datos_ventas[[#This Row],[Fecha]],2)</f>
        <v>16</v>
      </c>
      <c r="E4124" t="s">
        <v>29</v>
      </c>
      <c r="F4124" t="s">
        <v>30</v>
      </c>
      <c r="G4124">
        <v>2</v>
      </c>
      <c r="H4124">
        <v>31104</v>
      </c>
      <c r="I4124">
        <v>1821</v>
      </c>
      <c r="J4124" t="s">
        <v>32</v>
      </c>
      <c r="K4124" t="str">
        <f>_xlfn.XLOOKUP(datos_ventas[[#This Row],[Ciudad]],Tabla2[Ciudades],Tabla2[Provincias],"no se encuentra")</f>
        <v>Barcelona</v>
      </c>
      <c r="L4124" t="str">
        <f>_xlfn.XLOOKUP(datos_ventas[[#This Row],[Provincia]],Tabla2[Provincias],Tabla2[Comunidades],"no se encuentra")</f>
        <v>Cataluña</v>
      </c>
      <c r="M4124" t="s">
        <v>15</v>
      </c>
      <c r="N4124">
        <v>3</v>
      </c>
    </row>
    <row r="4125" spans="1:14" x14ac:dyDescent="0.25">
      <c r="A4125">
        <v>5124</v>
      </c>
      <c r="B4125" s="1">
        <v>45755</v>
      </c>
      <c r="C4125" s="4">
        <f>MONTH(datos_ventas[[#This Row],[Fecha]])</f>
        <v>4</v>
      </c>
      <c r="D4125" s="4">
        <f>WEEKNUM(datos_ventas[[#This Row],[Fecha]],2)</f>
        <v>15</v>
      </c>
      <c r="E4125" t="s">
        <v>29</v>
      </c>
      <c r="F4125" t="s">
        <v>30</v>
      </c>
      <c r="G4125">
        <v>2</v>
      </c>
      <c r="H4125">
        <v>22561</v>
      </c>
      <c r="I4125">
        <v>4957</v>
      </c>
      <c r="J4125" t="s">
        <v>22</v>
      </c>
      <c r="K4125" t="str">
        <f>_xlfn.XLOOKUP(datos_ventas[[#This Row],[Ciudad]],Tabla2[Ciudades],Tabla2[Provincias],"no se encuentra")</f>
        <v>Valencia</v>
      </c>
      <c r="L4125" t="str">
        <f>_xlfn.XLOOKUP(datos_ventas[[#This Row],[Provincia]],Tabla2[Provincias],Tabla2[Comunidades],"no se encuentra")</f>
        <v>Comunidad Valenciana</v>
      </c>
      <c r="M4125" t="s">
        <v>19</v>
      </c>
      <c r="N4125">
        <v>4</v>
      </c>
    </row>
    <row r="4126" spans="1:14" x14ac:dyDescent="0.25">
      <c r="A4126">
        <v>5125</v>
      </c>
      <c r="B4126" s="1">
        <v>45922</v>
      </c>
      <c r="C4126" s="4">
        <f>MONTH(datos_ventas[[#This Row],[Fecha]])</f>
        <v>9</v>
      </c>
      <c r="D4126" s="4">
        <f>WEEKNUM(datos_ventas[[#This Row],[Fecha]],2)</f>
        <v>39</v>
      </c>
      <c r="E4126" t="s">
        <v>10</v>
      </c>
      <c r="F4126" t="s">
        <v>11</v>
      </c>
      <c r="G4126">
        <v>2</v>
      </c>
      <c r="H4126">
        <v>75499</v>
      </c>
      <c r="I4126">
        <v>91</v>
      </c>
      <c r="J4126" t="s">
        <v>14</v>
      </c>
      <c r="K4126" t="str">
        <f>_xlfn.XLOOKUP(datos_ventas[[#This Row],[Ciudad]],Tabla2[Ciudades],Tabla2[Provincias],"no se encuentra")</f>
        <v>Madrid</v>
      </c>
      <c r="L4126" t="str">
        <f>_xlfn.XLOOKUP(datos_ventas[[#This Row],[Provincia]],Tabla2[Provincias],Tabla2[Comunidades],"no se encuentra")</f>
        <v>Comunidad de Madrid</v>
      </c>
      <c r="M4126" t="s">
        <v>19</v>
      </c>
      <c r="N4126">
        <v>3</v>
      </c>
    </row>
    <row r="4127" spans="1:14" x14ac:dyDescent="0.25">
      <c r="A4127">
        <v>5126</v>
      </c>
      <c r="B4127" s="1">
        <v>45911</v>
      </c>
      <c r="C4127" s="4">
        <f>MONTH(datos_ventas[[#This Row],[Fecha]])</f>
        <v>9</v>
      </c>
      <c r="D4127" s="4">
        <f>WEEKNUM(datos_ventas[[#This Row],[Fecha]],2)</f>
        <v>37</v>
      </c>
      <c r="E4127" t="s">
        <v>17</v>
      </c>
      <c r="F4127" t="s">
        <v>18</v>
      </c>
      <c r="G4127">
        <v>5</v>
      </c>
      <c r="H4127">
        <v>29117</v>
      </c>
      <c r="I4127">
        <v>1505</v>
      </c>
      <c r="J4127" t="s">
        <v>22</v>
      </c>
      <c r="K4127" t="str">
        <f>_xlfn.XLOOKUP(datos_ventas[[#This Row],[Ciudad]],Tabla2[Ciudades],Tabla2[Provincias],"no se encuentra")</f>
        <v>Valencia</v>
      </c>
      <c r="L4127" t="str">
        <f>_xlfn.XLOOKUP(datos_ventas[[#This Row],[Provincia]],Tabla2[Provincias],Tabla2[Comunidades],"no se encuentra")</f>
        <v>Comunidad Valenciana</v>
      </c>
      <c r="M4127" t="s">
        <v>19</v>
      </c>
      <c r="N4127">
        <v>2</v>
      </c>
    </row>
    <row r="4128" spans="1:14" x14ac:dyDescent="0.25">
      <c r="A4128">
        <v>5127</v>
      </c>
      <c r="B4128" s="1">
        <v>45672</v>
      </c>
      <c r="C4128" s="4">
        <f>MONTH(datos_ventas[[#This Row],[Fecha]])</f>
        <v>1</v>
      </c>
      <c r="D4128" s="4">
        <f>WEEKNUM(datos_ventas[[#This Row],[Fecha]],2)</f>
        <v>3</v>
      </c>
      <c r="E4128" t="s">
        <v>29</v>
      </c>
      <c r="F4128" t="s">
        <v>30</v>
      </c>
      <c r="G4128">
        <v>5</v>
      </c>
      <c r="H4128">
        <v>44949</v>
      </c>
      <c r="I4128">
        <v>4397</v>
      </c>
      <c r="J4128" t="s">
        <v>32</v>
      </c>
      <c r="K4128" t="str">
        <f>_xlfn.XLOOKUP(datos_ventas[[#This Row],[Ciudad]],Tabla2[Ciudades],Tabla2[Provincias],"no se encuentra")</f>
        <v>Barcelona</v>
      </c>
      <c r="L4128" t="str">
        <f>_xlfn.XLOOKUP(datos_ventas[[#This Row],[Provincia]],Tabla2[Provincias],Tabla2[Comunidades],"no se encuentra")</f>
        <v>Cataluña</v>
      </c>
      <c r="M4128" t="s">
        <v>19</v>
      </c>
      <c r="N4128">
        <v>1</v>
      </c>
    </row>
    <row r="4129" spans="1:14" x14ac:dyDescent="0.25">
      <c r="A4129">
        <v>5128</v>
      </c>
      <c r="B4129" s="1">
        <v>45964</v>
      </c>
      <c r="C4129" s="4">
        <f>MONTH(datos_ventas[[#This Row],[Fecha]])</f>
        <v>11</v>
      </c>
      <c r="D4129" s="4">
        <f>WEEKNUM(datos_ventas[[#This Row],[Fecha]],2)</f>
        <v>45</v>
      </c>
      <c r="E4129" t="s">
        <v>23</v>
      </c>
      <c r="F4129" t="s">
        <v>18</v>
      </c>
      <c r="G4129">
        <v>4</v>
      </c>
      <c r="H4129">
        <v>11152</v>
      </c>
      <c r="I4129">
        <v>4916</v>
      </c>
      <c r="J4129" t="s">
        <v>12</v>
      </c>
      <c r="K4129" t="str">
        <f>_xlfn.XLOOKUP(datos_ventas[[#This Row],[Ciudad]],Tabla2[Ciudades],Tabla2[Provincias],"no se encuentra")</f>
        <v>Málaga</v>
      </c>
      <c r="L4129" t="str">
        <f>_xlfn.XLOOKUP(datos_ventas[[#This Row],[Provincia]],Tabla2[Provincias],Tabla2[Comunidades],"no se encuentra")</f>
        <v>Andalucía</v>
      </c>
      <c r="M4129" t="s">
        <v>13</v>
      </c>
      <c r="N4129">
        <v>3</v>
      </c>
    </row>
    <row r="4130" spans="1:14" x14ac:dyDescent="0.25">
      <c r="A4130">
        <v>5129</v>
      </c>
      <c r="B4130" s="1">
        <v>45768</v>
      </c>
      <c r="C4130" s="4">
        <f>MONTH(datos_ventas[[#This Row],[Fecha]])</f>
        <v>4</v>
      </c>
      <c r="D4130" s="4">
        <f>WEEKNUM(datos_ventas[[#This Row],[Fecha]],2)</f>
        <v>17</v>
      </c>
      <c r="E4130" t="s">
        <v>17</v>
      </c>
      <c r="F4130" t="s">
        <v>18</v>
      </c>
      <c r="G4130">
        <v>4</v>
      </c>
      <c r="H4130">
        <v>56351</v>
      </c>
      <c r="I4130">
        <v>327</v>
      </c>
      <c r="J4130" t="s">
        <v>22</v>
      </c>
      <c r="K4130" t="str">
        <f>_xlfn.XLOOKUP(datos_ventas[[#This Row],[Ciudad]],Tabla2[Ciudades],Tabla2[Provincias],"no se encuentra")</f>
        <v>Valencia</v>
      </c>
      <c r="L4130" t="str">
        <f>_xlfn.XLOOKUP(datos_ventas[[#This Row],[Provincia]],Tabla2[Provincias],Tabla2[Comunidades],"no se encuentra")</f>
        <v>Comunidad Valenciana</v>
      </c>
      <c r="M4130" t="s">
        <v>19</v>
      </c>
      <c r="N4130">
        <v>3</v>
      </c>
    </row>
    <row r="4131" spans="1:14" x14ac:dyDescent="0.25">
      <c r="A4131">
        <v>5130</v>
      </c>
      <c r="B4131" s="1">
        <v>45971</v>
      </c>
      <c r="C4131" s="4">
        <f>MONTH(datos_ventas[[#This Row],[Fecha]])</f>
        <v>11</v>
      </c>
      <c r="D4131" s="4">
        <f>WEEKNUM(datos_ventas[[#This Row],[Fecha]],2)</f>
        <v>46</v>
      </c>
      <c r="E4131" t="s">
        <v>17</v>
      </c>
      <c r="F4131" t="s">
        <v>18</v>
      </c>
      <c r="G4131">
        <v>4</v>
      </c>
      <c r="H4131">
        <v>72018</v>
      </c>
      <c r="I4131">
        <v>3686</v>
      </c>
      <c r="J4131" t="s">
        <v>31</v>
      </c>
      <c r="K4131" t="str">
        <f>_xlfn.XLOOKUP(datos_ventas[[#This Row],[Ciudad]],Tabla2[Ciudades],Tabla2[Provincias],"no se encuentra")</f>
        <v>Vizcaya</v>
      </c>
      <c r="L4131" t="str">
        <f>_xlfn.XLOOKUP(datos_ventas[[#This Row],[Provincia]],Tabla2[Provincias],Tabla2[Comunidades],"no se encuentra")</f>
        <v>País Vasco</v>
      </c>
      <c r="M4131" t="s">
        <v>28</v>
      </c>
      <c r="N4131">
        <v>4</v>
      </c>
    </row>
    <row r="4132" spans="1:14" x14ac:dyDescent="0.25">
      <c r="A4132">
        <v>5131</v>
      </c>
      <c r="B4132" s="1">
        <v>45970</v>
      </c>
      <c r="C4132" s="4">
        <f>MONTH(datos_ventas[[#This Row],[Fecha]])</f>
        <v>11</v>
      </c>
      <c r="D4132" s="4">
        <f>WEEKNUM(datos_ventas[[#This Row],[Fecha]],2)</f>
        <v>45</v>
      </c>
      <c r="E4132" t="s">
        <v>10</v>
      </c>
      <c r="F4132" t="s">
        <v>11</v>
      </c>
      <c r="G4132">
        <v>3</v>
      </c>
      <c r="H4132">
        <v>83928</v>
      </c>
      <c r="I4132">
        <v>1317</v>
      </c>
      <c r="J4132" t="s">
        <v>32</v>
      </c>
      <c r="K4132" t="str">
        <f>_xlfn.XLOOKUP(datos_ventas[[#This Row],[Ciudad]],Tabla2[Ciudades],Tabla2[Provincias],"no se encuentra")</f>
        <v>Barcelona</v>
      </c>
      <c r="L4132" t="str">
        <f>_xlfn.XLOOKUP(datos_ventas[[#This Row],[Provincia]],Tabla2[Provincias],Tabla2[Comunidades],"no se encuentra")</f>
        <v>Cataluña</v>
      </c>
      <c r="M4132" t="s">
        <v>13</v>
      </c>
      <c r="N4132">
        <v>3</v>
      </c>
    </row>
    <row r="4133" spans="1:14" x14ac:dyDescent="0.25">
      <c r="A4133">
        <v>5132</v>
      </c>
      <c r="B4133" s="1">
        <v>45835</v>
      </c>
      <c r="C4133" s="4">
        <f>MONTH(datos_ventas[[#This Row],[Fecha]])</f>
        <v>6</v>
      </c>
      <c r="D4133" s="4">
        <f>WEEKNUM(datos_ventas[[#This Row],[Fecha]],2)</f>
        <v>26</v>
      </c>
      <c r="E4133" t="s">
        <v>10</v>
      </c>
      <c r="F4133" t="s">
        <v>11</v>
      </c>
      <c r="G4133">
        <v>1</v>
      </c>
      <c r="H4133">
        <v>60668</v>
      </c>
      <c r="I4133">
        <v>1799</v>
      </c>
      <c r="J4133" t="s">
        <v>12</v>
      </c>
      <c r="K4133" t="str">
        <f>_xlfn.XLOOKUP(datos_ventas[[#This Row],[Ciudad]],Tabla2[Ciudades],Tabla2[Provincias],"no se encuentra")</f>
        <v>Málaga</v>
      </c>
      <c r="L4133" t="str">
        <f>_xlfn.XLOOKUP(datos_ventas[[#This Row],[Provincia]],Tabla2[Provincias],Tabla2[Comunidades],"no se encuentra")</f>
        <v>Andalucía</v>
      </c>
      <c r="M4133" t="s">
        <v>28</v>
      </c>
      <c r="N4133">
        <v>2</v>
      </c>
    </row>
    <row r="4134" spans="1:14" x14ac:dyDescent="0.25">
      <c r="A4134">
        <v>5133</v>
      </c>
      <c r="B4134" s="1">
        <v>45719</v>
      </c>
      <c r="C4134" s="4">
        <f>MONTH(datos_ventas[[#This Row],[Fecha]])</f>
        <v>3</v>
      </c>
      <c r="D4134" s="4">
        <f>WEEKNUM(datos_ventas[[#This Row],[Fecha]],2)</f>
        <v>10</v>
      </c>
      <c r="E4134" t="s">
        <v>17</v>
      </c>
      <c r="F4134" t="s">
        <v>18</v>
      </c>
      <c r="G4134">
        <v>2</v>
      </c>
      <c r="H4134">
        <v>52494</v>
      </c>
      <c r="I4134">
        <v>605</v>
      </c>
      <c r="J4134" t="s">
        <v>32</v>
      </c>
      <c r="K4134" t="str">
        <f>_xlfn.XLOOKUP(datos_ventas[[#This Row],[Ciudad]],Tabla2[Ciudades],Tabla2[Provincias],"no se encuentra")</f>
        <v>Barcelona</v>
      </c>
      <c r="L4134" t="str">
        <f>_xlfn.XLOOKUP(datos_ventas[[#This Row],[Provincia]],Tabla2[Provincias],Tabla2[Comunidades],"no se encuentra")</f>
        <v>Cataluña</v>
      </c>
      <c r="M4134" t="s">
        <v>15</v>
      </c>
      <c r="N4134">
        <v>5</v>
      </c>
    </row>
    <row r="4135" spans="1:14" x14ac:dyDescent="0.25">
      <c r="A4135">
        <v>5134</v>
      </c>
      <c r="B4135" s="1">
        <v>45993</v>
      </c>
      <c r="C4135" s="4">
        <f>MONTH(datos_ventas[[#This Row],[Fecha]])</f>
        <v>12</v>
      </c>
      <c r="D4135" s="4">
        <f>WEEKNUM(datos_ventas[[#This Row],[Fecha]],2)</f>
        <v>49</v>
      </c>
      <c r="E4135" t="s">
        <v>16</v>
      </c>
      <c r="F4135" t="s">
        <v>11</v>
      </c>
      <c r="G4135">
        <v>2</v>
      </c>
      <c r="H4135">
        <v>117545</v>
      </c>
      <c r="I4135">
        <v>695</v>
      </c>
      <c r="J4135" t="s">
        <v>32</v>
      </c>
      <c r="K4135" t="str">
        <f>_xlfn.XLOOKUP(datos_ventas[[#This Row],[Ciudad]],Tabla2[Ciudades],Tabla2[Provincias],"no se encuentra")</f>
        <v>Barcelona</v>
      </c>
      <c r="L4135" t="str">
        <f>_xlfn.XLOOKUP(datos_ventas[[#This Row],[Provincia]],Tabla2[Provincias],Tabla2[Comunidades],"no se encuentra")</f>
        <v>Cataluña</v>
      </c>
      <c r="M4135" t="s">
        <v>13</v>
      </c>
      <c r="N4135">
        <v>2</v>
      </c>
    </row>
    <row r="4136" spans="1:14" x14ac:dyDescent="0.25">
      <c r="A4136">
        <v>5135</v>
      </c>
      <c r="B4136" s="1">
        <v>45847</v>
      </c>
      <c r="C4136" s="4">
        <f>MONTH(datos_ventas[[#This Row],[Fecha]])</f>
        <v>7</v>
      </c>
      <c r="D4136" s="4">
        <f>WEEKNUM(datos_ventas[[#This Row],[Fecha]],2)</f>
        <v>28</v>
      </c>
      <c r="E4136" t="s">
        <v>20</v>
      </c>
      <c r="F4136" t="s">
        <v>21</v>
      </c>
      <c r="G4136">
        <v>1</v>
      </c>
      <c r="H4136">
        <v>67294</v>
      </c>
      <c r="I4136">
        <v>952</v>
      </c>
      <c r="J4136" t="s">
        <v>22</v>
      </c>
      <c r="K4136" t="str">
        <f>_xlfn.XLOOKUP(datos_ventas[[#This Row],[Ciudad]],Tabla2[Ciudades],Tabla2[Provincias],"no se encuentra")</f>
        <v>Valencia</v>
      </c>
      <c r="L4136" t="str">
        <f>_xlfn.XLOOKUP(datos_ventas[[#This Row],[Provincia]],Tabla2[Provincias],Tabla2[Comunidades],"no se encuentra")</f>
        <v>Comunidad Valenciana</v>
      </c>
      <c r="M4136" t="s">
        <v>19</v>
      </c>
      <c r="N4136">
        <v>4</v>
      </c>
    </row>
    <row r="4137" spans="1:14" x14ac:dyDescent="0.25">
      <c r="A4137">
        <v>5136</v>
      </c>
      <c r="B4137" s="1">
        <v>45676</v>
      </c>
      <c r="C4137" s="4">
        <f>MONTH(datos_ventas[[#This Row],[Fecha]])</f>
        <v>1</v>
      </c>
      <c r="D4137" s="4">
        <f>WEEKNUM(datos_ventas[[#This Row],[Fecha]],2)</f>
        <v>3</v>
      </c>
      <c r="E4137" t="s">
        <v>20</v>
      </c>
      <c r="F4137" t="s">
        <v>21</v>
      </c>
      <c r="G4137">
        <v>3</v>
      </c>
      <c r="H4137">
        <v>118606</v>
      </c>
      <c r="I4137">
        <v>1172</v>
      </c>
      <c r="J4137" t="s">
        <v>32</v>
      </c>
      <c r="K4137" t="str">
        <f>_xlfn.XLOOKUP(datos_ventas[[#This Row],[Ciudad]],Tabla2[Ciudades],Tabla2[Provincias],"no se encuentra")</f>
        <v>Barcelona</v>
      </c>
      <c r="L4137" t="str">
        <f>_xlfn.XLOOKUP(datos_ventas[[#This Row],[Provincia]],Tabla2[Provincias],Tabla2[Comunidades],"no se encuentra")</f>
        <v>Cataluña</v>
      </c>
      <c r="M4137" t="s">
        <v>13</v>
      </c>
      <c r="N4137">
        <v>4</v>
      </c>
    </row>
    <row r="4138" spans="1:14" x14ac:dyDescent="0.25">
      <c r="A4138">
        <v>5137</v>
      </c>
      <c r="B4138" s="1">
        <v>45957</v>
      </c>
      <c r="C4138" s="4">
        <f>MONTH(datos_ventas[[#This Row],[Fecha]])</f>
        <v>10</v>
      </c>
      <c r="D4138" s="4">
        <f>WEEKNUM(datos_ventas[[#This Row],[Fecha]],2)</f>
        <v>44</v>
      </c>
      <c r="E4138" t="s">
        <v>10</v>
      </c>
      <c r="F4138" t="s">
        <v>11</v>
      </c>
      <c r="G4138">
        <v>5</v>
      </c>
      <c r="H4138">
        <v>112093</v>
      </c>
      <c r="I4138">
        <v>3894</v>
      </c>
      <c r="J4138" t="s">
        <v>22</v>
      </c>
      <c r="K4138" t="str">
        <f>_xlfn.XLOOKUP(datos_ventas[[#This Row],[Ciudad]],Tabla2[Ciudades],Tabla2[Provincias],"no se encuentra")</f>
        <v>Valencia</v>
      </c>
      <c r="L4138" t="str">
        <f>_xlfn.XLOOKUP(datos_ventas[[#This Row],[Provincia]],Tabla2[Provincias],Tabla2[Comunidades],"no se encuentra")</f>
        <v>Comunidad Valenciana</v>
      </c>
      <c r="M4138" t="s">
        <v>15</v>
      </c>
      <c r="N4138">
        <v>1</v>
      </c>
    </row>
    <row r="4139" spans="1:14" x14ac:dyDescent="0.25">
      <c r="A4139">
        <v>5138</v>
      </c>
      <c r="B4139" s="1">
        <v>45824</v>
      </c>
      <c r="C4139" s="4">
        <f>MONTH(datos_ventas[[#This Row],[Fecha]])</f>
        <v>6</v>
      </c>
      <c r="D4139" s="4">
        <f>WEEKNUM(datos_ventas[[#This Row],[Fecha]],2)</f>
        <v>25</v>
      </c>
      <c r="E4139" t="s">
        <v>17</v>
      </c>
      <c r="F4139" t="s">
        <v>18</v>
      </c>
      <c r="G4139">
        <v>3</v>
      </c>
      <c r="H4139">
        <v>82435</v>
      </c>
      <c r="I4139">
        <v>937</v>
      </c>
      <c r="J4139" t="s">
        <v>27</v>
      </c>
      <c r="K4139" t="str">
        <f>_xlfn.XLOOKUP(datos_ventas[[#This Row],[Ciudad]],Tabla2[Ciudades],Tabla2[Provincias],"no se encuentra")</f>
        <v>Sevilla</v>
      </c>
      <c r="L4139" t="str">
        <f>_xlfn.XLOOKUP(datos_ventas[[#This Row],[Provincia]],Tabla2[Provincias],Tabla2[Comunidades],"no se encuentra")</f>
        <v>Andalucía</v>
      </c>
      <c r="M4139" t="s">
        <v>13</v>
      </c>
      <c r="N4139">
        <v>3</v>
      </c>
    </row>
    <row r="4140" spans="1:14" x14ac:dyDescent="0.25">
      <c r="A4140">
        <v>5139</v>
      </c>
      <c r="B4140" s="1">
        <v>45969</v>
      </c>
      <c r="C4140" s="4">
        <f>MONTH(datos_ventas[[#This Row],[Fecha]])</f>
        <v>11</v>
      </c>
      <c r="D4140" s="4">
        <f>WEEKNUM(datos_ventas[[#This Row],[Fecha]],2)</f>
        <v>45</v>
      </c>
      <c r="E4140" t="s">
        <v>17</v>
      </c>
      <c r="F4140" t="s">
        <v>18</v>
      </c>
      <c r="G4140">
        <v>3</v>
      </c>
      <c r="H4140">
        <v>83002</v>
      </c>
      <c r="I4140">
        <v>1738</v>
      </c>
      <c r="J4140" t="s">
        <v>27</v>
      </c>
      <c r="K4140" t="str">
        <f>_xlfn.XLOOKUP(datos_ventas[[#This Row],[Ciudad]],Tabla2[Ciudades],Tabla2[Provincias],"no se encuentra")</f>
        <v>Sevilla</v>
      </c>
      <c r="L4140" t="str">
        <f>_xlfn.XLOOKUP(datos_ventas[[#This Row],[Provincia]],Tabla2[Provincias],Tabla2[Comunidades],"no se encuentra")</f>
        <v>Andalucía</v>
      </c>
      <c r="M4140" t="s">
        <v>13</v>
      </c>
      <c r="N4140">
        <v>2</v>
      </c>
    </row>
    <row r="4141" spans="1:14" x14ac:dyDescent="0.25">
      <c r="A4141">
        <v>5140</v>
      </c>
      <c r="B4141" s="1">
        <v>45945</v>
      </c>
      <c r="C4141" s="4">
        <f>MONTH(datos_ventas[[#This Row],[Fecha]])</f>
        <v>10</v>
      </c>
      <c r="D4141" s="4">
        <f>WEEKNUM(datos_ventas[[#This Row],[Fecha]],2)</f>
        <v>42</v>
      </c>
      <c r="E4141" t="s">
        <v>29</v>
      </c>
      <c r="F4141" t="s">
        <v>30</v>
      </c>
      <c r="G4141">
        <v>1</v>
      </c>
      <c r="H4141">
        <v>9349</v>
      </c>
      <c r="I4141">
        <v>4218</v>
      </c>
      <c r="J4141" t="s">
        <v>12</v>
      </c>
      <c r="K4141" t="str">
        <f>_xlfn.XLOOKUP(datos_ventas[[#This Row],[Ciudad]],Tabla2[Ciudades],Tabla2[Provincias],"no se encuentra")</f>
        <v>Málaga</v>
      </c>
      <c r="L4141" t="str">
        <f>_xlfn.XLOOKUP(datos_ventas[[#This Row],[Provincia]],Tabla2[Provincias],Tabla2[Comunidades],"no se encuentra")</f>
        <v>Andalucía</v>
      </c>
      <c r="M4141" t="s">
        <v>13</v>
      </c>
      <c r="N4141">
        <v>3</v>
      </c>
    </row>
    <row r="4142" spans="1:14" x14ac:dyDescent="0.25">
      <c r="A4142">
        <v>5141</v>
      </c>
      <c r="B4142" s="1">
        <v>45702</v>
      </c>
      <c r="C4142" s="4">
        <f>MONTH(datos_ventas[[#This Row],[Fecha]])</f>
        <v>2</v>
      </c>
      <c r="D4142" s="4">
        <f>WEEKNUM(datos_ventas[[#This Row],[Fecha]],2)</f>
        <v>7</v>
      </c>
      <c r="E4142" t="s">
        <v>23</v>
      </c>
      <c r="F4142" t="s">
        <v>18</v>
      </c>
      <c r="G4142">
        <v>2</v>
      </c>
      <c r="H4142">
        <v>105293</v>
      </c>
      <c r="I4142">
        <v>4047</v>
      </c>
      <c r="J4142" t="s">
        <v>14</v>
      </c>
      <c r="K4142" t="str">
        <f>_xlfn.XLOOKUP(datos_ventas[[#This Row],[Ciudad]],Tabla2[Ciudades],Tabla2[Provincias],"no se encuentra")</f>
        <v>Madrid</v>
      </c>
      <c r="L4142" t="str">
        <f>_xlfn.XLOOKUP(datos_ventas[[#This Row],[Provincia]],Tabla2[Provincias],Tabla2[Comunidades],"no se encuentra")</f>
        <v>Comunidad de Madrid</v>
      </c>
      <c r="M4142" t="s">
        <v>28</v>
      </c>
      <c r="N4142">
        <v>2</v>
      </c>
    </row>
    <row r="4143" spans="1:14" x14ac:dyDescent="0.25">
      <c r="A4143">
        <v>5142</v>
      </c>
      <c r="B4143" s="1">
        <v>45671</v>
      </c>
      <c r="C4143" s="4">
        <f>MONTH(datos_ventas[[#This Row],[Fecha]])</f>
        <v>1</v>
      </c>
      <c r="D4143" s="4">
        <f>WEEKNUM(datos_ventas[[#This Row],[Fecha]],2)</f>
        <v>3</v>
      </c>
      <c r="E4143" t="s">
        <v>26</v>
      </c>
      <c r="F4143" t="s">
        <v>18</v>
      </c>
      <c r="G4143">
        <v>2</v>
      </c>
      <c r="H4143">
        <v>111423</v>
      </c>
      <c r="I4143">
        <v>256</v>
      </c>
      <c r="J4143" t="s">
        <v>31</v>
      </c>
      <c r="K4143" t="str">
        <f>_xlfn.XLOOKUP(datos_ventas[[#This Row],[Ciudad]],Tabla2[Ciudades],Tabla2[Provincias],"no se encuentra")</f>
        <v>Vizcaya</v>
      </c>
      <c r="L4143" t="str">
        <f>_xlfn.XLOOKUP(datos_ventas[[#This Row],[Provincia]],Tabla2[Provincias],Tabla2[Comunidades],"no se encuentra")</f>
        <v>País Vasco</v>
      </c>
      <c r="M4143" t="s">
        <v>28</v>
      </c>
      <c r="N4143">
        <v>5</v>
      </c>
    </row>
    <row r="4144" spans="1:14" x14ac:dyDescent="0.25">
      <c r="A4144">
        <v>5143</v>
      </c>
      <c r="B4144" s="1">
        <v>45842</v>
      </c>
      <c r="C4144" s="4">
        <f>MONTH(datos_ventas[[#This Row],[Fecha]])</f>
        <v>7</v>
      </c>
      <c r="D4144" s="4">
        <f>WEEKNUM(datos_ventas[[#This Row],[Fecha]],2)</f>
        <v>27</v>
      </c>
      <c r="E4144" t="s">
        <v>10</v>
      </c>
      <c r="F4144" t="s">
        <v>11</v>
      </c>
      <c r="G4144">
        <v>2</v>
      </c>
      <c r="H4144">
        <v>57287</v>
      </c>
      <c r="I4144">
        <v>4091</v>
      </c>
      <c r="J4144" t="s">
        <v>14</v>
      </c>
      <c r="K4144" t="str">
        <f>_xlfn.XLOOKUP(datos_ventas[[#This Row],[Ciudad]],Tabla2[Ciudades],Tabla2[Provincias],"no se encuentra")</f>
        <v>Madrid</v>
      </c>
      <c r="L4144" t="str">
        <f>_xlfn.XLOOKUP(datos_ventas[[#This Row],[Provincia]],Tabla2[Provincias],Tabla2[Comunidades],"no se encuentra")</f>
        <v>Comunidad de Madrid</v>
      </c>
      <c r="M4144" t="s">
        <v>19</v>
      </c>
      <c r="N4144">
        <v>2</v>
      </c>
    </row>
    <row r="4145" spans="1:14" x14ac:dyDescent="0.25">
      <c r="A4145">
        <v>5144</v>
      </c>
      <c r="B4145" s="1">
        <v>45845</v>
      </c>
      <c r="C4145" s="4">
        <f>MONTH(datos_ventas[[#This Row],[Fecha]])</f>
        <v>7</v>
      </c>
      <c r="D4145" s="4">
        <f>WEEKNUM(datos_ventas[[#This Row],[Fecha]],2)</f>
        <v>28</v>
      </c>
      <c r="E4145" t="s">
        <v>26</v>
      </c>
      <c r="F4145" t="s">
        <v>18</v>
      </c>
      <c r="G4145">
        <v>1</v>
      </c>
      <c r="H4145">
        <v>2004</v>
      </c>
      <c r="I4145">
        <v>2569</v>
      </c>
      <c r="J4145" t="s">
        <v>31</v>
      </c>
      <c r="K4145" t="str">
        <f>_xlfn.XLOOKUP(datos_ventas[[#This Row],[Ciudad]],Tabla2[Ciudades],Tabla2[Provincias],"no se encuentra")</f>
        <v>Vizcaya</v>
      </c>
      <c r="L4145" t="str">
        <f>_xlfn.XLOOKUP(datos_ventas[[#This Row],[Provincia]],Tabla2[Provincias],Tabla2[Comunidades],"no se encuentra")</f>
        <v>País Vasco</v>
      </c>
      <c r="M4145" t="s">
        <v>13</v>
      </c>
      <c r="N4145">
        <v>5</v>
      </c>
    </row>
    <row r="4146" spans="1:14" x14ac:dyDescent="0.25">
      <c r="A4146">
        <v>5145</v>
      </c>
      <c r="B4146" s="1">
        <v>45935</v>
      </c>
      <c r="C4146" s="4">
        <f>MONTH(datos_ventas[[#This Row],[Fecha]])</f>
        <v>10</v>
      </c>
      <c r="D4146" s="4">
        <f>WEEKNUM(datos_ventas[[#This Row],[Fecha]],2)</f>
        <v>40</v>
      </c>
      <c r="E4146" t="s">
        <v>24</v>
      </c>
      <c r="F4146" t="s">
        <v>25</v>
      </c>
      <c r="G4146">
        <v>2</v>
      </c>
      <c r="H4146">
        <v>92117</v>
      </c>
      <c r="I4146">
        <v>164</v>
      </c>
      <c r="J4146" t="s">
        <v>22</v>
      </c>
      <c r="K4146" t="str">
        <f>_xlfn.XLOOKUP(datos_ventas[[#This Row],[Ciudad]],Tabla2[Ciudades],Tabla2[Provincias],"no se encuentra")</f>
        <v>Valencia</v>
      </c>
      <c r="L4146" t="str">
        <f>_xlfn.XLOOKUP(datos_ventas[[#This Row],[Provincia]],Tabla2[Provincias],Tabla2[Comunidades],"no se encuentra")</f>
        <v>Comunidad Valenciana</v>
      </c>
      <c r="M4146" t="s">
        <v>28</v>
      </c>
      <c r="N4146">
        <v>1</v>
      </c>
    </row>
    <row r="4147" spans="1:14" x14ac:dyDescent="0.25">
      <c r="A4147">
        <v>5146</v>
      </c>
      <c r="B4147" s="1">
        <v>45779</v>
      </c>
      <c r="C4147" s="4">
        <f>MONTH(datos_ventas[[#This Row],[Fecha]])</f>
        <v>5</v>
      </c>
      <c r="D4147" s="4">
        <f>WEEKNUM(datos_ventas[[#This Row],[Fecha]],2)</f>
        <v>18</v>
      </c>
      <c r="E4147" t="s">
        <v>16</v>
      </c>
      <c r="F4147" t="s">
        <v>11</v>
      </c>
      <c r="G4147">
        <v>2</v>
      </c>
      <c r="H4147">
        <v>65656</v>
      </c>
      <c r="I4147">
        <v>3874</v>
      </c>
      <c r="J4147" t="s">
        <v>12</v>
      </c>
      <c r="K4147" t="str">
        <f>_xlfn.XLOOKUP(datos_ventas[[#This Row],[Ciudad]],Tabla2[Ciudades],Tabla2[Provincias],"no se encuentra")</f>
        <v>Málaga</v>
      </c>
      <c r="L4147" t="str">
        <f>_xlfn.XLOOKUP(datos_ventas[[#This Row],[Provincia]],Tabla2[Provincias],Tabla2[Comunidades],"no se encuentra")</f>
        <v>Andalucía</v>
      </c>
      <c r="M4147" t="s">
        <v>28</v>
      </c>
      <c r="N4147">
        <v>5</v>
      </c>
    </row>
    <row r="4148" spans="1:14" x14ac:dyDescent="0.25">
      <c r="A4148">
        <v>5147</v>
      </c>
      <c r="B4148" s="1">
        <v>45950</v>
      </c>
      <c r="C4148" s="4">
        <f>MONTH(datos_ventas[[#This Row],[Fecha]])</f>
        <v>10</v>
      </c>
      <c r="D4148" s="4">
        <f>WEEKNUM(datos_ventas[[#This Row],[Fecha]],2)</f>
        <v>43</v>
      </c>
      <c r="E4148" t="s">
        <v>23</v>
      </c>
      <c r="F4148" t="s">
        <v>18</v>
      </c>
      <c r="G4148">
        <v>5</v>
      </c>
      <c r="H4148">
        <v>34073</v>
      </c>
      <c r="I4148">
        <v>2545</v>
      </c>
      <c r="J4148" t="s">
        <v>12</v>
      </c>
      <c r="K4148" t="str">
        <f>_xlfn.XLOOKUP(datos_ventas[[#This Row],[Ciudad]],Tabla2[Ciudades],Tabla2[Provincias],"no se encuentra")</f>
        <v>Málaga</v>
      </c>
      <c r="L4148" t="str">
        <f>_xlfn.XLOOKUP(datos_ventas[[#This Row],[Provincia]],Tabla2[Provincias],Tabla2[Comunidades],"no se encuentra")</f>
        <v>Andalucía</v>
      </c>
      <c r="M4148" t="s">
        <v>28</v>
      </c>
      <c r="N4148">
        <v>4</v>
      </c>
    </row>
    <row r="4149" spans="1:14" x14ac:dyDescent="0.25">
      <c r="A4149">
        <v>5148</v>
      </c>
      <c r="B4149" s="1">
        <v>45713</v>
      </c>
      <c r="C4149" s="4">
        <f>MONTH(datos_ventas[[#This Row],[Fecha]])</f>
        <v>2</v>
      </c>
      <c r="D4149" s="4">
        <f>WEEKNUM(datos_ventas[[#This Row],[Fecha]],2)</f>
        <v>9</v>
      </c>
      <c r="E4149" t="s">
        <v>24</v>
      </c>
      <c r="F4149" t="s">
        <v>25</v>
      </c>
      <c r="G4149">
        <v>5</v>
      </c>
      <c r="H4149">
        <v>77063</v>
      </c>
      <c r="I4149">
        <v>281</v>
      </c>
      <c r="J4149" t="s">
        <v>32</v>
      </c>
      <c r="K4149" t="str">
        <f>_xlfn.XLOOKUP(datos_ventas[[#This Row],[Ciudad]],Tabla2[Ciudades],Tabla2[Provincias],"no se encuentra")</f>
        <v>Barcelona</v>
      </c>
      <c r="L4149" t="str">
        <f>_xlfn.XLOOKUP(datos_ventas[[#This Row],[Provincia]],Tabla2[Provincias],Tabla2[Comunidades],"no se encuentra")</f>
        <v>Cataluña</v>
      </c>
      <c r="M4149" t="s">
        <v>15</v>
      </c>
      <c r="N4149">
        <v>4</v>
      </c>
    </row>
    <row r="4150" spans="1:14" x14ac:dyDescent="0.25">
      <c r="A4150">
        <v>5149</v>
      </c>
      <c r="B4150" s="1">
        <v>45822</v>
      </c>
      <c r="C4150" s="4">
        <f>MONTH(datos_ventas[[#This Row],[Fecha]])</f>
        <v>6</v>
      </c>
      <c r="D4150" s="4">
        <f>WEEKNUM(datos_ventas[[#This Row],[Fecha]],2)</f>
        <v>24</v>
      </c>
      <c r="E4150" t="s">
        <v>16</v>
      </c>
      <c r="F4150" t="s">
        <v>11</v>
      </c>
      <c r="G4150">
        <v>5</v>
      </c>
      <c r="H4150">
        <v>100363</v>
      </c>
      <c r="I4150">
        <v>2927</v>
      </c>
      <c r="J4150" t="s">
        <v>31</v>
      </c>
      <c r="K4150" t="str">
        <f>_xlfn.XLOOKUP(datos_ventas[[#This Row],[Ciudad]],Tabla2[Ciudades],Tabla2[Provincias],"no se encuentra")</f>
        <v>Vizcaya</v>
      </c>
      <c r="L4150" t="str">
        <f>_xlfn.XLOOKUP(datos_ventas[[#This Row],[Provincia]],Tabla2[Provincias],Tabla2[Comunidades],"no se encuentra")</f>
        <v>País Vasco</v>
      </c>
      <c r="M4150" t="s">
        <v>28</v>
      </c>
      <c r="N4150">
        <v>3</v>
      </c>
    </row>
    <row r="4151" spans="1:14" x14ac:dyDescent="0.25">
      <c r="A4151">
        <v>5150</v>
      </c>
      <c r="B4151" s="1">
        <v>45699</v>
      </c>
      <c r="C4151" s="4">
        <f>MONTH(datos_ventas[[#This Row],[Fecha]])</f>
        <v>2</v>
      </c>
      <c r="D4151" s="4">
        <f>WEEKNUM(datos_ventas[[#This Row],[Fecha]],2)</f>
        <v>7</v>
      </c>
      <c r="E4151" t="s">
        <v>23</v>
      </c>
      <c r="F4151" t="s">
        <v>18</v>
      </c>
      <c r="G4151">
        <v>4</v>
      </c>
      <c r="H4151">
        <v>90689</v>
      </c>
      <c r="I4151">
        <v>1255</v>
      </c>
      <c r="J4151" t="s">
        <v>12</v>
      </c>
      <c r="K4151" t="str">
        <f>_xlfn.XLOOKUP(datos_ventas[[#This Row],[Ciudad]],Tabla2[Ciudades],Tabla2[Provincias],"no se encuentra")</f>
        <v>Málaga</v>
      </c>
      <c r="L4151" t="str">
        <f>_xlfn.XLOOKUP(datos_ventas[[#This Row],[Provincia]],Tabla2[Provincias],Tabla2[Comunidades],"no se encuentra")</f>
        <v>Andalucía</v>
      </c>
      <c r="M4151" t="s">
        <v>28</v>
      </c>
      <c r="N4151">
        <v>4</v>
      </c>
    </row>
    <row r="4152" spans="1:14" x14ac:dyDescent="0.25">
      <c r="A4152">
        <v>5151</v>
      </c>
      <c r="B4152" s="1">
        <v>45772</v>
      </c>
      <c r="C4152" s="4">
        <f>MONTH(datos_ventas[[#This Row],[Fecha]])</f>
        <v>4</v>
      </c>
      <c r="D4152" s="4">
        <f>WEEKNUM(datos_ventas[[#This Row],[Fecha]],2)</f>
        <v>17</v>
      </c>
      <c r="E4152" t="s">
        <v>10</v>
      </c>
      <c r="F4152" t="s">
        <v>11</v>
      </c>
      <c r="G4152">
        <v>1</v>
      </c>
      <c r="H4152">
        <v>59213</v>
      </c>
      <c r="I4152">
        <v>526</v>
      </c>
      <c r="J4152" t="s">
        <v>31</v>
      </c>
      <c r="K4152" t="str">
        <f>_xlfn.XLOOKUP(datos_ventas[[#This Row],[Ciudad]],Tabla2[Ciudades],Tabla2[Provincias],"no se encuentra")</f>
        <v>Vizcaya</v>
      </c>
      <c r="L4152" t="str">
        <f>_xlfn.XLOOKUP(datos_ventas[[#This Row],[Provincia]],Tabla2[Provincias],Tabla2[Comunidades],"no se encuentra")</f>
        <v>País Vasco</v>
      </c>
      <c r="M4152" t="s">
        <v>15</v>
      </c>
      <c r="N4152">
        <v>3</v>
      </c>
    </row>
    <row r="4153" spans="1:14" x14ac:dyDescent="0.25">
      <c r="A4153">
        <v>5152</v>
      </c>
      <c r="B4153" s="1">
        <v>45764</v>
      </c>
      <c r="C4153" s="4">
        <f>MONTH(datos_ventas[[#This Row],[Fecha]])</f>
        <v>4</v>
      </c>
      <c r="D4153" s="4">
        <f>WEEKNUM(datos_ventas[[#This Row],[Fecha]],2)</f>
        <v>16</v>
      </c>
      <c r="E4153" t="s">
        <v>23</v>
      </c>
      <c r="F4153" t="s">
        <v>18</v>
      </c>
      <c r="G4153">
        <v>4</v>
      </c>
      <c r="H4153">
        <v>71538</v>
      </c>
      <c r="I4153">
        <v>1658</v>
      </c>
      <c r="J4153" t="s">
        <v>31</v>
      </c>
      <c r="K4153" t="str">
        <f>_xlfn.XLOOKUP(datos_ventas[[#This Row],[Ciudad]],Tabla2[Ciudades],Tabla2[Provincias],"no se encuentra")</f>
        <v>Vizcaya</v>
      </c>
      <c r="L4153" t="str">
        <f>_xlfn.XLOOKUP(datos_ventas[[#This Row],[Provincia]],Tabla2[Provincias],Tabla2[Comunidades],"no se encuentra")</f>
        <v>País Vasco</v>
      </c>
      <c r="M4153" t="s">
        <v>13</v>
      </c>
      <c r="N4153">
        <v>5</v>
      </c>
    </row>
    <row r="4154" spans="1:14" x14ac:dyDescent="0.25">
      <c r="A4154">
        <v>5153</v>
      </c>
      <c r="B4154" s="1">
        <v>45748</v>
      </c>
      <c r="C4154" s="4">
        <f>MONTH(datos_ventas[[#This Row],[Fecha]])</f>
        <v>4</v>
      </c>
      <c r="D4154" s="4">
        <f>WEEKNUM(datos_ventas[[#This Row],[Fecha]],2)</f>
        <v>14</v>
      </c>
      <c r="E4154" t="s">
        <v>16</v>
      </c>
      <c r="F4154" t="s">
        <v>11</v>
      </c>
      <c r="G4154">
        <v>2</v>
      </c>
      <c r="H4154">
        <v>4185</v>
      </c>
      <c r="I4154">
        <v>2336</v>
      </c>
      <c r="J4154" t="s">
        <v>14</v>
      </c>
      <c r="K4154" t="str">
        <f>_xlfn.XLOOKUP(datos_ventas[[#This Row],[Ciudad]],Tabla2[Ciudades],Tabla2[Provincias],"no se encuentra")</f>
        <v>Madrid</v>
      </c>
      <c r="L4154" t="str">
        <f>_xlfn.XLOOKUP(datos_ventas[[#This Row],[Provincia]],Tabla2[Provincias],Tabla2[Comunidades],"no se encuentra")</f>
        <v>Comunidad de Madrid</v>
      </c>
      <c r="M4154" t="s">
        <v>19</v>
      </c>
      <c r="N4154">
        <v>5</v>
      </c>
    </row>
    <row r="4155" spans="1:14" x14ac:dyDescent="0.25">
      <c r="A4155">
        <v>5154</v>
      </c>
      <c r="B4155" s="1">
        <v>45783</v>
      </c>
      <c r="C4155" s="4">
        <f>MONTH(datos_ventas[[#This Row],[Fecha]])</f>
        <v>5</v>
      </c>
      <c r="D4155" s="4">
        <f>WEEKNUM(datos_ventas[[#This Row],[Fecha]],2)</f>
        <v>19</v>
      </c>
      <c r="E4155" t="s">
        <v>10</v>
      </c>
      <c r="F4155" t="s">
        <v>11</v>
      </c>
      <c r="G4155">
        <v>3</v>
      </c>
      <c r="H4155">
        <v>37895</v>
      </c>
      <c r="I4155">
        <v>4363</v>
      </c>
      <c r="J4155" t="s">
        <v>31</v>
      </c>
      <c r="K4155" t="str">
        <f>_xlfn.XLOOKUP(datos_ventas[[#This Row],[Ciudad]],Tabla2[Ciudades],Tabla2[Provincias],"no se encuentra")</f>
        <v>Vizcaya</v>
      </c>
      <c r="L4155" t="str">
        <f>_xlfn.XLOOKUP(datos_ventas[[#This Row],[Provincia]],Tabla2[Provincias],Tabla2[Comunidades],"no se encuentra")</f>
        <v>País Vasco</v>
      </c>
      <c r="M4155" t="s">
        <v>28</v>
      </c>
      <c r="N4155">
        <v>3</v>
      </c>
    </row>
    <row r="4156" spans="1:14" x14ac:dyDescent="0.25">
      <c r="A4156">
        <v>5155</v>
      </c>
      <c r="B4156" s="1">
        <v>45737</v>
      </c>
      <c r="C4156" s="4">
        <f>MONTH(datos_ventas[[#This Row],[Fecha]])</f>
        <v>3</v>
      </c>
      <c r="D4156" s="4">
        <f>WEEKNUM(datos_ventas[[#This Row],[Fecha]],2)</f>
        <v>12</v>
      </c>
      <c r="E4156" t="s">
        <v>16</v>
      </c>
      <c r="F4156" t="s">
        <v>11</v>
      </c>
      <c r="G4156">
        <v>4</v>
      </c>
      <c r="H4156">
        <v>72813</v>
      </c>
      <c r="I4156">
        <v>4734</v>
      </c>
      <c r="J4156" t="s">
        <v>14</v>
      </c>
      <c r="K4156" t="str">
        <f>_xlfn.XLOOKUP(datos_ventas[[#This Row],[Ciudad]],Tabla2[Ciudades],Tabla2[Provincias],"no se encuentra")</f>
        <v>Madrid</v>
      </c>
      <c r="L4156" t="str">
        <f>_xlfn.XLOOKUP(datos_ventas[[#This Row],[Provincia]],Tabla2[Provincias],Tabla2[Comunidades],"no se encuentra")</f>
        <v>Comunidad de Madrid</v>
      </c>
      <c r="M4156" t="s">
        <v>19</v>
      </c>
      <c r="N4156">
        <v>5</v>
      </c>
    </row>
    <row r="4157" spans="1:14" x14ac:dyDescent="0.25">
      <c r="A4157">
        <v>5156</v>
      </c>
      <c r="B4157" s="1">
        <v>46020</v>
      </c>
      <c r="C4157" s="4">
        <f>MONTH(datos_ventas[[#This Row],[Fecha]])</f>
        <v>12</v>
      </c>
      <c r="D4157" s="4">
        <f>WEEKNUM(datos_ventas[[#This Row],[Fecha]],2)</f>
        <v>53</v>
      </c>
      <c r="E4157" t="s">
        <v>17</v>
      </c>
      <c r="F4157" t="s">
        <v>18</v>
      </c>
      <c r="G4157">
        <v>4</v>
      </c>
      <c r="H4157">
        <v>52166</v>
      </c>
      <c r="I4157">
        <v>903</v>
      </c>
      <c r="J4157" t="s">
        <v>14</v>
      </c>
      <c r="K4157" t="str">
        <f>_xlfn.XLOOKUP(datos_ventas[[#This Row],[Ciudad]],Tabla2[Ciudades],Tabla2[Provincias],"no se encuentra")</f>
        <v>Madrid</v>
      </c>
      <c r="L4157" t="str">
        <f>_xlfn.XLOOKUP(datos_ventas[[#This Row],[Provincia]],Tabla2[Provincias],Tabla2[Comunidades],"no se encuentra")</f>
        <v>Comunidad de Madrid</v>
      </c>
      <c r="M4157" t="s">
        <v>19</v>
      </c>
      <c r="N4157">
        <v>3</v>
      </c>
    </row>
    <row r="4158" spans="1:14" x14ac:dyDescent="0.25">
      <c r="A4158">
        <v>5157</v>
      </c>
      <c r="B4158" s="1">
        <v>45775</v>
      </c>
      <c r="C4158" s="4">
        <f>MONTH(datos_ventas[[#This Row],[Fecha]])</f>
        <v>4</v>
      </c>
      <c r="D4158" s="4">
        <f>WEEKNUM(datos_ventas[[#This Row],[Fecha]],2)</f>
        <v>18</v>
      </c>
      <c r="E4158" t="s">
        <v>23</v>
      </c>
      <c r="F4158" t="s">
        <v>18</v>
      </c>
      <c r="G4158">
        <v>2</v>
      </c>
      <c r="H4158">
        <v>37915</v>
      </c>
      <c r="I4158">
        <v>3058</v>
      </c>
      <c r="J4158" t="s">
        <v>32</v>
      </c>
      <c r="K4158" t="str">
        <f>_xlfn.XLOOKUP(datos_ventas[[#This Row],[Ciudad]],Tabla2[Ciudades],Tabla2[Provincias],"no se encuentra")</f>
        <v>Barcelona</v>
      </c>
      <c r="L4158" t="str">
        <f>_xlfn.XLOOKUP(datos_ventas[[#This Row],[Provincia]],Tabla2[Provincias],Tabla2[Comunidades],"no se encuentra")</f>
        <v>Cataluña</v>
      </c>
      <c r="M4158" t="s">
        <v>13</v>
      </c>
      <c r="N4158">
        <v>4</v>
      </c>
    </row>
    <row r="4159" spans="1:14" x14ac:dyDescent="0.25">
      <c r="A4159">
        <v>5158</v>
      </c>
      <c r="B4159" s="1">
        <v>45695</v>
      </c>
      <c r="C4159" s="4">
        <f>MONTH(datos_ventas[[#This Row],[Fecha]])</f>
        <v>2</v>
      </c>
      <c r="D4159" s="4">
        <f>WEEKNUM(datos_ventas[[#This Row],[Fecha]],2)</f>
        <v>6</v>
      </c>
      <c r="E4159" t="s">
        <v>20</v>
      </c>
      <c r="F4159" t="s">
        <v>21</v>
      </c>
      <c r="G4159">
        <v>2</v>
      </c>
      <c r="H4159">
        <v>53376</v>
      </c>
      <c r="I4159">
        <v>3133</v>
      </c>
      <c r="J4159" t="s">
        <v>14</v>
      </c>
      <c r="K4159" t="str">
        <f>_xlfn.XLOOKUP(datos_ventas[[#This Row],[Ciudad]],Tabla2[Ciudades],Tabla2[Provincias],"no se encuentra")</f>
        <v>Madrid</v>
      </c>
      <c r="L4159" t="str">
        <f>_xlfn.XLOOKUP(datos_ventas[[#This Row],[Provincia]],Tabla2[Provincias],Tabla2[Comunidades],"no se encuentra")</f>
        <v>Comunidad de Madrid</v>
      </c>
      <c r="M4159" t="s">
        <v>15</v>
      </c>
      <c r="N4159">
        <v>2</v>
      </c>
    </row>
    <row r="4160" spans="1:14" x14ac:dyDescent="0.25">
      <c r="A4160">
        <v>5159</v>
      </c>
      <c r="B4160" s="1">
        <v>45856</v>
      </c>
      <c r="C4160" s="4">
        <f>MONTH(datos_ventas[[#This Row],[Fecha]])</f>
        <v>7</v>
      </c>
      <c r="D4160" s="4">
        <f>WEEKNUM(datos_ventas[[#This Row],[Fecha]],2)</f>
        <v>29</v>
      </c>
      <c r="E4160" t="s">
        <v>10</v>
      </c>
      <c r="F4160" t="s">
        <v>11</v>
      </c>
      <c r="G4160">
        <v>3</v>
      </c>
      <c r="H4160">
        <v>89996</v>
      </c>
      <c r="I4160">
        <v>546</v>
      </c>
      <c r="J4160" t="s">
        <v>32</v>
      </c>
      <c r="K4160" t="str">
        <f>_xlfn.XLOOKUP(datos_ventas[[#This Row],[Ciudad]],Tabla2[Ciudades],Tabla2[Provincias],"no se encuentra")</f>
        <v>Barcelona</v>
      </c>
      <c r="L4160" t="str">
        <f>_xlfn.XLOOKUP(datos_ventas[[#This Row],[Provincia]],Tabla2[Provincias],Tabla2[Comunidades],"no se encuentra")</f>
        <v>Cataluña</v>
      </c>
      <c r="M4160" t="s">
        <v>28</v>
      </c>
      <c r="N4160">
        <v>3</v>
      </c>
    </row>
    <row r="4161" spans="1:14" x14ac:dyDescent="0.25">
      <c r="A4161">
        <v>5160</v>
      </c>
      <c r="B4161" s="1">
        <v>45794</v>
      </c>
      <c r="C4161" s="4">
        <f>MONTH(datos_ventas[[#This Row],[Fecha]])</f>
        <v>5</v>
      </c>
      <c r="D4161" s="4">
        <f>WEEKNUM(datos_ventas[[#This Row],[Fecha]],2)</f>
        <v>20</v>
      </c>
      <c r="E4161" t="s">
        <v>29</v>
      </c>
      <c r="F4161" t="s">
        <v>30</v>
      </c>
      <c r="G4161">
        <v>5</v>
      </c>
      <c r="H4161">
        <v>77759</v>
      </c>
      <c r="I4161">
        <v>1796</v>
      </c>
      <c r="J4161" t="s">
        <v>27</v>
      </c>
      <c r="K4161" t="str">
        <f>_xlfn.XLOOKUP(datos_ventas[[#This Row],[Ciudad]],Tabla2[Ciudades],Tabla2[Provincias],"no se encuentra")</f>
        <v>Sevilla</v>
      </c>
      <c r="L4161" t="str">
        <f>_xlfn.XLOOKUP(datos_ventas[[#This Row],[Provincia]],Tabla2[Provincias],Tabla2[Comunidades],"no se encuentra")</f>
        <v>Andalucía</v>
      </c>
      <c r="M4161" t="s">
        <v>19</v>
      </c>
      <c r="N4161">
        <v>4</v>
      </c>
    </row>
    <row r="4162" spans="1:14" x14ac:dyDescent="0.25">
      <c r="A4162">
        <v>5161</v>
      </c>
      <c r="B4162" s="1">
        <v>45838</v>
      </c>
      <c r="C4162" s="4">
        <f>MONTH(datos_ventas[[#This Row],[Fecha]])</f>
        <v>6</v>
      </c>
      <c r="D4162" s="4">
        <f>WEEKNUM(datos_ventas[[#This Row],[Fecha]],2)</f>
        <v>27</v>
      </c>
      <c r="E4162" t="s">
        <v>16</v>
      </c>
      <c r="F4162" t="s">
        <v>11</v>
      </c>
      <c r="G4162">
        <v>5</v>
      </c>
      <c r="H4162">
        <v>78377</v>
      </c>
      <c r="I4162">
        <v>1108</v>
      </c>
      <c r="J4162" t="s">
        <v>12</v>
      </c>
      <c r="K4162" t="str">
        <f>_xlfn.XLOOKUP(datos_ventas[[#This Row],[Ciudad]],Tabla2[Ciudades],Tabla2[Provincias],"no se encuentra")</f>
        <v>Málaga</v>
      </c>
      <c r="L4162" t="str">
        <f>_xlfn.XLOOKUP(datos_ventas[[#This Row],[Provincia]],Tabla2[Provincias],Tabla2[Comunidades],"no se encuentra")</f>
        <v>Andalucía</v>
      </c>
      <c r="M4162" t="s">
        <v>19</v>
      </c>
      <c r="N4162">
        <v>3</v>
      </c>
    </row>
    <row r="4163" spans="1:14" x14ac:dyDescent="0.25">
      <c r="A4163">
        <v>5162</v>
      </c>
      <c r="B4163" s="1">
        <v>45673</v>
      </c>
      <c r="C4163" s="4">
        <f>MONTH(datos_ventas[[#This Row],[Fecha]])</f>
        <v>1</v>
      </c>
      <c r="D4163" s="4">
        <f>WEEKNUM(datos_ventas[[#This Row],[Fecha]],2)</f>
        <v>3</v>
      </c>
      <c r="E4163" t="s">
        <v>17</v>
      </c>
      <c r="F4163" t="s">
        <v>18</v>
      </c>
      <c r="G4163">
        <v>2</v>
      </c>
      <c r="H4163">
        <v>4203</v>
      </c>
      <c r="I4163">
        <v>3658</v>
      </c>
      <c r="J4163" t="s">
        <v>22</v>
      </c>
      <c r="K4163" t="str">
        <f>_xlfn.XLOOKUP(datos_ventas[[#This Row],[Ciudad]],Tabla2[Ciudades],Tabla2[Provincias],"no se encuentra")</f>
        <v>Valencia</v>
      </c>
      <c r="L4163" t="str">
        <f>_xlfn.XLOOKUP(datos_ventas[[#This Row],[Provincia]],Tabla2[Provincias],Tabla2[Comunidades],"no se encuentra")</f>
        <v>Comunidad Valenciana</v>
      </c>
      <c r="M4163" t="s">
        <v>13</v>
      </c>
      <c r="N4163">
        <v>4</v>
      </c>
    </row>
    <row r="4164" spans="1:14" x14ac:dyDescent="0.25">
      <c r="A4164">
        <v>5163</v>
      </c>
      <c r="B4164" s="1">
        <v>45878</v>
      </c>
      <c r="C4164" s="4">
        <f>MONTH(datos_ventas[[#This Row],[Fecha]])</f>
        <v>8</v>
      </c>
      <c r="D4164" s="4">
        <f>WEEKNUM(datos_ventas[[#This Row],[Fecha]],2)</f>
        <v>32</v>
      </c>
      <c r="E4164" t="s">
        <v>29</v>
      </c>
      <c r="F4164" t="s">
        <v>30</v>
      </c>
      <c r="G4164">
        <v>2</v>
      </c>
      <c r="H4164">
        <v>111048</v>
      </c>
      <c r="I4164">
        <v>1867</v>
      </c>
      <c r="J4164" t="s">
        <v>27</v>
      </c>
      <c r="K4164" t="str">
        <f>_xlfn.XLOOKUP(datos_ventas[[#This Row],[Ciudad]],Tabla2[Ciudades],Tabla2[Provincias],"no se encuentra")</f>
        <v>Sevilla</v>
      </c>
      <c r="L4164" t="str">
        <f>_xlfn.XLOOKUP(datos_ventas[[#This Row],[Provincia]],Tabla2[Provincias],Tabla2[Comunidades],"no se encuentra")</f>
        <v>Andalucía</v>
      </c>
      <c r="M4164" t="s">
        <v>15</v>
      </c>
      <c r="N4164">
        <v>3</v>
      </c>
    </row>
    <row r="4165" spans="1:14" x14ac:dyDescent="0.25">
      <c r="A4165">
        <v>5164</v>
      </c>
      <c r="B4165" s="1">
        <v>45673</v>
      </c>
      <c r="C4165" s="4">
        <f>MONTH(datos_ventas[[#This Row],[Fecha]])</f>
        <v>1</v>
      </c>
      <c r="D4165" s="4">
        <f>WEEKNUM(datos_ventas[[#This Row],[Fecha]],2)</f>
        <v>3</v>
      </c>
      <c r="E4165" t="s">
        <v>16</v>
      </c>
      <c r="F4165" t="s">
        <v>11</v>
      </c>
      <c r="G4165">
        <v>1</v>
      </c>
      <c r="H4165">
        <v>82952</v>
      </c>
      <c r="I4165">
        <v>3048</v>
      </c>
      <c r="J4165" t="s">
        <v>31</v>
      </c>
      <c r="K4165" t="str">
        <f>_xlfn.XLOOKUP(datos_ventas[[#This Row],[Ciudad]],Tabla2[Ciudades],Tabla2[Provincias],"no se encuentra")</f>
        <v>Vizcaya</v>
      </c>
      <c r="L4165" t="str">
        <f>_xlfn.XLOOKUP(datos_ventas[[#This Row],[Provincia]],Tabla2[Provincias],Tabla2[Comunidades],"no se encuentra")</f>
        <v>País Vasco</v>
      </c>
      <c r="M4165" t="s">
        <v>19</v>
      </c>
      <c r="N4165">
        <v>5</v>
      </c>
    </row>
    <row r="4166" spans="1:14" x14ac:dyDescent="0.25">
      <c r="A4166">
        <v>5165</v>
      </c>
      <c r="B4166" s="1">
        <v>46014</v>
      </c>
      <c r="C4166" s="4">
        <f>MONTH(datos_ventas[[#This Row],[Fecha]])</f>
        <v>12</v>
      </c>
      <c r="D4166" s="4">
        <f>WEEKNUM(datos_ventas[[#This Row],[Fecha]],2)</f>
        <v>52</v>
      </c>
      <c r="E4166" t="s">
        <v>24</v>
      </c>
      <c r="F4166" t="s">
        <v>25</v>
      </c>
      <c r="G4166">
        <v>3</v>
      </c>
      <c r="H4166">
        <v>71473</v>
      </c>
      <c r="I4166">
        <v>701</v>
      </c>
      <c r="J4166" t="s">
        <v>32</v>
      </c>
      <c r="K4166" t="str">
        <f>_xlfn.XLOOKUP(datos_ventas[[#This Row],[Ciudad]],Tabla2[Ciudades],Tabla2[Provincias],"no se encuentra")</f>
        <v>Barcelona</v>
      </c>
      <c r="L4166" t="str">
        <f>_xlfn.XLOOKUP(datos_ventas[[#This Row],[Provincia]],Tabla2[Provincias],Tabla2[Comunidades],"no se encuentra")</f>
        <v>Cataluña</v>
      </c>
      <c r="M4166" t="s">
        <v>19</v>
      </c>
      <c r="N4166">
        <v>3</v>
      </c>
    </row>
    <row r="4167" spans="1:14" x14ac:dyDescent="0.25">
      <c r="A4167">
        <v>5166</v>
      </c>
      <c r="B4167" s="1">
        <v>45830</v>
      </c>
      <c r="C4167" s="4">
        <f>MONTH(datos_ventas[[#This Row],[Fecha]])</f>
        <v>6</v>
      </c>
      <c r="D4167" s="4">
        <f>WEEKNUM(datos_ventas[[#This Row],[Fecha]],2)</f>
        <v>25</v>
      </c>
      <c r="E4167" t="s">
        <v>23</v>
      </c>
      <c r="F4167" t="s">
        <v>18</v>
      </c>
      <c r="G4167">
        <v>1</v>
      </c>
      <c r="H4167">
        <v>68873</v>
      </c>
      <c r="I4167">
        <v>155</v>
      </c>
      <c r="J4167" t="s">
        <v>32</v>
      </c>
      <c r="K4167" t="str">
        <f>_xlfn.XLOOKUP(datos_ventas[[#This Row],[Ciudad]],Tabla2[Ciudades],Tabla2[Provincias],"no se encuentra")</f>
        <v>Barcelona</v>
      </c>
      <c r="L4167" t="str">
        <f>_xlfn.XLOOKUP(datos_ventas[[#This Row],[Provincia]],Tabla2[Provincias],Tabla2[Comunidades],"no se encuentra")</f>
        <v>Cataluña</v>
      </c>
      <c r="M4167" t="s">
        <v>19</v>
      </c>
      <c r="N4167">
        <v>3</v>
      </c>
    </row>
    <row r="4168" spans="1:14" x14ac:dyDescent="0.25">
      <c r="A4168">
        <v>5167</v>
      </c>
      <c r="B4168" s="1">
        <v>45909</v>
      </c>
      <c r="C4168" s="4">
        <f>MONTH(datos_ventas[[#This Row],[Fecha]])</f>
        <v>9</v>
      </c>
      <c r="D4168" s="4">
        <f>WEEKNUM(datos_ventas[[#This Row],[Fecha]],2)</f>
        <v>37</v>
      </c>
      <c r="E4168" t="s">
        <v>16</v>
      </c>
      <c r="F4168" t="s">
        <v>11</v>
      </c>
      <c r="G4168">
        <v>1</v>
      </c>
      <c r="H4168">
        <v>104104</v>
      </c>
      <c r="I4168">
        <v>3194</v>
      </c>
      <c r="J4168" t="s">
        <v>32</v>
      </c>
      <c r="K4168" t="str">
        <f>_xlfn.XLOOKUP(datos_ventas[[#This Row],[Ciudad]],Tabla2[Ciudades],Tabla2[Provincias],"no se encuentra")</f>
        <v>Barcelona</v>
      </c>
      <c r="L4168" t="str">
        <f>_xlfn.XLOOKUP(datos_ventas[[#This Row],[Provincia]],Tabla2[Provincias],Tabla2[Comunidades],"no se encuentra")</f>
        <v>Cataluña</v>
      </c>
      <c r="M4168" t="s">
        <v>15</v>
      </c>
      <c r="N4168">
        <v>2</v>
      </c>
    </row>
    <row r="4169" spans="1:14" x14ac:dyDescent="0.25">
      <c r="A4169">
        <v>5168</v>
      </c>
      <c r="B4169" s="1">
        <v>45700</v>
      </c>
      <c r="C4169" s="4">
        <f>MONTH(datos_ventas[[#This Row],[Fecha]])</f>
        <v>2</v>
      </c>
      <c r="D4169" s="4">
        <f>WEEKNUM(datos_ventas[[#This Row],[Fecha]],2)</f>
        <v>7</v>
      </c>
      <c r="E4169" t="s">
        <v>17</v>
      </c>
      <c r="F4169" t="s">
        <v>18</v>
      </c>
      <c r="G4169">
        <v>2</v>
      </c>
      <c r="H4169">
        <v>5601</v>
      </c>
      <c r="I4169">
        <v>1854</v>
      </c>
      <c r="J4169" t="s">
        <v>31</v>
      </c>
      <c r="K4169" t="str">
        <f>_xlfn.XLOOKUP(datos_ventas[[#This Row],[Ciudad]],Tabla2[Ciudades],Tabla2[Provincias],"no se encuentra")</f>
        <v>Vizcaya</v>
      </c>
      <c r="L4169" t="str">
        <f>_xlfn.XLOOKUP(datos_ventas[[#This Row],[Provincia]],Tabla2[Provincias],Tabla2[Comunidades],"no se encuentra")</f>
        <v>País Vasco</v>
      </c>
      <c r="M4169" t="s">
        <v>19</v>
      </c>
      <c r="N4169">
        <v>5</v>
      </c>
    </row>
    <row r="4170" spans="1:14" x14ac:dyDescent="0.25">
      <c r="A4170">
        <v>5169</v>
      </c>
      <c r="B4170" s="1">
        <v>45831</v>
      </c>
      <c r="C4170" s="4">
        <f>MONTH(datos_ventas[[#This Row],[Fecha]])</f>
        <v>6</v>
      </c>
      <c r="D4170" s="4">
        <f>WEEKNUM(datos_ventas[[#This Row],[Fecha]],2)</f>
        <v>26</v>
      </c>
      <c r="E4170" t="s">
        <v>29</v>
      </c>
      <c r="F4170" t="s">
        <v>30</v>
      </c>
      <c r="G4170">
        <v>1</v>
      </c>
      <c r="H4170">
        <v>17556</v>
      </c>
      <c r="I4170">
        <v>1106</v>
      </c>
      <c r="J4170" t="s">
        <v>27</v>
      </c>
      <c r="K4170" t="str">
        <f>_xlfn.XLOOKUP(datos_ventas[[#This Row],[Ciudad]],Tabla2[Ciudades],Tabla2[Provincias],"no se encuentra")</f>
        <v>Sevilla</v>
      </c>
      <c r="L4170" t="str">
        <f>_xlfn.XLOOKUP(datos_ventas[[#This Row],[Provincia]],Tabla2[Provincias],Tabla2[Comunidades],"no se encuentra")</f>
        <v>Andalucía</v>
      </c>
      <c r="M4170" t="s">
        <v>28</v>
      </c>
      <c r="N4170">
        <v>5</v>
      </c>
    </row>
    <row r="4171" spans="1:14" x14ac:dyDescent="0.25">
      <c r="A4171">
        <v>5170</v>
      </c>
      <c r="B4171" s="1">
        <v>45713</v>
      </c>
      <c r="C4171" s="4">
        <f>MONTH(datos_ventas[[#This Row],[Fecha]])</f>
        <v>2</v>
      </c>
      <c r="D4171" s="4">
        <f>WEEKNUM(datos_ventas[[#This Row],[Fecha]],2)</f>
        <v>9</v>
      </c>
      <c r="E4171" t="s">
        <v>20</v>
      </c>
      <c r="F4171" t="s">
        <v>21</v>
      </c>
      <c r="G4171">
        <v>1</v>
      </c>
      <c r="H4171">
        <v>84123</v>
      </c>
      <c r="I4171">
        <v>535</v>
      </c>
      <c r="J4171" t="s">
        <v>22</v>
      </c>
      <c r="K4171" t="str">
        <f>_xlfn.XLOOKUP(datos_ventas[[#This Row],[Ciudad]],Tabla2[Ciudades],Tabla2[Provincias],"no se encuentra")</f>
        <v>Valencia</v>
      </c>
      <c r="L4171" t="str">
        <f>_xlfn.XLOOKUP(datos_ventas[[#This Row],[Provincia]],Tabla2[Provincias],Tabla2[Comunidades],"no se encuentra")</f>
        <v>Comunidad Valenciana</v>
      </c>
      <c r="M4171" t="s">
        <v>28</v>
      </c>
      <c r="N4171">
        <v>5</v>
      </c>
    </row>
    <row r="4172" spans="1:14" x14ac:dyDescent="0.25">
      <c r="A4172">
        <v>5171</v>
      </c>
      <c r="B4172" s="1">
        <v>45691</v>
      </c>
      <c r="C4172" s="4">
        <f>MONTH(datos_ventas[[#This Row],[Fecha]])</f>
        <v>2</v>
      </c>
      <c r="D4172" s="4">
        <f>WEEKNUM(datos_ventas[[#This Row],[Fecha]],2)</f>
        <v>6</v>
      </c>
      <c r="E4172" t="s">
        <v>20</v>
      </c>
      <c r="F4172" t="s">
        <v>21</v>
      </c>
      <c r="G4172">
        <v>2</v>
      </c>
      <c r="H4172">
        <v>1284</v>
      </c>
      <c r="I4172">
        <v>4908</v>
      </c>
      <c r="J4172" t="s">
        <v>31</v>
      </c>
      <c r="K4172" t="str">
        <f>_xlfn.XLOOKUP(datos_ventas[[#This Row],[Ciudad]],Tabla2[Ciudades],Tabla2[Provincias],"no se encuentra")</f>
        <v>Vizcaya</v>
      </c>
      <c r="L4172" t="str">
        <f>_xlfn.XLOOKUP(datos_ventas[[#This Row],[Provincia]],Tabla2[Provincias],Tabla2[Comunidades],"no se encuentra")</f>
        <v>País Vasco</v>
      </c>
      <c r="M4172" t="s">
        <v>28</v>
      </c>
      <c r="N4172">
        <v>2</v>
      </c>
    </row>
    <row r="4173" spans="1:14" x14ac:dyDescent="0.25">
      <c r="A4173">
        <v>5172</v>
      </c>
      <c r="B4173" s="1">
        <v>45708</v>
      </c>
      <c r="C4173" s="4">
        <f>MONTH(datos_ventas[[#This Row],[Fecha]])</f>
        <v>2</v>
      </c>
      <c r="D4173" s="4">
        <f>WEEKNUM(datos_ventas[[#This Row],[Fecha]],2)</f>
        <v>8</v>
      </c>
      <c r="E4173" t="s">
        <v>24</v>
      </c>
      <c r="F4173" t="s">
        <v>25</v>
      </c>
      <c r="G4173">
        <v>4</v>
      </c>
      <c r="H4173">
        <v>77423</v>
      </c>
      <c r="I4173">
        <v>2893</v>
      </c>
      <c r="J4173" t="s">
        <v>12</v>
      </c>
      <c r="K4173" t="str">
        <f>_xlfn.XLOOKUP(datos_ventas[[#This Row],[Ciudad]],Tabla2[Ciudades],Tabla2[Provincias],"no se encuentra")</f>
        <v>Málaga</v>
      </c>
      <c r="L4173" t="str">
        <f>_xlfn.XLOOKUP(datos_ventas[[#This Row],[Provincia]],Tabla2[Provincias],Tabla2[Comunidades],"no se encuentra")</f>
        <v>Andalucía</v>
      </c>
      <c r="M4173" t="s">
        <v>28</v>
      </c>
      <c r="N4173">
        <v>3</v>
      </c>
    </row>
    <row r="4174" spans="1:14" x14ac:dyDescent="0.25">
      <c r="A4174">
        <v>5173</v>
      </c>
      <c r="B4174" s="1">
        <v>45796</v>
      </c>
      <c r="C4174" s="4">
        <f>MONTH(datos_ventas[[#This Row],[Fecha]])</f>
        <v>5</v>
      </c>
      <c r="D4174" s="4">
        <f>WEEKNUM(datos_ventas[[#This Row],[Fecha]],2)</f>
        <v>21</v>
      </c>
      <c r="E4174" t="s">
        <v>20</v>
      </c>
      <c r="F4174" t="s">
        <v>21</v>
      </c>
      <c r="G4174">
        <v>1</v>
      </c>
      <c r="H4174">
        <v>30013</v>
      </c>
      <c r="I4174">
        <v>1935</v>
      </c>
      <c r="J4174" t="s">
        <v>32</v>
      </c>
      <c r="K4174" t="str">
        <f>_xlfn.XLOOKUP(datos_ventas[[#This Row],[Ciudad]],Tabla2[Ciudades],Tabla2[Provincias],"no se encuentra")</f>
        <v>Barcelona</v>
      </c>
      <c r="L4174" t="str">
        <f>_xlfn.XLOOKUP(datos_ventas[[#This Row],[Provincia]],Tabla2[Provincias],Tabla2[Comunidades],"no se encuentra")</f>
        <v>Cataluña</v>
      </c>
      <c r="M4174" t="s">
        <v>15</v>
      </c>
      <c r="N4174">
        <v>3</v>
      </c>
    </row>
    <row r="4175" spans="1:14" x14ac:dyDescent="0.25">
      <c r="A4175">
        <v>5174</v>
      </c>
      <c r="B4175" s="1">
        <v>45940</v>
      </c>
      <c r="C4175" s="4">
        <f>MONTH(datos_ventas[[#This Row],[Fecha]])</f>
        <v>10</v>
      </c>
      <c r="D4175" s="4">
        <f>WEEKNUM(datos_ventas[[#This Row],[Fecha]],2)</f>
        <v>41</v>
      </c>
      <c r="E4175" t="s">
        <v>26</v>
      </c>
      <c r="F4175" t="s">
        <v>18</v>
      </c>
      <c r="G4175">
        <v>2</v>
      </c>
      <c r="H4175">
        <v>97486</v>
      </c>
      <c r="I4175">
        <v>4174</v>
      </c>
      <c r="J4175" t="s">
        <v>27</v>
      </c>
      <c r="K4175" t="str">
        <f>_xlfn.XLOOKUP(datos_ventas[[#This Row],[Ciudad]],Tabla2[Ciudades],Tabla2[Provincias],"no se encuentra")</f>
        <v>Sevilla</v>
      </c>
      <c r="L4175" t="str">
        <f>_xlfn.XLOOKUP(datos_ventas[[#This Row],[Provincia]],Tabla2[Provincias],Tabla2[Comunidades],"no se encuentra")</f>
        <v>Andalucía</v>
      </c>
      <c r="M4175" t="s">
        <v>15</v>
      </c>
      <c r="N4175">
        <v>4</v>
      </c>
    </row>
    <row r="4176" spans="1:14" x14ac:dyDescent="0.25">
      <c r="A4176">
        <v>5175</v>
      </c>
      <c r="B4176" s="1">
        <v>45925</v>
      </c>
      <c r="C4176" s="4">
        <f>MONTH(datos_ventas[[#This Row],[Fecha]])</f>
        <v>9</v>
      </c>
      <c r="D4176" s="4">
        <f>WEEKNUM(datos_ventas[[#This Row],[Fecha]],2)</f>
        <v>39</v>
      </c>
      <c r="E4176" t="s">
        <v>26</v>
      </c>
      <c r="F4176" t="s">
        <v>18</v>
      </c>
      <c r="G4176">
        <v>2</v>
      </c>
      <c r="H4176">
        <v>3969</v>
      </c>
      <c r="I4176">
        <v>1655</v>
      </c>
      <c r="J4176" t="s">
        <v>22</v>
      </c>
      <c r="K4176" t="str">
        <f>_xlfn.XLOOKUP(datos_ventas[[#This Row],[Ciudad]],Tabla2[Ciudades],Tabla2[Provincias],"no se encuentra")</f>
        <v>Valencia</v>
      </c>
      <c r="L4176" t="str">
        <f>_xlfn.XLOOKUP(datos_ventas[[#This Row],[Provincia]],Tabla2[Provincias],Tabla2[Comunidades],"no se encuentra")</f>
        <v>Comunidad Valenciana</v>
      </c>
      <c r="M4176" t="s">
        <v>19</v>
      </c>
      <c r="N4176">
        <v>4</v>
      </c>
    </row>
    <row r="4177" spans="1:14" x14ac:dyDescent="0.25">
      <c r="A4177">
        <v>5176</v>
      </c>
      <c r="B4177" s="1">
        <v>45808</v>
      </c>
      <c r="C4177" s="4">
        <f>MONTH(datos_ventas[[#This Row],[Fecha]])</f>
        <v>5</v>
      </c>
      <c r="D4177" s="4">
        <f>WEEKNUM(datos_ventas[[#This Row],[Fecha]],2)</f>
        <v>22</v>
      </c>
      <c r="E4177" t="s">
        <v>23</v>
      </c>
      <c r="F4177" t="s">
        <v>18</v>
      </c>
      <c r="G4177">
        <v>2</v>
      </c>
      <c r="H4177">
        <v>119389</v>
      </c>
      <c r="I4177">
        <v>3035</v>
      </c>
      <c r="J4177" t="s">
        <v>12</v>
      </c>
      <c r="K4177" t="str">
        <f>_xlfn.XLOOKUP(datos_ventas[[#This Row],[Ciudad]],Tabla2[Ciudades],Tabla2[Provincias],"no se encuentra")</f>
        <v>Málaga</v>
      </c>
      <c r="L4177" t="str">
        <f>_xlfn.XLOOKUP(datos_ventas[[#This Row],[Provincia]],Tabla2[Provincias],Tabla2[Comunidades],"no se encuentra")</f>
        <v>Andalucía</v>
      </c>
      <c r="M4177" t="s">
        <v>28</v>
      </c>
      <c r="N4177">
        <v>2</v>
      </c>
    </row>
    <row r="4178" spans="1:14" x14ac:dyDescent="0.25">
      <c r="A4178">
        <v>5177</v>
      </c>
      <c r="B4178" s="1">
        <v>45916</v>
      </c>
      <c r="C4178" s="4">
        <f>MONTH(datos_ventas[[#This Row],[Fecha]])</f>
        <v>9</v>
      </c>
      <c r="D4178" s="4">
        <f>WEEKNUM(datos_ventas[[#This Row],[Fecha]],2)</f>
        <v>38</v>
      </c>
      <c r="E4178" t="s">
        <v>24</v>
      </c>
      <c r="F4178" t="s">
        <v>25</v>
      </c>
      <c r="G4178">
        <v>3</v>
      </c>
      <c r="H4178">
        <v>61355</v>
      </c>
      <c r="I4178">
        <v>2641</v>
      </c>
      <c r="J4178" t="s">
        <v>12</v>
      </c>
      <c r="K4178" t="str">
        <f>_xlfn.XLOOKUP(datos_ventas[[#This Row],[Ciudad]],Tabla2[Ciudades],Tabla2[Provincias],"no se encuentra")</f>
        <v>Málaga</v>
      </c>
      <c r="L4178" t="str">
        <f>_xlfn.XLOOKUP(datos_ventas[[#This Row],[Provincia]],Tabla2[Provincias],Tabla2[Comunidades],"no se encuentra")</f>
        <v>Andalucía</v>
      </c>
      <c r="M4178" t="s">
        <v>15</v>
      </c>
      <c r="N4178">
        <v>5</v>
      </c>
    </row>
    <row r="4179" spans="1:14" x14ac:dyDescent="0.25">
      <c r="A4179">
        <v>5178</v>
      </c>
      <c r="B4179" s="1">
        <v>45875</v>
      </c>
      <c r="C4179" s="4">
        <f>MONTH(datos_ventas[[#This Row],[Fecha]])</f>
        <v>8</v>
      </c>
      <c r="D4179" s="4">
        <f>WEEKNUM(datos_ventas[[#This Row],[Fecha]],2)</f>
        <v>32</v>
      </c>
      <c r="E4179" t="s">
        <v>20</v>
      </c>
      <c r="F4179" t="s">
        <v>21</v>
      </c>
      <c r="G4179">
        <v>1</v>
      </c>
      <c r="H4179">
        <v>28433</v>
      </c>
      <c r="I4179">
        <v>3394</v>
      </c>
      <c r="J4179" t="s">
        <v>22</v>
      </c>
      <c r="K4179" t="str">
        <f>_xlfn.XLOOKUP(datos_ventas[[#This Row],[Ciudad]],Tabla2[Ciudades],Tabla2[Provincias],"no se encuentra")</f>
        <v>Valencia</v>
      </c>
      <c r="L4179" t="str">
        <f>_xlfn.XLOOKUP(datos_ventas[[#This Row],[Provincia]],Tabla2[Provincias],Tabla2[Comunidades],"no se encuentra")</f>
        <v>Comunidad Valenciana</v>
      </c>
      <c r="M4179" t="s">
        <v>28</v>
      </c>
      <c r="N4179">
        <v>1</v>
      </c>
    </row>
    <row r="4180" spans="1:14" x14ac:dyDescent="0.25">
      <c r="A4180">
        <v>5179</v>
      </c>
      <c r="B4180" s="1">
        <v>45816</v>
      </c>
      <c r="C4180" s="4">
        <f>MONTH(datos_ventas[[#This Row],[Fecha]])</f>
        <v>6</v>
      </c>
      <c r="D4180" s="4">
        <f>WEEKNUM(datos_ventas[[#This Row],[Fecha]],2)</f>
        <v>23</v>
      </c>
      <c r="E4180" t="s">
        <v>16</v>
      </c>
      <c r="F4180" t="s">
        <v>11</v>
      </c>
      <c r="G4180">
        <v>4</v>
      </c>
      <c r="H4180">
        <v>17384</v>
      </c>
      <c r="I4180">
        <v>3986</v>
      </c>
      <c r="J4180" t="s">
        <v>14</v>
      </c>
      <c r="K4180" t="str">
        <f>_xlfn.XLOOKUP(datos_ventas[[#This Row],[Ciudad]],Tabla2[Ciudades],Tabla2[Provincias],"no se encuentra")</f>
        <v>Madrid</v>
      </c>
      <c r="L4180" t="str">
        <f>_xlfn.XLOOKUP(datos_ventas[[#This Row],[Provincia]],Tabla2[Provincias],Tabla2[Comunidades],"no se encuentra")</f>
        <v>Comunidad de Madrid</v>
      </c>
      <c r="M4180" t="s">
        <v>19</v>
      </c>
      <c r="N4180">
        <v>1</v>
      </c>
    </row>
    <row r="4181" spans="1:14" x14ac:dyDescent="0.25">
      <c r="A4181">
        <v>5180</v>
      </c>
      <c r="B4181" s="1">
        <v>45726</v>
      </c>
      <c r="C4181" s="4">
        <f>MONTH(datos_ventas[[#This Row],[Fecha]])</f>
        <v>3</v>
      </c>
      <c r="D4181" s="4">
        <f>WEEKNUM(datos_ventas[[#This Row],[Fecha]],2)</f>
        <v>11</v>
      </c>
      <c r="E4181" t="s">
        <v>20</v>
      </c>
      <c r="F4181" t="s">
        <v>21</v>
      </c>
      <c r="G4181">
        <v>2</v>
      </c>
      <c r="H4181">
        <v>68524</v>
      </c>
      <c r="I4181">
        <v>2727</v>
      </c>
      <c r="J4181" t="s">
        <v>14</v>
      </c>
      <c r="K4181" t="str">
        <f>_xlfn.XLOOKUP(datos_ventas[[#This Row],[Ciudad]],Tabla2[Ciudades],Tabla2[Provincias],"no se encuentra")</f>
        <v>Madrid</v>
      </c>
      <c r="L4181" t="str">
        <f>_xlfn.XLOOKUP(datos_ventas[[#This Row],[Provincia]],Tabla2[Provincias],Tabla2[Comunidades],"no se encuentra")</f>
        <v>Comunidad de Madrid</v>
      </c>
      <c r="M4181" t="s">
        <v>19</v>
      </c>
      <c r="N4181">
        <v>4</v>
      </c>
    </row>
    <row r="4182" spans="1:14" x14ac:dyDescent="0.25">
      <c r="A4182">
        <v>5181</v>
      </c>
      <c r="B4182" s="1">
        <v>45723</v>
      </c>
      <c r="C4182" s="4">
        <f>MONTH(datos_ventas[[#This Row],[Fecha]])</f>
        <v>3</v>
      </c>
      <c r="D4182" s="4">
        <f>WEEKNUM(datos_ventas[[#This Row],[Fecha]],2)</f>
        <v>10</v>
      </c>
      <c r="E4182" t="s">
        <v>26</v>
      </c>
      <c r="F4182" t="s">
        <v>18</v>
      </c>
      <c r="G4182">
        <v>2</v>
      </c>
      <c r="H4182">
        <v>104124</v>
      </c>
      <c r="I4182">
        <v>1565</v>
      </c>
      <c r="J4182" t="s">
        <v>14</v>
      </c>
      <c r="K4182" t="str">
        <f>_xlfn.XLOOKUP(datos_ventas[[#This Row],[Ciudad]],Tabla2[Ciudades],Tabla2[Provincias],"no se encuentra")</f>
        <v>Madrid</v>
      </c>
      <c r="L4182" t="str">
        <f>_xlfn.XLOOKUP(datos_ventas[[#This Row],[Provincia]],Tabla2[Provincias],Tabla2[Comunidades],"no se encuentra")</f>
        <v>Comunidad de Madrid</v>
      </c>
      <c r="M4182" t="s">
        <v>28</v>
      </c>
      <c r="N4182">
        <v>3</v>
      </c>
    </row>
    <row r="4183" spans="1:14" x14ac:dyDescent="0.25">
      <c r="A4183">
        <v>5182</v>
      </c>
      <c r="B4183" s="1">
        <v>45842</v>
      </c>
      <c r="C4183" s="4">
        <f>MONTH(datos_ventas[[#This Row],[Fecha]])</f>
        <v>7</v>
      </c>
      <c r="D4183" s="4">
        <f>WEEKNUM(datos_ventas[[#This Row],[Fecha]],2)</f>
        <v>27</v>
      </c>
      <c r="E4183" t="s">
        <v>24</v>
      </c>
      <c r="F4183" t="s">
        <v>25</v>
      </c>
      <c r="G4183">
        <v>2</v>
      </c>
      <c r="H4183">
        <v>116597</v>
      </c>
      <c r="I4183">
        <v>2733</v>
      </c>
      <c r="J4183" t="s">
        <v>12</v>
      </c>
      <c r="K4183" t="str">
        <f>_xlfn.XLOOKUP(datos_ventas[[#This Row],[Ciudad]],Tabla2[Ciudades],Tabla2[Provincias],"no se encuentra")</f>
        <v>Málaga</v>
      </c>
      <c r="L4183" t="str">
        <f>_xlfn.XLOOKUP(datos_ventas[[#This Row],[Provincia]],Tabla2[Provincias],Tabla2[Comunidades],"no se encuentra")</f>
        <v>Andalucía</v>
      </c>
      <c r="M4183" t="s">
        <v>19</v>
      </c>
      <c r="N4183">
        <v>4</v>
      </c>
    </row>
    <row r="4184" spans="1:14" x14ac:dyDescent="0.25">
      <c r="A4184">
        <v>5183</v>
      </c>
      <c r="B4184" s="1">
        <v>45869</v>
      </c>
      <c r="C4184" s="4">
        <f>MONTH(datos_ventas[[#This Row],[Fecha]])</f>
        <v>7</v>
      </c>
      <c r="D4184" s="4">
        <f>WEEKNUM(datos_ventas[[#This Row],[Fecha]],2)</f>
        <v>31</v>
      </c>
      <c r="E4184" t="s">
        <v>23</v>
      </c>
      <c r="F4184" t="s">
        <v>18</v>
      </c>
      <c r="G4184">
        <v>2</v>
      </c>
      <c r="H4184">
        <v>4817</v>
      </c>
      <c r="I4184">
        <v>234</v>
      </c>
      <c r="J4184" t="s">
        <v>22</v>
      </c>
      <c r="K4184" t="str">
        <f>_xlfn.XLOOKUP(datos_ventas[[#This Row],[Ciudad]],Tabla2[Ciudades],Tabla2[Provincias],"no se encuentra")</f>
        <v>Valencia</v>
      </c>
      <c r="L4184" t="str">
        <f>_xlfn.XLOOKUP(datos_ventas[[#This Row],[Provincia]],Tabla2[Provincias],Tabla2[Comunidades],"no se encuentra")</f>
        <v>Comunidad Valenciana</v>
      </c>
      <c r="M4184" t="s">
        <v>19</v>
      </c>
      <c r="N4184">
        <v>4</v>
      </c>
    </row>
    <row r="4185" spans="1:14" x14ac:dyDescent="0.25">
      <c r="A4185">
        <v>5184</v>
      </c>
      <c r="B4185" s="1">
        <v>45832</v>
      </c>
      <c r="C4185" s="4">
        <f>MONTH(datos_ventas[[#This Row],[Fecha]])</f>
        <v>6</v>
      </c>
      <c r="D4185" s="4">
        <f>WEEKNUM(datos_ventas[[#This Row],[Fecha]],2)</f>
        <v>26</v>
      </c>
      <c r="E4185" t="s">
        <v>10</v>
      </c>
      <c r="F4185" t="s">
        <v>11</v>
      </c>
      <c r="G4185">
        <v>5</v>
      </c>
      <c r="H4185">
        <v>4504</v>
      </c>
      <c r="I4185">
        <v>4826</v>
      </c>
      <c r="J4185" t="s">
        <v>14</v>
      </c>
      <c r="K4185" t="str">
        <f>_xlfn.XLOOKUP(datos_ventas[[#This Row],[Ciudad]],Tabla2[Ciudades],Tabla2[Provincias],"no se encuentra")</f>
        <v>Madrid</v>
      </c>
      <c r="L4185" t="str">
        <f>_xlfn.XLOOKUP(datos_ventas[[#This Row],[Provincia]],Tabla2[Provincias],Tabla2[Comunidades],"no se encuentra")</f>
        <v>Comunidad de Madrid</v>
      </c>
      <c r="M4185" t="s">
        <v>13</v>
      </c>
      <c r="N4185">
        <v>5</v>
      </c>
    </row>
    <row r="4186" spans="1:14" x14ac:dyDescent="0.25">
      <c r="A4186">
        <v>5185</v>
      </c>
      <c r="B4186" s="1">
        <v>45852</v>
      </c>
      <c r="C4186" s="4">
        <f>MONTH(datos_ventas[[#This Row],[Fecha]])</f>
        <v>7</v>
      </c>
      <c r="D4186" s="4">
        <f>WEEKNUM(datos_ventas[[#This Row],[Fecha]],2)</f>
        <v>29</v>
      </c>
      <c r="E4186" t="s">
        <v>29</v>
      </c>
      <c r="F4186" t="s">
        <v>30</v>
      </c>
      <c r="G4186">
        <v>5</v>
      </c>
      <c r="H4186">
        <v>2181</v>
      </c>
      <c r="I4186">
        <v>3412</v>
      </c>
      <c r="J4186" t="s">
        <v>31</v>
      </c>
      <c r="K4186" t="str">
        <f>_xlfn.XLOOKUP(datos_ventas[[#This Row],[Ciudad]],Tabla2[Ciudades],Tabla2[Provincias],"no se encuentra")</f>
        <v>Vizcaya</v>
      </c>
      <c r="L4186" t="str">
        <f>_xlfn.XLOOKUP(datos_ventas[[#This Row],[Provincia]],Tabla2[Provincias],Tabla2[Comunidades],"no se encuentra")</f>
        <v>País Vasco</v>
      </c>
      <c r="M4186" t="s">
        <v>19</v>
      </c>
      <c r="N4186">
        <v>3</v>
      </c>
    </row>
    <row r="4187" spans="1:14" x14ac:dyDescent="0.25">
      <c r="A4187">
        <v>5186</v>
      </c>
      <c r="B4187" s="1">
        <v>45790</v>
      </c>
      <c r="C4187" s="4">
        <f>MONTH(datos_ventas[[#This Row],[Fecha]])</f>
        <v>5</v>
      </c>
      <c r="D4187" s="4">
        <f>WEEKNUM(datos_ventas[[#This Row],[Fecha]],2)</f>
        <v>20</v>
      </c>
      <c r="E4187" t="s">
        <v>20</v>
      </c>
      <c r="F4187" t="s">
        <v>21</v>
      </c>
      <c r="G4187">
        <v>3</v>
      </c>
      <c r="H4187">
        <v>2917</v>
      </c>
      <c r="I4187">
        <v>3252</v>
      </c>
      <c r="J4187" t="s">
        <v>14</v>
      </c>
      <c r="K4187" t="str">
        <f>_xlfn.XLOOKUP(datos_ventas[[#This Row],[Ciudad]],Tabla2[Ciudades],Tabla2[Provincias],"no se encuentra")</f>
        <v>Madrid</v>
      </c>
      <c r="L4187" t="str">
        <f>_xlfn.XLOOKUP(datos_ventas[[#This Row],[Provincia]],Tabla2[Provincias],Tabla2[Comunidades],"no se encuentra")</f>
        <v>Comunidad de Madrid</v>
      </c>
      <c r="M4187" t="s">
        <v>13</v>
      </c>
      <c r="N4187">
        <v>3</v>
      </c>
    </row>
    <row r="4188" spans="1:14" x14ac:dyDescent="0.25">
      <c r="A4188">
        <v>5187</v>
      </c>
      <c r="B4188" s="1">
        <v>45691</v>
      </c>
      <c r="C4188" s="4">
        <f>MONTH(datos_ventas[[#This Row],[Fecha]])</f>
        <v>2</v>
      </c>
      <c r="D4188" s="4">
        <f>WEEKNUM(datos_ventas[[#This Row],[Fecha]],2)</f>
        <v>6</v>
      </c>
      <c r="E4188" t="s">
        <v>20</v>
      </c>
      <c r="F4188" t="s">
        <v>21</v>
      </c>
      <c r="G4188">
        <v>5</v>
      </c>
      <c r="H4188">
        <v>44412</v>
      </c>
      <c r="I4188">
        <v>2349</v>
      </c>
      <c r="J4188" t="s">
        <v>14</v>
      </c>
      <c r="K4188" t="str">
        <f>_xlfn.XLOOKUP(datos_ventas[[#This Row],[Ciudad]],Tabla2[Ciudades],Tabla2[Provincias],"no se encuentra")</f>
        <v>Madrid</v>
      </c>
      <c r="L4188" t="str">
        <f>_xlfn.XLOOKUP(datos_ventas[[#This Row],[Provincia]],Tabla2[Provincias],Tabla2[Comunidades],"no se encuentra")</f>
        <v>Comunidad de Madrid</v>
      </c>
      <c r="M4188" t="s">
        <v>15</v>
      </c>
      <c r="N4188">
        <v>3</v>
      </c>
    </row>
    <row r="4189" spans="1:14" x14ac:dyDescent="0.25">
      <c r="A4189">
        <v>5188</v>
      </c>
      <c r="B4189" s="1">
        <v>45876</v>
      </c>
      <c r="C4189" s="4">
        <f>MONTH(datos_ventas[[#This Row],[Fecha]])</f>
        <v>8</v>
      </c>
      <c r="D4189" s="4">
        <f>WEEKNUM(datos_ventas[[#This Row],[Fecha]],2)</f>
        <v>32</v>
      </c>
      <c r="E4189" t="s">
        <v>20</v>
      </c>
      <c r="F4189" t="s">
        <v>21</v>
      </c>
      <c r="G4189">
        <v>2</v>
      </c>
      <c r="H4189">
        <v>88882</v>
      </c>
      <c r="I4189">
        <v>4383</v>
      </c>
      <c r="J4189" t="s">
        <v>32</v>
      </c>
      <c r="K4189" t="str">
        <f>_xlfn.XLOOKUP(datos_ventas[[#This Row],[Ciudad]],Tabla2[Ciudades],Tabla2[Provincias],"no se encuentra")</f>
        <v>Barcelona</v>
      </c>
      <c r="L4189" t="str">
        <f>_xlfn.XLOOKUP(datos_ventas[[#This Row],[Provincia]],Tabla2[Provincias],Tabla2[Comunidades],"no se encuentra")</f>
        <v>Cataluña</v>
      </c>
      <c r="M4189" t="s">
        <v>19</v>
      </c>
      <c r="N4189">
        <v>4</v>
      </c>
    </row>
    <row r="4190" spans="1:14" x14ac:dyDescent="0.25">
      <c r="A4190">
        <v>5189</v>
      </c>
      <c r="B4190" s="1">
        <v>45877</v>
      </c>
      <c r="C4190" s="4">
        <f>MONTH(datos_ventas[[#This Row],[Fecha]])</f>
        <v>8</v>
      </c>
      <c r="D4190" s="4">
        <f>WEEKNUM(datos_ventas[[#This Row],[Fecha]],2)</f>
        <v>32</v>
      </c>
      <c r="E4190" t="s">
        <v>29</v>
      </c>
      <c r="F4190" t="s">
        <v>30</v>
      </c>
      <c r="G4190">
        <v>3</v>
      </c>
      <c r="H4190">
        <v>9147</v>
      </c>
      <c r="I4190">
        <v>4849</v>
      </c>
      <c r="J4190" t="s">
        <v>32</v>
      </c>
      <c r="K4190" t="str">
        <f>_xlfn.XLOOKUP(datos_ventas[[#This Row],[Ciudad]],Tabla2[Ciudades],Tabla2[Provincias],"no se encuentra")</f>
        <v>Barcelona</v>
      </c>
      <c r="L4190" t="str">
        <f>_xlfn.XLOOKUP(datos_ventas[[#This Row],[Provincia]],Tabla2[Provincias],Tabla2[Comunidades],"no se encuentra")</f>
        <v>Cataluña</v>
      </c>
      <c r="M4190" t="s">
        <v>15</v>
      </c>
      <c r="N4190">
        <v>5</v>
      </c>
    </row>
    <row r="4191" spans="1:14" x14ac:dyDescent="0.25">
      <c r="A4191">
        <v>5190</v>
      </c>
      <c r="B4191" s="1">
        <v>45817</v>
      </c>
      <c r="C4191" s="4">
        <f>MONTH(datos_ventas[[#This Row],[Fecha]])</f>
        <v>6</v>
      </c>
      <c r="D4191" s="4">
        <f>WEEKNUM(datos_ventas[[#This Row],[Fecha]],2)</f>
        <v>24</v>
      </c>
      <c r="E4191" t="s">
        <v>23</v>
      </c>
      <c r="F4191" t="s">
        <v>18</v>
      </c>
      <c r="G4191">
        <v>4</v>
      </c>
      <c r="H4191">
        <v>24906</v>
      </c>
      <c r="I4191">
        <v>4261</v>
      </c>
      <c r="J4191" t="s">
        <v>14</v>
      </c>
      <c r="K4191" t="str">
        <f>_xlfn.XLOOKUP(datos_ventas[[#This Row],[Ciudad]],Tabla2[Ciudades],Tabla2[Provincias],"no se encuentra")</f>
        <v>Madrid</v>
      </c>
      <c r="L4191" t="str">
        <f>_xlfn.XLOOKUP(datos_ventas[[#This Row],[Provincia]],Tabla2[Provincias],Tabla2[Comunidades],"no se encuentra")</f>
        <v>Comunidad de Madrid</v>
      </c>
      <c r="M4191" t="s">
        <v>15</v>
      </c>
      <c r="N4191">
        <v>4</v>
      </c>
    </row>
    <row r="4192" spans="1:14" x14ac:dyDescent="0.25">
      <c r="A4192">
        <v>5191</v>
      </c>
      <c r="B4192" s="1">
        <v>46020</v>
      </c>
      <c r="C4192" s="4">
        <f>MONTH(datos_ventas[[#This Row],[Fecha]])</f>
        <v>12</v>
      </c>
      <c r="D4192" s="4">
        <f>WEEKNUM(datos_ventas[[#This Row],[Fecha]],2)</f>
        <v>53</v>
      </c>
      <c r="E4192" t="s">
        <v>20</v>
      </c>
      <c r="F4192" t="s">
        <v>21</v>
      </c>
      <c r="G4192">
        <v>4</v>
      </c>
      <c r="H4192">
        <v>98199</v>
      </c>
      <c r="I4192">
        <v>4482</v>
      </c>
      <c r="J4192" t="s">
        <v>14</v>
      </c>
      <c r="K4192" t="str">
        <f>_xlfn.XLOOKUP(datos_ventas[[#This Row],[Ciudad]],Tabla2[Ciudades],Tabla2[Provincias],"no se encuentra")</f>
        <v>Madrid</v>
      </c>
      <c r="L4192" t="str">
        <f>_xlfn.XLOOKUP(datos_ventas[[#This Row],[Provincia]],Tabla2[Provincias],Tabla2[Comunidades],"no se encuentra")</f>
        <v>Comunidad de Madrid</v>
      </c>
      <c r="M4192" t="s">
        <v>15</v>
      </c>
      <c r="N4192">
        <v>4</v>
      </c>
    </row>
    <row r="4193" spans="1:14" x14ac:dyDescent="0.25">
      <c r="A4193">
        <v>5192</v>
      </c>
      <c r="B4193" s="1">
        <v>45858</v>
      </c>
      <c r="C4193" s="4">
        <f>MONTH(datos_ventas[[#This Row],[Fecha]])</f>
        <v>7</v>
      </c>
      <c r="D4193" s="4">
        <f>WEEKNUM(datos_ventas[[#This Row],[Fecha]],2)</f>
        <v>29</v>
      </c>
      <c r="E4193" t="s">
        <v>26</v>
      </c>
      <c r="F4193" t="s">
        <v>18</v>
      </c>
      <c r="G4193">
        <v>1</v>
      </c>
      <c r="H4193">
        <v>21975</v>
      </c>
      <c r="I4193">
        <v>4278</v>
      </c>
      <c r="J4193" t="s">
        <v>27</v>
      </c>
      <c r="K4193" t="str">
        <f>_xlfn.XLOOKUP(datos_ventas[[#This Row],[Ciudad]],Tabla2[Ciudades],Tabla2[Provincias],"no se encuentra")</f>
        <v>Sevilla</v>
      </c>
      <c r="L4193" t="str">
        <f>_xlfn.XLOOKUP(datos_ventas[[#This Row],[Provincia]],Tabla2[Provincias],Tabla2[Comunidades],"no se encuentra")</f>
        <v>Andalucía</v>
      </c>
      <c r="M4193" t="s">
        <v>19</v>
      </c>
      <c r="N4193">
        <v>5</v>
      </c>
    </row>
    <row r="4194" spans="1:14" x14ac:dyDescent="0.25">
      <c r="A4194">
        <v>5193</v>
      </c>
      <c r="B4194" s="1">
        <v>45935</v>
      </c>
      <c r="C4194" s="4">
        <f>MONTH(datos_ventas[[#This Row],[Fecha]])</f>
        <v>10</v>
      </c>
      <c r="D4194" s="4">
        <f>WEEKNUM(datos_ventas[[#This Row],[Fecha]],2)</f>
        <v>40</v>
      </c>
      <c r="E4194" t="s">
        <v>29</v>
      </c>
      <c r="F4194" t="s">
        <v>30</v>
      </c>
      <c r="G4194">
        <v>4</v>
      </c>
      <c r="H4194">
        <v>65919</v>
      </c>
      <c r="I4194">
        <v>156</v>
      </c>
      <c r="J4194" t="s">
        <v>31</v>
      </c>
      <c r="K4194" t="str">
        <f>_xlfn.XLOOKUP(datos_ventas[[#This Row],[Ciudad]],Tabla2[Ciudades],Tabla2[Provincias],"no se encuentra")</f>
        <v>Vizcaya</v>
      </c>
      <c r="L4194" t="str">
        <f>_xlfn.XLOOKUP(datos_ventas[[#This Row],[Provincia]],Tabla2[Provincias],Tabla2[Comunidades],"no se encuentra")</f>
        <v>País Vasco</v>
      </c>
      <c r="M4194" t="s">
        <v>28</v>
      </c>
      <c r="N4194">
        <v>1</v>
      </c>
    </row>
    <row r="4195" spans="1:14" x14ac:dyDescent="0.25">
      <c r="A4195">
        <v>5194</v>
      </c>
      <c r="B4195" s="1">
        <v>45908</v>
      </c>
      <c r="C4195" s="4">
        <f>MONTH(datos_ventas[[#This Row],[Fecha]])</f>
        <v>9</v>
      </c>
      <c r="D4195" s="4">
        <f>WEEKNUM(datos_ventas[[#This Row],[Fecha]],2)</f>
        <v>37</v>
      </c>
      <c r="E4195" t="s">
        <v>23</v>
      </c>
      <c r="F4195" t="s">
        <v>18</v>
      </c>
      <c r="G4195">
        <v>4</v>
      </c>
      <c r="H4195">
        <v>11732</v>
      </c>
      <c r="I4195">
        <v>2964</v>
      </c>
      <c r="J4195" t="s">
        <v>27</v>
      </c>
      <c r="K4195" t="str">
        <f>_xlfn.XLOOKUP(datos_ventas[[#This Row],[Ciudad]],Tabla2[Ciudades],Tabla2[Provincias],"no se encuentra")</f>
        <v>Sevilla</v>
      </c>
      <c r="L4195" t="str">
        <f>_xlfn.XLOOKUP(datos_ventas[[#This Row],[Provincia]],Tabla2[Provincias],Tabla2[Comunidades],"no se encuentra")</f>
        <v>Andalucía</v>
      </c>
      <c r="M4195" t="s">
        <v>15</v>
      </c>
      <c r="N4195">
        <v>3</v>
      </c>
    </row>
    <row r="4196" spans="1:14" x14ac:dyDescent="0.25">
      <c r="A4196">
        <v>5195</v>
      </c>
      <c r="B4196" s="1">
        <v>45738</v>
      </c>
      <c r="C4196" s="4">
        <f>MONTH(datos_ventas[[#This Row],[Fecha]])</f>
        <v>3</v>
      </c>
      <c r="D4196" s="4">
        <f>WEEKNUM(datos_ventas[[#This Row],[Fecha]],2)</f>
        <v>12</v>
      </c>
      <c r="E4196" t="s">
        <v>17</v>
      </c>
      <c r="F4196" t="s">
        <v>18</v>
      </c>
      <c r="G4196">
        <v>2</v>
      </c>
      <c r="H4196">
        <v>61423</v>
      </c>
      <c r="I4196">
        <v>617</v>
      </c>
      <c r="J4196" t="s">
        <v>14</v>
      </c>
      <c r="K4196" t="str">
        <f>_xlfn.XLOOKUP(datos_ventas[[#This Row],[Ciudad]],Tabla2[Ciudades],Tabla2[Provincias],"no se encuentra")</f>
        <v>Madrid</v>
      </c>
      <c r="L4196" t="str">
        <f>_xlfn.XLOOKUP(datos_ventas[[#This Row],[Provincia]],Tabla2[Provincias],Tabla2[Comunidades],"no se encuentra")</f>
        <v>Comunidad de Madrid</v>
      </c>
      <c r="M4196" t="s">
        <v>13</v>
      </c>
      <c r="N4196">
        <v>4</v>
      </c>
    </row>
    <row r="4197" spans="1:14" x14ac:dyDescent="0.25">
      <c r="A4197">
        <v>5196</v>
      </c>
      <c r="B4197" s="1">
        <v>45988</v>
      </c>
      <c r="C4197" s="4">
        <f>MONTH(datos_ventas[[#This Row],[Fecha]])</f>
        <v>11</v>
      </c>
      <c r="D4197" s="4">
        <f>WEEKNUM(datos_ventas[[#This Row],[Fecha]],2)</f>
        <v>48</v>
      </c>
      <c r="E4197" t="s">
        <v>26</v>
      </c>
      <c r="F4197" t="s">
        <v>18</v>
      </c>
      <c r="G4197">
        <v>4</v>
      </c>
      <c r="H4197">
        <v>70775</v>
      </c>
      <c r="I4197">
        <v>1044</v>
      </c>
      <c r="J4197" t="s">
        <v>12</v>
      </c>
      <c r="K4197" t="str">
        <f>_xlfn.XLOOKUP(datos_ventas[[#This Row],[Ciudad]],Tabla2[Ciudades],Tabla2[Provincias],"no se encuentra")</f>
        <v>Málaga</v>
      </c>
      <c r="L4197" t="str">
        <f>_xlfn.XLOOKUP(datos_ventas[[#This Row],[Provincia]],Tabla2[Provincias],Tabla2[Comunidades],"no se encuentra")</f>
        <v>Andalucía</v>
      </c>
      <c r="M4197" t="s">
        <v>19</v>
      </c>
      <c r="N4197">
        <v>4</v>
      </c>
    </row>
    <row r="4198" spans="1:14" x14ac:dyDescent="0.25">
      <c r="A4198">
        <v>5197</v>
      </c>
      <c r="B4198" s="1">
        <v>45698</v>
      </c>
      <c r="C4198" s="4">
        <f>MONTH(datos_ventas[[#This Row],[Fecha]])</f>
        <v>2</v>
      </c>
      <c r="D4198" s="4">
        <f>WEEKNUM(datos_ventas[[#This Row],[Fecha]],2)</f>
        <v>7</v>
      </c>
      <c r="E4198" t="s">
        <v>26</v>
      </c>
      <c r="F4198" t="s">
        <v>18</v>
      </c>
      <c r="G4198">
        <v>3</v>
      </c>
      <c r="H4198">
        <v>93019</v>
      </c>
      <c r="I4198">
        <v>3964</v>
      </c>
      <c r="J4198" t="s">
        <v>32</v>
      </c>
      <c r="K4198" t="str">
        <f>_xlfn.XLOOKUP(datos_ventas[[#This Row],[Ciudad]],Tabla2[Ciudades],Tabla2[Provincias],"no se encuentra")</f>
        <v>Barcelona</v>
      </c>
      <c r="L4198" t="str">
        <f>_xlfn.XLOOKUP(datos_ventas[[#This Row],[Provincia]],Tabla2[Provincias],Tabla2[Comunidades],"no se encuentra")</f>
        <v>Cataluña</v>
      </c>
      <c r="M4198" t="s">
        <v>28</v>
      </c>
      <c r="N4198">
        <v>2</v>
      </c>
    </row>
    <row r="4199" spans="1:14" x14ac:dyDescent="0.25">
      <c r="A4199">
        <v>5198</v>
      </c>
      <c r="B4199" s="1">
        <v>45957</v>
      </c>
      <c r="C4199" s="4">
        <f>MONTH(datos_ventas[[#This Row],[Fecha]])</f>
        <v>10</v>
      </c>
      <c r="D4199" s="4">
        <f>WEEKNUM(datos_ventas[[#This Row],[Fecha]],2)</f>
        <v>44</v>
      </c>
      <c r="E4199" t="s">
        <v>16</v>
      </c>
      <c r="F4199" t="s">
        <v>11</v>
      </c>
      <c r="G4199">
        <v>4</v>
      </c>
      <c r="H4199">
        <v>50122</v>
      </c>
      <c r="I4199">
        <v>1011</v>
      </c>
      <c r="J4199" t="s">
        <v>27</v>
      </c>
      <c r="K4199" t="str">
        <f>_xlfn.XLOOKUP(datos_ventas[[#This Row],[Ciudad]],Tabla2[Ciudades],Tabla2[Provincias],"no se encuentra")</f>
        <v>Sevilla</v>
      </c>
      <c r="L4199" t="str">
        <f>_xlfn.XLOOKUP(datos_ventas[[#This Row],[Provincia]],Tabla2[Provincias],Tabla2[Comunidades],"no se encuentra")</f>
        <v>Andalucía</v>
      </c>
      <c r="M4199" t="s">
        <v>13</v>
      </c>
      <c r="N4199">
        <v>2</v>
      </c>
    </row>
    <row r="4200" spans="1:14" x14ac:dyDescent="0.25">
      <c r="A4200">
        <v>5199</v>
      </c>
      <c r="B4200" s="1">
        <v>45871</v>
      </c>
      <c r="C4200" s="4">
        <f>MONTH(datos_ventas[[#This Row],[Fecha]])</f>
        <v>8</v>
      </c>
      <c r="D4200" s="4">
        <f>WEEKNUM(datos_ventas[[#This Row],[Fecha]],2)</f>
        <v>31</v>
      </c>
      <c r="E4200" t="s">
        <v>17</v>
      </c>
      <c r="F4200" t="s">
        <v>18</v>
      </c>
      <c r="G4200">
        <v>5</v>
      </c>
      <c r="H4200">
        <v>9523</v>
      </c>
      <c r="I4200">
        <v>4019</v>
      </c>
      <c r="J4200" t="s">
        <v>14</v>
      </c>
      <c r="K4200" t="str">
        <f>_xlfn.XLOOKUP(datos_ventas[[#This Row],[Ciudad]],Tabla2[Ciudades],Tabla2[Provincias],"no se encuentra")</f>
        <v>Madrid</v>
      </c>
      <c r="L4200" t="str">
        <f>_xlfn.XLOOKUP(datos_ventas[[#This Row],[Provincia]],Tabla2[Provincias],Tabla2[Comunidades],"no se encuentra")</f>
        <v>Comunidad de Madrid</v>
      </c>
      <c r="M4200" t="s">
        <v>19</v>
      </c>
      <c r="N4200">
        <v>5</v>
      </c>
    </row>
    <row r="4201" spans="1:14" x14ac:dyDescent="0.25">
      <c r="A4201">
        <v>5200</v>
      </c>
      <c r="B4201" s="1">
        <v>45994</v>
      </c>
      <c r="C4201" s="4">
        <f>MONTH(datos_ventas[[#This Row],[Fecha]])</f>
        <v>12</v>
      </c>
      <c r="D4201" s="4">
        <f>WEEKNUM(datos_ventas[[#This Row],[Fecha]],2)</f>
        <v>49</v>
      </c>
      <c r="E4201" t="s">
        <v>17</v>
      </c>
      <c r="F4201" t="s">
        <v>18</v>
      </c>
      <c r="G4201">
        <v>3</v>
      </c>
      <c r="H4201">
        <v>69245</v>
      </c>
      <c r="I4201">
        <v>3631</v>
      </c>
      <c r="J4201" t="s">
        <v>12</v>
      </c>
      <c r="K4201" t="str">
        <f>_xlfn.XLOOKUP(datos_ventas[[#This Row],[Ciudad]],Tabla2[Ciudades],Tabla2[Provincias],"no se encuentra")</f>
        <v>Málaga</v>
      </c>
      <c r="L4201" t="str">
        <f>_xlfn.XLOOKUP(datos_ventas[[#This Row],[Provincia]],Tabla2[Provincias],Tabla2[Comunidades],"no se encuentra")</f>
        <v>Andalucía</v>
      </c>
      <c r="M4201" t="s">
        <v>28</v>
      </c>
      <c r="N4201">
        <v>3</v>
      </c>
    </row>
    <row r="4202" spans="1:14" x14ac:dyDescent="0.25">
      <c r="A4202">
        <v>5201</v>
      </c>
      <c r="B4202" s="1">
        <v>45759</v>
      </c>
      <c r="C4202" s="4">
        <f>MONTH(datos_ventas[[#This Row],[Fecha]])</f>
        <v>4</v>
      </c>
      <c r="D4202" s="4">
        <f>WEEKNUM(datos_ventas[[#This Row],[Fecha]],2)</f>
        <v>15</v>
      </c>
      <c r="E4202" t="s">
        <v>16</v>
      </c>
      <c r="F4202" t="s">
        <v>11</v>
      </c>
      <c r="G4202">
        <v>3</v>
      </c>
      <c r="H4202">
        <v>96151</v>
      </c>
      <c r="I4202">
        <v>1878</v>
      </c>
      <c r="J4202" t="s">
        <v>27</v>
      </c>
      <c r="K4202" t="str">
        <f>_xlfn.XLOOKUP(datos_ventas[[#This Row],[Ciudad]],Tabla2[Ciudades],Tabla2[Provincias],"no se encuentra")</f>
        <v>Sevilla</v>
      </c>
      <c r="L4202" t="str">
        <f>_xlfn.XLOOKUP(datos_ventas[[#This Row],[Provincia]],Tabla2[Provincias],Tabla2[Comunidades],"no se encuentra")</f>
        <v>Andalucía</v>
      </c>
      <c r="M4202" t="s">
        <v>13</v>
      </c>
      <c r="N4202">
        <v>2</v>
      </c>
    </row>
    <row r="4203" spans="1:14" x14ac:dyDescent="0.25">
      <c r="A4203">
        <v>5202</v>
      </c>
      <c r="B4203" s="1">
        <v>45680</v>
      </c>
      <c r="C4203" s="4">
        <f>MONTH(datos_ventas[[#This Row],[Fecha]])</f>
        <v>1</v>
      </c>
      <c r="D4203" s="4">
        <f>WEEKNUM(datos_ventas[[#This Row],[Fecha]],2)</f>
        <v>4</v>
      </c>
      <c r="E4203" t="s">
        <v>20</v>
      </c>
      <c r="F4203" t="s">
        <v>21</v>
      </c>
      <c r="G4203">
        <v>2</v>
      </c>
      <c r="H4203">
        <v>5064</v>
      </c>
      <c r="I4203">
        <v>1428</v>
      </c>
      <c r="J4203" t="s">
        <v>31</v>
      </c>
      <c r="K4203" t="str">
        <f>_xlfn.XLOOKUP(datos_ventas[[#This Row],[Ciudad]],Tabla2[Ciudades],Tabla2[Provincias],"no se encuentra")</f>
        <v>Vizcaya</v>
      </c>
      <c r="L4203" t="str">
        <f>_xlfn.XLOOKUP(datos_ventas[[#This Row],[Provincia]],Tabla2[Provincias],Tabla2[Comunidades],"no se encuentra")</f>
        <v>País Vasco</v>
      </c>
      <c r="M4203" t="s">
        <v>28</v>
      </c>
      <c r="N4203">
        <v>4</v>
      </c>
    </row>
    <row r="4204" spans="1:14" x14ac:dyDescent="0.25">
      <c r="A4204">
        <v>5203</v>
      </c>
      <c r="B4204" s="1">
        <v>45966</v>
      </c>
      <c r="C4204" s="4">
        <f>MONTH(datos_ventas[[#This Row],[Fecha]])</f>
        <v>11</v>
      </c>
      <c r="D4204" s="4">
        <f>WEEKNUM(datos_ventas[[#This Row],[Fecha]],2)</f>
        <v>45</v>
      </c>
      <c r="E4204" t="s">
        <v>17</v>
      </c>
      <c r="F4204" t="s">
        <v>18</v>
      </c>
      <c r="G4204">
        <v>2</v>
      </c>
      <c r="H4204">
        <v>66604</v>
      </c>
      <c r="I4204">
        <v>4466</v>
      </c>
      <c r="J4204" t="s">
        <v>27</v>
      </c>
      <c r="K4204" t="str">
        <f>_xlfn.XLOOKUP(datos_ventas[[#This Row],[Ciudad]],Tabla2[Ciudades],Tabla2[Provincias],"no se encuentra")</f>
        <v>Sevilla</v>
      </c>
      <c r="L4204" t="str">
        <f>_xlfn.XLOOKUP(datos_ventas[[#This Row],[Provincia]],Tabla2[Provincias],Tabla2[Comunidades],"no se encuentra")</f>
        <v>Andalucía</v>
      </c>
      <c r="M4204" t="s">
        <v>13</v>
      </c>
      <c r="N4204">
        <v>4</v>
      </c>
    </row>
    <row r="4205" spans="1:14" x14ac:dyDescent="0.25">
      <c r="A4205">
        <v>5204</v>
      </c>
      <c r="B4205" s="1">
        <v>45678</v>
      </c>
      <c r="C4205" s="4">
        <f>MONTH(datos_ventas[[#This Row],[Fecha]])</f>
        <v>1</v>
      </c>
      <c r="D4205" s="4">
        <f>WEEKNUM(datos_ventas[[#This Row],[Fecha]],2)</f>
        <v>4</v>
      </c>
      <c r="E4205" t="s">
        <v>23</v>
      </c>
      <c r="F4205" t="s">
        <v>18</v>
      </c>
      <c r="G4205">
        <v>4</v>
      </c>
      <c r="H4205">
        <v>68496</v>
      </c>
      <c r="I4205">
        <v>3921</v>
      </c>
      <c r="J4205" t="s">
        <v>14</v>
      </c>
      <c r="K4205" t="str">
        <f>_xlfn.XLOOKUP(datos_ventas[[#This Row],[Ciudad]],Tabla2[Ciudades],Tabla2[Provincias],"no se encuentra")</f>
        <v>Madrid</v>
      </c>
      <c r="L4205" t="str">
        <f>_xlfn.XLOOKUP(datos_ventas[[#This Row],[Provincia]],Tabla2[Provincias],Tabla2[Comunidades],"no se encuentra")</f>
        <v>Comunidad de Madrid</v>
      </c>
      <c r="M4205" t="s">
        <v>19</v>
      </c>
      <c r="N4205">
        <v>4</v>
      </c>
    </row>
    <row r="4206" spans="1:14" x14ac:dyDescent="0.25">
      <c r="A4206">
        <v>5205</v>
      </c>
      <c r="B4206" s="1">
        <v>45717</v>
      </c>
      <c r="C4206" s="4">
        <f>MONTH(datos_ventas[[#This Row],[Fecha]])</f>
        <v>3</v>
      </c>
      <c r="D4206" s="4">
        <f>WEEKNUM(datos_ventas[[#This Row],[Fecha]],2)</f>
        <v>9</v>
      </c>
      <c r="E4206" t="s">
        <v>17</v>
      </c>
      <c r="F4206" t="s">
        <v>18</v>
      </c>
      <c r="G4206">
        <v>2</v>
      </c>
      <c r="H4206">
        <v>63281</v>
      </c>
      <c r="I4206">
        <v>4839</v>
      </c>
      <c r="J4206" t="s">
        <v>31</v>
      </c>
      <c r="K4206" t="str">
        <f>_xlfn.XLOOKUP(datos_ventas[[#This Row],[Ciudad]],Tabla2[Ciudades],Tabla2[Provincias],"no se encuentra")</f>
        <v>Vizcaya</v>
      </c>
      <c r="L4206" t="str">
        <f>_xlfn.XLOOKUP(datos_ventas[[#This Row],[Provincia]],Tabla2[Provincias],Tabla2[Comunidades],"no se encuentra")</f>
        <v>País Vasco</v>
      </c>
      <c r="M4206" t="s">
        <v>13</v>
      </c>
      <c r="N4206">
        <v>2</v>
      </c>
    </row>
    <row r="4207" spans="1:14" x14ac:dyDescent="0.25">
      <c r="A4207">
        <v>5206</v>
      </c>
      <c r="B4207" s="1">
        <v>45820</v>
      </c>
      <c r="C4207" s="4">
        <f>MONTH(datos_ventas[[#This Row],[Fecha]])</f>
        <v>6</v>
      </c>
      <c r="D4207" s="4">
        <f>WEEKNUM(datos_ventas[[#This Row],[Fecha]],2)</f>
        <v>24</v>
      </c>
      <c r="E4207" t="s">
        <v>20</v>
      </c>
      <c r="F4207" t="s">
        <v>21</v>
      </c>
      <c r="G4207">
        <v>5</v>
      </c>
      <c r="H4207">
        <v>98601</v>
      </c>
      <c r="I4207">
        <v>722</v>
      </c>
      <c r="J4207" t="s">
        <v>14</v>
      </c>
      <c r="K4207" t="str">
        <f>_xlfn.XLOOKUP(datos_ventas[[#This Row],[Ciudad]],Tabla2[Ciudades],Tabla2[Provincias],"no se encuentra")</f>
        <v>Madrid</v>
      </c>
      <c r="L4207" t="str">
        <f>_xlfn.XLOOKUP(datos_ventas[[#This Row],[Provincia]],Tabla2[Provincias],Tabla2[Comunidades],"no se encuentra")</f>
        <v>Comunidad de Madrid</v>
      </c>
      <c r="M4207" t="s">
        <v>19</v>
      </c>
      <c r="N4207">
        <v>1</v>
      </c>
    </row>
    <row r="4208" spans="1:14" x14ac:dyDescent="0.25">
      <c r="A4208">
        <v>5207</v>
      </c>
      <c r="B4208" s="1">
        <v>45708</v>
      </c>
      <c r="C4208" s="4">
        <f>MONTH(datos_ventas[[#This Row],[Fecha]])</f>
        <v>2</v>
      </c>
      <c r="D4208" s="4">
        <f>WEEKNUM(datos_ventas[[#This Row],[Fecha]],2)</f>
        <v>8</v>
      </c>
      <c r="E4208" t="s">
        <v>17</v>
      </c>
      <c r="F4208" t="s">
        <v>18</v>
      </c>
      <c r="G4208">
        <v>5</v>
      </c>
      <c r="H4208">
        <v>57663</v>
      </c>
      <c r="I4208">
        <v>2539</v>
      </c>
      <c r="J4208" t="s">
        <v>32</v>
      </c>
      <c r="K4208" t="str">
        <f>_xlfn.XLOOKUP(datos_ventas[[#This Row],[Ciudad]],Tabla2[Ciudades],Tabla2[Provincias],"no se encuentra")</f>
        <v>Barcelona</v>
      </c>
      <c r="L4208" t="str">
        <f>_xlfn.XLOOKUP(datos_ventas[[#This Row],[Provincia]],Tabla2[Provincias],Tabla2[Comunidades],"no se encuentra")</f>
        <v>Cataluña</v>
      </c>
      <c r="M4208" t="s">
        <v>13</v>
      </c>
      <c r="N4208">
        <v>1</v>
      </c>
    </row>
    <row r="4209" spans="1:14" x14ac:dyDescent="0.25">
      <c r="A4209">
        <v>5208</v>
      </c>
      <c r="B4209" s="1">
        <v>45703</v>
      </c>
      <c r="C4209" s="4">
        <f>MONTH(datos_ventas[[#This Row],[Fecha]])</f>
        <v>2</v>
      </c>
      <c r="D4209" s="4">
        <f>WEEKNUM(datos_ventas[[#This Row],[Fecha]],2)</f>
        <v>7</v>
      </c>
      <c r="E4209" t="s">
        <v>26</v>
      </c>
      <c r="F4209" t="s">
        <v>18</v>
      </c>
      <c r="G4209">
        <v>3</v>
      </c>
      <c r="H4209">
        <v>5064</v>
      </c>
      <c r="I4209">
        <v>460</v>
      </c>
      <c r="J4209" t="s">
        <v>12</v>
      </c>
      <c r="K4209" t="str">
        <f>_xlfn.XLOOKUP(datos_ventas[[#This Row],[Ciudad]],Tabla2[Ciudades],Tabla2[Provincias],"no se encuentra")</f>
        <v>Málaga</v>
      </c>
      <c r="L4209" t="str">
        <f>_xlfn.XLOOKUP(datos_ventas[[#This Row],[Provincia]],Tabla2[Provincias],Tabla2[Comunidades],"no se encuentra")</f>
        <v>Andalucía</v>
      </c>
      <c r="M4209" t="s">
        <v>15</v>
      </c>
      <c r="N4209">
        <v>2</v>
      </c>
    </row>
    <row r="4210" spans="1:14" x14ac:dyDescent="0.25">
      <c r="A4210">
        <v>5209</v>
      </c>
      <c r="B4210" s="1">
        <v>45820</v>
      </c>
      <c r="C4210" s="4">
        <f>MONTH(datos_ventas[[#This Row],[Fecha]])</f>
        <v>6</v>
      </c>
      <c r="D4210" s="4">
        <f>WEEKNUM(datos_ventas[[#This Row],[Fecha]],2)</f>
        <v>24</v>
      </c>
      <c r="E4210" t="s">
        <v>26</v>
      </c>
      <c r="F4210" t="s">
        <v>18</v>
      </c>
      <c r="G4210">
        <v>1</v>
      </c>
      <c r="H4210">
        <v>76231</v>
      </c>
      <c r="I4210">
        <v>263</v>
      </c>
      <c r="J4210" t="s">
        <v>32</v>
      </c>
      <c r="K4210" t="str">
        <f>_xlfn.XLOOKUP(datos_ventas[[#This Row],[Ciudad]],Tabla2[Ciudades],Tabla2[Provincias],"no se encuentra")</f>
        <v>Barcelona</v>
      </c>
      <c r="L4210" t="str">
        <f>_xlfn.XLOOKUP(datos_ventas[[#This Row],[Provincia]],Tabla2[Provincias],Tabla2[Comunidades],"no se encuentra")</f>
        <v>Cataluña</v>
      </c>
      <c r="M4210" t="s">
        <v>13</v>
      </c>
      <c r="N4210">
        <v>1</v>
      </c>
    </row>
    <row r="4211" spans="1:14" x14ac:dyDescent="0.25">
      <c r="A4211">
        <v>5210</v>
      </c>
      <c r="B4211" s="1">
        <v>45765</v>
      </c>
      <c r="C4211" s="4">
        <f>MONTH(datos_ventas[[#This Row],[Fecha]])</f>
        <v>4</v>
      </c>
      <c r="D4211" s="4">
        <f>WEEKNUM(datos_ventas[[#This Row],[Fecha]],2)</f>
        <v>16</v>
      </c>
      <c r="E4211" t="s">
        <v>20</v>
      </c>
      <c r="F4211" t="s">
        <v>21</v>
      </c>
      <c r="G4211">
        <v>5</v>
      </c>
      <c r="H4211">
        <v>10981</v>
      </c>
      <c r="I4211">
        <v>2612</v>
      </c>
      <c r="J4211" t="s">
        <v>31</v>
      </c>
      <c r="K4211" t="str">
        <f>_xlfn.XLOOKUP(datos_ventas[[#This Row],[Ciudad]],Tabla2[Ciudades],Tabla2[Provincias],"no se encuentra")</f>
        <v>Vizcaya</v>
      </c>
      <c r="L4211" t="str">
        <f>_xlfn.XLOOKUP(datos_ventas[[#This Row],[Provincia]],Tabla2[Provincias],Tabla2[Comunidades],"no se encuentra")</f>
        <v>País Vasco</v>
      </c>
      <c r="M4211" t="s">
        <v>15</v>
      </c>
      <c r="N4211">
        <v>3</v>
      </c>
    </row>
    <row r="4212" spans="1:14" x14ac:dyDescent="0.25">
      <c r="A4212">
        <v>5211</v>
      </c>
      <c r="B4212" s="1">
        <v>45685</v>
      </c>
      <c r="C4212" s="4">
        <f>MONTH(datos_ventas[[#This Row],[Fecha]])</f>
        <v>1</v>
      </c>
      <c r="D4212" s="4">
        <f>WEEKNUM(datos_ventas[[#This Row],[Fecha]],2)</f>
        <v>5</v>
      </c>
      <c r="E4212" t="s">
        <v>26</v>
      </c>
      <c r="F4212" t="s">
        <v>18</v>
      </c>
      <c r="G4212">
        <v>1</v>
      </c>
      <c r="H4212">
        <v>10791</v>
      </c>
      <c r="I4212">
        <v>4945</v>
      </c>
      <c r="J4212" t="s">
        <v>14</v>
      </c>
      <c r="K4212" t="str">
        <f>_xlfn.XLOOKUP(datos_ventas[[#This Row],[Ciudad]],Tabla2[Ciudades],Tabla2[Provincias],"no se encuentra")</f>
        <v>Madrid</v>
      </c>
      <c r="L4212" t="str">
        <f>_xlfn.XLOOKUP(datos_ventas[[#This Row],[Provincia]],Tabla2[Provincias],Tabla2[Comunidades],"no se encuentra")</f>
        <v>Comunidad de Madrid</v>
      </c>
      <c r="M4212" t="s">
        <v>28</v>
      </c>
      <c r="N4212">
        <v>2</v>
      </c>
    </row>
    <row r="4213" spans="1:14" x14ac:dyDescent="0.25">
      <c r="A4213">
        <v>5212</v>
      </c>
      <c r="B4213" s="1">
        <v>45660</v>
      </c>
      <c r="C4213" s="4">
        <f>MONTH(datos_ventas[[#This Row],[Fecha]])</f>
        <v>1</v>
      </c>
      <c r="D4213" s="4">
        <f>WEEKNUM(datos_ventas[[#This Row],[Fecha]],2)</f>
        <v>1</v>
      </c>
      <c r="E4213" t="s">
        <v>16</v>
      </c>
      <c r="F4213" t="s">
        <v>11</v>
      </c>
      <c r="G4213">
        <v>3</v>
      </c>
      <c r="H4213">
        <v>10865</v>
      </c>
      <c r="I4213">
        <v>1511</v>
      </c>
      <c r="J4213" t="s">
        <v>27</v>
      </c>
      <c r="K4213" t="str">
        <f>_xlfn.XLOOKUP(datos_ventas[[#This Row],[Ciudad]],Tabla2[Ciudades],Tabla2[Provincias],"no se encuentra")</f>
        <v>Sevilla</v>
      </c>
      <c r="L4213" t="str">
        <f>_xlfn.XLOOKUP(datos_ventas[[#This Row],[Provincia]],Tabla2[Provincias],Tabla2[Comunidades],"no se encuentra")</f>
        <v>Andalucía</v>
      </c>
      <c r="M4213" t="s">
        <v>13</v>
      </c>
      <c r="N4213">
        <v>2</v>
      </c>
    </row>
    <row r="4214" spans="1:14" x14ac:dyDescent="0.25">
      <c r="A4214">
        <v>5213</v>
      </c>
      <c r="B4214" s="1">
        <v>46008</v>
      </c>
      <c r="C4214" s="4">
        <f>MONTH(datos_ventas[[#This Row],[Fecha]])</f>
        <v>12</v>
      </c>
      <c r="D4214" s="4">
        <f>WEEKNUM(datos_ventas[[#This Row],[Fecha]],2)</f>
        <v>51</v>
      </c>
      <c r="E4214" t="s">
        <v>16</v>
      </c>
      <c r="F4214" t="s">
        <v>11</v>
      </c>
      <c r="G4214">
        <v>1</v>
      </c>
      <c r="H4214">
        <v>116437</v>
      </c>
      <c r="I4214">
        <v>1062</v>
      </c>
      <c r="J4214" t="s">
        <v>27</v>
      </c>
      <c r="K4214" t="str">
        <f>_xlfn.XLOOKUP(datos_ventas[[#This Row],[Ciudad]],Tabla2[Ciudades],Tabla2[Provincias],"no se encuentra")</f>
        <v>Sevilla</v>
      </c>
      <c r="L4214" t="str">
        <f>_xlfn.XLOOKUP(datos_ventas[[#This Row],[Provincia]],Tabla2[Provincias],Tabla2[Comunidades],"no se encuentra")</f>
        <v>Andalucía</v>
      </c>
      <c r="M4214" t="s">
        <v>15</v>
      </c>
      <c r="N4214">
        <v>1</v>
      </c>
    </row>
    <row r="4215" spans="1:14" x14ac:dyDescent="0.25">
      <c r="A4215">
        <v>5214</v>
      </c>
      <c r="B4215" s="1">
        <v>45744</v>
      </c>
      <c r="C4215" s="4">
        <f>MONTH(datos_ventas[[#This Row],[Fecha]])</f>
        <v>3</v>
      </c>
      <c r="D4215" s="4">
        <f>WEEKNUM(datos_ventas[[#This Row],[Fecha]],2)</f>
        <v>13</v>
      </c>
      <c r="E4215" t="s">
        <v>16</v>
      </c>
      <c r="F4215" t="s">
        <v>11</v>
      </c>
      <c r="G4215">
        <v>5</v>
      </c>
      <c r="H4215">
        <v>75529</v>
      </c>
      <c r="I4215">
        <v>69</v>
      </c>
      <c r="J4215" t="s">
        <v>32</v>
      </c>
      <c r="K4215" t="str">
        <f>_xlfn.XLOOKUP(datos_ventas[[#This Row],[Ciudad]],Tabla2[Ciudades],Tabla2[Provincias],"no se encuentra")</f>
        <v>Barcelona</v>
      </c>
      <c r="L4215" t="str">
        <f>_xlfn.XLOOKUP(datos_ventas[[#This Row],[Provincia]],Tabla2[Provincias],Tabla2[Comunidades],"no se encuentra")</f>
        <v>Cataluña</v>
      </c>
      <c r="M4215" t="s">
        <v>28</v>
      </c>
      <c r="N4215">
        <v>5</v>
      </c>
    </row>
    <row r="4216" spans="1:14" x14ac:dyDescent="0.25">
      <c r="A4216">
        <v>5215</v>
      </c>
      <c r="B4216" s="1">
        <v>45709</v>
      </c>
      <c r="C4216" s="4">
        <f>MONTH(datos_ventas[[#This Row],[Fecha]])</f>
        <v>2</v>
      </c>
      <c r="D4216" s="4">
        <f>WEEKNUM(datos_ventas[[#This Row],[Fecha]],2)</f>
        <v>8</v>
      </c>
      <c r="E4216" t="s">
        <v>17</v>
      </c>
      <c r="F4216" t="s">
        <v>18</v>
      </c>
      <c r="G4216">
        <v>3</v>
      </c>
      <c r="H4216">
        <v>103349</v>
      </c>
      <c r="I4216">
        <v>2834</v>
      </c>
      <c r="J4216" t="s">
        <v>27</v>
      </c>
      <c r="K4216" t="str">
        <f>_xlfn.XLOOKUP(datos_ventas[[#This Row],[Ciudad]],Tabla2[Ciudades],Tabla2[Provincias],"no se encuentra")</f>
        <v>Sevilla</v>
      </c>
      <c r="L4216" t="str">
        <f>_xlfn.XLOOKUP(datos_ventas[[#This Row],[Provincia]],Tabla2[Provincias],Tabla2[Comunidades],"no se encuentra")</f>
        <v>Andalucía</v>
      </c>
      <c r="M4216" t="s">
        <v>28</v>
      </c>
      <c r="N4216">
        <v>4</v>
      </c>
    </row>
    <row r="4217" spans="1:14" x14ac:dyDescent="0.25">
      <c r="A4217">
        <v>5216</v>
      </c>
      <c r="B4217" s="1">
        <v>45774</v>
      </c>
      <c r="C4217" s="4">
        <f>MONTH(datos_ventas[[#This Row],[Fecha]])</f>
        <v>4</v>
      </c>
      <c r="D4217" s="4">
        <f>WEEKNUM(datos_ventas[[#This Row],[Fecha]],2)</f>
        <v>17</v>
      </c>
      <c r="E4217" t="s">
        <v>10</v>
      </c>
      <c r="F4217" t="s">
        <v>11</v>
      </c>
      <c r="G4217">
        <v>1</v>
      </c>
      <c r="H4217">
        <v>99277</v>
      </c>
      <c r="I4217">
        <v>1769</v>
      </c>
      <c r="J4217" t="s">
        <v>31</v>
      </c>
      <c r="K4217" t="str">
        <f>_xlfn.XLOOKUP(datos_ventas[[#This Row],[Ciudad]],Tabla2[Ciudades],Tabla2[Provincias],"no se encuentra")</f>
        <v>Vizcaya</v>
      </c>
      <c r="L4217" t="str">
        <f>_xlfn.XLOOKUP(datos_ventas[[#This Row],[Provincia]],Tabla2[Provincias],Tabla2[Comunidades],"no se encuentra")</f>
        <v>País Vasco</v>
      </c>
      <c r="M4217" t="s">
        <v>15</v>
      </c>
      <c r="N4217">
        <v>1</v>
      </c>
    </row>
    <row r="4218" spans="1:14" x14ac:dyDescent="0.25">
      <c r="A4218">
        <v>5217</v>
      </c>
      <c r="B4218" s="1">
        <v>46010</v>
      </c>
      <c r="C4218" s="4">
        <f>MONTH(datos_ventas[[#This Row],[Fecha]])</f>
        <v>12</v>
      </c>
      <c r="D4218" s="4">
        <f>WEEKNUM(datos_ventas[[#This Row],[Fecha]],2)</f>
        <v>51</v>
      </c>
      <c r="E4218" t="s">
        <v>20</v>
      </c>
      <c r="F4218" t="s">
        <v>21</v>
      </c>
      <c r="G4218">
        <v>1</v>
      </c>
      <c r="H4218">
        <v>61825</v>
      </c>
      <c r="I4218">
        <v>1175</v>
      </c>
      <c r="J4218" t="s">
        <v>22</v>
      </c>
      <c r="K4218" t="str">
        <f>_xlfn.XLOOKUP(datos_ventas[[#This Row],[Ciudad]],Tabla2[Ciudades],Tabla2[Provincias],"no se encuentra")</f>
        <v>Valencia</v>
      </c>
      <c r="L4218" t="str">
        <f>_xlfn.XLOOKUP(datos_ventas[[#This Row],[Provincia]],Tabla2[Provincias],Tabla2[Comunidades],"no se encuentra")</f>
        <v>Comunidad Valenciana</v>
      </c>
      <c r="M4218" t="s">
        <v>15</v>
      </c>
      <c r="N4218">
        <v>5</v>
      </c>
    </row>
    <row r="4219" spans="1:14" x14ac:dyDescent="0.25">
      <c r="A4219">
        <v>5218</v>
      </c>
      <c r="B4219" s="1">
        <v>45814</v>
      </c>
      <c r="C4219" s="4">
        <f>MONTH(datos_ventas[[#This Row],[Fecha]])</f>
        <v>6</v>
      </c>
      <c r="D4219" s="4">
        <f>WEEKNUM(datos_ventas[[#This Row],[Fecha]],2)</f>
        <v>23</v>
      </c>
      <c r="E4219" t="s">
        <v>10</v>
      </c>
      <c r="F4219" t="s">
        <v>11</v>
      </c>
      <c r="G4219">
        <v>2</v>
      </c>
      <c r="H4219">
        <v>100725</v>
      </c>
      <c r="I4219">
        <v>3624</v>
      </c>
      <c r="J4219" t="s">
        <v>32</v>
      </c>
      <c r="K4219" t="str">
        <f>_xlfn.XLOOKUP(datos_ventas[[#This Row],[Ciudad]],Tabla2[Ciudades],Tabla2[Provincias],"no se encuentra")</f>
        <v>Barcelona</v>
      </c>
      <c r="L4219" t="str">
        <f>_xlfn.XLOOKUP(datos_ventas[[#This Row],[Provincia]],Tabla2[Provincias],Tabla2[Comunidades],"no se encuentra")</f>
        <v>Cataluña</v>
      </c>
      <c r="M4219" t="s">
        <v>19</v>
      </c>
      <c r="N4219">
        <v>3</v>
      </c>
    </row>
    <row r="4220" spans="1:14" x14ac:dyDescent="0.25">
      <c r="A4220">
        <v>5219</v>
      </c>
      <c r="B4220" s="1">
        <v>45660</v>
      </c>
      <c r="C4220" s="4">
        <f>MONTH(datos_ventas[[#This Row],[Fecha]])</f>
        <v>1</v>
      </c>
      <c r="D4220" s="4">
        <f>WEEKNUM(datos_ventas[[#This Row],[Fecha]],2)</f>
        <v>1</v>
      </c>
      <c r="E4220" t="s">
        <v>10</v>
      </c>
      <c r="F4220" t="s">
        <v>11</v>
      </c>
      <c r="G4220">
        <v>5</v>
      </c>
      <c r="H4220">
        <v>17165</v>
      </c>
      <c r="I4220">
        <v>4063</v>
      </c>
      <c r="J4220" t="s">
        <v>27</v>
      </c>
      <c r="K4220" t="str">
        <f>_xlfn.XLOOKUP(datos_ventas[[#This Row],[Ciudad]],Tabla2[Ciudades],Tabla2[Provincias],"no se encuentra")</f>
        <v>Sevilla</v>
      </c>
      <c r="L4220" t="str">
        <f>_xlfn.XLOOKUP(datos_ventas[[#This Row],[Provincia]],Tabla2[Provincias],Tabla2[Comunidades],"no se encuentra")</f>
        <v>Andalucía</v>
      </c>
      <c r="M4220" t="s">
        <v>13</v>
      </c>
      <c r="N4220">
        <v>3</v>
      </c>
    </row>
    <row r="4221" spans="1:14" x14ac:dyDescent="0.25">
      <c r="A4221">
        <v>5220</v>
      </c>
      <c r="B4221" s="1">
        <v>45823</v>
      </c>
      <c r="C4221" s="4">
        <f>MONTH(datos_ventas[[#This Row],[Fecha]])</f>
        <v>6</v>
      </c>
      <c r="D4221" s="4">
        <f>WEEKNUM(datos_ventas[[#This Row],[Fecha]],2)</f>
        <v>24</v>
      </c>
      <c r="E4221" t="s">
        <v>20</v>
      </c>
      <c r="F4221" t="s">
        <v>21</v>
      </c>
      <c r="G4221">
        <v>3</v>
      </c>
      <c r="H4221">
        <v>78604</v>
      </c>
      <c r="I4221">
        <v>2888</v>
      </c>
      <c r="J4221" t="s">
        <v>22</v>
      </c>
      <c r="K4221" t="str">
        <f>_xlfn.XLOOKUP(datos_ventas[[#This Row],[Ciudad]],Tabla2[Ciudades],Tabla2[Provincias],"no se encuentra")</f>
        <v>Valencia</v>
      </c>
      <c r="L4221" t="str">
        <f>_xlfn.XLOOKUP(datos_ventas[[#This Row],[Provincia]],Tabla2[Provincias],Tabla2[Comunidades],"no se encuentra")</f>
        <v>Comunidad Valenciana</v>
      </c>
      <c r="M4221" t="s">
        <v>28</v>
      </c>
      <c r="N4221">
        <v>4</v>
      </c>
    </row>
    <row r="4222" spans="1:14" x14ac:dyDescent="0.25">
      <c r="A4222">
        <v>5221</v>
      </c>
      <c r="B4222" s="1">
        <v>45976</v>
      </c>
      <c r="C4222" s="4">
        <f>MONTH(datos_ventas[[#This Row],[Fecha]])</f>
        <v>11</v>
      </c>
      <c r="D4222" s="4">
        <f>WEEKNUM(datos_ventas[[#This Row],[Fecha]],2)</f>
        <v>46</v>
      </c>
      <c r="E4222" t="s">
        <v>20</v>
      </c>
      <c r="F4222" t="s">
        <v>21</v>
      </c>
      <c r="G4222">
        <v>2</v>
      </c>
      <c r="H4222">
        <v>88982</v>
      </c>
      <c r="I4222">
        <v>2866</v>
      </c>
      <c r="J4222" t="s">
        <v>27</v>
      </c>
      <c r="K4222" t="str">
        <f>_xlfn.XLOOKUP(datos_ventas[[#This Row],[Ciudad]],Tabla2[Ciudades],Tabla2[Provincias],"no se encuentra")</f>
        <v>Sevilla</v>
      </c>
      <c r="L4222" t="str">
        <f>_xlfn.XLOOKUP(datos_ventas[[#This Row],[Provincia]],Tabla2[Provincias],Tabla2[Comunidades],"no se encuentra")</f>
        <v>Andalucía</v>
      </c>
      <c r="M4222" t="s">
        <v>28</v>
      </c>
      <c r="N4222">
        <v>2</v>
      </c>
    </row>
    <row r="4223" spans="1:14" x14ac:dyDescent="0.25">
      <c r="A4223">
        <v>5222</v>
      </c>
      <c r="B4223" s="1">
        <v>45805</v>
      </c>
      <c r="C4223" s="4">
        <f>MONTH(datos_ventas[[#This Row],[Fecha]])</f>
        <v>5</v>
      </c>
      <c r="D4223" s="4">
        <f>WEEKNUM(datos_ventas[[#This Row],[Fecha]],2)</f>
        <v>22</v>
      </c>
      <c r="E4223" t="s">
        <v>10</v>
      </c>
      <c r="F4223" t="s">
        <v>11</v>
      </c>
      <c r="G4223">
        <v>2</v>
      </c>
      <c r="H4223">
        <v>113288</v>
      </c>
      <c r="I4223">
        <v>2948</v>
      </c>
      <c r="J4223" t="s">
        <v>14</v>
      </c>
      <c r="K4223" t="str">
        <f>_xlfn.XLOOKUP(datos_ventas[[#This Row],[Ciudad]],Tabla2[Ciudades],Tabla2[Provincias],"no se encuentra")</f>
        <v>Madrid</v>
      </c>
      <c r="L4223" t="str">
        <f>_xlfn.XLOOKUP(datos_ventas[[#This Row],[Provincia]],Tabla2[Provincias],Tabla2[Comunidades],"no se encuentra")</f>
        <v>Comunidad de Madrid</v>
      </c>
      <c r="M4223" t="s">
        <v>28</v>
      </c>
      <c r="N4223">
        <v>4</v>
      </c>
    </row>
    <row r="4224" spans="1:14" x14ac:dyDescent="0.25">
      <c r="A4224">
        <v>5223</v>
      </c>
      <c r="B4224" s="1">
        <v>45866</v>
      </c>
      <c r="C4224" s="4">
        <f>MONTH(datos_ventas[[#This Row],[Fecha]])</f>
        <v>7</v>
      </c>
      <c r="D4224" s="4">
        <f>WEEKNUM(datos_ventas[[#This Row],[Fecha]],2)</f>
        <v>31</v>
      </c>
      <c r="E4224" t="s">
        <v>10</v>
      </c>
      <c r="F4224" t="s">
        <v>11</v>
      </c>
      <c r="G4224">
        <v>5</v>
      </c>
      <c r="H4224">
        <v>83136</v>
      </c>
      <c r="I4224">
        <v>1906</v>
      </c>
      <c r="J4224" t="s">
        <v>32</v>
      </c>
      <c r="K4224" t="str">
        <f>_xlfn.XLOOKUP(datos_ventas[[#This Row],[Ciudad]],Tabla2[Ciudades],Tabla2[Provincias],"no se encuentra")</f>
        <v>Barcelona</v>
      </c>
      <c r="L4224" t="str">
        <f>_xlfn.XLOOKUP(datos_ventas[[#This Row],[Provincia]],Tabla2[Provincias],Tabla2[Comunidades],"no se encuentra")</f>
        <v>Cataluña</v>
      </c>
      <c r="M4224" t="s">
        <v>13</v>
      </c>
      <c r="N4224">
        <v>3</v>
      </c>
    </row>
    <row r="4225" spans="1:14" x14ac:dyDescent="0.25">
      <c r="A4225">
        <v>5224</v>
      </c>
      <c r="B4225" s="1">
        <v>45659</v>
      </c>
      <c r="C4225" s="4">
        <f>MONTH(datos_ventas[[#This Row],[Fecha]])</f>
        <v>1</v>
      </c>
      <c r="D4225" s="4">
        <f>WEEKNUM(datos_ventas[[#This Row],[Fecha]],2)</f>
        <v>1</v>
      </c>
      <c r="E4225" t="s">
        <v>29</v>
      </c>
      <c r="F4225" t="s">
        <v>30</v>
      </c>
      <c r="G4225">
        <v>5</v>
      </c>
      <c r="H4225">
        <v>51032</v>
      </c>
      <c r="I4225">
        <v>1457</v>
      </c>
      <c r="J4225" t="s">
        <v>31</v>
      </c>
      <c r="K4225" t="str">
        <f>_xlfn.XLOOKUP(datos_ventas[[#This Row],[Ciudad]],Tabla2[Ciudades],Tabla2[Provincias],"no se encuentra")</f>
        <v>Vizcaya</v>
      </c>
      <c r="L4225" t="str">
        <f>_xlfn.XLOOKUP(datos_ventas[[#This Row],[Provincia]],Tabla2[Provincias],Tabla2[Comunidades],"no se encuentra")</f>
        <v>País Vasco</v>
      </c>
      <c r="M4225" t="s">
        <v>19</v>
      </c>
      <c r="N4225">
        <v>5</v>
      </c>
    </row>
    <row r="4226" spans="1:14" x14ac:dyDescent="0.25">
      <c r="A4226">
        <v>5225</v>
      </c>
      <c r="B4226" s="1">
        <v>45832</v>
      </c>
      <c r="C4226" s="4">
        <f>MONTH(datos_ventas[[#This Row],[Fecha]])</f>
        <v>6</v>
      </c>
      <c r="D4226" s="4">
        <f>WEEKNUM(datos_ventas[[#This Row],[Fecha]],2)</f>
        <v>26</v>
      </c>
      <c r="E4226" t="s">
        <v>23</v>
      </c>
      <c r="F4226" t="s">
        <v>18</v>
      </c>
      <c r="G4226">
        <v>2</v>
      </c>
      <c r="H4226">
        <v>86062</v>
      </c>
      <c r="I4226">
        <v>946</v>
      </c>
      <c r="J4226" t="s">
        <v>31</v>
      </c>
      <c r="K4226" t="str">
        <f>_xlfn.XLOOKUP(datos_ventas[[#This Row],[Ciudad]],Tabla2[Ciudades],Tabla2[Provincias],"no se encuentra")</f>
        <v>Vizcaya</v>
      </c>
      <c r="L4226" t="str">
        <f>_xlfn.XLOOKUP(datos_ventas[[#This Row],[Provincia]],Tabla2[Provincias],Tabla2[Comunidades],"no se encuentra")</f>
        <v>País Vasco</v>
      </c>
      <c r="M4226" t="s">
        <v>28</v>
      </c>
      <c r="N4226">
        <v>4</v>
      </c>
    </row>
    <row r="4227" spans="1:14" x14ac:dyDescent="0.25">
      <c r="A4227">
        <v>5226</v>
      </c>
      <c r="B4227" s="1">
        <v>45835</v>
      </c>
      <c r="C4227" s="4">
        <f>MONTH(datos_ventas[[#This Row],[Fecha]])</f>
        <v>6</v>
      </c>
      <c r="D4227" s="4">
        <f>WEEKNUM(datos_ventas[[#This Row],[Fecha]],2)</f>
        <v>26</v>
      </c>
      <c r="E4227" t="s">
        <v>23</v>
      </c>
      <c r="F4227" t="s">
        <v>18</v>
      </c>
      <c r="G4227">
        <v>4</v>
      </c>
      <c r="H4227">
        <v>95076</v>
      </c>
      <c r="I4227">
        <v>255</v>
      </c>
      <c r="J4227" t="s">
        <v>22</v>
      </c>
      <c r="K4227" t="str">
        <f>_xlfn.XLOOKUP(datos_ventas[[#This Row],[Ciudad]],Tabla2[Ciudades],Tabla2[Provincias],"no se encuentra")</f>
        <v>Valencia</v>
      </c>
      <c r="L4227" t="str">
        <f>_xlfn.XLOOKUP(datos_ventas[[#This Row],[Provincia]],Tabla2[Provincias],Tabla2[Comunidades],"no se encuentra")</f>
        <v>Comunidad Valenciana</v>
      </c>
      <c r="M4227" t="s">
        <v>19</v>
      </c>
      <c r="N4227">
        <v>4</v>
      </c>
    </row>
    <row r="4228" spans="1:14" x14ac:dyDescent="0.25">
      <c r="A4228">
        <v>5227</v>
      </c>
      <c r="B4228" s="1">
        <v>45819</v>
      </c>
      <c r="C4228" s="4">
        <f>MONTH(datos_ventas[[#This Row],[Fecha]])</f>
        <v>6</v>
      </c>
      <c r="D4228" s="4">
        <f>WEEKNUM(datos_ventas[[#This Row],[Fecha]],2)</f>
        <v>24</v>
      </c>
      <c r="E4228" t="s">
        <v>20</v>
      </c>
      <c r="F4228" t="s">
        <v>21</v>
      </c>
      <c r="G4228">
        <v>4</v>
      </c>
      <c r="H4228">
        <v>43711</v>
      </c>
      <c r="I4228">
        <v>692</v>
      </c>
      <c r="J4228" t="s">
        <v>14</v>
      </c>
      <c r="K4228" t="str">
        <f>_xlfn.XLOOKUP(datos_ventas[[#This Row],[Ciudad]],Tabla2[Ciudades],Tabla2[Provincias],"no se encuentra")</f>
        <v>Madrid</v>
      </c>
      <c r="L4228" t="str">
        <f>_xlfn.XLOOKUP(datos_ventas[[#This Row],[Provincia]],Tabla2[Provincias],Tabla2[Comunidades],"no se encuentra")</f>
        <v>Comunidad de Madrid</v>
      </c>
      <c r="M4228" t="s">
        <v>15</v>
      </c>
      <c r="N4228">
        <v>4</v>
      </c>
    </row>
    <row r="4229" spans="1:14" x14ac:dyDescent="0.25">
      <c r="A4229">
        <v>5228</v>
      </c>
      <c r="B4229" s="1">
        <v>45941</v>
      </c>
      <c r="C4229" s="4">
        <f>MONTH(datos_ventas[[#This Row],[Fecha]])</f>
        <v>10</v>
      </c>
      <c r="D4229" s="4">
        <f>WEEKNUM(datos_ventas[[#This Row],[Fecha]],2)</f>
        <v>41</v>
      </c>
      <c r="E4229" t="s">
        <v>29</v>
      </c>
      <c r="F4229" t="s">
        <v>30</v>
      </c>
      <c r="G4229">
        <v>4</v>
      </c>
      <c r="H4229">
        <v>44975</v>
      </c>
      <c r="I4229">
        <v>666</v>
      </c>
      <c r="J4229" t="s">
        <v>12</v>
      </c>
      <c r="K4229" t="str">
        <f>_xlfn.XLOOKUP(datos_ventas[[#This Row],[Ciudad]],Tabla2[Ciudades],Tabla2[Provincias],"no se encuentra")</f>
        <v>Málaga</v>
      </c>
      <c r="L4229" t="str">
        <f>_xlfn.XLOOKUP(datos_ventas[[#This Row],[Provincia]],Tabla2[Provincias],Tabla2[Comunidades],"no se encuentra")</f>
        <v>Andalucía</v>
      </c>
      <c r="M4229" t="s">
        <v>13</v>
      </c>
      <c r="N4229">
        <v>2</v>
      </c>
    </row>
    <row r="4230" spans="1:14" x14ac:dyDescent="0.25">
      <c r="A4230">
        <v>5229</v>
      </c>
      <c r="B4230" s="1">
        <v>45815</v>
      </c>
      <c r="C4230" s="4">
        <f>MONTH(datos_ventas[[#This Row],[Fecha]])</f>
        <v>6</v>
      </c>
      <c r="D4230" s="4">
        <f>WEEKNUM(datos_ventas[[#This Row],[Fecha]],2)</f>
        <v>23</v>
      </c>
      <c r="E4230" t="s">
        <v>10</v>
      </c>
      <c r="F4230" t="s">
        <v>11</v>
      </c>
      <c r="G4230">
        <v>4</v>
      </c>
      <c r="H4230">
        <v>3670</v>
      </c>
      <c r="I4230">
        <v>2831</v>
      </c>
      <c r="J4230" t="s">
        <v>31</v>
      </c>
      <c r="K4230" t="str">
        <f>_xlfn.XLOOKUP(datos_ventas[[#This Row],[Ciudad]],Tabla2[Ciudades],Tabla2[Provincias],"no se encuentra")</f>
        <v>Vizcaya</v>
      </c>
      <c r="L4230" t="str">
        <f>_xlfn.XLOOKUP(datos_ventas[[#This Row],[Provincia]],Tabla2[Provincias],Tabla2[Comunidades],"no se encuentra")</f>
        <v>País Vasco</v>
      </c>
      <c r="M4230" t="s">
        <v>13</v>
      </c>
      <c r="N4230">
        <v>5</v>
      </c>
    </row>
    <row r="4231" spans="1:14" x14ac:dyDescent="0.25">
      <c r="A4231">
        <v>5230</v>
      </c>
      <c r="B4231" s="1">
        <v>45744</v>
      </c>
      <c r="C4231" s="4">
        <f>MONTH(datos_ventas[[#This Row],[Fecha]])</f>
        <v>3</v>
      </c>
      <c r="D4231" s="4">
        <f>WEEKNUM(datos_ventas[[#This Row],[Fecha]],2)</f>
        <v>13</v>
      </c>
      <c r="E4231" t="s">
        <v>24</v>
      </c>
      <c r="F4231" t="s">
        <v>25</v>
      </c>
      <c r="G4231">
        <v>1</v>
      </c>
      <c r="H4231">
        <v>15424</v>
      </c>
      <c r="I4231">
        <v>4373</v>
      </c>
      <c r="J4231" t="s">
        <v>22</v>
      </c>
      <c r="K4231" t="str">
        <f>_xlfn.XLOOKUP(datos_ventas[[#This Row],[Ciudad]],Tabla2[Ciudades],Tabla2[Provincias],"no se encuentra")</f>
        <v>Valencia</v>
      </c>
      <c r="L4231" t="str">
        <f>_xlfn.XLOOKUP(datos_ventas[[#This Row],[Provincia]],Tabla2[Provincias],Tabla2[Comunidades],"no se encuentra")</f>
        <v>Comunidad Valenciana</v>
      </c>
      <c r="M4231" t="s">
        <v>19</v>
      </c>
      <c r="N4231">
        <v>4</v>
      </c>
    </row>
    <row r="4232" spans="1:14" x14ac:dyDescent="0.25">
      <c r="A4232">
        <v>5231</v>
      </c>
      <c r="B4232" s="1">
        <v>46019</v>
      </c>
      <c r="C4232" s="4">
        <f>MONTH(datos_ventas[[#This Row],[Fecha]])</f>
        <v>12</v>
      </c>
      <c r="D4232" s="4">
        <f>WEEKNUM(datos_ventas[[#This Row],[Fecha]],2)</f>
        <v>52</v>
      </c>
      <c r="E4232" t="s">
        <v>10</v>
      </c>
      <c r="F4232" t="s">
        <v>11</v>
      </c>
      <c r="G4232">
        <v>1</v>
      </c>
      <c r="H4232">
        <v>10644</v>
      </c>
      <c r="I4232">
        <v>4742</v>
      </c>
      <c r="J4232" t="s">
        <v>12</v>
      </c>
      <c r="K4232" t="str">
        <f>_xlfn.XLOOKUP(datos_ventas[[#This Row],[Ciudad]],Tabla2[Ciudades],Tabla2[Provincias],"no se encuentra")</f>
        <v>Málaga</v>
      </c>
      <c r="L4232" t="str">
        <f>_xlfn.XLOOKUP(datos_ventas[[#This Row],[Provincia]],Tabla2[Provincias],Tabla2[Comunidades],"no se encuentra")</f>
        <v>Andalucía</v>
      </c>
      <c r="M4232" t="s">
        <v>15</v>
      </c>
      <c r="N4232">
        <v>4</v>
      </c>
    </row>
    <row r="4233" spans="1:14" x14ac:dyDescent="0.25">
      <c r="A4233">
        <v>5232</v>
      </c>
      <c r="B4233" s="1">
        <v>45747</v>
      </c>
      <c r="C4233" s="4">
        <f>MONTH(datos_ventas[[#This Row],[Fecha]])</f>
        <v>3</v>
      </c>
      <c r="D4233" s="4">
        <f>WEEKNUM(datos_ventas[[#This Row],[Fecha]],2)</f>
        <v>14</v>
      </c>
      <c r="E4233" t="s">
        <v>29</v>
      </c>
      <c r="F4233" t="s">
        <v>30</v>
      </c>
      <c r="G4233">
        <v>1</v>
      </c>
      <c r="H4233">
        <v>108627</v>
      </c>
      <c r="I4233">
        <v>4386</v>
      </c>
      <c r="J4233" t="s">
        <v>27</v>
      </c>
      <c r="K4233" t="str">
        <f>_xlfn.XLOOKUP(datos_ventas[[#This Row],[Ciudad]],Tabla2[Ciudades],Tabla2[Provincias],"no se encuentra")</f>
        <v>Sevilla</v>
      </c>
      <c r="L4233" t="str">
        <f>_xlfn.XLOOKUP(datos_ventas[[#This Row],[Provincia]],Tabla2[Provincias],Tabla2[Comunidades],"no se encuentra")</f>
        <v>Andalucía</v>
      </c>
      <c r="M4233" t="s">
        <v>28</v>
      </c>
      <c r="N4233">
        <v>4</v>
      </c>
    </row>
    <row r="4234" spans="1:14" x14ac:dyDescent="0.25">
      <c r="A4234">
        <v>5233</v>
      </c>
      <c r="B4234" s="1">
        <v>45755</v>
      </c>
      <c r="C4234" s="4">
        <f>MONTH(datos_ventas[[#This Row],[Fecha]])</f>
        <v>4</v>
      </c>
      <c r="D4234" s="4">
        <f>WEEKNUM(datos_ventas[[#This Row],[Fecha]],2)</f>
        <v>15</v>
      </c>
      <c r="E4234" t="s">
        <v>26</v>
      </c>
      <c r="F4234" t="s">
        <v>18</v>
      </c>
      <c r="G4234">
        <v>1</v>
      </c>
      <c r="H4234">
        <v>93584</v>
      </c>
      <c r="I4234">
        <v>2933</v>
      </c>
      <c r="J4234" t="s">
        <v>22</v>
      </c>
      <c r="K4234" t="str">
        <f>_xlfn.XLOOKUP(datos_ventas[[#This Row],[Ciudad]],Tabla2[Ciudades],Tabla2[Provincias],"no se encuentra")</f>
        <v>Valencia</v>
      </c>
      <c r="L4234" t="str">
        <f>_xlfn.XLOOKUP(datos_ventas[[#This Row],[Provincia]],Tabla2[Provincias],Tabla2[Comunidades],"no se encuentra")</f>
        <v>Comunidad Valenciana</v>
      </c>
      <c r="M4234" t="s">
        <v>15</v>
      </c>
      <c r="N4234">
        <v>1</v>
      </c>
    </row>
    <row r="4235" spans="1:14" x14ac:dyDescent="0.25">
      <c r="A4235">
        <v>5234</v>
      </c>
      <c r="B4235" s="1">
        <v>46005</v>
      </c>
      <c r="C4235" s="4">
        <f>MONTH(datos_ventas[[#This Row],[Fecha]])</f>
        <v>12</v>
      </c>
      <c r="D4235" s="4">
        <f>WEEKNUM(datos_ventas[[#This Row],[Fecha]],2)</f>
        <v>50</v>
      </c>
      <c r="E4235" t="s">
        <v>26</v>
      </c>
      <c r="F4235" t="s">
        <v>18</v>
      </c>
      <c r="G4235">
        <v>5</v>
      </c>
      <c r="H4235">
        <v>82924</v>
      </c>
      <c r="I4235">
        <v>1297</v>
      </c>
      <c r="J4235" t="s">
        <v>27</v>
      </c>
      <c r="K4235" t="str">
        <f>_xlfn.XLOOKUP(datos_ventas[[#This Row],[Ciudad]],Tabla2[Ciudades],Tabla2[Provincias],"no se encuentra")</f>
        <v>Sevilla</v>
      </c>
      <c r="L4235" t="str">
        <f>_xlfn.XLOOKUP(datos_ventas[[#This Row],[Provincia]],Tabla2[Provincias],Tabla2[Comunidades],"no se encuentra")</f>
        <v>Andalucía</v>
      </c>
      <c r="M4235" t="s">
        <v>19</v>
      </c>
      <c r="N4235">
        <v>3</v>
      </c>
    </row>
    <row r="4236" spans="1:14" x14ac:dyDescent="0.25">
      <c r="A4236">
        <v>5235</v>
      </c>
      <c r="B4236" s="1">
        <v>46008</v>
      </c>
      <c r="C4236" s="4">
        <f>MONTH(datos_ventas[[#This Row],[Fecha]])</f>
        <v>12</v>
      </c>
      <c r="D4236" s="4">
        <f>WEEKNUM(datos_ventas[[#This Row],[Fecha]],2)</f>
        <v>51</v>
      </c>
      <c r="E4236" t="s">
        <v>26</v>
      </c>
      <c r="F4236" t="s">
        <v>18</v>
      </c>
      <c r="G4236">
        <v>1</v>
      </c>
      <c r="H4236">
        <v>7680</v>
      </c>
      <c r="I4236">
        <v>3808</v>
      </c>
      <c r="J4236" t="s">
        <v>12</v>
      </c>
      <c r="K4236" t="str">
        <f>_xlfn.XLOOKUP(datos_ventas[[#This Row],[Ciudad]],Tabla2[Ciudades],Tabla2[Provincias],"no se encuentra")</f>
        <v>Málaga</v>
      </c>
      <c r="L4236" t="str">
        <f>_xlfn.XLOOKUP(datos_ventas[[#This Row],[Provincia]],Tabla2[Provincias],Tabla2[Comunidades],"no se encuentra")</f>
        <v>Andalucía</v>
      </c>
      <c r="M4236" t="s">
        <v>15</v>
      </c>
      <c r="N4236">
        <v>5</v>
      </c>
    </row>
    <row r="4237" spans="1:14" x14ac:dyDescent="0.25">
      <c r="A4237">
        <v>5236</v>
      </c>
      <c r="B4237" s="1">
        <v>46004</v>
      </c>
      <c r="C4237" s="4">
        <f>MONTH(datos_ventas[[#This Row],[Fecha]])</f>
        <v>12</v>
      </c>
      <c r="D4237" s="4">
        <f>WEEKNUM(datos_ventas[[#This Row],[Fecha]],2)</f>
        <v>50</v>
      </c>
      <c r="E4237" t="s">
        <v>20</v>
      </c>
      <c r="F4237" t="s">
        <v>21</v>
      </c>
      <c r="G4237">
        <v>5</v>
      </c>
      <c r="H4237">
        <v>64342</v>
      </c>
      <c r="I4237">
        <v>2117</v>
      </c>
      <c r="J4237" t="s">
        <v>27</v>
      </c>
      <c r="K4237" t="str">
        <f>_xlfn.XLOOKUP(datos_ventas[[#This Row],[Ciudad]],Tabla2[Ciudades],Tabla2[Provincias],"no se encuentra")</f>
        <v>Sevilla</v>
      </c>
      <c r="L4237" t="str">
        <f>_xlfn.XLOOKUP(datos_ventas[[#This Row],[Provincia]],Tabla2[Provincias],Tabla2[Comunidades],"no se encuentra")</f>
        <v>Andalucía</v>
      </c>
      <c r="M4237" t="s">
        <v>19</v>
      </c>
      <c r="N4237">
        <v>3</v>
      </c>
    </row>
    <row r="4238" spans="1:14" x14ac:dyDescent="0.25">
      <c r="A4238">
        <v>5237</v>
      </c>
      <c r="B4238" s="1">
        <v>45769</v>
      </c>
      <c r="C4238" s="4">
        <f>MONTH(datos_ventas[[#This Row],[Fecha]])</f>
        <v>4</v>
      </c>
      <c r="D4238" s="4">
        <f>WEEKNUM(datos_ventas[[#This Row],[Fecha]],2)</f>
        <v>17</v>
      </c>
      <c r="E4238" t="s">
        <v>20</v>
      </c>
      <c r="F4238" t="s">
        <v>21</v>
      </c>
      <c r="G4238">
        <v>1</v>
      </c>
      <c r="H4238">
        <v>37059</v>
      </c>
      <c r="I4238">
        <v>2958</v>
      </c>
      <c r="J4238" t="s">
        <v>27</v>
      </c>
      <c r="K4238" t="str">
        <f>_xlfn.XLOOKUP(datos_ventas[[#This Row],[Ciudad]],Tabla2[Ciudades],Tabla2[Provincias],"no se encuentra")</f>
        <v>Sevilla</v>
      </c>
      <c r="L4238" t="str">
        <f>_xlfn.XLOOKUP(datos_ventas[[#This Row],[Provincia]],Tabla2[Provincias],Tabla2[Comunidades],"no se encuentra")</f>
        <v>Andalucía</v>
      </c>
      <c r="M4238" t="s">
        <v>13</v>
      </c>
      <c r="N4238">
        <v>4</v>
      </c>
    </row>
    <row r="4239" spans="1:14" x14ac:dyDescent="0.25">
      <c r="A4239">
        <v>5238</v>
      </c>
      <c r="B4239" s="1">
        <v>45970</v>
      </c>
      <c r="C4239" s="4">
        <f>MONTH(datos_ventas[[#This Row],[Fecha]])</f>
        <v>11</v>
      </c>
      <c r="D4239" s="4">
        <f>WEEKNUM(datos_ventas[[#This Row],[Fecha]],2)</f>
        <v>45</v>
      </c>
      <c r="E4239" t="s">
        <v>20</v>
      </c>
      <c r="F4239" t="s">
        <v>21</v>
      </c>
      <c r="G4239">
        <v>5</v>
      </c>
      <c r="H4239">
        <v>63188</v>
      </c>
      <c r="I4239">
        <v>4331</v>
      </c>
      <c r="J4239" t="s">
        <v>14</v>
      </c>
      <c r="K4239" t="str">
        <f>_xlfn.XLOOKUP(datos_ventas[[#This Row],[Ciudad]],Tabla2[Ciudades],Tabla2[Provincias],"no se encuentra")</f>
        <v>Madrid</v>
      </c>
      <c r="L4239" t="str">
        <f>_xlfn.XLOOKUP(datos_ventas[[#This Row],[Provincia]],Tabla2[Provincias],Tabla2[Comunidades],"no se encuentra")</f>
        <v>Comunidad de Madrid</v>
      </c>
      <c r="M4239" t="s">
        <v>15</v>
      </c>
      <c r="N4239">
        <v>1</v>
      </c>
    </row>
    <row r="4240" spans="1:14" x14ac:dyDescent="0.25">
      <c r="A4240">
        <v>5239</v>
      </c>
      <c r="B4240" s="1">
        <v>45984</v>
      </c>
      <c r="C4240" s="4">
        <f>MONTH(datos_ventas[[#This Row],[Fecha]])</f>
        <v>11</v>
      </c>
      <c r="D4240" s="4">
        <f>WEEKNUM(datos_ventas[[#This Row],[Fecha]],2)</f>
        <v>47</v>
      </c>
      <c r="E4240" t="s">
        <v>20</v>
      </c>
      <c r="F4240" t="s">
        <v>21</v>
      </c>
      <c r="G4240">
        <v>2</v>
      </c>
      <c r="H4240">
        <v>87906</v>
      </c>
      <c r="I4240">
        <v>575</v>
      </c>
      <c r="J4240" t="s">
        <v>27</v>
      </c>
      <c r="K4240" t="str">
        <f>_xlfn.XLOOKUP(datos_ventas[[#This Row],[Ciudad]],Tabla2[Ciudades],Tabla2[Provincias],"no se encuentra")</f>
        <v>Sevilla</v>
      </c>
      <c r="L4240" t="str">
        <f>_xlfn.XLOOKUP(datos_ventas[[#This Row],[Provincia]],Tabla2[Provincias],Tabla2[Comunidades],"no se encuentra")</f>
        <v>Andalucía</v>
      </c>
      <c r="M4240" t="s">
        <v>13</v>
      </c>
      <c r="N4240">
        <v>4</v>
      </c>
    </row>
    <row r="4241" spans="1:14" x14ac:dyDescent="0.25">
      <c r="A4241">
        <v>5240</v>
      </c>
      <c r="B4241" s="1">
        <v>45977</v>
      </c>
      <c r="C4241" s="4">
        <f>MONTH(datos_ventas[[#This Row],[Fecha]])</f>
        <v>11</v>
      </c>
      <c r="D4241" s="4">
        <f>WEEKNUM(datos_ventas[[#This Row],[Fecha]],2)</f>
        <v>46</v>
      </c>
      <c r="E4241" t="s">
        <v>23</v>
      </c>
      <c r="F4241" t="s">
        <v>18</v>
      </c>
      <c r="G4241">
        <v>2</v>
      </c>
      <c r="H4241">
        <v>44072</v>
      </c>
      <c r="I4241">
        <v>390</v>
      </c>
      <c r="J4241" t="s">
        <v>27</v>
      </c>
      <c r="K4241" t="str">
        <f>_xlfn.XLOOKUP(datos_ventas[[#This Row],[Ciudad]],Tabla2[Ciudades],Tabla2[Provincias],"no se encuentra")</f>
        <v>Sevilla</v>
      </c>
      <c r="L4241" t="str">
        <f>_xlfn.XLOOKUP(datos_ventas[[#This Row],[Provincia]],Tabla2[Provincias],Tabla2[Comunidades],"no se encuentra")</f>
        <v>Andalucía</v>
      </c>
      <c r="M4241" t="s">
        <v>28</v>
      </c>
      <c r="N4241">
        <v>1</v>
      </c>
    </row>
    <row r="4242" spans="1:14" x14ac:dyDescent="0.25">
      <c r="A4242">
        <v>5241</v>
      </c>
      <c r="B4242" s="1">
        <v>45767</v>
      </c>
      <c r="C4242" s="4">
        <f>MONTH(datos_ventas[[#This Row],[Fecha]])</f>
        <v>4</v>
      </c>
      <c r="D4242" s="4">
        <f>WEEKNUM(datos_ventas[[#This Row],[Fecha]],2)</f>
        <v>16</v>
      </c>
      <c r="E4242" t="s">
        <v>23</v>
      </c>
      <c r="F4242" t="s">
        <v>18</v>
      </c>
      <c r="G4242">
        <v>1</v>
      </c>
      <c r="H4242">
        <v>21899</v>
      </c>
      <c r="I4242">
        <v>3834</v>
      </c>
      <c r="J4242" t="s">
        <v>27</v>
      </c>
      <c r="K4242" t="str">
        <f>_xlfn.XLOOKUP(datos_ventas[[#This Row],[Ciudad]],Tabla2[Ciudades],Tabla2[Provincias],"no se encuentra")</f>
        <v>Sevilla</v>
      </c>
      <c r="L4242" t="str">
        <f>_xlfn.XLOOKUP(datos_ventas[[#This Row],[Provincia]],Tabla2[Provincias],Tabla2[Comunidades],"no se encuentra")</f>
        <v>Andalucía</v>
      </c>
      <c r="M4242" t="s">
        <v>13</v>
      </c>
      <c r="N4242">
        <v>1</v>
      </c>
    </row>
    <row r="4243" spans="1:14" x14ac:dyDescent="0.25">
      <c r="A4243">
        <v>5242</v>
      </c>
      <c r="B4243" s="1">
        <v>46010</v>
      </c>
      <c r="C4243" s="4">
        <f>MONTH(datos_ventas[[#This Row],[Fecha]])</f>
        <v>12</v>
      </c>
      <c r="D4243" s="4">
        <f>WEEKNUM(datos_ventas[[#This Row],[Fecha]],2)</f>
        <v>51</v>
      </c>
      <c r="E4243" t="s">
        <v>20</v>
      </c>
      <c r="F4243" t="s">
        <v>21</v>
      </c>
      <c r="G4243">
        <v>3</v>
      </c>
      <c r="H4243">
        <v>71799</v>
      </c>
      <c r="I4243">
        <v>2006</v>
      </c>
      <c r="J4243" t="s">
        <v>14</v>
      </c>
      <c r="K4243" t="str">
        <f>_xlfn.XLOOKUP(datos_ventas[[#This Row],[Ciudad]],Tabla2[Ciudades],Tabla2[Provincias],"no se encuentra")</f>
        <v>Madrid</v>
      </c>
      <c r="L4243" t="str">
        <f>_xlfn.XLOOKUP(datos_ventas[[#This Row],[Provincia]],Tabla2[Provincias],Tabla2[Comunidades],"no se encuentra")</f>
        <v>Comunidad de Madrid</v>
      </c>
      <c r="M4243" t="s">
        <v>15</v>
      </c>
      <c r="N4243">
        <v>1</v>
      </c>
    </row>
    <row r="4244" spans="1:14" x14ac:dyDescent="0.25">
      <c r="A4244">
        <v>5243</v>
      </c>
      <c r="B4244" s="1">
        <v>45672</v>
      </c>
      <c r="C4244" s="4">
        <f>MONTH(datos_ventas[[#This Row],[Fecha]])</f>
        <v>1</v>
      </c>
      <c r="D4244" s="4">
        <f>WEEKNUM(datos_ventas[[#This Row],[Fecha]],2)</f>
        <v>3</v>
      </c>
      <c r="E4244" t="s">
        <v>29</v>
      </c>
      <c r="F4244" t="s">
        <v>30</v>
      </c>
      <c r="G4244">
        <v>1</v>
      </c>
      <c r="H4244">
        <v>18217</v>
      </c>
      <c r="I4244">
        <v>972</v>
      </c>
      <c r="J4244" t="s">
        <v>12</v>
      </c>
      <c r="K4244" t="str">
        <f>_xlfn.XLOOKUP(datos_ventas[[#This Row],[Ciudad]],Tabla2[Ciudades],Tabla2[Provincias],"no se encuentra")</f>
        <v>Málaga</v>
      </c>
      <c r="L4244" t="str">
        <f>_xlfn.XLOOKUP(datos_ventas[[#This Row],[Provincia]],Tabla2[Provincias],Tabla2[Comunidades],"no se encuentra")</f>
        <v>Andalucía</v>
      </c>
      <c r="M4244" t="s">
        <v>19</v>
      </c>
      <c r="N4244">
        <v>4</v>
      </c>
    </row>
    <row r="4245" spans="1:14" x14ac:dyDescent="0.25">
      <c r="A4245">
        <v>5244</v>
      </c>
      <c r="B4245" s="1">
        <v>45737</v>
      </c>
      <c r="C4245" s="4">
        <f>MONTH(datos_ventas[[#This Row],[Fecha]])</f>
        <v>3</v>
      </c>
      <c r="D4245" s="4">
        <f>WEEKNUM(datos_ventas[[#This Row],[Fecha]],2)</f>
        <v>12</v>
      </c>
      <c r="E4245" t="s">
        <v>10</v>
      </c>
      <c r="F4245" t="s">
        <v>11</v>
      </c>
      <c r="G4245">
        <v>3</v>
      </c>
      <c r="H4245">
        <v>55041</v>
      </c>
      <c r="I4245">
        <v>947</v>
      </c>
      <c r="J4245" t="s">
        <v>32</v>
      </c>
      <c r="K4245" t="str">
        <f>_xlfn.XLOOKUP(datos_ventas[[#This Row],[Ciudad]],Tabla2[Ciudades],Tabla2[Provincias],"no se encuentra")</f>
        <v>Barcelona</v>
      </c>
      <c r="L4245" t="str">
        <f>_xlfn.XLOOKUP(datos_ventas[[#This Row],[Provincia]],Tabla2[Provincias],Tabla2[Comunidades],"no se encuentra")</f>
        <v>Cataluña</v>
      </c>
      <c r="M4245" t="s">
        <v>15</v>
      </c>
      <c r="N4245">
        <v>4</v>
      </c>
    </row>
    <row r="4246" spans="1:14" x14ac:dyDescent="0.25">
      <c r="A4246">
        <v>5245</v>
      </c>
      <c r="B4246" s="1">
        <v>45971</v>
      </c>
      <c r="C4246" s="4">
        <f>MONTH(datos_ventas[[#This Row],[Fecha]])</f>
        <v>11</v>
      </c>
      <c r="D4246" s="4">
        <f>WEEKNUM(datos_ventas[[#This Row],[Fecha]],2)</f>
        <v>46</v>
      </c>
      <c r="E4246" t="s">
        <v>10</v>
      </c>
      <c r="F4246" t="s">
        <v>11</v>
      </c>
      <c r="G4246">
        <v>1</v>
      </c>
      <c r="H4246">
        <v>22071</v>
      </c>
      <c r="I4246">
        <v>3227</v>
      </c>
      <c r="J4246" t="s">
        <v>12</v>
      </c>
      <c r="K4246" t="str">
        <f>_xlfn.XLOOKUP(datos_ventas[[#This Row],[Ciudad]],Tabla2[Ciudades],Tabla2[Provincias],"no se encuentra")</f>
        <v>Málaga</v>
      </c>
      <c r="L4246" t="str">
        <f>_xlfn.XLOOKUP(datos_ventas[[#This Row],[Provincia]],Tabla2[Provincias],Tabla2[Comunidades],"no se encuentra")</f>
        <v>Andalucía</v>
      </c>
      <c r="M4246" t="s">
        <v>15</v>
      </c>
      <c r="N4246">
        <v>1</v>
      </c>
    </row>
    <row r="4247" spans="1:14" x14ac:dyDescent="0.25">
      <c r="A4247">
        <v>5246</v>
      </c>
      <c r="B4247" s="1">
        <v>45925</v>
      </c>
      <c r="C4247" s="4">
        <f>MONTH(datos_ventas[[#This Row],[Fecha]])</f>
        <v>9</v>
      </c>
      <c r="D4247" s="4">
        <f>WEEKNUM(datos_ventas[[#This Row],[Fecha]],2)</f>
        <v>39</v>
      </c>
      <c r="E4247" t="s">
        <v>20</v>
      </c>
      <c r="F4247" t="s">
        <v>21</v>
      </c>
      <c r="G4247">
        <v>4</v>
      </c>
      <c r="H4247">
        <v>51866</v>
      </c>
      <c r="I4247">
        <v>766</v>
      </c>
      <c r="J4247" t="s">
        <v>14</v>
      </c>
      <c r="K4247" t="str">
        <f>_xlfn.XLOOKUP(datos_ventas[[#This Row],[Ciudad]],Tabla2[Ciudades],Tabla2[Provincias],"no se encuentra")</f>
        <v>Madrid</v>
      </c>
      <c r="L4247" t="str">
        <f>_xlfn.XLOOKUP(datos_ventas[[#This Row],[Provincia]],Tabla2[Provincias],Tabla2[Comunidades],"no se encuentra")</f>
        <v>Comunidad de Madrid</v>
      </c>
      <c r="M4247" t="s">
        <v>13</v>
      </c>
      <c r="N4247">
        <v>2</v>
      </c>
    </row>
    <row r="4248" spans="1:14" x14ac:dyDescent="0.25">
      <c r="A4248">
        <v>5247</v>
      </c>
      <c r="B4248" s="1">
        <v>45963</v>
      </c>
      <c r="C4248" s="4">
        <f>MONTH(datos_ventas[[#This Row],[Fecha]])</f>
        <v>11</v>
      </c>
      <c r="D4248" s="4">
        <f>WEEKNUM(datos_ventas[[#This Row],[Fecha]],2)</f>
        <v>44</v>
      </c>
      <c r="E4248" t="s">
        <v>23</v>
      </c>
      <c r="F4248" t="s">
        <v>18</v>
      </c>
      <c r="G4248">
        <v>5</v>
      </c>
      <c r="H4248">
        <v>46166</v>
      </c>
      <c r="I4248">
        <v>3561</v>
      </c>
      <c r="J4248" t="s">
        <v>32</v>
      </c>
      <c r="K4248" t="str">
        <f>_xlfn.XLOOKUP(datos_ventas[[#This Row],[Ciudad]],Tabla2[Ciudades],Tabla2[Provincias],"no se encuentra")</f>
        <v>Barcelona</v>
      </c>
      <c r="L4248" t="str">
        <f>_xlfn.XLOOKUP(datos_ventas[[#This Row],[Provincia]],Tabla2[Provincias],Tabla2[Comunidades],"no se encuentra")</f>
        <v>Cataluña</v>
      </c>
      <c r="M4248" t="s">
        <v>28</v>
      </c>
      <c r="N4248">
        <v>2</v>
      </c>
    </row>
    <row r="4249" spans="1:14" x14ac:dyDescent="0.25">
      <c r="A4249">
        <v>5248</v>
      </c>
      <c r="B4249" s="1">
        <v>45852</v>
      </c>
      <c r="C4249" s="4">
        <f>MONTH(datos_ventas[[#This Row],[Fecha]])</f>
        <v>7</v>
      </c>
      <c r="D4249" s="4">
        <f>WEEKNUM(datos_ventas[[#This Row],[Fecha]],2)</f>
        <v>29</v>
      </c>
      <c r="E4249" t="s">
        <v>24</v>
      </c>
      <c r="F4249" t="s">
        <v>25</v>
      </c>
      <c r="G4249">
        <v>5</v>
      </c>
      <c r="H4249">
        <v>108421</v>
      </c>
      <c r="I4249">
        <v>3009</v>
      </c>
      <c r="J4249" t="s">
        <v>22</v>
      </c>
      <c r="K4249" t="str">
        <f>_xlfn.XLOOKUP(datos_ventas[[#This Row],[Ciudad]],Tabla2[Ciudades],Tabla2[Provincias],"no se encuentra")</f>
        <v>Valencia</v>
      </c>
      <c r="L4249" t="str">
        <f>_xlfn.XLOOKUP(datos_ventas[[#This Row],[Provincia]],Tabla2[Provincias],Tabla2[Comunidades],"no se encuentra")</f>
        <v>Comunidad Valenciana</v>
      </c>
      <c r="M4249" t="s">
        <v>19</v>
      </c>
      <c r="N4249">
        <v>2</v>
      </c>
    </row>
    <row r="4250" spans="1:14" x14ac:dyDescent="0.25">
      <c r="A4250">
        <v>5249</v>
      </c>
      <c r="B4250" s="1">
        <v>45958</v>
      </c>
      <c r="C4250" s="4">
        <f>MONTH(datos_ventas[[#This Row],[Fecha]])</f>
        <v>10</v>
      </c>
      <c r="D4250" s="4">
        <f>WEEKNUM(datos_ventas[[#This Row],[Fecha]],2)</f>
        <v>44</v>
      </c>
      <c r="E4250" t="s">
        <v>20</v>
      </c>
      <c r="F4250" t="s">
        <v>21</v>
      </c>
      <c r="G4250">
        <v>4</v>
      </c>
      <c r="H4250">
        <v>3422</v>
      </c>
      <c r="I4250">
        <v>1127</v>
      </c>
      <c r="J4250" t="s">
        <v>27</v>
      </c>
      <c r="K4250" t="str">
        <f>_xlfn.XLOOKUP(datos_ventas[[#This Row],[Ciudad]],Tabla2[Ciudades],Tabla2[Provincias],"no se encuentra")</f>
        <v>Sevilla</v>
      </c>
      <c r="L4250" t="str">
        <f>_xlfn.XLOOKUP(datos_ventas[[#This Row],[Provincia]],Tabla2[Provincias],Tabla2[Comunidades],"no se encuentra")</f>
        <v>Andalucía</v>
      </c>
      <c r="M4250" t="s">
        <v>19</v>
      </c>
      <c r="N4250">
        <v>3</v>
      </c>
    </row>
    <row r="4251" spans="1:14" x14ac:dyDescent="0.25">
      <c r="A4251">
        <v>5250</v>
      </c>
      <c r="B4251" s="1">
        <v>45871</v>
      </c>
      <c r="C4251" s="4">
        <f>MONTH(datos_ventas[[#This Row],[Fecha]])</f>
        <v>8</v>
      </c>
      <c r="D4251" s="4">
        <f>WEEKNUM(datos_ventas[[#This Row],[Fecha]],2)</f>
        <v>31</v>
      </c>
      <c r="E4251" t="s">
        <v>23</v>
      </c>
      <c r="F4251" t="s">
        <v>18</v>
      </c>
      <c r="G4251">
        <v>1</v>
      </c>
      <c r="H4251">
        <v>31288</v>
      </c>
      <c r="I4251">
        <v>1106</v>
      </c>
      <c r="J4251" t="s">
        <v>14</v>
      </c>
      <c r="K4251" t="str">
        <f>_xlfn.XLOOKUP(datos_ventas[[#This Row],[Ciudad]],Tabla2[Ciudades],Tabla2[Provincias],"no se encuentra")</f>
        <v>Madrid</v>
      </c>
      <c r="L4251" t="str">
        <f>_xlfn.XLOOKUP(datos_ventas[[#This Row],[Provincia]],Tabla2[Provincias],Tabla2[Comunidades],"no se encuentra")</f>
        <v>Comunidad de Madrid</v>
      </c>
      <c r="M4251" t="s">
        <v>13</v>
      </c>
      <c r="N4251">
        <v>2</v>
      </c>
    </row>
    <row r="4252" spans="1:14" x14ac:dyDescent="0.25">
      <c r="A4252">
        <v>5251</v>
      </c>
      <c r="B4252" s="1">
        <v>45749</v>
      </c>
      <c r="C4252" s="4">
        <f>MONTH(datos_ventas[[#This Row],[Fecha]])</f>
        <v>4</v>
      </c>
      <c r="D4252" s="4">
        <f>WEEKNUM(datos_ventas[[#This Row],[Fecha]],2)</f>
        <v>14</v>
      </c>
      <c r="E4252" t="s">
        <v>10</v>
      </c>
      <c r="F4252" t="s">
        <v>11</v>
      </c>
      <c r="G4252">
        <v>3</v>
      </c>
      <c r="H4252">
        <v>59456</v>
      </c>
      <c r="I4252">
        <v>4312</v>
      </c>
      <c r="J4252" t="s">
        <v>32</v>
      </c>
      <c r="K4252" t="str">
        <f>_xlfn.XLOOKUP(datos_ventas[[#This Row],[Ciudad]],Tabla2[Ciudades],Tabla2[Provincias],"no se encuentra")</f>
        <v>Barcelona</v>
      </c>
      <c r="L4252" t="str">
        <f>_xlfn.XLOOKUP(datos_ventas[[#This Row],[Provincia]],Tabla2[Provincias],Tabla2[Comunidades],"no se encuentra")</f>
        <v>Cataluña</v>
      </c>
      <c r="M4252" t="s">
        <v>19</v>
      </c>
      <c r="N4252">
        <v>5</v>
      </c>
    </row>
    <row r="4253" spans="1:14" x14ac:dyDescent="0.25">
      <c r="A4253">
        <v>5252</v>
      </c>
      <c r="B4253" s="1">
        <v>45728</v>
      </c>
      <c r="C4253" s="4">
        <f>MONTH(datos_ventas[[#This Row],[Fecha]])</f>
        <v>3</v>
      </c>
      <c r="D4253" s="4">
        <f>WEEKNUM(datos_ventas[[#This Row],[Fecha]],2)</f>
        <v>11</v>
      </c>
      <c r="E4253" t="s">
        <v>29</v>
      </c>
      <c r="F4253" t="s">
        <v>30</v>
      </c>
      <c r="G4253">
        <v>2</v>
      </c>
      <c r="H4253">
        <v>66742</v>
      </c>
      <c r="I4253">
        <v>3736</v>
      </c>
      <c r="J4253" t="s">
        <v>12</v>
      </c>
      <c r="K4253" t="str">
        <f>_xlfn.XLOOKUP(datos_ventas[[#This Row],[Ciudad]],Tabla2[Ciudades],Tabla2[Provincias],"no se encuentra")</f>
        <v>Málaga</v>
      </c>
      <c r="L4253" t="str">
        <f>_xlfn.XLOOKUP(datos_ventas[[#This Row],[Provincia]],Tabla2[Provincias],Tabla2[Comunidades],"no se encuentra")</f>
        <v>Andalucía</v>
      </c>
      <c r="M4253" t="s">
        <v>28</v>
      </c>
      <c r="N4253">
        <v>1</v>
      </c>
    </row>
    <row r="4254" spans="1:14" x14ac:dyDescent="0.25">
      <c r="A4254">
        <v>5253</v>
      </c>
      <c r="B4254" s="1">
        <v>45709</v>
      </c>
      <c r="C4254" s="4">
        <f>MONTH(datos_ventas[[#This Row],[Fecha]])</f>
        <v>2</v>
      </c>
      <c r="D4254" s="4">
        <f>WEEKNUM(datos_ventas[[#This Row],[Fecha]],2)</f>
        <v>8</v>
      </c>
      <c r="E4254" t="s">
        <v>24</v>
      </c>
      <c r="F4254" t="s">
        <v>25</v>
      </c>
      <c r="G4254">
        <v>1</v>
      </c>
      <c r="H4254">
        <v>107707</v>
      </c>
      <c r="I4254">
        <v>3879</v>
      </c>
      <c r="J4254" t="s">
        <v>31</v>
      </c>
      <c r="K4254" t="str">
        <f>_xlfn.XLOOKUP(datos_ventas[[#This Row],[Ciudad]],Tabla2[Ciudades],Tabla2[Provincias],"no se encuentra")</f>
        <v>Vizcaya</v>
      </c>
      <c r="L4254" t="str">
        <f>_xlfn.XLOOKUP(datos_ventas[[#This Row],[Provincia]],Tabla2[Provincias],Tabla2[Comunidades],"no se encuentra")</f>
        <v>País Vasco</v>
      </c>
      <c r="M4254" t="s">
        <v>15</v>
      </c>
      <c r="N4254">
        <v>4</v>
      </c>
    </row>
    <row r="4255" spans="1:14" x14ac:dyDescent="0.25">
      <c r="A4255">
        <v>5254</v>
      </c>
      <c r="B4255" s="1">
        <v>45744</v>
      </c>
      <c r="C4255" s="4">
        <f>MONTH(datos_ventas[[#This Row],[Fecha]])</f>
        <v>3</v>
      </c>
      <c r="D4255" s="4">
        <f>WEEKNUM(datos_ventas[[#This Row],[Fecha]],2)</f>
        <v>13</v>
      </c>
      <c r="E4255" t="s">
        <v>23</v>
      </c>
      <c r="F4255" t="s">
        <v>18</v>
      </c>
      <c r="G4255">
        <v>5</v>
      </c>
      <c r="H4255">
        <v>29149</v>
      </c>
      <c r="I4255">
        <v>3471</v>
      </c>
      <c r="J4255" t="s">
        <v>22</v>
      </c>
      <c r="K4255" t="str">
        <f>_xlfn.XLOOKUP(datos_ventas[[#This Row],[Ciudad]],Tabla2[Ciudades],Tabla2[Provincias],"no se encuentra")</f>
        <v>Valencia</v>
      </c>
      <c r="L4255" t="str">
        <f>_xlfn.XLOOKUP(datos_ventas[[#This Row],[Provincia]],Tabla2[Provincias],Tabla2[Comunidades],"no se encuentra")</f>
        <v>Comunidad Valenciana</v>
      </c>
      <c r="M4255" t="s">
        <v>28</v>
      </c>
      <c r="N4255">
        <v>2</v>
      </c>
    </row>
    <row r="4256" spans="1:14" x14ac:dyDescent="0.25">
      <c r="A4256">
        <v>5255</v>
      </c>
      <c r="B4256" s="1">
        <v>45815</v>
      </c>
      <c r="C4256" s="4">
        <f>MONTH(datos_ventas[[#This Row],[Fecha]])</f>
        <v>6</v>
      </c>
      <c r="D4256" s="4">
        <f>WEEKNUM(datos_ventas[[#This Row],[Fecha]],2)</f>
        <v>23</v>
      </c>
      <c r="E4256" t="s">
        <v>24</v>
      </c>
      <c r="F4256" t="s">
        <v>25</v>
      </c>
      <c r="G4256">
        <v>4</v>
      </c>
      <c r="H4256">
        <v>70812</v>
      </c>
      <c r="I4256">
        <v>1571</v>
      </c>
      <c r="J4256" t="s">
        <v>12</v>
      </c>
      <c r="K4256" t="str">
        <f>_xlfn.XLOOKUP(datos_ventas[[#This Row],[Ciudad]],Tabla2[Ciudades],Tabla2[Provincias],"no se encuentra")</f>
        <v>Málaga</v>
      </c>
      <c r="L4256" t="str">
        <f>_xlfn.XLOOKUP(datos_ventas[[#This Row],[Provincia]],Tabla2[Provincias],Tabla2[Comunidades],"no se encuentra")</f>
        <v>Andalucía</v>
      </c>
      <c r="M4256" t="s">
        <v>15</v>
      </c>
      <c r="N4256">
        <v>2</v>
      </c>
    </row>
    <row r="4257" spans="1:14" x14ac:dyDescent="0.25">
      <c r="A4257">
        <v>5256</v>
      </c>
      <c r="B4257" s="1">
        <v>45706</v>
      </c>
      <c r="C4257" s="4">
        <f>MONTH(datos_ventas[[#This Row],[Fecha]])</f>
        <v>2</v>
      </c>
      <c r="D4257" s="4">
        <f>WEEKNUM(datos_ventas[[#This Row],[Fecha]],2)</f>
        <v>8</v>
      </c>
      <c r="E4257" t="s">
        <v>23</v>
      </c>
      <c r="F4257" t="s">
        <v>18</v>
      </c>
      <c r="G4257">
        <v>5</v>
      </c>
      <c r="H4257">
        <v>61194</v>
      </c>
      <c r="I4257">
        <v>1866</v>
      </c>
      <c r="J4257" t="s">
        <v>12</v>
      </c>
      <c r="K4257" t="str">
        <f>_xlfn.XLOOKUP(datos_ventas[[#This Row],[Ciudad]],Tabla2[Ciudades],Tabla2[Provincias],"no se encuentra")</f>
        <v>Málaga</v>
      </c>
      <c r="L4257" t="str">
        <f>_xlfn.XLOOKUP(datos_ventas[[#This Row],[Provincia]],Tabla2[Provincias],Tabla2[Comunidades],"no se encuentra")</f>
        <v>Andalucía</v>
      </c>
      <c r="M4257" t="s">
        <v>19</v>
      </c>
      <c r="N4257">
        <v>3</v>
      </c>
    </row>
    <row r="4258" spans="1:14" x14ac:dyDescent="0.25">
      <c r="A4258">
        <v>5257</v>
      </c>
      <c r="B4258" s="1">
        <v>45823</v>
      </c>
      <c r="C4258" s="4">
        <f>MONTH(datos_ventas[[#This Row],[Fecha]])</f>
        <v>6</v>
      </c>
      <c r="D4258" s="4">
        <f>WEEKNUM(datos_ventas[[#This Row],[Fecha]],2)</f>
        <v>24</v>
      </c>
      <c r="E4258" t="s">
        <v>26</v>
      </c>
      <c r="F4258" t="s">
        <v>18</v>
      </c>
      <c r="G4258">
        <v>1</v>
      </c>
      <c r="H4258">
        <v>28947</v>
      </c>
      <c r="I4258">
        <v>378</v>
      </c>
      <c r="J4258" t="s">
        <v>12</v>
      </c>
      <c r="K4258" t="str">
        <f>_xlfn.XLOOKUP(datos_ventas[[#This Row],[Ciudad]],Tabla2[Ciudades],Tabla2[Provincias],"no se encuentra")</f>
        <v>Málaga</v>
      </c>
      <c r="L4258" t="str">
        <f>_xlfn.XLOOKUP(datos_ventas[[#This Row],[Provincia]],Tabla2[Provincias],Tabla2[Comunidades],"no se encuentra")</f>
        <v>Andalucía</v>
      </c>
      <c r="M4258" t="s">
        <v>28</v>
      </c>
      <c r="N4258">
        <v>5</v>
      </c>
    </row>
    <row r="4259" spans="1:14" x14ac:dyDescent="0.25">
      <c r="A4259">
        <v>5258</v>
      </c>
      <c r="B4259" s="1">
        <v>45793</v>
      </c>
      <c r="C4259" s="4">
        <f>MONTH(datos_ventas[[#This Row],[Fecha]])</f>
        <v>5</v>
      </c>
      <c r="D4259" s="4">
        <f>WEEKNUM(datos_ventas[[#This Row],[Fecha]],2)</f>
        <v>20</v>
      </c>
      <c r="E4259" t="s">
        <v>24</v>
      </c>
      <c r="F4259" t="s">
        <v>25</v>
      </c>
      <c r="G4259">
        <v>2</v>
      </c>
      <c r="H4259">
        <v>3376</v>
      </c>
      <c r="I4259">
        <v>3547</v>
      </c>
      <c r="J4259" t="s">
        <v>32</v>
      </c>
      <c r="K4259" t="str">
        <f>_xlfn.XLOOKUP(datos_ventas[[#This Row],[Ciudad]],Tabla2[Ciudades],Tabla2[Provincias],"no se encuentra")</f>
        <v>Barcelona</v>
      </c>
      <c r="L4259" t="str">
        <f>_xlfn.XLOOKUP(datos_ventas[[#This Row],[Provincia]],Tabla2[Provincias],Tabla2[Comunidades],"no se encuentra")</f>
        <v>Cataluña</v>
      </c>
      <c r="M4259" t="s">
        <v>28</v>
      </c>
      <c r="N4259">
        <v>4</v>
      </c>
    </row>
    <row r="4260" spans="1:14" x14ac:dyDescent="0.25">
      <c r="A4260">
        <v>5259</v>
      </c>
      <c r="B4260" s="1">
        <v>45825</v>
      </c>
      <c r="C4260" s="4">
        <f>MONTH(datos_ventas[[#This Row],[Fecha]])</f>
        <v>6</v>
      </c>
      <c r="D4260" s="4">
        <f>WEEKNUM(datos_ventas[[#This Row],[Fecha]],2)</f>
        <v>25</v>
      </c>
      <c r="E4260" t="s">
        <v>10</v>
      </c>
      <c r="F4260" t="s">
        <v>11</v>
      </c>
      <c r="G4260">
        <v>2</v>
      </c>
      <c r="H4260">
        <v>110349</v>
      </c>
      <c r="I4260">
        <v>2783</v>
      </c>
      <c r="J4260" t="s">
        <v>22</v>
      </c>
      <c r="K4260" t="str">
        <f>_xlfn.XLOOKUP(datos_ventas[[#This Row],[Ciudad]],Tabla2[Ciudades],Tabla2[Provincias],"no se encuentra")</f>
        <v>Valencia</v>
      </c>
      <c r="L4260" t="str">
        <f>_xlfn.XLOOKUP(datos_ventas[[#This Row],[Provincia]],Tabla2[Provincias],Tabla2[Comunidades],"no se encuentra")</f>
        <v>Comunidad Valenciana</v>
      </c>
      <c r="M4260" t="s">
        <v>28</v>
      </c>
      <c r="N4260">
        <v>3</v>
      </c>
    </row>
    <row r="4261" spans="1:14" x14ac:dyDescent="0.25">
      <c r="A4261">
        <v>5260</v>
      </c>
      <c r="B4261" s="1">
        <v>45665</v>
      </c>
      <c r="C4261" s="4">
        <f>MONTH(datos_ventas[[#This Row],[Fecha]])</f>
        <v>1</v>
      </c>
      <c r="D4261" s="4">
        <f>WEEKNUM(datos_ventas[[#This Row],[Fecha]],2)</f>
        <v>2</v>
      </c>
      <c r="E4261" t="s">
        <v>23</v>
      </c>
      <c r="F4261" t="s">
        <v>18</v>
      </c>
      <c r="G4261">
        <v>3</v>
      </c>
      <c r="H4261">
        <v>16533</v>
      </c>
      <c r="I4261">
        <v>469</v>
      </c>
      <c r="J4261" t="s">
        <v>31</v>
      </c>
      <c r="K4261" t="str">
        <f>_xlfn.XLOOKUP(datos_ventas[[#This Row],[Ciudad]],Tabla2[Ciudades],Tabla2[Provincias],"no se encuentra")</f>
        <v>Vizcaya</v>
      </c>
      <c r="L4261" t="str">
        <f>_xlfn.XLOOKUP(datos_ventas[[#This Row],[Provincia]],Tabla2[Provincias],Tabla2[Comunidades],"no se encuentra")</f>
        <v>País Vasco</v>
      </c>
      <c r="M4261" t="s">
        <v>28</v>
      </c>
      <c r="N4261">
        <v>4</v>
      </c>
    </row>
    <row r="4262" spans="1:14" x14ac:dyDescent="0.25">
      <c r="A4262">
        <v>5261</v>
      </c>
      <c r="B4262" s="1">
        <v>45855</v>
      </c>
      <c r="C4262" s="4">
        <f>MONTH(datos_ventas[[#This Row],[Fecha]])</f>
        <v>7</v>
      </c>
      <c r="D4262" s="4">
        <f>WEEKNUM(datos_ventas[[#This Row],[Fecha]],2)</f>
        <v>29</v>
      </c>
      <c r="E4262" t="s">
        <v>24</v>
      </c>
      <c r="F4262" t="s">
        <v>25</v>
      </c>
      <c r="G4262">
        <v>1</v>
      </c>
      <c r="H4262">
        <v>6356</v>
      </c>
      <c r="I4262">
        <v>4214</v>
      </c>
      <c r="J4262" t="s">
        <v>22</v>
      </c>
      <c r="K4262" t="str">
        <f>_xlfn.XLOOKUP(datos_ventas[[#This Row],[Ciudad]],Tabla2[Ciudades],Tabla2[Provincias],"no se encuentra")</f>
        <v>Valencia</v>
      </c>
      <c r="L4262" t="str">
        <f>_xlfn.XLOOKUP(datos_ventas[[#This Row],[Provincia]],Tabla2[Provincias],Tabla2[Comunidades],"no se encuentra")</f>
        <v>Comunidad Valenciana</v>
      </c>
      <c r="M4262" t="s">
        <v>13</v>
      </c>
      <c r="N4262">
        <v>3</v>
      </c>
    </row>
    <row r="4263" spans="1:14" x14ac:dyDescent="0.25">
      <c r="A4263">
        <v>5262</v>
      </c>
      <c r="B4263" s="1">
        <v>46022</v>
      </c>
      <c r="C4263" s="4">
        <f>MONTH(datos_ventas[[#This Row],[Fecha]])</f>
        <v>12</v>
      </c>
      <c r="D4263" s="4">
        <f>WEEKNUM(datos_ventas[[#This Row],[Fecha]],2)</f>
        <v>53</v>
      </c>
      <c r="E4263" t="s">
        <v>29</v>
      </c>
      <c r="F4263" t="s">
        <v>30</v>
      </c>
      <c r="G4263">
        <v>1</v>
      </c>
      <c r="H4263">
        <v>58771</v>
      </c>
      <c r="I4263">
        <v>1416</v>
      </c>
      <c r="J4263" t="s">
        <v>27</v>
      </c>
      <c r="K4263" t="str">
        <f>_xlfn.XLOOKUP(datos_ventas[[#This Row],[Ciudad]],Tabla2[Ciudades],Tabla2[Provincias],"no se encuentra")</f>
        <v>Sevilla</v>
      </c>
      <c r="L4263" t="str">
        <f>_xlfn.XLOOKUP(datos_ventas[[#This Row],[Provincia]],Tabla2[Provincias],Tabla2[Comunidades],"no se encuentra")</f>
        <v>Andalucía</v>
      </c>
      <c r="M4263" t="s">
        <v>13</v>
      </c>
      <c r="N4263">
        <v>1</v>
      </c>
    </row>
    <row r="4264" spans="1:14" x14ac:dyDescent="0.25">
      <c r="A4264">
        <v>5263</v>
      </c>
      <c r="B4264" s="1">
        <v>45902</v>
      </c>
      <c r="C4264" s="4">
        <f>MONTH(datos_ventas[[#This Row],[Fecha]])</f>
        <v>9</v>
      </c>
      <c r="D4264" s="4">
        <f>WEEKNUM(datos_ventas[[#This Row],[Fecha]],2)</f>
        <v>36</v>
      </c>
      <c r="E4264" t="s">
        <v>16</v>
      </c>
      <c r="F4264" t="s">
        <v>11</v>
      </c>
      <c r="G4264">
        <v>4</v>
      </c>
      <c r="H4264">
        <v>10319</v>
      </c>
      <c r="I4264">
        <v>1679</v>
      </c>
      <c r="J4264" t="s">
        <v>14</v>
      </c>
      <c r="K4264" t="str">
        <f>_xlfn.XLOOKUP(datos_ventas[[#This Row],[Ciudad]],Tabla2[Ciudades],Tabla2[Provincias],"no se encuentra")</f>
        <v>Madrid</v>
      </c>
      <c r="L4264" t="str">
        <f>_xlfn.XLOOKUP(datos_ventas[[#This Row],[Provincia]],Tabla2[Provincias],Tabla2[Comunidades],"no se encuentra")</f>
        <v>Comunidad de Madrid</v>
      </c>
      <c r="M4264" t="s">
        <v>19</v>
      </c>
      <c r="N4264">
        <v>5</v>
      </c>
    </row>
    <row r="4265" spans="1:14" x14ac:dyDescent="0.25">
      <c r="A4265">
        <v>5264</v>
      </c>
      <c r="B4265" s="1">
        <v>45943</v>
      </c>
      <c r="C4265" s="4">
        <f>MONTH(datos_ventas[[#This Row],[Fecha]])</f>
        <v>10</v>
      </c>
      <c r="D4265" s="4">
        <f>WEEKNUM(datos_ventas[[#This Row],[Fecha]],2)</f>
        <v>42</v>
      </c>
      <c r="E4265" t="s">
        <v>10</v>
      </c>
      <c r="F4265" t="s">
        <v>11</v>
      </c>
      <c r="G4265">
        <v>5</v>
      </c>
      <c r="H4265">
        <v>91147</v>
      </c>
      <c r="I4265">
        <v>1034</v>
      </c>
      <c r="J4265" t="s">
        <v>22</v>
      </c>
      <c r="K4265" t="str">
        <f>_xlfn.XLOOKUP(datos_ventas[[#This Row],[Ciudad]],Tabla2[Ciudades],Tabla2[Provincias],"no se encuentra")</f>
        <v>Valencia</v>
      </c>
      <c r="L4265" t="str">
        <f>_xlfn.XLOOKUP(datos_ventas[[#This Row],[Provincia]],Tabla2[Provincias],Tabla2[Comunidades],"no se encuentra")</f>
        <v>Comunidad Valenciana</v>
      </c>
      <c r="M4265" t="s">
        <v>15</v>
      </c>
      <c r="N4265">
        <v>5</v>
      </c>
    </row>
    <row r="4266" spans="1:14" x14ac:dyDescent="0.25">
      <c r="A4266">
        <v>5265</v>
      </c>
      <c r="B4266" s="1">
        <v>45845</v>
      </c>
      <c r="C4266" s="4">
        <f>MONTH(datos_ventas[[#This Row],[Fecha]])</f>
        <v>7</v>
      </c>
      <c r="D4266" s="4">
        <f>WEEKNUM(datos_ventas[[#This Row],[Fecha]],2)</f>
        <v>28</v>
      </c>
      <c r="E4266" t="s">
        <v>23</v>
      </c>
      <c r="F4266" t="s">
        <v>18</v>
      </c>
      <c r="G4266">
        <v>4</v>
      </c>
      <c r="H4266">
        <v>21214</v>
      </c>
      <c r="I4266">
        <v>2835</v>
      </c>
      <c r="J4266" t="s">
        <v>14</v>
      </c>
      <c r="K4266" t="str">
        <f>_xlfn.XLOOKUP(datos_ventas[[#This Row],[Ciudad]],Tabla2[Ciudades],Tabla2[Provincias],"no se encuentra")</f>
        <v>Madrid</v>
      </c>
      <c r="L4266" t="str">
        <f>_xlfn.XLOOKUP(datos_ventas[[#This Row],[Provincia]],Tabla2[Provincias],Tabla2[Comunidades],"no se encuentra")</f>
        <v>Comunidad de Madrid</v>
      </c>
      <c r="M4266" t="s">
        <v>28</v>
      </c>
      <c r="N4266">
        <v>5</v>
      </c>
    </row>
    <row r="4267" spans="1:14" x14ac:dyDescent="0.25">
      <c r="A4267">
        <v>5266</v>
      </c>
      <c r="B4267" s="1">
        <v>45782</v>
      </c>
      <c r="C4267" s="4">
        <f>MONTH(datos_ventas[[#This Row],[Fecha]])</f>
        <v>5</v>
      </c>
      <c r="D4267" s="4">
        <f>WEEKNUM(datos_ventas[[#This Row],[Fecha]],2)</f>
        <v>19</v>
      </c>
      <c r="E4267" t="s">
        <v>20</v>
      </c>
      <c r="F4267" t="s">
        <v>21</v>
      </c>
      <c r="G4267">
        <v>3</v>
      </c>
      <c r="H4267">
        <v>7314</v>
      </c>
      <c r="I4267">
        <v>4906</v>
      </c>
      <c r="J4267" t="s">
        <v>31</v>
      </c>
      <c r="K4267" t="str">
        <f>_xlfn.XLOOKUP(datos_ventas[[#This Row],[Ciudad]],Tabla2[Ciudades],Tabla2[Provincias],"no se encuentra")</f>
        <v>Vizcaya</v>
      </c>
      <c r="L4267" t="str">
        <f>_xlfn.XLOOKUP(datos_ventas[[#This Row],[Provincia]],Tabla2[Provincias],Tabla2[Comunidades],"no se encuentra")</f>
        <v>País Vasco</v>
      </c>
      <c r="M4267" t="s">
        <v>15</v>
      </c>
      <c r="N4267">
        <v>2</v>
      </c>
    </row>
    <row r="4268" spans="1:14" x14ac:dyDescent="0.25">
      <c r="A4268">
        <v>5267</v>
      </c>
      <c r="B4268" s="1">
        <v>45695</v>
      </c>
      <c r="C4268" s="4">
        <f>MONTH(datos_ventas[[#This Row],[Fecha]])</f>
        <v>2</v>
      </c>
      <c r="D4268" s="4">
        <f>WEEKNUM(datos_ventas[[#This Row],[Fecha]],2)</f>
        <v>6</v>
      </c>
      <c r="E4268" t="s">
        <v>26</v>
      </c>
      <c r="F4268" t="s">
        <v>18</v>
      </c>
      <c r="G4268">
        <v>4</v>
      </c>
      <c r="H4268">
        <v>43754</v>
      </c>
      <c r="I4268">
        <v>1893</v>
      </c>
      <c r="J4268" t="s">
        <v>32</v>
      </c>
      <c r="K4268" t="str">
        <f>_xlfn.XLOOKUP(datos_ventas[[#This Row],[Ciudad]],Tabla2[Ciudades],Tabla2[Provincias],"no se encuentra")</f>
        <v>Barcelona</v>
      </c>
      <c r="L4268" t="str">
        <f>_xlfn.XLOOKUP(datos_ventas[[#This Row],[Provincia]],Tabla2[Provincias],Tabla2[Comunidades],"no se encuentra")</f>
        <v>Cataluña</v>
      </c>
      <c r="M4268" t="s">
        <v>15</v>
      </c>
      <c r="N4268">
        <v>3</v>
      </c>
    </row>
    <row r="4269" spans="1:14" x14ac:dyDescent="0.25">
      <c r="A4269">
        <v>5268</v>
      </c>
      <c r="B4269" s="1">
        <v>45791</v>
      </c>
      <c r="C4269" s="4">
        <f>MONTH(datos_ventas[[#This Row],[Fecha]])</f>
        <v>5</v>
      </c>
      <c r="D4269" s="4">
        <f>WEEKNUM(datos_ventas[[#This Row],[Fecha]],2)</f>
        <v>20</v>
      </c>
      <c r="E4269" t="s">
        <v>17</v>
      </c>
      <c r="F4269" t="s">
        <v>18</v>
      </c>
      <c r="G4269">
        <v>3</v>
      </c>
      <c r="H4269">
        <v>10184</v>
      </c>
      <c r="I4269">
        <v>3245</v>
      </c>
      <c r="J4269" t="s">
        <v>31</v>
      </c>
      <c r="K4269" t="str">
        <f>_xlfn.XLOOKUP(datos_ventas[[#This Row],[Ciudad]],Tabla2[Ciudades],Tabla2[Provincias],"no se encuentra")</f>
        <v>Vizcaya</v>
      </c>
      <c r="L4269" t="str">
        <f>_xlfn.XLOOKUP(datos_ventas[[#This Row],[Provincia]],Tabla2[Provincias],Tabla2[Comunidades],"no se encuentra")</f>
        <v>País Vasco</v>
      </c>
      <c r="M4269" t="s">
        <v>28</v>
      </c>
      <c r="N4269">
        <v>1</v>
      </c>
    </row>
    <row r="4270" spans="1:14" x14ac:dyDescent="0.25">
      <c r="A4270">
        <v>5269</v>
      </c>
      <c r="B4270" s="1">
        <v>45983</v>
      </c>
      <c r="C4270" s="4">
        <f>MONTH(datos_ventas[[#This Row],[Fecha]])</f>
        <v>11</v>
      </c>
      <c r="D4270" s="4">
        <f>WEEKNUM(datos_ventas[[#This Row],[Fecha]],2)</f>
        <v>47</v>
      </c>
      <c r="E4270" t="s">
        <v>24</v>
      </c>
      <c r="F4270" t="s">
        <v>25</v>
      </c>
      <c r="G4270">
        <v>4</v>
      </c>
      <c r="H4270">
        <v>11108</v>
      </c>
      <c r="I4270">
        <v>3468</v>
      </c>
      <c r="J4270" t="s">
        <v>27</v>
      </c>
      <c r="K4270" t="str">
        <f>_xlfn.XLOOKUP(datos_ventas[[#This Row],[Ciudad]],Tabla2[Ciudades],Tabla2[Provincias],"no se encuentra")</f>
        <v>Sevilla</v>
      </c>
      <c r="L4270" t="str">
        <f>_xlfn.XLOOKUP(datos_ventas[[#This Row],[Provincia]],Tabla2[Provincias],Tabla2[Comunidades],"no se encuentra")</f>
        <v>Andalucía</v>
      </c>
      <c r="M4270" t="s">
        <v>15</v>
      </c>
      <c r="N4270">
        <v>3</v>
      </c>
    </row>
    <row r="4271" spans="1:14" x14ac:dyDescent="0.25">
      <c r="A4271">
        <v>5270</v>
      </c>
      <c r="B4271" s="1">
        <v>45805</v>
      </c>
      <c r="C4271" s="4">
        <f>MONTH(datos_ventas[[#This Row],[Fecha]])</f>
        <v>5</v>
      </c>
      <c r="D4271" s="4">
        <f>WEEKNUM(datos_ventas[[#This Row],[Fecha]],2)</f>
        <v>22</v>
      </c>
      <c r="E4271" t="s">
        <v>29</v>
      </c>
      <c r="F4271" t="s">
        <v>30</v>
      </c>
      <c r="G4271">
        <v>2</v>
      </c>
      <c r="H4271">
        <v>109897</v>
      </c>
      <c r="I4271">
        <v>3122</v>
      </c>
      <c r="J4271" t="s">
        <v>22</v>
      </c>
      <c r="K4271" t="str">
        <f>_xlfn.XLOOKUP(datos_ventas[[#This Row],[Ciudad]],Tabla2[Ciudades],Tabla2[Provincias],"no se encuentra")</f>
        <v>Valencia</v>
      </c>
      <c r="L4271" t="str">
        <f>_xlfn.XLOOKUP(datos_ventas[[#This Row],[Provincia]],Tabla2[Provincias],Tabla2[Comunidades],"no se encuentra")</f>
        <v>Comunidad Valenciana</v>
      </c>
      <c r="M4271" t="s">
        <v>28</v>
      </c>
      <c r="N4271">
        <v>2</v>
      </c>
    </row>
    <row r="4272" spans="1:14" x14ac:dyDescent="0.25">
      <c r="A4272">
        <v>5271</v>
      </c>
      <c r="B4272" s="1">
        <v>45795</v>
      </c>
      <c r="C4272" s="4">
        <f>MONTH(datos_ventas[[#This Row],[Fecha]])</f>
        <v>5</v>
      </c>
      <c r="D4272" s="4">
        <f>WEEKNUM(datos_ventas[[#This Row],[Fecha]],2)</f>
        <v>20</v>
      </c>
      <c r="E4272" t="s">
        <v>23</v>
      </c>
      <c r="F4272" t="s">
        <v>18</v>
      </c>
      <c r="G4272">
        <v>3</v>
      </c>
      <c r="H4272">
        <v>7796</v>
      </c>
      <c r="I4272">
        <v>3858</v>
      </c>
      <c r="J4272" t="s">
        <v>22</v>
      </c>
      <c r="K4272" t="str">
        <f>_xlfn.XLOOKUP(datos_ventas[[#This Row],[Ciudad]],Tabla2[Ciudades],Tabla2[Provincias],"no se encuentra")</f>
        <v>Valencia</v>
      </c>
      <c r="L4272" t="str">
        <f>_xlfn.XLOOKUP(datos_ventas[[#This Row],[Provincia]],Tabla2[Provincias],Tabla2[Comunidades],"no se encuentra")</f>
        <v>Comunidad Valenciana</v>
      </c>
      <c r="M4272" t="s">
        <v>13</v>
      </c>
      <c r="N4272">
        <v>5</v>
      </c>
    </row>
    <row r="4273" spans="1:14" x14ac:dyDescent="0.25">
      <c r="A4273">
        <v>5272</v>
      </c>
      <c r="B4273" s="1">
        <v>46008</v>
      </c>
      <c r="C4273" s="4">
        <f>MONTH(datos_ventas[[#This Row],[Fecha]])</f>
        <v>12</v>
      </c>
      <c r="D4273" s="4">
        <f>WEEKNUM(datos_ventas[[#This Row],[Fecha]],2)</f>
        <v>51</v>
      </c>
      <c r="E4273" t="s">
        <v>17</v>
      </c>
      <c r="F4273" t="s">
        <v>18</v>
      </c>
      <c r="G4273">
        <v>2</v>
      </c>
      <c r="H4273">
        <v>3652</v>
      </c>
      <c r="I4273">
        <v>974</v>
      </c>
      <c r="J4273" t="s">
        <v>27</v>
      </c>
      <c r="K4273" t="str">
        <f>_xlfn.XLOOKUP(datos_ventas[[#This Row],[Ciudad]],Tabla2[Ciudades],Tabla2[Provincias],"no se encuentra")</f>
        <v>Sevilla</v>
      </c>
      <c r="L4273" t="str">
        <f>_xlfn.XLOOKUP(datos_ventas[[#This Row],[Provincia]],Tabla2[Provincias],Tabla2[Comunidades],"no se encuentra")</f>
        <v>Andalucía</v>
      </c>
      <c r="M4273" t="s">
        <v>15</v>
      </c>
      <c r="N4273">
        <v>2</v>
      </c>
    </row>
    <row r="4274" spans="1:14" x14ac:dyDescent="0.25">
      <c r="A4274">
        <v>5273</v>
      </c>
      <c r="B4274" s="1">
        <v>45705</v>
      </c>
      <c r="C4274" s="4">
        <f>MONTH(datos_ventas[[#This Row],[Fecha]])</f>
        <v>2</v>
      </c>
      <c r="D4274" s="4">
        <f>WEEKNUM(datos_ventas[[#This Row],[Fecha]],2)</f>
        <v>8</v>
      </c>
      <c r="E4274" t="s">
        <v>26</v>
      </c>
      <c r="F4274" t="s">
        <v>18</v>
      </c>
      <c r="G4274">
        <v>4</v>
      </c>
      <c r="H4274">
        <v>50367</v>
      </c>
      <c r="I4274">
        <v>1191</v>
      </c>
      <c r="J4274" t="s">
        <v>14</v>
      </c>
      <c r="K4274" t="str">
        <f>_xlfn.XLOOKUP(datos_ventas[[#This Row],[Ciudad]],Tabla2[Ciudades],Tabla2[Provincias],"no se encuentra")</f>
        <v>Madrid</v>
      </c>
      <c r="L4274" t="str">
        <f>_xlfn.XLOOKUP(datos_ventas[[#This Row],[Provincia]],Tabla2[Provincias],Tabla2[Comunidades],"no se encuentra")</f>
        <v>Comunidad de Madrid</v>
      </c>
      <c r="M4274" t="s">
        <v>15</v>
      </c>
      <c r="N4274">
        <v>5</v>
      </c>
    </row>
    <row r="4275" spans="1:14" x14ac:dyDescent="0.25">
      <c r="A4275">
        <v>5274</v>
      </c>
      <c r="B4275" s="1">
        <v>45889</v>
      </c>
      <c r="C4275" s="4">
        <f>MONTH(datos_ventas[[#This Row],[Fecha]])</f>
        <v>8</v>
      </c>
      <c r="D4275" s="4">
        <f>WEEKNUM(datos_ventas[[#This Row],[Fecha]],2)</f>
        <v>34</v>
      </c>
      <c r="E4275" t="s">
        <v>26</v>
      </c>
      <c r="F4275" t="s">
        <v>18</v>
      </c>
      <c r="G4275">
        <v>5</v>
      </c>
      <c r="H4275">
        <v>91497</v>
      </c>
      <c r="I4275">
        <v>3057</v>
      </c>
      <c r="J4275" t="s">
        <v>27</v>
      </c>
      <c r="K4275" t="str">
        <f>_xlfn.XLOOKUP(datos_ventas[[#This Row],[Ciudad]],Tabla2[Ciudades],Tabla2[Provincias],"no se encuentra")</f>
        <v>Sevilla</v>
      </c>
      <c r="L4275" t="str">
        <f>_xlfn.XLOOKUP(datos_ventas[[#This Row],[Provincia]],Tabla2[Provincias],Tabla2[Comunidades],"no se encuentra")</f>
        <v>Andalucía</v>
      </c>
      <c r="M4275" t="s">
        <v>13</v>
      </c>
      <c r="N4275">
        <v>1</v>
      </c>
    </row>
    <row r="4276" spans="1:14" x14ac:dyDescent="0.25">
      <c r="A4276">
        <v>5275</v>
      </c>
      <c r="B4276" s="1">
        <v>45809</v>
      </c>
      <c r="C4276" s="4">
        <f>MONTH(datos_ventas[[#This Row],[Fecha]])</f>
        <v>6</v>
      </c>
      <c r="D4276" s="4">
        <f>WEEKNUM(datos_ventas[[#This Row],[Fecha]],2)</f>
        <v>22</v>
      </c>
      <c r="E4276" t="s">
        <v>23</v>
      </c>
      <c r="F4276" t="s">
        <v>18</v>
      </c>
      <c r="G4276">
        <v>5</v>
      </c>
      <c r="H4276">
        <v>76695</v>
      </c>
      <c r="I4276">
        <v>2933</v>
      </c>
      <c r="J4276" t="s">
        <v>22</v>
      </c>
      <c r="K4276" t="str">
        <f>_xlfn.XLOOKUP(datos_ventas[[#This Row],[Ciudad]],Tabla2[Ciudades],Tabla2[Provincias],"no se encuentra")</f>
        <v>Valencia</v>
      </c>
      <c r="L4276" t="str">
        <f>_xlfn.XLOOKUP(datos_ventas[[#This Row],[Provincia]],Tabla2[Provincias],Tabla2[Comunidades],"no se encuentra")</f>
        <v>Comunidad Valenciana</v>
      </c>
      <c r="M4276" t="s">
        <v>28</v>
      </c>
      <c r="N4276">
        <v>4</v>
      </c>
    </row>
    <row r="4277" spans="1:14" x14ac:dyDescent="0.25">
      <c r="A4277">
        <v>5276</v>
      </c>
      <c r="B4277" s="1">
        <v>45840</v>
      </c>
      <c r="C4277" s="4">
        <f>MONTH(datos_ventas[[#This Row],[Fecha]])</f>
        <v>7</v>
      </c>
      <c r="D4277" s="4">
        <f>WEEKNUM(datos_ventas[[#This Row],[Fecha]],2)</f>
        <v>27</v>
      </c>
      <c r="E4277" t="s">
        <v>10</v>
      </c>
      <c r="F4277" t="s">
        <v>11</v>
      </c>
      <c r="G4277">
        <v>1</v>
      </c>
      <c r="H4277">
        <v>70734</v>
      </c>
      <c r="I4277">
        <v>1809</v>
      </c>
      <c r="J4277" t="s">
        <v>27</v>
      </c>
      <c r="K4277" t="str">
        <f>_xlfn.XLOOKUP(datos_ventas[[#This Row],[Ciudad]],Tabla2[Ciudades],Tabla2[Provincias],"no se encuentra")</f>
        <v>Sevilla</v>
      </c>
      <c r="L4277" t="str">
        <f>_xlfn.XLOOKUP(datos_ventas[[#This Row],[Provincia]],Tabla2[Provincias],Tabla2[Comunidades],"no se encuentra")</f>
        <v>Andalucía</v>
      </c>
      <c r="M4277" t="s">
        <v>28</v>
      </c>
      <c r="N4277">
        <v>4</v>
      </c>
    </row>
    <row r="4278" spans="1:14" x14ac:dyDescent="0.25">
      <c r="A4278">
        <v>5277</v>
      </c>
      <c r="B4278" s="1">
        <v>45680</v>
      </c>
      <c r="C4278" s="4">
        <f>MONTH(datos_ventas[[#This Row],[Fecha]])</f>
        <v>1</v>
      </c>
      <c r="D4278" s="4">
        <f>WEEKNUM(datos_ventas[[#This Row],[Fecha]],2)</f>
        <v>4</v>
      </c>
      <c r="E4278" t="s">
        <v>26</v>
      </c>
      <c r="F4278" t="s">
        <v>18</v>
      </c>
      <c r="G4278">
        <v>1</v>
      </c>
      <c r="H4278">
        <v>336</v>
      </c>
      <c r="I4278">
        <v>4419</v>
      </c>
      <c r="J4278" t="s">
        <v>27</v>
      </c>
      <c r="K4278" t="str">
        <f>_xlfn.XLOOKUP(datos_ventas[[#This Row],[Ciudad]],Tabla2[Ciudades],Tabla2[Provincias],"no se encuentra")</f>
        <v>Sevilla</v>
      </c>
      <c r="L4278" t="str">
        <f>_xlfn.XLOOKUP(datos_ventas[[#This Row],[Provincia]],Tabla2[Provincias],Tabla2[Comunidades],"no se encuentra")</f>
        <v>Andalucía</v>
      </c>
      <c r="M4278" t="s">
        <v>28</v>
      </c>
      <c r="N4278">
        <v>3</v>
      </c>
    </row>
    <row r="4279" spans="1:14" x14ac:dyDescent="0.25">
      <c r="A4279">
        <v>5278</v>
      </c>
      <c r="B4279" s="1">
        <v>45741</v>
      </c>
      <c r="C4279" s="4">
        <f>MONTH(datos_ventas[[#This Row],[Fecha]])</f>
        <v>3</v>
      </c>
      <c r="D4279" s="4">
        <f>WEEKNUM(datos_ventas[[#This Row],[Fecha]],2)</f>
        <v>13</v>
      </c>
      <c r="E4279" t="s">
        <v>17</v>
      </c>
      <c r="F4279" t="s">
        <v>18</v>
      </c>
      <c r="G4279">
        <v>2</v>
      </c>
      <c r="H4279">
        <v>80867</v>
      </c>
      <c r="I4279">
        <v>1977</v>
      </c>
      <c r="J4279" t="s">
        <v>14</v>
      </c>
      <c r="K4279" t="str">
        <f>_xlfn.XLOOKUP(datos_ventas[[#This Row],[Ciudad]],Tabla2[Ciudades],Tabla2[Provincias],"no se encuentra")</f>
        <v>Madrid</v>
      </c>
      <c r="L4279" t="str">
        <f>_xlfn.XLOOKUP(datos_ventas[[#This Row],[Provincia]],Tabla2[Provincias],Tabla2[Comunidades],"no se encuentra")</f>
        <v>Comunidad de Madrid</v>
      </c>
      <c r="M4279" t="s">
        <v>13</v>
      </c>
      <c r="N4279">
        <v>1</v>
      </c>
    </row>
    <row r="4280" spans="1:14" x14ac:dyDescent="0.25">
      <c r="A4280">
        <v>5279</v>
      </c>
      <c r="B4280" s="1">
        <v>45849</v>
      </c>
      <c r="C4280" s="4">
        <f>MONTH(datos_ventas[[#This Row],[Fecha]])</f>
        <v>7</v>
      </c>
      <c r="D4280" s="4">
        <f>WEEKNUM(datos_ventas[[#This Row],[Fecha]],2)</f>
        <v>28</v>
      </c>
      <c r="E4280" t="s">
        <v>10</v>
      </c>
      <c r="F4280" t="s">
        <v>11</v>
      </c>
      <c r="G4280">
        <v>1</v>
      </c>
      <c r="H4280">
        <v>77051</v>
      </c>
      <c r="I4280">
        <v>58</v>
      </c>
      <c r="J4280" t="s">
        <v>27</v>
      </c>
      <c r="K4280" t="str">
        <f>_xlfn.XLOOKUP(datos_ventas[[#This Row],[Ciudad]],Tabla2[Ciudades],Tabla2[Provincias],"no se encuentra")</f>
        <v>Sevilla</v>
      </c>
      <c r="L4280" t="str">
        <f>_xlfn.XLOOKUP(datos_ventas[[#This Row],[Provincia]],Tabla2[Provincias],Tabla2[Comunidades],"no se encuentra")</f>
        <v>Andalucía</v>
      </c>
      <c r="M4280" t="s">
        <v>15</v>
      </c>
      <c r="N4280">
        <v>1</v>
      </c>
    </row>
    <row r="4281" spans="1:14" x14ac:dyDescent="0.25">
      <c r="A4281">
        <v>5280</v>
      </c>
      <c r="B4281" s="1">
        <v>45696</v>
      </c>
      <c r="C4281" s="4">
        <f>MONTH(datos_ventas[[#This Row],[Fecha]])</f>
        <v>2</v>
      </c>
      <c r="D4281" s="4">
        <f>WEEKNUM(datos_ventas[[#This Row],[Fecha]],2)</f>
        <v>6</v>
      </c>
      <c r="E4281" t="s">
        <v>23</v>
      </c>
      <c r="F4281" t="s">
        <v>18</v>
      </c>
      <c r="G4281">
        <v>1</v>
      </c>
      <c r="H4281">
        <v>97165</v>
      </c>
      <c r="I4281">
        <v>4707</v>
      </c>
      <c r="J4281" t="s">
        <v>14</v>
      </c>
      <c r="K4281" t="str">
        <f>_xlfn.XLOOKUP(datos_ventas[[#This Row],[Ciudad]],Tabla2[Ciudades],Tabla2[Provincias],"no se encuentra")</f>
        <v>Madrid</v>
      </c>
      <c r="L4281" t="str">
        <f>_xlfn.XLOOKUP(datos_ventas[[#This Row],[Provincia]],Tabla2[Provincias],Tabla2[Comunidades],"no se encuentra")</f>
        <v>Comunidad de Madrid</v>
      </c>
      <c r="M4281" t="s">
        <v>19</v>
      </c>
      <c r="N4281">
        <v>1</v>
      </c>
    </row>
    <row r="4282" spans="1:14" x14ac:dyDescent="0.25">
      <c r="A4282">
        <v>5281</v>
      </c>
      <c r="B4282" s="1">
        <v>45715</v>
      </c>
      <c r="C4282" s="4">
        <f>MONTH(datos_ventas[[#This Row],[Fecha]])</f>
        <v>2</v>
      </c>
      <c r="D4282" s="4">
        <f>WEEKNUM(datos_ventas[[#This Row],[Fecha]],2)</f>
        <v>9</v>
      </c>
      <c r="E4282" t="s">
        <v>24</v>
      </c>
      <c r="F4282" t="s">
        <v>25</v>
      </c>
      <c r="G4282">
        <v>3</v>
      </c>
      <c r="H4282">
        <v>48692</v>
      </c>
      <c r="I4282">
        <v>2045</v>
      </c>
      <c r="J4282" t="s">
        <v>12</v>
      </c>
      <c r="K4282" t="str">
        <f>_xlfn.XLOOKUP(datos_ventas[[#This Row],[Ciudad]],Tabla2[Ciudades],Tabla2[Provincias],"no se encuentra")</f>
        <v>Málaga</v>
      </c>
      <c r="L4282" t="str">
        <f>_xlfn.XLOOKUP(datos_ventas[[#This Row],[Provincia]],Tabla2[Provincias],Tabla2[Comunidades],"no se encuentra")</f>
        <v>Andalucía</v>
      </c>
      <c r="M4282" t="s">
        <v>15</v>
      </c>
      <c r="N4282">
        <v>4</v>
      </c>
    </row>
    <row r="4283" spans="1:14" x14ac:dyDescent="0.25">
      <c r="A4283">
        <v>5282</v>
      </c>
      <c r="B4283" s="1">
        <v>45660</v>
      </c>
      <c r="C4283" s="4">
        <f>MONTH(datos_ventas[[#This Row],[Fecha]])</f>
        <v>1</v>
      </c>
      <c r="D4283" s="4">
        <f>WEEKNUM(datos_ventas[[#This Row],[Fecha]],2)</f>
        <v>1</v>
      </c>
      <c r="E4283" t="s">
        <v>24</v>
      </c>
      <c r="F4283" t="s">
        <v>25</v>
      </c>
      <c r="G4283">
        <v>2</v>
      </c>
      <c r="H4283">
        <v>52957</v>
      </c>
      <c r="I4283">
        <v>2079</v>
      </c>
      <c r="J4283" t="s">
        <v>32</v>
      </c>
      <c r="K4283" t="str">
        <f>_xlfn.XLOOKUP(datos_ventas[[#This Row],[Ciudad]],Tabla2[Ciudades],Tabla2[Provincias],"no se encuentra")</f>
        <v>Barcelona</v>
      </c>
      <c r="L4283" t="str">
        <f>_xlfn.XLOOKUP(datos_ventas[[#This Row],[Provincia]],Tabla2[Provincias],Tabla2[Comunidades],"no se encuentra")</f>
        <v>Cataluña</v>
      </c>
      <c r="M4283" t="s">
        <v>13</v>
      </c>
      <c r="N4283">
        <v>1</v>
      </c>
    </row>
    <row r="4284" spans="1:14" x14ac:dyDescent="0.25">
      <c r="A4284">
        <v>5283</v>
      </c>
      <c r="B4284" s="1">
        <v>45963</v>
      </c>
      <c r="C4284" s="4">
        <f>MONTH(datos_ventas[[#This Row],[Fecha]])</f>
        <v>11</v>
      </c>
      <c r="D4284" s="4">
        <f>WEEKNUM(datos_ventas[[#This Row],[Fecha]],2)</f>
        <v>44</v>
      </c>
      <c r="E4284" t="s">
        <v>23</v>
      </c>
      <c r="F4284" t="s">
        <v>18</v>
      </c>
      <c r="G4284">
        <v>4</v>
      </c>
      <c r="H4284">
        <v>72613</v>
      </c>
      <c r="I4284">
        <v>4297</v>
      </c>
      <c r="J4284" t="s">
        <v>32</v>
      </c>
      <c r="K4284" t="str">
        <f>_xlfn.XLOOKUP(datos_ventas[[#This Row],[Ciudad]],Tabla2[Ciudades],Tabla2[Provincias],"no se encuentra")</f>
        <v>Barcelona</v>
      </c>
      <c r="L4284" t="str">
        <f>_xlfn.XLOOKUP(datos_ventas[[#This Row],[Provincia]],Tabla2[Provincias],Tabla2[Comunidades],"no se encuentra")</f>
        <v>Cataluña</v>
      </c>
      <c r="M4284" t="s">
        <v>28</v>
      </c>
      <c r="N4284">
        <v>1</v>
      </c>
    </row>
    <row r="4285" spans="1:14" x14ac:dyDescent="0.25">
      <c r="A4285">
        <v>5284</v>
      </c>
      <c r="B4285" s="1">
        <v>45819</v>
      </c>
      <c r="C4285" s="4">
        <f>MONTH(datos_ventas[[#This Row],[Fecha]])</f>
        <v>6</v>
      </c>
      <c r="D4285" s="4">
        <f>WEEKNUM(datos_ventas[[#This Row],[Fecha]],2)</f>
        <v>24</v>
      </c>
      <c r="E4285" t="s">
        <v>24</v>
      </c>
      <c r="F4285" t="s">
        <v>25</v>
      </c>
      <c r="G4285">
        <v>1</v>
      </c>
      <c r="H4285">
        <v>68294</v>
      </c>
      <c r="I4285">
        <v>4863</v>
      </c>
      <c r="J4285" t="s">
        <v>32</v>
      </c>
      <c r="K4285" t="str">
        <f>_xlfn.XLOOKUP(datos_ventas[[#This Row],[Ciudad]],Tabla2[Ciudades],Tabla2[Provincias],"no se encuentra")</f>
        <v>Barcelona</v>
      </c>
      <c r="L4285" t="str">
        <f>_xlfn.XLOOKUP(datos_ventas[[#This Row],[Provincia]],Tabla2[Provincias],Tabla2[Comunidades],"no se encuentra")</f>
        <v>Cataluña</v>
      </c>
      <c r="M4285" t="s">
        <v>15</v>
      </c>
      <c r="N4285">
        <v>3</v>
      </c>
    </row>
    <row r="4286" spans="1:14" x14ac:dyDescent="0.25">
      <c r="A4286">
        <v>5285</v>
      </c>
      <c r="B4286" s="1">
        <v>45734</v>
      </c>
      <c r="C4286" s="4">
        <f>MONTH(datos_ventas[[#This Row],[Fecha]])</f>
        <v>3</v>
      </c>
      <c r="D4286" s="4">
        <f>WEEKNUM(datos_ventas[[#This Row],[Fecha]],2)</f>
        <v>12</v>
      </c>
      <c r="E4286" t="s">
        <v>26</v>
      </c>
      <c r="F4286" t="s">
        <v>18</v>
      </c>
      <c r="G4286">
        <v>4</v>
      </c>
      <c r="H4286">
        <v>57949</v>
      </c>
      <c r="I4286">
        <v>2764</v>
      </c>
      <c r="J4286" t="s">
        <v>12</v>
      </c>
      <c r="K4286" t="str">
        <f>_xlfn.XLOOKUP(datos_ventas[[#This Row],[Ciudad]],Tabla2[Ciudades],Tabla2[Provincias],"no se encuentra")</f>
        <v>Málaga</v>
      </c>
      <c r="L4286" t="str">
        <f>_xlfn.XLOOKUP(datos_ventas[[#This Row],[Provincia]],Tabla2[Provincias],Tabla2[Comunidades],"no se encuentra")</f>
        <v>Andalucía</v>
      </c>
      <c r="M4286" t="s">
        <v>13</v>
      </c>
      <c r="N4286">
        <v>3</v>
      </c>
    </row>
    <row r="4287" spans="1:14" x14ac:dyDescent="0.25">
      <c r="A4287">
        <v>5286</v>
      </c>
      <c r="B4287" s="1">
        <v>45944</v>
      </c>
      <c r="C4287" s="4">
        <f>MONTH(datos_ventas[[#This Row],[Fecha]])</f>
        <v>10</v>
      </c>
      <c r="D4287" s="4">
        <f>WEEKNUM(datos_ventas[[#This Row],[Fecha]],2)</f>
        <v>42</v>
      </c>
      <c r="E4287" t="s">
        <v>24</v>
      </c>
      <c r="F4287" t="s">
        <v>25</v>
      </c>
      <c r="G4287">
        <v>4</v>
      </c>
      <c r="H4287">
        <v>54348</v>
      </c>
      <c r="I4287">
        <v>1477</v>
      </c>
      <c r="J4287" t="s">
        <v>31</v>
      </c>
      <c r="K4287" t="str">
        <f>_xlfn.XLOOKUP(datos_ventas[[#This Row],[Ciudad]],Tabla2[Ciudades],Tabla2[Provincias],"no se encuentra")</f>
        <v>Vizcaya</v>
      </c>
      <c r="L4287" t="str">
        <f>_xlfn.XLOOKUP(datos_ventas[[#This Row],[Provincia]],Tabla2[Provincias],Tabla2[Comunidades],"no se encuentra")</f>
        <v>País Vasco</v>
      </c>
      <c r="M4287" t="s">
        <v>19</v>
      </c>
      <c r="N4287">
        <v>2</v>
      </c>
    </row>
    <row r="4288" spans="1:14" x14ac:dyDescent="0.25">
      <c r="A4288">
        <v>5287</v>
      </c>
      <c r="B4288" s="1">
        <v>45947</v>
      </c>
      <c r="C4288" s="4">
        <f>MONTH(datos_ventas[[#This Row],[Fecha]])</f>
        <v>10</v>
      </c>
      <c r="D4288" s="4">
        <f>WEEKNUM(datos_ventas[[#This Row],[Fecha]],2)</f>
        <v>42</v>
      </c>
      <c r="E4288" t="s">
        <v>26</v>
      </c>
      <c r="F4288" t="s">
        <v>18</v>
      </c>
      <c r="G4288">
        <v>3</v>
      </c>
      <c r="H4288">
        <v>46657</v>
      </c>
      <c r="I4288">
        <v>357</v>
      </c>
      <c r="J4288" t="s">
        <v>31</v>
      </c>
      <c r="K4288" t="str">
        <f>_xlfn.XLOOKUP(datos_ventas[[#This Row],[Ciudad]],Tabla2[Ciudades],Tabla2[Provincias],"no se encuentra")</f>
        <v>Vizcaya</v>
      </c>
      <c r="L4288" t="str">
        <f>_xlfn.XLOOKUP(datos_ventas[[#This Row],[Provincia]],Tabla2[Provincias],Tabla2[Comunidades],"no se encuentra")</f>
        <v>País Vasco</v>
      </c>
      <c r="M4288" t="s">
        <v>15</v>
      </c>
      <c r="N4288">
        <v>1</v>
      </c>
    </row>
    <row r="4289" spans="1:14" x14ac:dyDescent="0.25">
      <c r="A4289">
        <v>5288</v>
      </c>
      <c r="B4289" s="1">
        <v>45714</v>
      </c>
      <c r="C4289" s="4">
        <f>MONTH(datos_ventas[[#This Row],[Fecha]])</f>
        <v>2</v>
      </c>
      <c r="D4289" s="4">
        <f>WEEKNUM(datos_ventas[[#This Row],[Fecha]],2)</f>
        <v>9</v>
      </c>
      <c r="E4289" t="s">
        <v>29</v>
      </c>
      <c r="F4289" t="s">
        <v>30</v>
      </c>
      <c r="G4289">
        <v>1</v>
      </c>
      <c r="H4289">
        <v>45221</v>
      </c>
      <c r="I4289">
        <v>1095</v>
      </c>
      <c r="J4289" t="s">
        <v>27</v>
      </c>
      <c r="K4289" t="str">
        <f>_xlfn.XLOOKUP(datos_ventas[[#This Row],[Ciudad]],Tabla2[Ciudades],Tabla2[Provincias],"no se encuentra")</f>
        <v>Sevilla</v>
      </c>
      <c r="L4289" t="str">
        <f>_xlfn.XLOOKUP(datos_ventas[[#This Row],[Provincia]],Tabla2[Provincias],Tabla2[Comunidades],"no se encuentra")</f>
        <v>Andalucía</v>
      </c>
      <c r="M4289" t="s">
        <v>15</v>
      </c>
      <c r="N4289">
        <v>3</v>
      </c>
    </row>
    <row r="4290" spans="1:14" x14ac:dyDescent="0.25">
      <c r="A4290">
        <v>5289</v>
      </c>
      <c r="B4290" s="1">
        <v>45972</v>
      </c>
      <c r="C4290" s="4">
        <f>MONTH(datos_ventas[[#This Row],[Fecha]])</f>
        <v>11</v>
      </c>
      <c r="D4290" s="4">
        <f>WEEKNUM(datos_ventas[[#This Row],[Fecha]],2)</f>
        <v>46</v>
      </c>
      <c r="E4290" t="s">
        <v>24</v>
      </c>
      <c r="F4290" t="s">
        <v>25</v>
      </c>
      <c r="G4290">
        <v>3</v>
      </c>
      <c r="H4290">
        <v>9082</v>
      </c>
      <c r="I4290">
        <v>3283</v>
      </c>
      <c r="J4290" t="s">
        <v>27</v>
      </c>
      <c r="K4290" t="str">
        <f>_xlfn.XLOOKUP(datos_ventas[[#This Row],[Ciudad]],Tabla2[Ciudades],Tabla2[Provincias],"no se encuentra")</f>
        <v>Sevilla</v>
      </c>
      <c r="L4290" t="str">
        <f>_xlfn.XLOOKUP(datos_ventas[[#This Row],[Provincia]],Tabla2[Provincias],Tabla2[Comunidades],"no se encuentra")</f>
        <v>Andalucía</v>
      </c>
      <c r="M4290" t="s">
        <v>28</v>
      </c>
      <c r="N4290">
        <v>4</v>
      </c>
    </row>
    <row r="4291" spans="1:14" x14ac:dyDescent="0.25">
      <c r="A4291">
        <v>5290</v>
      </c>
      <c r="B4291" s="1">
        <v>45797</v>
      </c>
      <c r="C4291" s="4">
        <f>MONTH(datos_ventas[[#This Row],[Fecha]])</f>
        <v>5</v>
      </c>
      <c r="D4291" s="4">
        <f>WEEKNUM(datos_ventas[[#This Row],[Fecha]],2)</f>
        <v>21</v>
      </c>
      <c r="E4291" t="s">
        <v>20</v>
      </c>
      <c r="F4291" t="s">
        <v>21</v>
      </c>
      <c r="G4291">
        <v>4</v>
      </c>
      <c r="H4291">
        <v>54535</v>
      </c>
      <c r="I4291">
        <v>2426</v>
      </c>
      <c r="J4291" t="s">
        <v>14</v>
      </c>
      <c r="K4291" t="str">
        <f>_xlfn.XLOOKUP(datos_ventas[[#This Row],[Ciudad]],Tabla2[Ciudades],Tabla2[Provincias],"no se encuentra")</f>
        <v>Madrid</v>
      </c>
      <c r="L4291" t="str">
        <f>_xlfn.XLOOKUP(datos_ventas[[#This Row],[Provincia]],Tabla2[Provincias],Tabla2[Comunidades],"no se encuentra")</f>
        <v>Comunidad de Madrid</v>
      </c>
      <c r="M4291" t="s">
        <v>28</v>
      </c>
      <c r="N4291">
        <v>1</v>
      </c>
    </row>
    <row r="4292" spans="1:14" x14ac:dyDescent="0.25">
      <c r="A4292">
        <v>5291</v>
      </c>
      <c r="B4292" s="1">
        <v>45787</v>
      </c>
      <c r="C4292" s="4">
        <f>MONTH(datos_ventas[[#This Row],[Fecha]])</f>
        <v>5</v>
      </c>
      <c r="D4292" s="4">
        <f>WEEKNUM(datos_ventas[[#This Row],[Fecha]],2)</f>
        <v>19</v>
      </c>
      <c r="E4292" t="s">
        <v>29</v>
      </c>
      <c r="F4292" t="s">
        <v>30</v>
      </c>
      <c r="G4292">
        <v>4</v>
      </c>
      <c r="H4292">
        <v>63755</v>
      </c>
      <c r="I4292">
        <v>4074</v>
      </c>
      <c r="J4292" t="s">
        <v>12</v>
      </c>
      <c r="K4292" t="str">
        <f>_xlfn.XLOOKUP(datos_ventas[[#This Row],[Ciudad]],Tabla2[Ciudades],Tabla2[Provincias],"no se encuentra")</f>
        <v>Málaga</v>
      </c>
      <c r="L4292" t="str">
        <f>_xlfn.XLOOKUP(datos_ventas[[#This Row],[Provincia]],Tabla2[Provincias],Tabla2[Comunidades],"no se encuentra")</f>
        <v>Andalucía</v>
      </c>
      <c r="M4292" t="s">
        <v>28</v>
      </c>
      <c r="N4292">
        <v>2</v>
      </c>
    </row>
    <row r="4293" spans="1:14" x14ac:dyDescent="0.25">
      <c r="A4293">
        <v>5292</v>
      </c>
      <c r="B4293" s="1">
        <v>45700</v>
      </c>
      <c r="C4293" s="4">
        <f>MONTH(datos_ventas[[#This Row],[Fecha]])</f>
        <v>2</v>
      </c>
      <c r="D4293" s="4">
        <f>WEEKNUM(datos_ventas[[#This Row],[Fecha]],2)</f>
        <v>7</v>
      </c>
      <c r="E4293" t="s">
        <v>20</v>
      </c>
      <c r="F4293" t="s">
        <v>21</v>
      </c>
      <c r="G4293">
        <v>3</v>
      </c>
      <c r="H4293">
        <v>2557</v>
      </c>
      <c r="I4293">
        <v>3435</v>
      </c>
      <c r="J4293" t="s">
        <v>32</v>
      </c>
      <c r="K4293" t="str">
        <f>_xlfn.XLOOKUP(datos_ventas[[#This Row],[Ciudad]],Tabla2[Ciudades],Tabla2[Provincias],"no se encuentra")</f>
        <v>Barcelona</v>
      </c>
      <c r="L4293" t="str">
        <f>_xlfn.XLOOKUP(datos_ventas[[#This Row],[Provincia]],Tabla2[Provincias],Tabla2[Comunidades],"no se encuentra")</f>
        <v>Cataluña</v>
      </c>
      <c r="M4293" t="s">
        <v>15</v>
      </c>
      <c r="N4293">
        <v>1</v>
      </c>
    </row>
    <row r="4294" spans="1:14" x14ac:dyDescent="0.25">
      <c r="A4294">
        <v>5293</v>
      </c>
      <c r="B4294" s="1">
        <v>45830</v>
      </c>
      <c r="C4294" s="4">
        <f>MONTH(datos_ventas[[#This Row],[Fecha]])</f>
        <v>6</v>
      </c>
      <c r="D4294" s="4">
        <f>WEEKNUM(datos_ventas[[#This Row],[Fecha]],2)</f>
        <v>25</v>
      </c>
      <c r="E4294" t="s">
        <v>23</v>
      </c>
      <c r="F4294" t="s">
        <v>18</v>
      </c>
      <c r="G4294">
        <v>5</v>
      </c>
      <c r="H4294">
        <v>86072</v>
      </c>
      <c r="I4294">
        <v>1754</v>
      </c>
      <c r="J4294" t="s">
        <v>31</v>
      </c>
      <c r="K4294" t="str">
        <f>_xlfn.XLOOKUP(datos_ventas[[#This Row],[Ciudad]],Tabla2[Ciudades],Tabla2[Provincias],"no se encuentra")</f>
        <v>Vizcaya</v>
      </c>
      <c r="L4294" t="str">
        <f>_xlfn.XLOOKUP(datos_ventas[[#This Row],[Provincia]],Tabla2[Provincias],Tabla2[Comunidades],"no se encuentra")</f>
        <v>País Vasco</v>
      </c>
      <c r="M4294" t="s">
        <v>15</v>
      </c>
      <c r="N4294">
        <v>2</v>
      </c>
    </row>
    <row r="4295" spans="1:14" x14ac:dyDescent="0.25">
      <c r="A4295">
        <v>5294</v>
      </c>
      <c r="B4295" s="1">
        <v>45768</v>
      </c>
      <c r="C4295" s="4">
        <f>MONTH(datos_ventas[[#This Row],[Fecha]])</f>
        <v>4</v>
      </c>
      <c r="D4295" s="4">
        <f>WEEKNUM(datos_ventas[[#This Row],[Fecha]],2)</f>
        <v>17</v>
      </c>
      <c r="E4295" t="s">
        <v>23</v>
      </c>
      <c r="F4295" t="s">
        <v>18</v>
      </c>
      <c r="G4295">
        <v>2</v>
      </c>
      <c r="H4295">
        <v>18942</v>
      </c>
      <c r="I4295">
        <v>4143</v>
      </c>
      <c r="J4295" t="s">
        <v>14</v>
      </c>
      <c r="K4295" t="str">
        <f>_xlfn.XLOOKUP(datos_ventas[[#This Row],[Ciudad]],Tabla2[Ciudades],Tabla2[Provincias],"no se encuentra")</f>
        <v>Madrid</v>
      </c>
      <c r="L4295" t="str">
        <f>_xlfn.XLOOKUP(datos_ventas[[#This Row],[Provincia]],Tabla2[Provincias],Tabla2[Comunidades],"no se encuentra")</f>
        <v>Comunidad de Madrid</v>
      </c>
      <c r="M4295" t="s">
        <v>13</v>
      </c>
      <c r="N4295">
        <v>2</v>
      </c>
    </row>
    <row r="4296" spans="1:14" x14ac:dyDescent="0.25">
      <c r="A4296">
        <v>5295</v>
      </c>
      <c r="B4296" s="1">
        <v>45827</v>
      </c>
      <c r="C4296" s="4">
        <f>MONTH(datos_ventas[[#This Row],[Fecha]])</f>
        <v>6</v>
      </c>
      <c r="D4296" s="4">
        <f>WEEKNUM(datos_ventas[[#This Row],[Fecha]],2)</f>
        <v>25</v>
      </c>
      <c r="E4296" t="s">
        <v>24</v>
      </c>
      <c r="F4296" t="s">
        <v>25</v>
      </c>
      <c r="G4296">
        <v>3</v>
      </c>
      <c r="H4296">
        <v>36237</v>
      </c>
      <c r="I4296">
        <v>420</v>
      </c>
      <c r="J4296" t="s">
        <v>22</v>
      </c>
      <c r="K4296" t="str">
        <f>_xlfn.XLOOKUP(datos_ventas[[#This Row],[Ciudad]],Tabla2[Ciudades],Tabla2[Provincias],"no se encuentra")</f>
        <v>Valencia</v>
      </c>
      <c r="L4296" t="str">
        <f>_xlfn.XLOOKUP(datos_ventas[[#This Row],[Provincia]],Tabla2[Provincias],Tabla2[Comunidades],"no se encuentra")</f>
        <v>Comunidad Valenciana</v>
      </c>
      <c r="M4296" t="s">
        <v>19</v>
      </c>
      <c r="N4296">
        <v>1</v>
      </c>
    </row>
    <row r="4297" spans="1:14" x14ac:dyDescent="0.25">
      <c r="A4297">
        <v>5296</v>
      </c>
      <c r="B4297" s="1">
        <v>45912</v>
      </c>
      <c r="C4297" s="4">
        <f>MONTH(datos_ventas[[#This Row],[Fecha]])</f>
        <v>9</v>
      </c>
      <c r="D4297" s="4">
        <f>WEEKNUM(datos_ventas[[#This Row],[Fecha]],2)</f>
        <v>37</v>
      </c>
      <c r="E4297" t="s">
        <v>23</v>
      </c>
      <c r="F4297" t="s">
        <v>18</v>
      </c>
      <c r="G4297">
        <v>4</v>
      </c>
      <c r="H4297">
        <v>6031</v>
      </c>
      <c r="I4297">
        <v>4214</v>
      </c>
      <c r="J4297" t="s">
        <v>14</v>
      </c>
      <c r="K4297" t="str">
        <f>_xlfn.XLOOKUP(datos_ventas[[#This Row],[Ciudad]],Tabla2[Ciudades],Tabla2[Provincias],"no se encuentra")</f>
        <v>Madrid</v>
      </c>
      <c r="L4297" t="str">
        <f>_xlfn.XLOOKUP(datos_ventas[[#This Row],[Provincia]],Tabla2[Provincias],Tabla2[Comunidades],"no se encuentra")</f>
        <v>Comunidad de Madrid</v>
      </c>
      <c r="M4297" t="s">
        <v>28</v>
      </c>
      <c r="N4297">
        <v>4</v>
      </c>
    </row>
    <row r="4298" spans="1:14" x14ac:dyDescent="0.25">
      <c r="A4298">
        <v>5297</v>
      </c>
      <c r="B4298" s="1">
        <v>45865</v>
      </c>
      <c r="C4298" s="4">
        <f>MONTH(datos_ventas[[#This Row],[Fecha]])</f>
        <v>7</v>
      </c>
      <c r="D4298" s="4">
        <f>WEEKNUM(datos_ventas[[#This Row],[Fecha]],2)</f>
        <v>30</v>
      </c>
      <c r="E4298" t="s">
        <v>26</v>
      </c>
      <c r="F4298" t="s">
        <v>18</v>
      </c>
      <c r="G4298">
        <v>4</v>
      </c>
      <c r="H4298">
        <v>14567</v>
      </c>
      <c r="I4298">
        <v>1085</v>
      </c>
      <c r="J4298" t="s">
        <v>14</v>
      </c>
      <c r="K4298" t="str">
        <f>_xlfn.XLOOKUP(datos_ventas[[#This Row],[Ciudad]],Tabla2[Ciudades],Tabla2[Provincias],"no se encuentra")</f>
        <v>Madrid</v>
      </c>
      <c r="L4298" t="str">
        <f>_xlfn.XLOOKUP(datos_ventas[[#This Row],[Provincia]],Tabla2[Provincias],Tabla2[Comunidades],"no se encuentra")</f>
        <v>Comunidad de Madrid</v>
      </c>
      <c r="M4298" t="s">
        <v>15</v>
      </c>
      <c r="N4298">
        <v>2</v>
      </c>
    </row>
    <row r="4299" spans="1:14" x14ac:dyDescent="0.25">
      <c r="A4299">
        <v>5298</v>
      </c>
      <c r="B4299" s="1">
        <v>45877</v>
      </c>
      <c r="C4299" s="4">
        <f>MONTH(datos_ventas[[#This Row],[Fecha]])</f>
        <v>8</v>
      </c>
      <c r="D4299" s="4">
        <f>WEEKNUM(datos_ventas[[#This Row],[Fecha]],2)</f>
        <v>32</v>
      </c>
      <c r="E4299" t="s">
        <v>24</v>
      </c>
      <c r="F4299" t="s">
        <v>25</v>
      </c>
      <c r="G4299">
        <v>3</v>
      </c>
      <c r="H4299">
        <v>59649</v>
      </c>
      <c r="I4299">
        <v>2631</v>
      </c>
      <c r="J4299" t="s">
        <v>27</v>
      </c>
      <c r="K4299" t="str">
        <f>_xlfn.XLOOKUP(datos_ventas[[#This Row],[Ciudad]],Tabla2[Ciudades],Tabla2[Provincias],"no se encuentra")</f>
        <v>Sevilla</v>
      </c>
      <c r="L4299" t="str">
        <f>_xlfn.XLOOKUP(datos_ventas[[#This Row],[Provincia]],Tabla2[Provincias],Tabla2[Comunidades],"no se encuentra")</f>
        <v>Andalucía</v>
      </c>
      <c r="M4299" t="s">
        <v>19</v>
      </c>
      <c r="N4299">
        <v>1</v>
      </c>
    </row>
    <row r="4300" spans="1:14" x14ac:dyDescent="0.25">
      <c r="A4300">
        <v>5299</v>
      </c>
      <c r="B4300" s="1">
        <v>45886</v>
      </c>
      <c r="C4300" s="4">
        <f>MONTH(datos_ventas[[#This Row],[Fecha]])</f>
        <v>8</v>
      </c>
      <c r="D4300" s="4">
        <f>WEEKNUM(datos_ventas[[#This Row],[Fecha]],2)</f>
        <v>33</v>
      </c>
      <c r="E4300" t="s">
        <v>26</v>
      </c>
      <c r="F4300" t="s">
        <v>18</v>
      </c>
      <c r="G4300">
        <v>1</v>
      </c>
      <c r="H4300">
        <v>36013</v>
      </c>
      <c r="I4300">
        <v>2663</v>
      </c>
      <c r="J4300" t="s">
        <v>12</v>
      </c>
      <c r="K4300" t="str">
        <f>_xlfn.XLOOKUP(datos_ventas[[#This Row],[Ciudad]],Tabla2[Ciudades],Tabla2[Provincias],"no se encuentra")</f>
        <v>Málaga</v>
      </c>
      <c r="L4300" t="str">
        <f>_xlfn.XLOOKUP(datos_ventas[[#This Row],[Provincia]],Tabla2[Provincias],Tabla2[Comunidades],"no se encuentra")</f>
        <v>Andalucía</v>
      </c>
      <c r="M4300" t="s">
        <v>28</v>
      </c>
      <c r="N4300">
        <v>1</v>
      </c>
    </row>
    <row r="4301" spans="1:14" x14ac:dyDescent="0.25">
      <c r="A4301">
        <v>5300</v>
      </c>
      <c r="B4301" s="1">
        <v>45880</v>
      </c>
      <c r="C4301" s="4">
        <f>MONTH(datos_ventas[[#This Row],[Fecha]])</f>
        <v>8</v>
      </c>
      <c r="D4301" s="4">
        <f>WEEKNUM(datos_ventas[[#This Row],[Fecha]],2)</f>
        <v>33</v>
      </c>
      <c r="E4301" t="s">
        <v>17</v>
      </c>
      <c r="F4301" t="s">
        <v>18</v>
      </c>
      <c r="G4301">
        <v>2</v>
      </c>
      <c r="H4301">
        <v>46637</v>
      </c>
      <c r="I4301">
        <v>4322</v>
      </c>
      <c r="J4301" t="s">
        <v>27</v>
      </c>
      <c r="K4301" t="str">
        <f>_xlfn.XLOOKUP(datos_ventas[[#This Row],[Ciudad]],Tabla2[Ciudades],Tabla2[Provincias],"no se encuentra")</f>
        <v>Sevilla</v>
      </c>
      <c r="L4301" t="str">
        <f>_xlfn.XLOOKUP(datos_ventas[[#This Row],[Provincia]],Tabla2[Provincias],Tabla2[Comunidades],"no se encuentra")</f>
        <v>Andalucía</v>
      </c>
      <c r="M4301" t="s">
        <v>15</v>
      </c>
      <c r="N4301">
        <v>1</v>
      </c>
    </row>
    <row r="4302" spans="1:14" x14ac:dyDescent="0.25">
      <c r="A4302">
        <v>5301</v>
      </c>
      <c r="B4302" s="1">
        <v>45739</v>
      </c>
      <c r="C4302" s="4">
        <f>MONTH(datos_ventas[[#This Row],[Fecha]])</f>
        <v>3</v>
      </c>
      <c r="D4302" s="4">
        <f>WEEKNUM(datos_ventas[[#This Row],[Fecha]],2)</f>
        <v>12</v>
      </c>
      <c r="E4302" t="s">
        <v>26</v>
      </c>
      <c r="F4302" t="s">
        <v>18</v>
      </c>
      <c r="G4302">
        <v>1</v>
      </c>
      <c r="H4302">
        <v>91208</v>
      </c>
      <c r="I4302">
        <v>2175</v>
      </c>
      <c r="J4302" t="s">
        <v>31</v>
      </c>
      <c r="K4302" t="str">
        <f>_xlfn.XLOOKUP(datos_ventas[[#This Row],[Ciudad]],Tabla2[Ciudades],Tabla2[Provincias],"no se encuentra")</f>
        <v>Vizcaya</v>
      </c>
      <c r="L4302" t="str">
        <f>_xlfn.XLOOKUP(datos_ventas[[#This Row],[Provincia]],Tabla2[Provincias],Tabla2[Comunidades],"no se encuentra")</f>
        <v>País Vasco</v>
      </c>
      <c r="M4302" t="s">
        <v>13</v>
      </c>
      <c r="N4302">
        <v>4</v>
      </c>
    </row>
    <row r="4303" spans="1:14" x14ac:dyDescent="0.25">
      <c r="A4303">
        <v>5302</v>
      </c>
      <c r="B4303" s="1">
        <v>45792</v>
      </c>
      <c r="C4303" s="4">
        <f>MONTH(datos_ventas[[#This Row],[Fecha]])</f>
        <v>5</v>
      </c>
      <c r="D4303" s="4">
        <f>WEEKNUM(datos_ventas[[#This Row],[Fecha]],2)</f>
        <v>20</v>
      </c>
      <c r="E4303" t="s">
        <v>26</v>
      </c>
      <c r="F4303" t="s">
        <v>18</v>
      </c>
      <c r="G4303">
        <v>4</v>
      </c>
      <c r="H4303">
        <v>43092</v>
      </c>
      <c r="I4303">
        <v>1056</v>
      </c>
      <c r="J4303" t="s">
        <v>14</v>
      </c>
      <c r="K4303" t="str">
        <f>_xlfn.XLOOKUP(datos_ventas[[#This Row],[Ciudad]],Tabla2[Ciudades],Tabla2[Provincias],"no se encuentra")</f>
        <v>Madrid</v>
      </c>
      <c r="L4303" t="str">
        <f>_xlfn.XLOOKUP(datos_ventas[[#This Row],[Provincia]],Tabla2[Provincias],Tabla2[Comunidades],"no se encuentra")</f>
        <v>Comunidad de Madrid</v>
      </c>
      <c r="M4303" t="s">
        <v>19</v>
      </c>
      <c r="N4303">
        <v>4</v>
      </c>
    </row>
    <row r="4304" spans="1:14" x14ac:dyDescent="0.25">
      <c r="A4304">
        <v>5303</v>
      </c>
      <c r="B4304" s="1">
        <v>45878</v>
      </c>
      <c r="C4304" s="4">
        <f>MONTH(datos_ventas[[#This Row],[Fecha]])</f>
        <v>8</v>
      </c>
      <c r="D4304" s="4">
        <f>WEEKNUM(datos_ventas[[#This Row],[Fecha]],2)</f>
        <v>32</v>
      </c>
      <c r="E4304" t="s">
        <v>16</v>
      </c>
      <c r="F4304" t="s">
        <v>11</v>
      </c>
      <c r="G4304">
        <v>5</v>
      </c>
      <c r="H4304">
        <v>108775</v>
      </c>
      <c r="I4304">
        <v>379</v>
      </c>
      <c r="J4304" t="s">
        <v>14</v>
      </c>
      <c r="K4304" t="str">
        <f>_xlfn.XLOOKUP(datos_ventas[[#This Row],[Ciudad]],Tabla2[Ciudades],Tabla2[Provincias],"no se encuentra")</f>
        <v>Madrid</v>
      </c>
      <c r="L4304" t="str">
        <f>_xlfn.XLOOKUP(datos_ventas[[#This Row],[Provincia]],Tabla2[Provincias],Tabla2[Comunidades],"no se encuentra")</f>
        <v>Comunidad de Madrid</v>
      </c>
      <c r="M4304" t="s">
        <v>28</v>
      </c>
      <c r="N4304">
        <v>1</v>
      </c>
    </row>
    <row r="4305" spans="1:14" x14ac:dyDescent="0.25">
      <c r="A4305">
        <v>5304</v>
      </c>
      <c r="B4305" s="1">
        <v>45709</v>
      </c>
      <c r="C4305" s="4">
        <f>MONTH(datos_ventas[[#This Row],[Fecha]])</f>
        <v>2</v>
      </c>
      <c r="D4305" s="4">
        <f>WEEKNUM(datos_ventas[[#This Row],[Fecha]],2)</f>
        <v>8</v>
      </c>
      <c r="E4305" t="s">
        <v>16</v>
      </c>
      <c r="F4305" t="s">
        <v>11</v>
      </c>
      <c r="G4305">
        <v>5</v>
      </c>
      <c r="H4305">
        <v>69529</v>
      </c>
      <c r="I4305">
        <v>1119</v>
      </c>
      <c r="J4305" t="s">
        <v>31</v>
      </c>
      <c r="K4305" t="str">
        <f>_xlfn.XLOOKUP(datos_ventas[[#This Row],[Ciudad]],Tabla2[Ciudades],Tabla2[Provincias],"no se encuentra")</f>
        <v>Vizcaya</v>
      </c>
      <c r="L4305" t="str">
        <f>_xlfn.XLOOKUP(datos_ventas[[#This Row],[Provincia]],Tabla2[Provincias],Tabla2[Comunidades],"no se encuentra")</f>
        <v>País Vasco</v>
      </c>
      <c r="M4305" t="s">
        <v>28</v>
      </c>
      <c r="N4305">
        <v>1</v>
      </c>
    </row>
    <row r="4306" spans="1:14" x14ac:dyDescent="0.25">
      <c r="A4306">
        <v>5305</v>
      </c>
      <c r="B4306" s="1">
        <v>45993</v>
      </c>
      <c r="C4306" s="4">
        <f>MONTH(datos_ventas[[#This Row],[Fecha]])</f>
        <v>12</v>
      </c>
      <c r="D4306" s="4">
        <f>WEEKNUM(datos_ventas[[#This Row],[Fecha]],2)</f>
        <v>49</v>
      </c>
      <c r="E4306" t="s">
        <v>29</v>
      </c>
      <c r="F4306" t="s">
        <v>30</v>
      </c>
      <c r="G4306">
        <v>5</v>
      </c>
      <c r="H4306">
        <v>111913</v>
      </c>
      <c r="I4306">
        <v>4733</v>
      </c>
      <c r="J4306" t="s">
        <v>31</v>
      </c>
      <c r="K4306" t="str">
        <f>_xlfn.XLOOKUP(datos_ventas[[#This Row],[Ciudad]],Tabla2[Ciudades],Tabla2[Provincias],"no se encuentra")</f>
        <v>Vizcaya</v>
      </c>
      <c r="L4306" t="str">
        <f>_xlfn.XLOOKUP(datos_ventas[[#This Row],[Provincia]],Tabla2[Provincias],Tabla2[Comunidades],"no se encuentra")</f>
        <v>País Vasco</v>
      </c>
      <c r="M4306" t="s">
        <v>28</v>
      </c>
      <c r="N4306">
        <v>5</v>
      </c>
    </row>
    <row r="4307" spans="1:14" x14ac:dyDescent="0.25">
      <c r="A4307">
        <v>5306</v>
      </c>
      <c r="B4307" s="1">
        <v>45872</v>
      </c>
      <c r="C4307" s="4">
        <f>MONTH(datos_ventas[[#This Row],[Fecha]])</f>
        <v>8</v>
      </c>
      <c r="D4307" s="4">
        <f>WEEKNUM(datos_ventas[[#This Row],[Fecha]],2)</f>
        <v>31</v>
      </c>
      <c r="E4307" t="s">
        <v>23</v>
      </c>
      <c r="F4307" t="s">
        <v>18</v>
      </c>
      <c r="G4307">
        <v>2</v>
      </c>
      <c r="H4307">
        <v>93607</v>
      </c>
      <c r="I4307">
        <v>3227</v>
      </c>
      <c r="J4307" t="s">
        <v>32</v>
      </c>
      <c r="K4307" t="str">
        <f>_xlfn.XLOOKUP(datos_ventas[[#This Row],[Ciudad]],Tabla2[Ciudades],Tabla2[Provincias],"no se encuentra")</f>
        <v>Barcelona</v>
      </c>
      <c r="L4307" t="str">
        <f>_xlfn.XLOOKUP(datos_ventas[[#This Row],[Provincia]],Tabla2[Provincias],Tabla2[Comunidades],"no se encuentra")</f>
        <v>Cataluña</v>
      </c>
      <c r="M4307" t="s">
        <v>13</v>
      </c>
      <c r="N4307">
        <v>3</v>
      </c>
    </row>
    <row r="4308" spans="1:14" x14ac:dyDescent="0.25">
      <c r="A4308">
        <v>5307</v>
      </c>
      <c r="B4308" s="1">
        <v>45748</v>
      </c>
      <c r="C4308" s="4">
        <f>MONTH(datos_ventas[[#This Row],[Fecha]])</f>
        <v>4</v>
      </c>
      <c r="D4308" s="4">
        <f>WEEKNUM(datos_ventas[[#This Row],[Fecha]],2)</f>
        <v>14</v>
      </c>
      <c r="E4308" t="s">
        <v>24</v>
      </c>
      <c r="F4308" t="s">
        <v>25</v>
      </c>
      <c r="G4308">
        <v>1</v>
      </c>
      <c r="H4308">
        <v>111061</v>
      </c>
      <c r="I4308">
        <v>4279</v>
      </c>
      <c r="J4308" t="s">
        <v>14</v>
      </c>
      <c r="K4308" t="str">
        <f>_xlfn.XLOOKUP(datos_ventas[[#This Row],[Ciudad]],Tabla2[Ciudades],Tabla2[Provincias],"no se encuentra")</f>
        <v>Madrid</v>
      </c>
      <c r="L4308" t="str">
        <f>_xlfn.XLOOKUP(datos_ventas[[#This Row],[Provincia]],Tabla2[Provincias],Tabla2[Comunidades],"no se encuentra")</f>
        <v>Comunidad de Madrid</v>
      </c>
      <c r="M4308" t="s">
        <v>28</v>
      </c>
      <c r="N4308">
        <v>2</v>
      </c>
    </row>
    <row r="4309" spans="1:14" x14ac:dyDescent="0.25">
      <c r="A4309">
        <v>5308</v>
      </c>
      <c r="B4309" s="1">
        <v>45796</v>
      </c>
      <c r="C4309" s="4">
        <f>MONTH(datos_ventas[[#This Row],[Fecha]])</f>
        <v>5</v>
      </c>
      <c r="D4309" s="4">
        <f>WEEKNUM(datos_ventas[[#This Row],[Fecha]],2)</f>
        <v>21</v>
      </c>
      <c r="E4309" t="s">
        <v>23</v>
      </c>
      <c r="F4309" t="s">
        <v>18</v>
      </c>
      <c r="G4309">
        <v>5</v>
      </c>
      <c r="H4309">
        <v>34355</v>
      </c>
      <c r="I4309">
        <v>4563</v>
      </c>
      <c r="J4309" t="s">
        <v>22</v>
      </c>
      <c r="K4309" t="str">
        <f>_xlfn.XLOOKUP(datos_ventas[[#This Row],[Ciudad]],Tabla2[Ciudades],Tabla2[Provincias],"no se encuentra")</f>
        <v>Valencia</v>
      </c>
      <c r="L4309" t="str">
        <f>_xlfn.XLOOKUP(datos_ventas[[#This Row],[Provincia]],Tabla2[Provincias],Tabla2[Comunidades],"no se encuentra")</f>
        <v>Comunidad Valenciana</v>
      </c>
      <c r="M4309" t="s">
        <v>28</v>
      </c>
      <c r="N4309">
        <v>1</v>
      </c>
    </row>
    <row r="4310" spans="1:14" x14ac:dyDescent="0.25">
      <c r="A4310">
        <v>5309</v>
      </c>
      <c r="B4310" s="1">
        <v>46011</v>
      </c>
      <c r="C4310" s="4">
        <f>MONTH(datos_ventas[[#This Row],[Fecha]])</f>
        <v>12</v>
      </c>
      <c r="D4310" s="4">
        <f>WEEKNUM(datos_ventas[[#This Row],[Fecha]],2)</f>
        <v>51</v>
      </c>
      <c r="E4310" t="s">
        <v>29</v>
      </c>
      <c r="F4310" t="s">
        <v>30</v>
      </c>
      <c r="G4310">
        <v>1</v>
      </c>
      <c r="H4310">
        <v>96541</v>
      </c>
      <c r="I4310">
        <v>4174</v>
      </c>
      <c r="J4310" t="s">
        <v>32</v>
      </c>
      <c r="K4310" t="str">
        <f>_xlfn.XLOOKUP(datos_ventas[[#This Row],[Ciudad]],Tabla2[Ciudades],Tabla2[Provincias],"no se encuentra")</f>
        <v>Barcelona</v>
      </c>
      <c r="L4310" t="str">
        <f>_xlfn.XLOOKUP(datos_ventas[[#This Row],[Provincia]],Tabla2[Provincias],Tabla2[Comunidades],"no se encuentra")</f>
        <v>Cataluña</v>
      </c>
      <c r="M4310" t="s">
        <v>19</v>
      </c>
      <c r="N4310">
        <v>3</v>
      </c>
    </row>
    <row r="4311" spans="1:14" x14ac:dyDescent="0.25">
      <c r="A4311">
        <v>5310</v>
      </c>
      <c r="B4311" s="1">
        <v>45836</v>
      </c>
      <c r="C4311" s="4">
        <f>MONTH(datos_ventas[[#This Row],[Fecha]])</f>
        <v>6</v>
      </c>
      <c r="D4311" s="4">
        <f>WEEKNUM(datos_ventas[[#This Row],[Fecha]],2)</f>
        <v>26</v>
      </c>
      <c r="E4311" t="s">
        <v>24</v>
      </c>
      <c r="F4311" t="s">
        <v>25</v>
      </c>
      <c r="G4311">
        <v>2</v>
      </c>
      <c r="H4311">
        <v>72174</v>
      </c>
      <c r="I4311">
        <v>3373</v>
      </c>
      <c r="J4311" t="s">
        <v>32</v>
      </c>
      <c r="K4311" t="str">
        <f>_xlfn.XLOOKUP(datos_ventas[[#This Row],[Ciudad]],Tabla2[Ciudades],Tabla2[Provincias],"no se encuentra")</f>
        <v>Barcelona</v>
      </c>
      <c r="L4311" t="str">
        <f>_xlfn.XLOOKUP(datos_ventas[[#This Row],[Provincia]],Tabla2[Provincias],Tabla2[Comunidades],"no se encuentra")</f>
        <v>Cataluña</v>
      </c>
      <c r="M4311" t="s">
        <v>15</v>
      </c>
      <c r="N4311">
        <v>1</v>
      </c>
    </row>
    <row r="4312" spans="1:14" x14ac:dyDescent="0.25">
      <c r="A4312">
        <v>5311</v>
      </c>
      <c r="B4312" s="1">
        <v>45810</v>
      </c>
      <c r="C4312" s="4">
        <f>MONTH(datos_ventas[[#This Row],[Fecha]])</f>
        <v>6</v>
      </c>
      <c r="D4312" s="4">
        <f>WEEKNUM(datos_ventas[[#This Row],[Fecha]],2)</f>
        <v>23</v>
      </c>
      <c r="E4312" t="s">
        <v>17</v>
      </c>
      <c r="F4312" t="s">
        <v>18</v>
      </c>
      <c r="G4312">
        <v>2</v>
      </c>
      <c r="H4312">
        <v>100952</v>
      </c>
      <c r="I4312">
        <v>3015</v>
      </c>
      <c r="J4312" t="s">
        <v>22</v>
      </c>
      <c r="K4312" t="str">
        <f>_xlfn.XLOOKUP(datos_ventas[[#This Row],[Ciudad]],Tabla2[Ciudades],Tabla2[Provincias],"no se encuentra")</f>
        <v>Valencia</v>
      </c>
      <c r="L4312" t="str">
        <f>_xlfn.XLOOKUP(datos_ventas[[#This Row],[Provincia]],Tabla2[Provincias],Tabla2[Comunidades],"no se encuentra")</f>
        <v>Comunidad Valenciana</v>
      </c>
      <c r="M4312" t="s">
        <v>15</v>
      </c>
      <c r="N4312">
        <v>4</v>
      </c>
    </row>
    <row r="4313" spans="1:14" x14ac:dyDescent="0.25">
      <c r="A4313">
        <v>5312</v>
      </c>
      <c r="B4313" s="1">
        <v>45967</v>
      </c>
      <c r="C4313" s="4">
        <f>MONTH(datos_ventas[[#This Row],[Fecha]])</f>
        <v>11</v>
      </c>
      <c r="D4313" s="4">
        <f>WEEKNUM(datos_ventas[[#This Row],[Fecha]],2)</f>
        <v>45</v>
      </c>
      <c r="E4313" t="s">
        <v>20</v>
      </c>
      <c r="F4313" t="s">
        <v>21</v>
      </c>
      <c r="G4313">
        <v>4</v>
      </c>
      <c r="H4313">
        <v>26715</v>
      </c>
      <c r="I4313">
        <v>2542</v>
      </c>
      <c r="J4313" t="s">
        <v>22</v>
      </c>
      <c r="K4313" t="str">
        <f>_xlfn.XLOOKUP(datos_ventas[[#This Row],[Ciudad]],Tabla2[Ciudades],Tabla2[Provincias],"no se encuentra")</f>
        <v>Valencia</v>
      </c>
      <c r="L4313" t="str">
        <f>_xlfn.XLOOKUP(datos_ventas[[#This Row],[Provincia]],Tabla2[Provincias],Tabla2[Comunidades],"no se encuentra")</f>
        <v>Comunidad Valenciana</v>
      </c>
      <c r="M4313" t="s">
        <v>19</v>
      </c>
      <c r="N4313">
        <v>2</v>
      </c>
    </row>
    <row r="4314" spans="1:14" x14ac:dyDescent="0.25">
      <c r="A4314">
        <v>5313</v>
      </c>
      <c r="B4314" s="1">
        <v>45679</v>
      </c>
      <c r="C4314" s="4">
        <f>MONTH(datos_ventas[[#This Row],[Fecha]])</f>
        <v>1</v>
      </c>
      <c r="D4314" s="4">
        <f>WEEKNUM(datos_ventas[[#This Row],[Fecha]],2)</f>
        <v>4</v>
      </c>
      <c r="E4314" t="s">
        <v>26</v>
      </c>
      <c r="F4314" t="s">
        <v>18</v>
      </c>
      <c r="G4314">
        <v>5</v>
      </c>
      <c r="H4314">
        <v>52605</v>
      </c>
      <c r="I4314">
        <v>2844</v>
      </c>
      <c r="J4314" t="s">
        <v>22</v>
      </c>
      <c r="K4314" t="str">
        <f>_xlfn.XLOOKUP(datos_ventas[[#This Row],[Ciudad]],Tabla2[Ciudades],Tabla2[Provincias],"no se encuentra")</f>
        <v>Valencia</v>
      </c>
      <c r="L4314" t="str">
        <f>_xlfn.XLOOKUP(datos_ventas[[#This Row],[Provincia]],Tabla2[Provincias],Tabla2[Comunidades],"no se encuentra")</f>
        <v>Comunidad Valenciana</v>
      </c>
      <c r="M4314" t="s">
        <v>13</v>
      </c>
      <c r="N4314">
        <v>2</v>
      </c>
    </row>
    <row r="4315" spans="1:14" x14ac:dyDescent="0.25">
      <c r="A4315">
        <v>5314</v>
      </c>
      <c r="B4315" s="1">
        <v>46001</v>
      </c>
      <c r="C4315" s="4">
        <f>MONTH(datos_ventas[[#This Row],[Fecha]])</f>
        <v>12</v>
      </c>
      <c r="D4315" s="4">
        <f>WEEKNUM(datos_ventas[[#This Row],[Fecha]],2)</f>
        <v>50</v>
      </c>
      <c r="E4315" t="s">
        <v>16</v>
      </c>
      <c r="F4315" t="s">
        <v>11</v>
      </c>
      <c r="G4315">
        <v>1</v>
      </c>
      <c r="H4315">
        <v>112152</v>
      </c>
      <c r="I4315">
        <v>2421</v>
      </c>
      <c r="J4315" t="s">
        <v>12</v>
      </c>
      <c r="K4315" t="str">
        <f>_xlfn.XLOOKUP(datos_ventas[[#This Row],[Ciudad]],Tabla2[Ciudades],Tabla2[Provincias],"no se encuentra")</f>
        <v>Málaga</v>
      </c>
      <c r="L4315" t="str">
        <f>_xlfn.XLOOKUP(datos_ventas[[#This Row],[Provincia]],Tabla2[Provincias],Tabla2[Comunidades],"no se encuentra")</f>
        <v>Andalucía</v>
      </c>
      <c r="M4315" t="s">
        <v>15</v>
      </c>
      <c r="N4315">
        <v>5</v>
      </c>
    </row>
    <row r="4316" spans="1:14" x14ac:dyDescent="0.25">
      <c r="A4316">
        <v>5315</v>
      </c>
      <c r="B4316" s="1">
        <v>45879</v>
      </c>
      <c r="C4316" s="4">
        <f>MONTH(datos_ventas[[#This Row],[Fecha]])</f>
        <v>8</v>
      </c>
      <c r="D4316" s="4">
        <f>WEEKNUM(datos_ventas[[#This Row],[Fecha]],2)</f>
        <v>32</v>
      </c>
      <c r="E4316" t="s">
        <v>24</v>
      </c>
      <c r="F4316" t="s">
        <v>25</v>
      </c>
      <c r="G4316">
        <v>5</v>
      </c>
      <c r="H4316">
        <v>28484</v>
      </c>
      <c r="I4316">
        <v>3222</v>
      </c>
      <c r="J4316" t="s">
        <v>22</v>
      </c>
      <c r="K4316" t="str">
        <f>_xlfn.XLOOKUP(datos_ventas[[#This Row],[Ciudad]],Tabla2[Ciudades],Tabla2[Provincias],"no se encuentra")</f>
        <v>Valencia</v>
      </c>
      <c r="L4316" t="str">
        <f>_xlfn.XLOOKUP(datos_ventas[[#This Row],[Provincia]],Tabla2[Provincias],Tabla2[Comunidades],"no se encuentra")</f>
        <v>Comunidad Valenciana</v>
      </c>
      <c r="M4316" t="s">
        <v>19</v>
      </c>
      <c r="N4316">
        <v>2</v>
      </c>
    </row>
    <row r="4317" spans="1:14" x14ac:dyDescent="0.25">
      <c r="A4317">
        <v>5316</v>
      </c>
      <c r="B4317" s="1">
        <v>45961</v>
      </c>
      <c r="C4317" s="4">
        <f>MONTH(datos_ventas[[#This Row],[Fecha]])</f>
        <v>10</v>
      </c>
      <c r="D4317" s="4">
        <f>WEEKNUM(datos_ventas[[#This Row],[Fecha]],2)</f>
        <v>44</v>
      </c>
      <c r="E4317" t="s">
        <v>26</v>
      </c>
      <c r="F4317" t="s">
        <v>18</v>
      </c>
      <c r="G4317">
        <v>4</v>
      </c>
      <c r="H4317">
        <v>93163</v>
      </c>
      <c r="I4317">
        <v>2269</v>
      </c>
      <c r="J4317" t="s">
        <v>14</v>
      </c>
      <c r="K4317" t="str">
        <f>_xlfn.XLOOKUP(datos_ventas[[#This Row],[Ciudad]],Tabla2[Ciudades],Tabla2[Provincias],"no se encuentra")</f>
        <v>Madrid</v>
      </c>
      <c r="L4317" t="str">
        <f>_xlfn.XLOOKUP(datos_ventas[[#This Row],[Provincia]],Tabla2[Provincias],Tabla2[Comunidades],"no se encuentra")</f>
        <v>Comunidad de Madrid</v>
      </c>
      <c r="M4317" t="s">
        <v>28</v>
      </c>
      <c r="N4317">
        <v>5</v>
      </c>
    </row>
    <row r="4318" spans="1:14" x14ac:dyDescent="0.25">
      <c r="A4318">
        <v>5317</v>
      </c>
      <c r="B4318" s="1">
        <v>45781</v>
      </c>
      <c r="C4318" s="4">
        <f>MONTH(datos_ventas[[#This Row],[Fecha]])</f>
        <v>5</v>
      </c>
      <c r="D4318" s="4">
        <f>WEEKNUM(datos_ventas[[#This Row],[Fecha]],2)</f>
        <v>18</v>
      </c>
      <c r="E4318" t="s">
        <v>26</v>
      </c>
      <c r="F4318" t="s">
        <v>18</v>
      </c>
      <c r="G4318">
        <v>1</v>
      </c>
      <c r="H4318">
        <v>63427</v>
      </c>
      <c r="I4318">
        <v>3124</v>
      </c>
      <c r="J4318" t="s">
        <v>12</v>
      </c>
      <c r="K4318" t="str">
        <f>_xlfn.XLOOKUP(datos_ventas[[#This Row],[Ciudad]],Tabla2[Ciudades],Tabla2[Provincias],"no se encuentra")</f>
        <v>Málaga</v>
      </c>
      <c r="L4318" t="str">
        <f>_xlfn.XLOOKUP(datos_ventas[[#This Row],[Provincia]],Tabla2[Provincias],Tabla2[Comunidades],"no se encuentra")</f>
        <v>Andalucía</v>
      </c>
      <c r="M4318" t="s">
        <v>19</v>
      </c>
      <c r="N4318">
        <v>3</v>
      </c>
    </row>
    <row r="4319" spans="1:14" x14ac:dyDescent="0.25">
      <c r="A4319">
        <v>5318</v>
      </c>
      <c r="B4319" s="1">
        <v>45920</v>
      </c>
      <c r="C4319" s="4">
        <f>MONTH(datos_ventas[[#This Row],[Fecha]])</f>
        <v>9</v>
      </c>
      <c r="D4319" s="4">
        <f>WEEKNUM(datos_ventas[[#This Row],[Fecha]],2)</f>
        <v>38</v>
      </c>
      <c r="E4319" t="s">
        <v>23</v>
      </c>
      <c r="F4319" t="s">
        <v>18</v>
      </c>
      <c r="G4319">
        <v>5</v>
      </c>
      <c r="H4319">
        <v>84602</v>
      </c>
      <c r="I4319">
        <v>761</v>
      </c>
      <c r="J4319" t="s">
        <v>32</v>
      </c>
      <c r="K4319" t="str">
        <f>_xlfn.XLOOKUP(datos_ventas[[#This Row],[Ciudad]],Tabla2[Ciudades],Tabla2[Provincias],"no se encuentra")</f>
        <v>Barcelona</v>
      </c>
      <c r="L4319" t="str">
        <f>_xlfn.XLOOKUP(datos_ventas[[#This Row],[Provincia]],Tabla2[Provincias],Tabla2[Comunidades],"no se encuentra")</f>
        <v>Cataluña</v>
      </c>
      <c r="M4319" t="s">
        <v>13</v>
      </c>
      <c r="N4319">
        <v>1</v>
      </c>
    </row>
    <row r="4320" spans="1:14" x14ac:dyDescent="0.25">
      <c r="A4320">
        <v>5319</v>
      </c>
      <c r="B4320" s="1">
        <v>45709</v>
      </c>
      <c r="C4320" s="4">
        <f>MONTH(datos_ventas[[#This Row],[Fecha]])</f>
        <v>2</v>
      </c>
      <c r="D4320" s="4">
        <f>WEEKNUM(datos_ventas[[#This Row],[Fecha]],2)</f>
        <v>8</v>
      </c>
      <c r="E4320" t="s">
        <v>17</v>
      </c>
      <c r="F4320" t="s">
        <v>18</v>
      </c>
      <c r="G4320">
        <v>5</v>
      </c>
      <c r="H4320">
        <v>109059</v>
      </c>
      <c r="I4320">
        <v>4624</v>
      </c>
      <c r="J4320" t="s">
        <v>32</v>
      </c>
      <c r="K4320" t="str">
        <f>_xlfn.XLOOKUP(datos_ventas[[#This Row],[Ciudad]],Tabla2[Ciudades],Tabla2[Provincias],"no se encuentra")</f>
        <v>Barcelona</v>
      </c>
      <c r="L4320" t="str">
        <f>_xlfn.XLOOKUP(datos_ventas[[#This Row],[Provincia]],Tabla2[Provincias],Tabla2[Comunidades],"no se encuentra")</f>
        <v>Cataluña</v>
      </c>
      <c r="M4320" t="s">
        <v>15</v>
      </c>
      <c r="N4320">
        <v>1</v>
      </c>
    </row>
    <row r="4321" spans="1:14" x14ac:dyDescent="0.25">
      <c r="A4321">
        <v>5320</v>
      </c>
      <c r="B4321" s="1">
        <v>45721</v>
      </c>
      <c r="C4321" s="4">
        <f>MONTH(datos_ventas[[#This Row],[Fecha]])</f>
        <v>3</v>
      </c>
      <c r="D4321" s="4">
        <f>WEEKNUM(datos_ventas[[#This Row],[Fecha]],2)</f>
        <v>10</v>
      </c>
      <c r="E4321" t="s">
        <v>20</v>
      </c>
      <c r="F4321" t="s">
        <v>21</v>
      </c>
      <c r="G4321">
        <v>2</v>
      </c>
      <c r="H4321">
        <v>58461</v>
      </c>
      <c r="I4321">
        <v>3049</v>
      </c>
      <c r="J4321" t="s">
        <v>32</v>
      </c>
      <c r="K4321" t="str">
        <f>_xlfn.XLOOKUP(datos_ventas[[#This Row],[Ciudad]],Tabla2[Ciudades],Tabla2[Provincias],"no se encuentra")</f>
        <v>Barcelona</v>
      </c>
      <c r="L4321" t="str">
        <f>_xlfn.XLOOKUP(datos_ventas[[#This Row],[Provincia]],Tabla2[Provincias],Tabla2[Comunidades],"no se encuentra")</f>
        <v>Cataluña</v>
      </c>
      <c r="M4321" t="s">
        <v>19</v>
      </c>
      <c r="N4321">
        <v>4</v>
      </c>
    </row>
    <row r="4322" spans="1:14" x14ac:dyDescent="0.25">
      <c r="A4322">
        <v>5321</v>
      </c>
      <c r="B4322" s="1">
        <v>45682</v>
      </c>
      <c r="C4322" s="4">
        <f>MONTH(datos_ventas[[#This Row],[Fecha]])</f>
        <v>1</v>
      </c>
      <c r="D4322" s="4">
        <f>WEEKNUM(datos_ventas[[#This Row],[Fecha]],2)</f>
        <v>4</v>
      </c>
      <c r="E4322" t="s">
        <v>17</v>
      </c>
      <c r="F4322" t="s">
        <v>18</v>
      </c>
      <c r="G4322">
        <v>4</v>
      </c>
      <c r="H4322">
        <v>245</v>
      </c>
      <c r="I4322">
        <v>2027</v>
      </c>
      <c r="J4322" t="s">
        <v>12</v>
      </c>
      <c r="K4322" t="str">
        <f>_xlfn.XLOOKUP(datos_ventas[[#This Row],[Ciudad]],Tabla2[Ciudades],Tabla2[Provincias],"no se encuentra")</f>
        <v>Málaga</v>
      </c>
      <c r="L4322" t="str">
        <f>_xlfn.XLOOKUP(datos_ventas[[#This Row],[Provincia]],Tabla2[Provincias],Tabla2[Comunidades],"no se encuentra")</f>
        <v>Andalucía</v>
      </c>
      <c r="M4322" t="s">
        <v>19</v>
      </c>
      <c r="N4322">
        <v>2</v>
      </c>
    </row>
    <row r="4323" spans="1:14" x14ac:dyDescent="0.25">
      <c r="A4323">
        <v>5322</v>
      </c>
      <c r="B4323" s="1">
        <v>46002</v>
      </c>
      <c r="C4323" s="4">
        <f>MONTH(datos_ventas[[#This Row],[Fecha]])</f>
        <v>12</v>
      </c>
      <c r="D4323" s="4">
        <f>WEEKNUM(datos_ventas[[#This Row],[Fecha]],2)</f>
        <v>50</v>
      </c>
      <c r="E4323" t="s">
        <v>10</v>
      </c>
      <c r="F4323" t="s">
        <v>11</v>
      </c>
      <c r="G4323">
        <v>1</v>
      </c>
      <c r="H4323">
        <v>2491</v>
      </c>
      <c r="I4323">
        <v>689</v>
      </c>
      <c r="J4323" t="s">
        <v>32</v>
      </c>
      <c r="K4323" t="str">
        <f>_xlfn.XLOOKUP(datos_ventas[[#This Row],[Ciudad]],Tabla2[Ciudades],Tabla2[Provincias],"no se encuentra")</f>
        <v>Barcelona</v>
      </c>
      <c r="L4323" t="str">
        <f>_xlfn.XLOOKUP(datos_ventas[[#This Row],[Provincia]],Tabla2[Provincias],Tabla2[Comunidades],"no se encuentra")</f>
        <v>Cataluña</v>
      </c>
      <c r="M4323" t="s">
        <v>28</v>
      </c>
      <c r="N4323">
        <v>1</v>
      </c>
    </row>
    <row r="4324" spans="1:14" x14ac:dyDescent="0.25">
      <c r="A4324">
        <v>5323</v>
      </c>
      <c r="B4324" s="1">
        <v>45748</v>
      </c>
      <c r="C4324" s="4">
        <f>MONTH(datos_ventas[[#This Row],[Fecha]])</f>
        <v>4</v>
      </c>
      <c r="D4324" s="4">
        <f>WEEKNUM(datos_ventas[[#This Row],[Fecha]],2)</f>
        <v>14</v>
      </c>
      <c r="E4324" t="s">
        <v>20</v>
      </c>
      <c r="F4324" t="s">
        <v>21</v>
      </c>
      <c r="G4324">
        <v>4</v>
      </c>
      <c r="H4324">
        <v>8157</v>
      </c>
      <c r="I4324">
        <v>4922</v>
      </c>
      <c r="J4324" t="s">
        <v>22</v>
      </c>
      <c r="K4324" t="str">
        <f>_xlfn.XLOOKUP(datos_ventas[[#This Row],[Ciudad]],Tabla2[Ciudades],Tabla2[Provincias],"no se encuentra")</f>
        <v>Valencia</v>
      </c>
      <c r="L4324" t="str">
        <f>_xlfn.XLOOKUP(datos_ventas[[#This Row],[Provincia]],Tabla2[Provincias],Tabla2[Comunidades],"no se encuentra")</f>
        <v>Comunidad Valenciana</v>
      </c>
      <c r="M4324" t="s">
        <v>28</v>
      </c>
      <c r="N4324">
        <v>1</v>
      </c>
    </row>
    <row r="4325" spans="1:14" x14ac:dyDescent="0.25">
      <c r="A4325">
        <v>5324</v>
      </c>
      <c r="B4325" s="1">
        <v>45664</v>
      </c>
      <c r="C4325" s="4">
        <f>MONTH(datos_ventas[[#This Row],[Fecha]])</f>
        <v>1</v>
      </c>
      <c r="D4325" s="4">
        <f>WEEKNUM(datos_ventas[[#This Row],[Fecha]],2)</f>
        <v>2</v>
      </c>
      <c r="E4325" t="s">
        <v>17</v>
      </c>
      <c r="F4325" t="s">
        <v>18</v>
      </c>
      <c r="G4325">
        <v>1</v>
      </c>
      <c r="H4325">
        <v>11936</v>
      </c>
      <c r="I4325">
        <v>2724</v>
      </c>
      <c r="J4325" t="s">
        <v>27</v>
      </c>
      <c r="K4325" t="str">
        <f>_xlfn.XLOOKUP(datos_ventas[[#This Row],[Ciudad]],Tabla2[Ciudades],Tabla2[Provincias],"no se encuentra")</f>
        <v>Sevilla</v>
      </c>
      <c r="L4325" t="str">
        <f>_xlfn.XLOOKUP(datos_ventas[[#This Row],[Provincia]],Tabla2[Provincias],Tabla2[Comunidades],"no se encuentra")</f>
        <v>Andalucía</v>
      </c>
      <c r="M4325" t="s">
        <v>15</v>
      </c>
      <c r="N4325">
        <v>3</v>
      </c>
    </row>
    <row r="4326" spans="1:14" x14ac:dyDescent="0.25">
      <c r="A4326">
        <v>5325</v>
      </c>
      <c r="B4326" s="1">
        <v>45700</v>
      </c>
      <c r="C4326" s="4">
        <f>MONTH(datos_ventas[[#This Row],[Fecha]])</f>
        <v>2</v>
      </c>
      <c r="D4326" s="4">
        <f>WEEKNUM(datos_ventas[[#This Row],[Fecha]],2)</f>
        <v>7</v>
      </c>
      <c r="E4326" t="s">
        <v>10</v>
      </c>
      <c r="F4326" t="s">
        <v>11</v>
      </c>
      <c r="G4326">
        <v>5</v>
      </c>
      <c r="H4326">
        <v>71723</v>
      </c>
      <c r="I4326">
        <v>4204</v>
      </c>
      <c r="J4326" t="s">
        <v>31</v>
      </c>
      <c r="K4326" t="str">
        <f>_xlfn.XLOOKUP(datos_ventas[[#This Row],[Ciudad]],Tabla2[Ciudades],Tabla2[Provincias],"no se encuentra")</f>
        <v>Vizcaya</v>
      </c>
      <c r="L4326" t="str">
        <f>_xlfn.XLOOKUP(datos_ventas[[#This Row],[Provincia]],Tabla2[Provincias],Tabla2[Comunidades],"no se encuentra")</f>
        <v>País Vasco</v>
      </c>
      <c r="M4326" t="s">
        <v>19</v>
      </c>
      <c r="N4326">
        <v>4</v>
      </c>
    </row>
    <row r="4327" spans="1:14" x14ac:dyDescent="0.25">
      <c r="A4327">
        <v>5326</v>
      </c>
      <c r="B4327" s="1">
        <v>45781</v>
      </c>
      <c r="C4327" s="4">
        <f>MONTH(datos_ventas[[#This Row],[Fecha]])</f>
        <v>5</v>
      </c>
      <c r="D4327" s="4">
        <f>WEEKNUM(datos_ventas[[#This Row],[Fecha]],2)</f>
        <v>18</v>
      </c>
      <c r="E4327" t="s">
        <v>26</v>
      </c>
      <c r="F4327" t="s">
        <v>18</v>
      </c>
      <c r="G4327">
        <v>1</v>
      </c>
      <c r="H4327">
        <v>10226</v>
      </c>
      <c r="I4327">
        <v>3475</v>
      </c>
      <c r="J4327" t="s">
        <v>12</v>
      </c>
      <c r="K4327" t="str">
        <f>_xlfn.XLOOKUP(datos_ventas[[#This Row],[Ciudad]],Tabla2[Ciudades],Tabla2[Provincias],"no se encuentra")</f>
        <v>Málaga</v>
      </c>
      <c r="L4327" t="str">
        <f>_xlfn.XLOOKUP(datos_ventas[[#This Row],[Provincia]],Tabla2[Provincias],Tabla2[Comunidades],"no se encuentra")</f>
        <v>Andalucía</v>
      </c>
      <c r="M4327" t="s">
        <v>15</v>
      </c>
      <c r="N4327">
        <v>2</v>
      </c>
    </row>
    <row r="4328" spans="1:14" x14ac:dyDescent="0.25">
      <c r="A4328">
        <v>5327</v>
      </c>
      <c r="B4328" s="1">
        <v>45978</v>
      </c>
      <c r="C4328" s="4">
        <f>MONTH(datos_ventas[[#This Row],[Fecha]])</f>
        <v>11</v>
      </c>
      <c r="D4328" s="4">
        <f>WEEKNUM(datos_ventas[[#This Row],[Fecha]],2)</f>
        <v>47</v>
      </c>
      <c r="E4328" t="s">
        <v>16</v>
      </c>
      <c r="F4328" t="s">
        <v>11</v>
      </c>
      <c r="G4328">
        <v>3</v>
      </c>
      <c r="H4328">
        <v>102882</v>
      </c>
      <c r="I4328">
        <v>1403</v>
      </c>
      <c r="J4328" t="s">
        <v>12</v>
      </c>
      <c r="K4328" t="str">
        <f>_xlfn.XLOOKUP(datos_ventas[[#This Row],[Ciudad]],Tabla2[Ciudades],Tabla2[Provincias],"no se encuentra")</f>
        <v>Málaga</v>
      </c>
      <c r="L4328" t="str">
        <f>_xlfn.XLOOKUP(datos_ventas[[#This Row],[Provincia]],Tabla2[Provincias],Tabla2[Comunidades],"no se encuentra")</f>
        <v>Andalucía</v>
      </c>
      <c r="M4328" t="s">
        <v>13</v>
      </c>
      <c r="N4328">
        <v>3</v>
      </c>
    </row>
    <row r="4329" spans="1:14" x14ac:dyDescent="0.25">
      <c r="A4329">
        <v>5328</v>
      </c>
      <c r="B4329" s="1">
        <v>45660</v>
      </c>
      <c r="C4329" s="4">
        <f>MONTH(datos_ventas[[#This Row],[Fecha]])</f>
        <v>1</v>
      </c>
      <c r="D4329" s="4">
        <f>WEEKNUM(datos_ventas[[#This Row],[Fecha]],2)</f>
        <v>1</v>
      </c>
      <c r="E4329" t="s">
        <v>17</v>
      </c>
      <c r="F4329" t="s">
        <v>18</v>
      </c>
      <c r="G4329">
        <v>1</v>
      </c>
      <c r="H4329">
        <v>3577</v>
      </c>
      <c r="I4329">
        <v>2132</v>
      </c>
      <c r="J4329" t="s">
        <v>22</v>
      </c>
      <c r="K4329" t="str">
        <f>_xlfn.XLOOKUP(datos_ventas[[#This Row],[Ciudad]],Tabla2[Ciudades],Tabla2[Provincias],"no se encuentra")</f>
        <v>Valencia</v>
      </c>
      <c r="L4329" t="str">
        <f>_xlfn.XLOOKUP(datos_ventas[[#This Row],[Provincia]],Tabla2[Provincias],Tabla2[Comunidades],"no se encuentra")</f>
        <v>Comunidad Valenciana</v>
      </c>
      <c r="M4329" t="s">
        <v>19</v>
      </c>
      <c r="N4329">
        <v>4</v>
      </c>
    </row>
    <row r="4330" spans="1:14" x14ac:dyDescent="0.25">
      <c r="A4330">
        <v>5329</v>
      </c>
      <c r="B4330" s="1">
        <v>45724</v>
      </c>
      <c r="C4330" s="4">
        <f>MONTH(datos_ventas[[#This Row],[Fecha]])</f>
        <v>3</v>
      </c>
      <c r="D4330" s="4">
        <f>WEEKNUM(datos_ventas[[#This Row],[Fecha]],2)</f>
        <v>10</v>
      </c>
      <c r="E4330" t="s">
        <v>29</v>
      </c>
      <c r="F4330" t="s">
        <v>30</v>
      </c>
      <c r="G4330">
        <v>4</v>
      </c>
      <c r="H4330">
        <v>86967</v>
      </c>
      <c r="I4330">
        <v>481</v>
      </c>
      <c r="J4330" t="s">
        <v>14</v>
      </c>
      <c r="K4330" t="str">
        <f>_xlfn.XLOOKUP(datos_ventas[[#This Row],[Ciudad]],Tabla2[Ciudades],Tabla2[Provincias],"no se encuentra")</f>
        <v>Madrid</v>
      </c>
      <c r="L4330" t="str">
        <f>_xlfn.XLOOKUP(datos_ventas[[#This Row],[Provincia]],Tabla2[Provincias],Tabla2[Comunidades],"no se encuentra")</f>
        <v>Comunidad de Madrid</v>
      </c>
      <c r="M4330" t="s">
        <v>15</v>
      </c>
      <c r="N4330">
        <v>3</v>
      </c>
    </row>
    <row r="4331" spans="1:14" x14ac:dyDescent="0.25">
      <c r="A4331">
        <v>5330</v>
      </c>
      <c r="B4331" s="1">
        <v>45809</v>
      </c>
      <c r="C4331" s="4">
        <f>MONTH(datos_ventas[[#This Row],[Fecha]])</f>
        <v>6</v>
      </c>
      <c r="D4331" s="4">
        <f>WEEKNUM(datos_ventas[[#This Row],[Fecha]],2)</f>
        <v>22</v>
      </c>
      <c r="E4331" t="s">
        <v>17</v>
      </c>
      <c r="F4331" t="s">
        <v>18</v>
      </c>
      <c r="G4331">
        <v>5</v>
      </c>
      <c r="H4331">
        <v>89809</v>
      </c>
      <c r="I4331">
        <v>4759</v>
      </c>
      <c r="J4331" t="s">
        <v>12</v>
      </c>
      <c r="K4331" t="str">
        <f>_xlfn.XLOOKUP(datos_ventas[[#This Row],[Ciudad]],Tabla2[Ciudades],Tabla2[Provincias],"no se encuentra")</f>
        <v>Málaga</v>
      </c>
      <c r="L4331" t="str">
        <f>_xlfn.XLOOKUP(datos_ventas[[#This Row],[Provincia]],Tabla2[Provincias],Tabla2[Comunidades],"no se encuentra")</f>
        <v>Andalucía</v>
      </c>
      <c r="M4331" t="s">
        <v>28</v>
      </c>
      <c r="N4331">
        <v>2</v>
      </c>
    </row>
    <row r="4332" spans="1:14" x14ac:dyDescent="0.25">
      <c r="A4332">
        <v>5331</v>
      </c>
      <c r="B4332" s="1">
        <v>45837</v>
      </c>
      <c r="C4332" s="4">
        <f>MONTH(datos_ventas[[#This Row],[Fecha]])</f>
        <v>6</v>
      </c>
      <c r="D4332" s="4">
        <f>WEEKNUM(datos_ventas[[#This Row],[Fecha]],2)</f>
        <v>26</v>
      </c>
      <c r="E4332" t="s">
        <v>20</v>
      </c>
      <c r="F4332" t="s">
        <v>21</v>
      </c>
      <c r="G4332">
        <v>3</v>
      </c>
      <c r="H4332">
        <v>53464</v>
      </c>
      <c r="I4332">
        <v>1423</v>
      </c>
      <c r="J4332" t="s">
        <v>32</v>
      </c>
      <c r="K4332" t="str">
        <f>_xlfn.XLOOKUP(datos_ventas[[#This Row],[Ciudad]],Tabla2[Ciudades],Tabla2[Provincias],"no se encuentra")</f>
        <v>Barcelona</v>
      </c>
      <c r="L4332" t="str">
        <f>_xlfn.XLOOKUP(datos_ventas[[#This Row],[Provincia]],Tabla2[Provincias],Tabla2[Comunidades],"no se encuentra")</f>
        <v>Cataluña</v>
      </c>
      <c r="M4332" t="s">
        <v>19</v>
      </c>
      <c r="N4332">
        <v>3</v>
      </c>
    </row>
    <row r="4333" spans="1:14" x14ac:dyDescent="0.25">
      <c r="A4333">
        <v>5332</v>
      </c>
      <c r="B4333" s="1">
        <v>46008</v>
      </c>
      <c r="C4333" s="4">
        <f>MONTH(datos_ventas[[#This Row],[Fecha]])</f>
        <v>12</v>
      </c>
      <c r="D4333" s="4">
        <f>WEEKNUM(datos_ventas[[#This Row],[Fecha]],2)</f>
        <v>51</v>
      </c>
      <c r="E4333" t="s">
        <v>20</v>
      </c>
      <c r="F4333" t="s">
        <v>21</v>
      </c>
      <c r="G4333">
        <v>4</v>
      </c>
      <c r="H4333">
        <v>73556</v>
      </c>
      <c r="I4333">
        <v>2666</v>
      </c>
      <c r="J4333" t="s">
        <v>31</v>
      </c>
      <c r="K4333" t="str">
        <f>_xlfn.XLOOKUP(datos_ventas[[#This Row],[Ciudad]],Tabla2[Ciudades],Tabla2[Provincias],"no se encuentra")</f>
        <v>Vizcaya</v>
      </c>
      <c r="L4333" t="str">
        <f>_xlfn.XLOOKUP(datos_ventas[[#This Row],[Provincia]],Tabla2[Provincias],Tabla2[Comunidades],"no se encuentra")</f>
        <v>País Vasco</v>
      </c>
      <c r="M4333" t="s">
        <v>15</v>
      </c>
      <c r="N4333">
        <v>5</v>
      </c>
    </row>
    <row r="4334" spans="1:14" x14ac:dyDescent="0.25">
      <c r="A4334">
        <v>5333</v>
      </c>
      <c r="B4334" s="1">
        <v>46021</v>
      </c>
      <c r="C4334" s="4">
        <f>MONTH(datos_ventas[[#This Row],[Fecha]])</f>
        <v>12</v>
      </c>
      <c r="D4334" s="4">
        <f>WEEKNUM(datos_ventas[[#This Row],[Fecha]],2)</f>
        <v>53</v>
      </c>
      <c r="E4334" t="s">
        <v>16</v>
      </c>
      <c r="F4334" t="s">
        <v>11</v>
      </c>
      <c r="G4334">
        <v>3</v>
      </c>
      <c r="H4334">
        <v>114312</v>
      </c>
      <c r="I4334">
        <v>3535</v>
      </c>
      <c r="J4334" t="s">
        <v>12</v>
      </c>
      <c r="K4334" t="str">
        <f>_xlfn.XLOOKUP(datos_ventas[[#This Row],[Ciudad]],Tabla2[Ciudades],Tabla2[Provincias],"no se encuentra")</f>
        <v>Málaga</v>
      </c>
      <c r="L4334" t="str">
        <f>_xlfn.XLOOKUP(datos_ventas[[#This Row],[Provincia]],Tabla2[Provincias],Tabla2[Comunidades],"no se encuentra")</f>
        <v>Andalucía</v>
      </c>
      <c r="M4334" t="s">
        <v>15</v>
      </c>
      <c r="N4334">
        <v>5</v>
      </c>
    </row>
    <row r="4335" spans="1:14" x14ac:dyDescent="0.25">
      <c r="A4335">
        <v>5334</v>
      </c>
      <c r="B4335" s="1">
        <v>45791</v>
      </c>
      <c r="C4335" s="4">
        <f>MONTH(datos_ventas[[#This Row],[Fecha]])</f>
        <v>5</v>
      </c>
      <c r="D4335" s="4">
        <f>WEEKNUM(datos_ventas[[#This Row],[Fecha]],2)</f>
        <v>20</v>
      </c>
      <c r="E4335" t="s">
        <v>17</v>
      </c>
      <c r="F4335" t="s">
        <v>18</v>
      </c>
      <c r="G4335">
        <v>3</v>
      </c>
      <c r="H4335">
        <v>39712</v>
      </c>
      <c r="I4335">
        <v>3837</v>
      </c>
      <c r="J4335" t="s">
        <v>31</v>
      </c>
      <c r="K4335" t="str">
        <f>_xlfn.XLOOKUP(datos_ventas[[#This Row],[Ciudad]],Tabla2[Ciudades],Tabla2[Provincias],"no se encuentra")</f>
        <v>Vizcaya</v>
      </c>
      <c r="L4335" t="str">
        <f>_xlfn.XLOOKUP(datos_ventas[[#This Row],[Provincia]],Tabla2[Provincias],Tabla2[Comunidades],"no se encuentra")</f>
        <v>País Vasco</v>
      </c>
      <c r="M4335" t="s">
        <v>28</v>
      </c>
      <c r="N4335">
        <v>1</v>
      </c>
    </row>
    <row r="4336" spans="1:14" x14ac:dyDescent="0.25">
      <c r="A4336">
        <v>5335</v>
      </c>
      <c r="B4336" s="1">
        <v>46008</v>
      </c>
      <c r="C4336" s="4">
        <f>MONTH(datos_ventas[[#This Row],[Fecha]])</f>
        <v>12</v>
      </c>
      <c r="D4336" s="4">
        <f>WEEKNUM(datos_ventas[[#This Row],[Fecha]],2)</f>
        <v>51</v>
      </c>
      <c r="E4336" t="s">
        <v>17</v>
      </c>
      <c r="F4336" t="s">
        <v>18</v>
      </c>
      <c r="G4336">
        <v>5</v>
      </c>
      <c r="H4336">
        <v>63454</v>
      </c>
      <c r="I4336">
        <v>4315</v>
      </c>
      <c r="J4336" t="s">
        <v>12</v>
      </c>
      <c r="K4336" t="str">
        <f>_xlfn.XLOOKUP(datos_ventas[[#This Row],[Ciudad]],Tabla2[Ciudades],Tabla2[Provincias],"no se encuentra")</f>
        <v>Málaga</v>
      </c>
      <c r="L4336" t="str">
        <f>_xlfn.XLOOKUP(datos_ventas[[#This Row],[Provincia]],Tabla2[Provincias],Tabla2[Comunidades],"no se encuentra")</f>
        <v>Andalucía</v>
      </c>
      <c r="M4336" t="s">
        <v>19</v>
      </c>
      <c r="N4336">
        <v>4</v>
      </c>
    </row>
    <row r="4337" spans="1:14" x14ac:dyDescent="0.25">
      <c r="A4337">
        <v>5336</v>
      </c>
      <c r="B4337" s="1">
        <v>45943</v>
      </c>
      <c r="C4337" s="4">
        <f>MONTH(datos_ventas[[#This Row],[Fecha]])</f>
        <v>10</v>
      </c>
      <c r="D4337" s="4">
        <f>WEEKNUM(datos_ventas[[#This Row],[Fecha]],2)</f>
        <v>42</v>
      </c>
      <c r="E4337" t="s">
        <v>24</v>
      </c>
      <c r="F4337" t="s">
        <v>25</v>
      </c>
      <c r="G4337">
        <v>1</v>
      </c>
      <c r="H4337">
        <v>51146</v>
      </c>
      <c r="I4337">
        <v>4291</v>
      </c>
      <c r="J4337" t="s">
        <v>12</v>
      </c>
      <c r="K4337" t="str">
        <f>_xlfn.XLOOKUP(datos_ventas[[#This Row],[Ciudad]],Tabla2[Ciudades],Tabla2[Provincias],"no se encuentra")</f>
        <v>Málaga</v>
      </c>
      <c r="L4337" t="str">
        <f>_xlfn.XLOOKUP(datos_ventas[[#This Row],[Provincia]],Tabla2[Provincias],Tabla2[Comunidades],"no se encuentra")</f>
        <v>Andalucía</v>
      </c>
      <c r="M4337" t="s">
        <v>28</v>
      </c>
      <c r="N4337">
        <v>1</v>
      </c>
    </row>
    <row r="4338" spans="1:14" x14ac:dyDescent="0.25">
      <c r="A4338">
        <v>5337</v>
      </c>
      <c r="B4338" s="1">
        <v>45920</v>
      </c>
      <c r="C4338" s="4">
        <f>MONTH(datos_ventas[[#This Row],[Fecha]])</f>
        <v>9</v>
      </c>
      <c r="D4338" s="4">
        <f>WEEKNUM(datos_ventas[[#This Row],[Fecha]],2)</f>
        <v>38</v>
      </c>
      <c r="E4338" t="s">
        <v>10</v>
      </c>
      <c r="F4338" t="s">
        <v>11</v>
      </c>
      <c r="G4338">
        <v>2</v>
      </c>
      <c r="H4338">
        <v>97326</v>
      </c>
      <c r="I4338">
        <v>3744</v>
      </c>
      <c r="J4338" t="s">
        <v>31</v>
      </c>
      <c r="K4338" t="str">
        <f>_xlfn.XLOOKUP(datos_ventas[[#This Row],[Ciudad]],Tabla2[Ciudades],Tabla2[Provincias],"no se encuentra")</f>
        <v>Vizcaya</v>
      </c>
      <c r="L4338" t="str">
        <f>_xlfn.XLOOKUP(datos_ventas[[#This Row],[Provincia]],Tabla2[Provincias],Tabla2[Comunidades],"no se encuentra")</f>
        <v>País Vasco</v>
      </c>
      <c r="M4338" t="s">
        <v>13</v>
      </c>
      <c r="N4338">
        <v>3</v>
      </c>
    </row>
    <row r="4339" spans="1:14" x14ac:dyDescent="0.25">
      <c r="A4339">
        <v>5338</v>
      </c>
      <c r="B4339" s="1">
        <v>45859</v>
      </c>
      <c r="C4339" s="4">
        <f>MONTH(datos_ventas[[#This Row],[Fecha]])</f>
        <v>7</v>
      </c>
      <c r="D4339" s="4">
        <f>WEEKNUM(datos_ventas[[#This Row],[Fecha]],2)</f>
        <v>30</v>
      </c>
      <c r="E4339" t="s">
        <v>10</v>
      </c>
      <c r="F4339" t="s">
        <v>11</v>
      </c>
      <c r="G4339">
        <v>1</v>
      </c>
      <c r="H4339">
        <v>64256</v>
      </c>
      <c r="I4339">
        <v>528</v>
      </c>
      <c r="J4339" t="s">
        <v>22</v>
      </c>
      <c r="K4339" t="str">
        <f>_xlfn.XLOOKUP(datos_ventas[[#This Row],[Ciudad]],Tabla2[Ciudades],Tabla2[Provincias],"no se encuentra")</f>
        <v>Valencia</v>
      </c>
      <c r="L4339" t="str">
        <f>_xlfn.XLOOKUP(datos_ventas[[#This Row],[Provincia]],Tabla2[Provincias],Tabla2[Comunidades],"no se encuentra")</f>
        <v>Comunidad Valenciana</v>
      </c>
      <c r="M4339" t="s">
        <v>19</v>
      </c>
      <c r="N4339">
        <v>5</v>
      </c>
    </row>
    <row r="4340" spans="1:14" x14ac:dyDescent="0.25">
      <c r="A4340">
        <v>5339</v>
      </c>
      <c r="B4340" s="1">
        <v>45731</v>
      </c>
      <c r="C4340" s="4">
        <f>MONTH(datos_ventas[[#This Row],[Fecha]])</f>
        <v>3</v>
      </c>
      <c r="D4340" s="4">
        <f>WEEKNUM(datos_ventas[[#This Row],[Fecha]],2)</f>
        <v>11</v>
      </c>
      <c r="E4340" t="s">
        <v>23</v>
      </c>
      <c r="F4340" t="s">
        <v>18</v>
      </c>
      <c r="G4340">
        <v>1</v>
      </c>
      <c r="H4340">
        <v>9375</v>
      </c>
      <c r="I4340">
        <v>4409</v>
      </c>
      <c r="J4340" t="s">
        <v>27</v>
      </c>
      <c r="K4340" t="str">
        <f>_xlfn.XLOOKUP(datos_ventas[[#This Row],[Ciudad]],Tabla2[Ciudades],Tabla2[Provincias],"no se encuentra")</f>
        <v>Sevilla</v>
      </c>
      <c r="L4340" t="str">
        <f>_xlfn.XLOOKUP(datos_ventas[[#This Row],[Provincia]],Tabla2[Provincias],Tabla2[Comunidades],"no se encuentra")</f>
        <v>Andalucía</v>
      </c>
      <c r="M4340" t="s">
        <v>28</v>
      </c>
      <c r="N4340">
        <v>3</v>
      </c>
    </row>
    <row r="4341" spans="1:14" x14ac:dyDescent="0.25">
      <c r="A4341">
        <v>5340</v>
      </c>
      <c r="B4341" s="1">
        <v>45925</v>
      </c>
      <c r="C4341" s="4">
        <f>MONTH(datos_ventas[[#This Row],[Fecha]])</f>
        <v>9</v>
      </c>
      <c r="D4341" s="4">
        <f>WEEKNUM(datos_ventas[[#This Row],[Fecha]],2)</f>
        <v>39</v>
      </c>
      <c r="E4341" t="s">
        <v>24</v>
      </c>
      <c r="F4341" t="s">
        <v>25</v>
      </c>
      <c r="G4341">
        <v>4</v>
      </c>
      <c r="H4341">
        <v>4850</v>
      </c>
      <c r="I4341">
        <v>1978</v>
      </c>
      <c r="J4341" t="s">
        <v>31</v>
      </c>
      <c r="K4341" t="str">
        <f>_xlfn.XLOOKUP(datos_ventas[[#This Row],[Ciudad]],Tabla2[Ciudades],Tabla2[Provincias],"no se encuentra")</f>
        <v>Vizcaya</v>
      </c>
      <c r="L4341" t="str">
        <f>_xlfn.XLOOKUP(datos_ventas[[#This Row],[Provincia]],Tabla2[Provincias],Tabla2[Comunidades],"no se encuentra")</f>
        <v>País Vasco</v>
      </c>
      <c r="M4341" t="s">
        <v>13</v>
      </c>
      <c r="N4341">
        <v>1</v>
      </c>
    </row>
    <row r="4342" spans="1:14" x14ac:dyDescent="0.25">
      <c r="A4342">
        <v>5341</v>
      </c>
      <c r="B4342" s="1">
        <v>46003</v>
      </c>
      <c r="C4342" s="4">
        <f>MONTH(datos_ventas[[#This Row],[Fecha]])</f>
        <v>12</v>
      </c>
      <c r="D4342" s="4">
        <f>WEEKNUM(datos_ventas[[#This Row],[Fecha]],2)</f>
        <v>50</v>
      </c>
      <c r="E4342" t="s">
        <v>10</v>
      </c>
      <c r="F4342" t="s">
        <v>11</v>
      </c>
      <c r="G4342">
        <v>5</v>
      </c>
      <c r="H4342">
        <v>109293</v>
      </c>
      <c r="I4342">
        <v>4721</v>
      </c>
      <c r="J4342" t="s">
        <v>31</v>
      </c>
      <c r="K4342" t="str">
        <f>_xlfn.XLOOKUP(datos_ventas[[#This Row],[Ciudad]],Tabla2[Ciudades],Tabla2[Provincias],"no se encuentra")</f>
        <v>Vizcaya</v>
      </c>
      <c r="L4342" t="str">
        <f>_xlfn.XLOOKUP(datos_ventas[[#This Row],[Provincia]],Tabla2[Provincias],Tabla2[Comunidades],"no se encuentra")</f>
        <v>País Vasco</v>
      </c>
      <c r="M4342" t="s">
        <v>13</v>
      </c>
      <c r="N4342">
        <v>2</v>
      </c>
    </row>
    <row r="4343" spans="1:14" x14ac:dyDescent="0.25">
      <c r="A4343">
        <v>5342</v>
      </c>
      <c r="B4343" s="1">
        <v>45697</v>
      </c>
      <c r="C4343" s="4">
        <f>MONTH(datos_ventas[[#This Row],[Fecha]])</f>
        <v>2</v>
      </c>
      <c r="D4343" s="4">
        <f>WEEKNUM(datos_ventas[[#This Row],[Fecha]],2)</f>
        <v>6</v>
      </c>
      <c r="E4343" t="s">
        <v>16</v>
      </c>
      <c r="F4343" t="s">
        <v>11</v>
      </c>
      <c r="G4343">
        <v>2</v>
      </c>
      <c r="H4343">
        <v>98935</v>
      </c>
      <c r="I4343">
        <v>1241</v>
      </c>
      <c r="J4343" t="s">
        <v>31</v>
      </c>
      <c r="K4343" t="str">
        <f>_xlfn.XLOOKUP(datos_ventas[[#This Row],[Ciudad]],Tabla2[Ciudades],Tabla2[Provincias],"no se encuentra")</f>
        <v>Vizcaya</v>
      </c>
      <c r="L4343" t="str">
        <f>_xlfn.XLOOKUP(datos_ventas[[#This Row],[Provincia]],Tabla2[Provincias],Tabla2[Comunidades],"no se encuentra")</f>
        <v>País Vasco</v>
      </c>
      <c r="M4343" t="s">
        <v>28</v>
      </c>
      <c r="N4343">
        <v>5</v>
      </c>
    </row>
    <row r="4344" spans="1:14" x14ac:dyDescent="0.25">
      <c r="A4344">
        <v>5343</v>
      </c>
      <c r="B4344" s="1">
        <v>45828</v>
      </c>
      <c r="C4344" s="4">
        <f>MONTH(datos_ventas[[#This Row],[Fecha]])</f>
        <v>6</v>
      </c>
      <c r="D4344" s="4">
        <f>WEEKNUM(datos_ventas[[#This Row],[Fecha]],2)</f>
        <v>25</v>
      </c>
      <c r="E4344" t="s">
        <v>16</v>
      </c>
      <c r="F4344" t="s">
        <v>11</v>
      </c>
      <c r="G4344">
        <v>5</v>
      </c>
      <c r="H4344">
        <v>117992</v>
      </c>
      <c r="I4344">
        <v>907</v>
      </c>
      <c r="J4344" t="s">
        <v>32</v>
      </c>
      <c r="K4344" t="str">
        <f>_xlfn.XLOOKUP(datos_ventas[[#This Row],[Ciudad]],Tabla2[Ciudades],Tabla2[Provincias],"no se encuentra")</f>
        <v>Barcelona</v>
      </c>
      <c r="L4344" t="str">
        <f>_xlfn.XLOOKUP(datos_ventas[[#This Row],[Provincia]],Tabla2[Provincias],Tabla2[Comunidades],"no se encuentra")</f>
        <v>Cataluña</v>
      </c>
      <c r="M4344" t="s">
        <v>15</v>
      </c>
      <c r="N4344">
        <v>5</v>
      </c>
    </row>
    <row r="4345" spans="1:14" x14ac:dyDescent="0.25">
      <c r="A4345">
        <v>5344</v>
      </c>
      <c r="B4345" s="1">
        <v>45824</v>
      </c>
      <c r="C4345" s="4">
        <f>MONTH(datos_ventas[[#This Row],[Fecha]])</f>
        <v>6</v>
      </c>
      <c r="D4345" s="4">
        <f>WEEKNUM(datos_ventas[[#This Row],[Fecha]],2)</f>
        <v>25</v>
      </c>
      <c r="E4345" t="s">
        <v>16</v>
      </c>
      <c r="F4345" t="s">
        <v>11</v>
      </c>
      <c r="G4345">
        <v>2</v>
      </c>
      <c r="H4345">
        <v>116155</v>
      </c>
      <c r="I4345">
        <v>2962</v>
      </c>
      <c r="J4345" t="s">
        <v>22</v>
      </c>
      <c r="K4345" t="str">
        <f>_xlfn.XLOOKUP(datos_ventas[[#This Row],[Ciudad]],Tabla2[Ciudades],Tabla2[Provincias],"no se encuentra")</f>
        <v>Valencia</v>
      </c>
      <c r="L4345" t="str">
        <f>_xlfn.XLOOKUP(datos_ventas[[#This Row],[Provincia]],Tabla2[Provincias],Tabla2[Comunidades],"no se encuentra")</f>
        <v>Comunidad Valenciana</v>
      </c>
      <c r="M4345" t="s">
        <v>19</v>
      </c>
      <c r="N4345">
        <v>5</v>
      </c>
    </row>
    <row r="4346" spans="1:14" x14ac:dyDescent="0.25">
      <c r="A4346">
        <v>5345</v>
      </c>
      <c r="B4346" s="1">
        <v>45892</v>
      </c>
      <c r="C4346" s="4">
        <f>MONTH(datos_ventas[[#This Row],[Fecha]])</f>
        <v>8</v>
      </c>
      <c r="D4346" s="4">
        <f>WEEKNUM(datos_ventas[[#This Row],[Fecha]],2)</f>
        <v>34</v>
      </c>
      <c r="E4346" t="s">
        <v>10</v>
      </c>
      <c r="F4346" t="s">
        <v>11</v>
      </c>
      <c r="G4346">
        <v>2</v>
      </c>
      <c r="H4346">
        <v>11805</v>
      </c>
      <c r="I4346">
        <v>3759</v>
      </c>
      <c r="J4346" t="s">
        <v>32</v>
      </c>
      <c r="K4346" t="str">
        <f>_xlfn.XLOOKUP(datos_ventas[[#This Row],[Ciudad]],Tabla2[Ciudades],Tabla2[Provincias],"no se encuentra")</f>
        <v>Barcelona</v>
      </c>
      <c r="L4346" t="str">
        <f>_xlfn.XLOOKUP(datos_ventas[[#This Row],[Provincia]],Tabla2[Provincias],Tabla2[Comunidades],"no se encuentra")</f>
        <v>Cataluña</v>
      </c>
      <c r="M4346" t="s">
        <v>28</v>
      </c>
      <c r="N4346">
        <v>4</v>
      </c>
    </row>
    <row r="4347" spans="1:14" x14ac:dyDescent="0.25">
      <c r="A4347">
        <v>5346</v>
      </c>
      <c r="B4347" s="1">
        <v>45661</v>
      </c>
      <c r="C4347" s="4">
        <f>MONTH(datos_ventas[[#This Row],[Fecha]])</f>
        <v>1</v>
      </c>
      <c r="D4347" s="4">
        <f>WEEKNUM(datos_ventas[[#This Row],[Fecha]],2)</f>
        <v>1</v>
      </c>
      <c r="E4347" t="s">
        <v>26</v>
      </c>
      <c r="F4347" t="s">
        <v>18</v>
      </c>
      <c r="G4347">
        <v>2</v>
      </c>
      <c r="H4347">
        <v>76753</v>
      </c>
      <c r="I4347">
        <v>2344</v>
      </c>
      <c r="J4347" t="s">
        <v>12</v>
      </c>
      <c r="K4347" t="str">
        <f>_xlfn.XLOOKUP(datos_ventas[[#This Row],[Ciudad]],Tabla2[Ciudades],Tabla2[Provincias],"no se encuentra")</f>
        <v>Málaga</v>
      </c>
      <c r="L4347" t="str">
        <f>_xlfn.XLOOKUP(datos_ventas[[#This Row],[Provincia]],Tabla2[Provincias],Tabla2[Comunidades],"no se encuentra")</f>
        <v>Andalucía</v>
      </c>
      <c r="M4347" t="s">
        <v>28</v>
      </c>
      <c r="N4347">
        <v>5</v>
      </c>
    </row>
    <row r="4348" spans="1:14" x14ac:dyDescent="0.25">
      <c r="A4348">
        <v>5347</v>
      </c>
      <c r="B4348" s="1">
        <v>45781</v>
      </c>
      <c r="C4348" s="4">
        <f>MONTH(datos_ventas[[#This Row],[Fecha]])</f>
        <v>5</v>
      </c>
      <c r="D4348" s="4">
        <f>WEEKNUM(datos_ventas[[#This Row],[Fecha]],2)</f>
        <v>18</v>
      </c>
      <c r="E4348" t="s">
        <v>23</v>
      </c>
      <c r="F4348" t="s">
        <v>18</v>
      </c>
      <c r="G4348">
        <v>1</v>
      </c>
      <c r="H4348">
        <v>67993</v>
      </c>
      <c r="I4348">
        <v>4704</v>
      </c>
      <c r="J4348" t="s">
        <v>31</v>
      </c>
      <c r="K4348" t="str">
        <f>_xlfn.XLOOKUP(datos_ventas[[#This Row],[Ciudad]],Tabla2[Ciudades],Tabla2[Provincias],"no se encuentra")</f>
        <v>Vizcaya</v>
      </c>
      <c r="L4348" t="str">
        <f>_xlfn.XLOOKUP(datos_ventas[[#This Row],[Provincia]],Tabla2[Provincias],Tabla2[Comunidades],"no se encuentra")</f>
        <v>País Vasco</v>
      </c>
      <c r="M4348" t="s">
        <v>19</v>
      </c>
      <c r="N4348">
        <v>2</v>
      </c>
    </row>
    <row r="4349" spans="1:14" x14ac:dyDescent="0.25">
      <c r="A4349">
        <v>5348</v>
      </c>
      <c r="B4349" s="1">
        <v>45675</v>
      </c>
      <c r="C4349" s="4">
        <f>MONTH(datos_ventas[[#This Row],[Fecha]])</f>
        <v>1</v>
      </c>
      <c r="D4349" s="4">
        <f>WEEKNUM(datos_ventas[[#This Row],[Fecha]],2)</f>
        <v>3</v>
      </c>
      <c r="E4349" t="s">
        <v>26</v>
      </c>
      <c r="F4349" t="s">
        <v>18</v>
      </c>
      <c r="G4349">
        <v>3</v>
      </c>
      <c r="H4349">
        <v>82979</v>
      </c>
      <c r="I4349">
        <v>1314</v>
      </c>
      <c r="J4349" t="s">
        <v>12</v>
      </c>
      <c r="K4349" t="str">
        <f>_xlfn.XLOOKUP(datos_ventas[[#This Row],[Ciudad]],Tabla2[Ciudades],Tabla2[Provincias],"no se encuentra")</f>
        <v>Málaga</v>
      </c>
      <c r="L4349" t="str">
        <f>_xlfn.XLOOKUP(datos_ventas[[#This Row],[Provincia]],Tabla2[Provincias],Tabla2[Comunidades],"no se encuentra")</f>
        <v>Andalucía</v>
      </c>
      <c r="M4349" t="s">
        <v>13</v>
      </c>
      <c r="N4349">
        <v>3</v>
      </c>
    </row>
    <row r="4350" spans="1:14" x14ac:dyDescent="0.25">
      <c r="A4350">
        <v>5349</v>
      </c>
      <c r="B4350" s="1">
        <v>45814</v>
      </c>
      <c r="C4350" s="4">
        <f>MONTH(datos_ventas[[#This Row],[Fecha]])</f>
        <v>6</v>
      </c>
      <c r="D4350" s="4">
        <f>WEEKNUM(datos_ventas[[#This Row],[Fecha]],2)</f>
        <v>23</v>
      </c>
      <c r="E4350" t="s">
        <v>17</v>
      </c>
      <c r="F4350" t="s">
        <v>18</v>
      </c>
      <c r="G4350">
        <v>3</v>
      </c>
      <c r="H4350">
        <v>93166</v>
      </c>
      <c r="I4350">
        <v>1983</v>
      </c>
      <c r="J4350" t="s">
        <v>14</v>
      </c>
      <c r="K4350" t="str">
        <f>_xlfn.XLOOKUP(datos_ventas[[#This Row],[Ciudad]],Tabla2[Ciudades],Tabla2[Provincias],"no se encuentra")</f>
        <v>Madrid</v>
      </c>
      <c r="L4350" t="str">
        <f>_xlfn.XLOOKUP(datos_ventas[[#This Row],[Provincia]],Tabla2[Provincias],Tabla2[Comunidades],"no se encuentra")</f>
        <v>Comunidad de Madrid</v>
      </c>
      <c r="M4350" t="s">
        <v>28</v>
      </c>
      <c r="N4350">
        <v>4</v>
      </c>
    </row>
    <row r="4351" spans="1:14" x14ac:dyDescent="0.25">
      <c r="A4351">
        <v>5350</v>
      </c>
      <c r="B4351" s="1">
        <v>45752</v>
      </c>
      <c r="C4351" s="4">
        <f>MONTH(datos_ventas[[#This Row],[Fecha]])</f>
        <v>4</v>
      </c>
      <c r="D4351" s="4">
        <f>WEEKNUM(datos_ventas[[#This Row],[Fecha]],2)</f>
        <v>14</v>
      </c>
      <c r="E4351" t="s">
        <v>26</v>
      </c>
      <c r="F4351" t="s">
        <v>18</v>
      </c>
      <c r="G4351">
        <v>2</v>
      </c>
      <c r="H4351">
        <v>70393</v>
      </c>
      <c r="I4351">
        <v>2501</v>
      </c>
      <c r="J4351" t="s">
        <v>27</v>
      </c>
      <c r="K4351" t="str">
        <f>_xlfn.XLOOKUP(datos_ventas[[#This Row],[Ciudad]],Tabla2[Ciudades],Tabla2[Provincias],"no se encuentra")</f>
        <v>Sevilla</v>
      </c>
      <c r="L4351" t="str">
        <f>_xlfn.XLOOKUP(datos_ventas[[#This Row],[Provincia]],Tabla2[Provincias],Tabla2[Comunidades],"no se encuentra")</f>
        <v>Andalucía</v>
      </c>
      <c r="M4351" t="s">
        <v>13</v>
      </c>
      <c r="N4351">
        <v>5</v>
      </c>
    </row>
    <row r="4352" spans="1:14" x14ac:dyDescent="0.25">
      <c r="A4352">
        <v>5351</v>
      </c>
      <c r="B4352" s="1">
        <v>45773</v>
      </c>
      <c r="C4352" s="4">
        <f>MONTH(datos_ventas[[#This Row],[Fecha]])</f>
        <v>4</v>
      </c>
      <c r="D4352" s="4">
        <f>WEEKNUM(datos_ventas[[#This Row],[Fecha]],2)</f>
        <v>17</v>
      </c>
      <c r="E4352" t="s">
        <v>24</v>
      </c>
      <c r="F4352" t="s">
        <v>25</v>
      </c>
      <c r="G4352">
        <v>1</v>
      </c>
      <c r="H4352">
        <v>36117</v>
      </c>
      <c r="I4352">
        <v>2728</v>
      </c>
      <c r="J4352" t="s">
        <v>31</v>
      </c>
      <c r="K4352" t="str">
        <f>_xlfn.XLOOKUP(datos_ventas[[#This Row],[Ciudad]],Tabla2[Ciudades],Tabla2[Provincias],"no se encuentra")</f>
        <v>Vizcaya</v>
      </c>
      <c r="L4352" t="str">
        <f>_xlfn.XLOOKUP(datos_ventas[[#This Row],[Provincia]],Tabla2[Provincias],Tabla2[Comunidades],"no se encuentra")</f>
        <v>País Vasco</v>
      </c>
      <c r="M4352" t="s">
        <v>15</v>
      </c>
      <c r="N4352">
        <v>4</v>
      </c>
    </row>
    <row r="4353" spans="1:14" x14ac:dyDescent="0.25">
      <c r="A4353">
        <v>5352</v>
      </c>
      <c r="B4353" s="1">
        <v>45774</v>
      </c>
      <c r="C4353" s="4">
        <f>MONTH(datos_ventas[[#This Row],[Fecha]])</f>
        <v>4</v>
      </c>
      <c r="D4353" s="4">
        <f>WEEKNUM(datos_ventas[[#This Row],[Fecha]],2)</f>
        <v>17</v>
      </c>
      <c r="E4353" t="s">
        <v>10</v>
      </c>
      <c r="F4353" t="s">
        <v>11</v>
      </c>
      <c r="G4353">
        <v>3</v>
      </c>
      <c r="H4353">
        <v>119675</v>
      </c>
      <c r="I4353">
        <v>4607</v>
      </c>
      <c r="J4353" t="s">
        <v>14</v>
      </c>
      <c r="K4353" t="str">
        <f>_xlfn.XLOOKUP(datos_ventas[[#This Row],[Ciudad]],Tabla2[Ciudades],Tabla2[Provincias],"no se encuentra")</f>
        <v>Madrid</v>
      </c>
      <c r="L4353" t="str">
        <f>_xlfn.XLOOKUP(datos_ventas[[#This Row],[Provincia]],Tabla2[Provincias],Tabla2[Comunidades],"no se encuentra")</f>
        <v>Comunidad de Madrid</v>
      </c>
      <c r="M4353" t="s">
        <v>13</v>
      </c>
      <c r="N4353">
        <v>4</v>
      </c>
    </row>
    <row r="4354" spans="1:14" x14ac:dyDescent="0.25">
      <c r="A4354">
        <v>5353</v>
      </c>
      <c r="B4354" s="1">
        <v>45677</v>
      </c>
      <c r="C4354" s="4">
        <f>MONTH(datos_ventas[[#This Row],[Fecha]])</f>
        <v>1</v>
      </c>
      <c r="D4354" s="4">
        <f>WEEKNUM(datos_ventas[[#This Row],[Fecha]],2)</f>
        <v>4</v>
      </c>
      <c r="E4354" t="s">
        <v>26</v>
      </c>
      <c r="F4354" t="s">
        <v>18</v>
      </c>
      <c r="G4354">
        <v>1</v>
      </c>
      <c r="H4354">
        <v>99842</v>
      </c>
      <c r="I4354">
        <v>959</v>
      </c>
      <c r="J4354" t="s">
        <v>32</v>
      </c>
      <c r="K4354" t="str">
        <f>_xlfn.XLOOKUP(datos_ventas[[#This Row],[Ciudad]],Tabla2[Ciudades],Tabla2[Provincias],"no se encuentra")</f>
        <v>Barcelona</v>
      </c>
      <c r="L4354" t="str">
        <f>_xlfn.XLOOKUP(datos_ventas[[#This Row],[Provincia]],Tabla2[Provincias],Tabla2[Comunidades],"no se encuentra")</f>
        <v>Cataluña</v>
      </c>
      <c r="M4354" t="s">
        <v>28</v>
      </c>
      <c r="N4354">
        <v>5</v>
      </c>
    </row>
    <row r="4355" spans="1:14" x14ac:dyDescent="0.25">
      <c r="A4355">
        <v>5354</v>
      </c>
      <c r="B4355" s="1">
        <v>45803</v>
      </c>
      <c r="C4355" s="4">
        <f>MONTH(datos_ventas[[#This Row],[Fecha]])</f>
        <v>5</v>
      </c>
      <c r="D4355" s="4">
        <f>WEEKNUM(datos_ventas[[#This Row],[Fecha]],2)</f>
        <v>22</v>
      </c>
      <c r="E4355" t="s">
        <v>10</v>
      </c>
      <c r="F4355" t="s">
        <v>11</v>
      </c>
      <c r="G4355">
        <v>3</v>
      </c>
      <c r="H4355">
        <v>14173</v>
      </c>
      <c r="I4355">
        <v>2161</v>
      </c>
      <c r="J4355" t="s">
        <v>31</v>
      </c>
      <c r="K4355" t="str">
        <f>_xlfn.XLOOKUP(datos_ventas[[#This Row],[Ciudad]],Tabla2[Ciudades],Tabla2[Provincias],"no se encuentra")</f>
        <v>Vizcaya</v>
      </c>
      <c r="L4355" t="str">
        <f>_xlfn.XLOOKUP(datos_ventas[[#This Row],[Provincia]],Tabla2[Provincias],Tabla2[Comunidades],"no se encuentra")</f>
        <v>País Vasco</v>
      </c>
      <c r="M4355" t="s">
        <v>13</v>
      </c>
      <c r="N4355">
        <v>1</v>
      </c>
    </row>
    <row r="4356" spans="1:14" x14ac:dyDescent="0.25">
      <c r="A4356">
        <v>5355</v>
      </c>
      <c r="B4356" s="1">
        <v>45914</v>
      </c>
      <c r="C4356" s="4">
        <f>MONTH(datos_ventas[[#This Row],[Fecha]])</f>
        <v>9</v>
      </c>
      <c r="D4356" s="4">
        <f>WEEKNUM(datos_ventas[[#This Row],[Fecha]],2)</f>
        <v>37</v>
      </c>
      <c r="E4356" t="s">
        <v>26</v>
      </c>
      <c r="F4356" t="s">
        <v>18</v>
      </c>
      <c r="G4356">
        <v>5</v>
      </c>
      <c r="H4356">
        <v>32368</v>
      </c>
      <c r="I4356">
        <v>1319</v>
      </c>
      <c r="J4356" t="s">
        <v>14</v>
      </c>
      <c r="K4356" t="str">
        <f>_xlfn.XLOOKUP(datos_ventas[[#This Row],[Ciudad]],Tabla2[Ciudades],Tabla2[Provincias],"no se encuentra")</f>
        <v>Madrid</v>
      </c>
      <c r="L4356" t="str">
        <f>_xlfn.XLOOKUP(datos_ventas[[#This Row],[Provincia]],Tabla2[Provincias],Tabla2[Comunidades],"no se encuentra")</f>
        <v>Comunidad de Madrid</v>
      </c>
      <c r="M4356" t="s">
        <v>19</v>
      </c>
      <c r="N4356">
        <v>1</v>
      </c>
    </row>
    <row r="4357" spans="1:14" x14ac:dyDescent="0.25">
      <c r="A4357">
        <v>5356</v>
      </c>
      <c r="B4357" s="1">
        <v>45816</v>
      </c>
      <c r="C4357" s="4">
        <f>MONTH(datos_ventas[[#This Row],[Fecha]])</f>
        <v>6</v>
      </c>
      <c r="D4357" s="4">
        <f>WEEKNUM(datos_ventas[[#This Row],[Fecha]],2)</f>
        <v>23</v>
      </c>
      <c r="E4357" t="s">
        <v>10</v>
      </c>
      <c r="F4357" t="s">
        <v>11</v>
      </c>
      <c r="G4357">
        <v>4</v>
      </c>
      <c r="H4357">
        <v>40284</v>
      </c>
      <c r="I4357">
        <v>3058</v>
      </c>
      <c r="J4357" t="s">
        <v>32</v>
      </c>
      <c r="K4357" t="str">
        <f>_xlfn.XLOOKUP(datos_ventas[[#This Row],[Ciudad]],Tabla2[Ciudades],Tabla2[Provincias],"no se encuentra")</f>
        <v>Barcelona</v>
      </c>
      <c r="L4357" t="str">
        <f>_xlfn.XLOOKUP(datos_ventas[[#This Row],[Provincia]],Tabla2[Provincias],Tabla2[Comunidades],"no se encuentra")</f>
        <v>Cataluña</v>
      </c>
      <c r="M4357" t="s">
        <v>28</v>
      </c>
      <c r="N4357">
        <v>2</v>
      </c>
    </row>
    <row r="4358" spans="1:14" x14ac:dyDescent="0.25">
      <c r="A4358">
        <v>5357</v>
      </c>
      <c r="B4358" s="1">
        <v>45800</v>
      </c>
      <c r="C4358" s="4">
        <f>MONTH(datos_ventas[[#This Row],[Fecha]])</f>
        <v>5</v>
      </c>
      <c r="D4358" s="4">
        <f>WEEKNUM(datos_ventas[[#This Row],[Fecha]],2)</f>
        <v>21</v>
      </c>
      <c r="E4358" t="s">
        <v>24</v>
      </c>
      <c r="F4358" t="s">
        <v>25</v>
      </c>
      <c r="G4358">
        <v>2</v>
      </c>
      <c r="H4358">
        <v>25052</v>
      </c>
      <c r="I4358">
        <v>2044</v>
      </c>
      <c r="J4358" t="s">
        <v>14</v>
      </c>
      <c r="K4358" t="str">
        <f>_xlfn.XLOOKUP(datos_ventas[[#This Row],[Ciudad]],Tabla2[Ciudades],Tabla2[Provincias],"no se encuentra")</f>
        <v>Madrid</v>
      </c>
      <c r="L4358" t="str">
        <f>_xlfn.XLOOKUP(datos_ventas[[#This Row],[Provincia]],Tabla2[Provincias],Tabla2[Comunidades],"no se encuentra")</f>
        <v>Comunidad de Madrid</v>
      </c>
      <c r="M4358" t="s">
        <v>15</v>
      </c>
      <c r="N4358">
        <v>4</v>
      </c>
    </row>
    <row r="4359" spans="1:14" x14ac:dyDescent="0.25">
      <c r="A4359">
        <v>5358</v>
      </c>
      <c r="B4359" s="1">
        <v>45958</v>
      </c>
      <c r="C4359" s="4">
        <f>MONTH(datos_ventas[[#This Row],[Fecha]])</f>
        <v>10</v>
      </c>
      <c r="D4359" s="4">
        <f>WEEKNUM(datos_ventas[[#This Row],[Fecha]],2)</f>
        <v>44</v>
      </c>
      <c r="E4359" t="s">
        <v>17</v>
      </c>
      <c r="F4359" t="s">
        <v>18</v>
      </c>
      <c r="G4359">
        <v>4</v>
      </c>
      <c r="H4359">
        <v>76485</v>
      </c>
      <c r="I4359">
        <v>313</v>
      </c>
      <c r="J4359" t="s">
        <v>12</v>
      </c>
      <c r="K4359" t="str">
        <f>_xlfn.XLOOKUP(datos_ventas[[#This Row],[Ciudad]],Tabla2[Ciudades],Tabla2[Provincias],"no se encuentra")</f>
        <v>Málaga</v>
      </c>
      <c r="L4359" t="str">
        <f>_xlfn.XLOOKUP(datos_ventas[[#This Row],[Provincia]],Tabla2[Provincias],Tabla2[Comunidades],"no se encuentra")</f>
        <v>Andalucía</v>
      </c>
      <c r="M4359" t="s">
        <v>13</v>
      </c>
      <c r="N4359">
        <v>4</v>
      </c>
    </row>
    <row r="4360" spans="1:14" x14ac:dyDescent="0.25">
      <c r="A4360">
        <v>5359</v>
      </c>
      <c r="B4360" s="1">
        <v>45791</v>
      </c>
      <c r="C4360" s="4">
        <f>MONTH(datos_ventas[[#This Row],[Fecha]])</f>
        <v>5</v>
      </c>
      <c r="D4360" s="4">
        <f>WEEKNUM(datos_ventas[[#This Row],[Fecha]],2)</f>
        <v>20</v>
      </c>
      <c r="E4360" t="s">
        <v>29</v>
      </c>
      <c r="F4360" t="s">
        <v>30</v>
      </c>
      <c r="G4360">
        <v>1</v>
      </c>
      <c r="H4360">
        <v>12239</v>
      </c>
      <c r="I4360">
        <v>3043</v>
      </c>
      <c r="J4360" t="s">
        <v>32</v>
      </c>
      <c r="K4360" t="str">
        <f>_xlfn.XLOOKUP(datos_ventas[[#This Row],[Ciudad]],Tabla2[Ciudades],Tabla2[Provincias],"no se encuentra")</f>
        <v>Barcelona</v>
      </c>
      <c r="L4360" t="str">
        <f>_xlfn.XLOOKUP(datos_ventas[[#This Row],[Provincia]],Tabla2[Provincias],Tabla2[Comunidades],"no se encuentra")</f>
        <v>Cataluña</v>
      </c>
      <c r="M4360" t="s">
        <v>19</v>
      </c>
      <c r="N4360">
        <v>5</v>
      </c>
    </row>
    <row r="4361" spans="1:14" x14ac:dyDescent="0.25">
      <c r="A4361">
        <v>5360</v>
      </c>
      <c r="B4361" s="1">
        <v>45928</v>
      </c>
      <c r="C4361" s="4">
        <f>MONTH(datos_ventas[[#This Row],[Fecha]])</f>
        <v>9</v>
      </c>
      <c r="D4361" s="4">
        <f>WEEKNUM(datos_ventas[[#This Row],[Fecha]],2)</f>
        <v>39</v>
      </c>
      <c r="E4361" t="s">
        <v>10</v>
      </c>
      <c r="F4361" t="s">
        <v>11</v>
      </c>
      <c r="G4361">
        <v>3</v>
      </c>
      <c r="H4361">
        <v>6782</v>
      </c>
      <c r="I4361">
        <v>3038</v>
      </c>
      <c r="J4361" t="s">
        <v>31</v>
      </c>
      <c r="K4361" t="str">
        <f>_xlfn.XLOOKUP(datos_ventas[[#This Row],[Ciudad]],Tabla2[Ciudades],Tabla2[Provincias],"no se encuentra")</f>
        <v>Vizcaya</v>
      </c>
      <c r="L4361" t="str">
        <f>_xlfn.XLOOKUP(datos_ventas[[#This Row],[Provincia]],Tabla2[Provincias],Tabla2[Comunidades],"no se encuentra")</f>
        <v>País Vasco</v>
      </c>
      <c r="M4361" t="s">
        <v>13</v>
      </c>
      <c r="N4361">
        <v>2</v>
      </c>
    </row>
    <row r="4362" spans="1:14" x14ac:dyDescent="0.25">
      <c r="A4362">
        <v>5361</v>
      </c>
      <c r="B4362" s="1">
        <v>45739</v>
      </c>
      <c r="C4362" s="4">
        <f>MONTH(datos_ventas[[#This Row],[Fecha]])</f>
        <v>3</v>
      </c>
      <c r="D4362" s="4">
        <f>WEEKNUM(datos_ventas[[#This Row],[Fecha]],2)</f>
        <v>12</v>
      </c>
      <c r="E4362" t="s">
        <v>16</v>
      </c>
      <c r="F4362" t="s">
        <v>11</v>
      </c>
      <c r="G4362">
        <v>4</v>
      </c>
      <c r="H4362">
        <v>4572</v>
      </c>
      <c r="I4362">
        <v>3272</v>
      </c>
      <c r="J4362" t="s">
        <v>31</v>
      </c>
      <c r="K4362" t="str">
        <f>_xlfn.XLOOKUP(datos_ventas[[#This Row],[Ciudad]],Tabla2[Ciudades],Tabla2[Provincias],"no se encuentra")</f>
        <v>Vizcaya</v>
      </c>
      <c r="L4362" t="str">
        <f>_xlfn.XLOOKUP(datos_ventas[[#This Row],[Provincia]],Tabla2[Provincias],Tabla2[Comunidades],"no se encuentra")</f>
        <v>País Vasco</v>
      </c>
      <c r="M4362" t="s">
        <v>28</v>
      </c>
      <c r="N4362">
        <v>4</v>
      </c>
    </row>
    <row r="4363" spans="1:14" x14ac:dyDescent="0.25">
      <c r="A4363">
        <v>5362</v>
      </c>
      <c r="B4363" s="1">
        <v>45677</v>
      </c>
      <c r="C4363" s="4">
        <f>MONTH(datos_ventas[[#This Row],[Fecha]])</f>
        <v>1</v>
      </c>
      <c r="D4363" s="4">
        <f>WEEKNUM(datos_ventas[[#This Row],[Fecha]],2)</f>
        <v>4</v>
      </c>
      <c r="E4363" t="s">
        <v>24</v>
      </c>
      <c r="F4363" t="s">
        <v>25</v>
      </c>
      <c r="G4363">
        <v>5</v>
      </c>
      <c r="H4363">
        <v>62815</v>
      </c>
      <c r="I4363">
        <v>1422</v>
      </c>
      <c r="J4363" t="s">
        <v>27</v>
      </c>
      <c r="K4363" t="str">
        <f>_xlfn.XLOOKUP(datos_ventas[[#This Row],[Ciudad]],Tabla2[Ciudades],Tabla2[Provincias],"no se encuentra")</f>
        <v>Sevilla</v>
      </c>
      <c r="L4363" t="str">
        <f>_xlfn.XLOOKUP(datos_ventas[[#This Row],[Provincia]],Tabla2[Provincias],Tabla2[Comunidades],"no se encuentra")</f>
        <v>Andalucía</v>
      </c>
      <c r="M4363" t="s">
        <v>13</v>
      </c>
      <c r="N4363">
        <v>5</v>
      </c>
    </row>
    <row r="4364" spans="1:14" x14ac:dyDescent="0.25">
      <c r="A4364">
        <v>5363</v>
      </c>
      <c r="B4364" s="1">
        <v>45897</v>
      </c>
      <c r="C4364" s="4">
        <f>MONTH(datos_ventas[[#This Row],[Fecha]])</f>
        <v>8</v>
      </c>
      <c r="D4364" s="4">
        <f>WEEKNUM(datos_ventas[[#This Row],[Fecha]],2)</f>
        <v>35</v>
      </c>
      <c r="E4364" t="s">
        <v>16</v>
      </c>
      <c r="F4364" t="s">
        <v>11</v>
      </c>
      <c r="G4364">
        <v>4</v>
      </c>
      <c r="H4364">
        <v>56095</v>
      </c>
      <c r="I4364">
        <v>1153</v>
      </c>
      <c r="J4364" t="s">
        <v>32</v>
      </c>
      <c r="K4364" t="str">
        <f>_xlfn.XLOOKUP(datos_ventas[[#This Row],[Ciudad]],Tabla2[Ciudades],Tabla2[Provincias],"no se encuentra")</f>
        <v>Barcelona</v>
      </c>
      <c r="L4364" t="str">
        <f>_xlfn.XLOOKUP(datos_ventas[[#This Row],[Provincia]],Tabla2[Provincias],Tabla2[Comunidades],"no se encuentra")</f>
        <v>Cataluña</v>
      </c>
      <c r="M4364" t="s">
        <v>13</v>
      </c>
      <c r="N4364">
        <v>3</v>
      </c>
    </row>
    <row r="4365" spans="1:14" x14ac:dyDescent="0.25">
      <c r="A4365">
        <v>5364</v>
      </c>
      <c r="B4365" s="1">
        <v>45875</v>
      </c>
      <c r="C4365" s="4">
        <f>MONTH(datos_ventas[[#This Row],[Fecha]])</f>
        <v>8</v>
      </c>
      <c r="D4365" s="4">
        <f>WEEKNUM(datos_ventas[[#This Row],[Fecha]],2)</f>
        <v>32</v>
      </c>
      <c r="E4365" t="s">
        <v>26</v>
      </c>
      <c r="F4365" t="s">
        <v>18</v>
      </c>
      <c r="G4365">
        <v>5</v>
      </c>
      <c r="H4365">
        <v>4242</v>
      </c>
      <c r="I4365">
        <v>1717</v>
      </c>
      <c r="J4365" t="s">
        <v>12</v>
      </c>
      <c r="K4365" t="str">
        <f>_xlfn.XLOOKUP(datos_ventas[[#This Row],[Ciudad]],Tabla2[Ciudades],Tabla2[Provincias],"no se encuentra")</f>
        <v>Málaga</v>
      </c>
      <c r="L4365" t="str">
        <f>_xlfn.XLOOKUP(datos_ventas[[#This Row],[Provincia]],Tabla2[Provincias],Tabla2[Comunidades],"no se encuentra")</f>
        <v>Andalucía</v>
      </c>
      <c r="M4365" t="s">
        <v>19</v>
      </c>
      <c r="N4365">
        <v>1</v>
      </c>
    </row>
    <row r="4366" spans="1:14" x14ac:dyDescent="0.25">
      <c r="A4366">
        <v>5365</v>
      </c>
      <c r="B4366" s="1">
        <v>45879</v>
      </c>
      <c r="C4366" s="4">
        <f>MONTH(datos_ventas[[#This Row],[Fecha]])</f>
        <v>8</v>
      </c>
      <c r="D4366" s="4">
        <f>WEEKNUM(datos_ventas[[#This Row],[Fecha]],2)</f>
        <v>32</v>
      </c>
      <c r="E4366" t="s">
        <v>23</v>
      </c>
      <c r="F4366" t="s">
        <v>18</v>
      </c>
      <c r="G4366">
        <v>4</v>
      </c>
      <c r="H4366">
        <v>115495</v>
      </c>
      <c r="I4366">
        <v>3416</v>
      </c>
      <c r="J4366" t="s">
        <v>22</v>
      </c>
      <c r="K4366" t="str">
        <f>_xlfn.XLOOKUP(datos_ventas[[#This Row],[Ciudad]],Tabla2[Ciudades],Tabla2[Provincias],"no se encuentra")</f>
        <v>Valencia</v>
      </c>
      <c r="L4366" t="str">
        <f>_xlfn.XLOOKUP(datos_ventas[[#This Row],[Provincia]],Tabla2[Provincias],Tabla2[Comunidades],"no se encuentra")</f>
        <v>Comunidad Valenciana</v>
      </c>
      <c r="M4366" t="s">
        <v>28</v>
      </c>
      <c r="N4366">
        <v>1</v>
      </c>
    </row>
    <row r="4367" spans="1:14" x14ac:dyDescent="0.25">
      <c r="A4367">
        <v>5366</v>
      </c>
      <c r="B4367" s="1">
        <v>45804</v>
      </c>
      <c r="C4367" s="4">
        <f>MONTH(datos_ventas[[#This Row],[Fecha]])</f>
        <v>5</v>
      </c>
      <c r="D4367" s="4">
        <f>WEEKNUM(datos_ventas[[#This Row],[Fecha]],2)</f>
        <v>22</v>
      </c>
      <c r="E4367" t="s">
        <v>26</v>
      </c>
      <c r="F4367" t="s">
        <v>18</v>
      </c>
      <c r="G4367">
        <v>5</v>
      </c>
      <c r="H4367">
        <v>108449</v>
      </c>
      <c r="I4367">
        <v>2384</v>
      </c>
      <c r="J4367" t="s">
        <v>12</v>
      </c>
      <c r="K4367" t="str">
        <f>_xlfn.XLOOKUP(datos_ventas[[#This Row],[Ciudad]],Tabla2[Ciudades],Tabla2[Provincias],"no se encuentra")</f>
        <v>Málaga</v>
      </c>
      <c r="L4367" t="str">
        <f>_xlfn.XLOOKUP(datos_ventas[[#This Row],[Provincia]],Tabla2[Provincias],Tabla2[Comunidades],"no se encuentra")</f>
        <v>Andalucía</v>
      </c>
      <c r="M4367" t="s">
        <v>28</v>
      </c>
      <c r="N4367">
        <v>5</v>
      </c>
    </row>
    <row r="4368" spans="1:14" x14ac:dyDescent="0.25">
      <c r="A4368">
        <v>5367</v>
      </c>
      <c r="B4368" s="1">
        <v>45844</v>
      </c>
      <c r="C4368" s="4">
        <f>MONTH(datos_ventas[[#This Row],[Fecha]])</f>
        <v>7</v>
      </c>
      <c r="D4368" s="4">
        <f>WEEKNUM(datos_ventas[[#This Row],[Fecha]],2)</f>
        <v>27</v>
      </c>
      <c r="E4368" t="s">
        <v>26</v>
      </c>
      <c r="F4368" t="s">
        <v>18</v>
      </c>
      <c r="G4368">
        <v>1</v>
      </c>
      <c r="H4368">
        <v>73709</v>
      </c>
      <c r="I4368">
        <v>260</v>
      </c>
      <c r="J4368" t="s">
        <v>32</v>
      </c>
      <c r="K4368" t="str">
        <f>_xlfn.XLOOKUP(datos_ventas[[#This Row],[Ciudad]],Tabla2[Ciudades],Tabla2[Provincias],"no se encuentra")</f>
        <v>Barcelona</v>
      </c>
      <c r="L4368" t="str">
        <f>_xlfn.XLOOKUP(datos_ventas[[#This Row],[Provincia]],Tabla2[Provincias],Tabla2[Comunidades],"no se encuentra")</f>
        <v>Cataluña</v>
      </c>
      <c r="M4368" t="s">
        <v>13</v>
      </c>
      <c r="N4368">
        <v>4</v>
      </c>
    </row>
    <row r="4369" spans="1:14" x14ac:dyDescent="0.25">
      <c r="A4369">
        <v>5368</v>
      </c>
      <c r="B4369" s="1">
        <v>45920</v>
      </c>
      <c r="C4369" s="4">
        <f>MONTH(datos_ventas[[#This Row],[Fecha]])</f>
        <v>9</v>
      </c>
      <c r="D4369" s="4">
        <f>WEEKNUM(datos_ventas[[#This Row],[Fecha]],2)</f>
        <v>38</v>
      </c>
      <c r="E4369" t="s">
        <v>29</v>
      </c>
      <c r="F4369" t="s">
        <v>30</v>
      </c>
      <c r="G4369">
        <v>1</v>
      </c>
      <c r="H4369">
        <v>101231</v>
      </c>
      <c r="I4369">
        <v>1948</v>
      </c>
      <c r="J4369" t="s">
        <v>31</v>
      </c>
      <c r="K4369" t="str">
        <f>_xlfn.XLOOKUP(datos_ventas[[#This Row],[Ciudad]],Tabla2[Ciudades],Tabla2[Provincias],"no se encuentra")</f>
        <v>Vizcaya</v>
      </c>
      <c r="L4369" t="str">
        <f>_xlfn.XLOOKUP(datos_ventas[[#This Row],[Provincia]],Tabla2[Provincias],Tabla2[Comunidades],"no se encuentra")</f>
        <v>País Vasco</v>
      </c>
      <c r="M4369" t="s">
        <v>28</v>
      </c>
      <c r="N4369">
        <v>1</v>
      </c>
    </row>
    <row r="4370" spans="1:14" x14ac:dyDescent="0.25">
      <c r="A4370">
        <v>5369</v>
      </c>
      <c r="B4370" s="1">
        <v>45901</v>
      </c>
      <c r="C4370" s="4">
        <f>MONTH(datos_ventas[[#This Row],[Fecha]])</f>
        <v>9</v>
      </c>
      <c r="D4370" s="4">
        <f>WEEKNUM(datos_ventas[[#This Row],[Fecha]],2)</f>
        <v>36</v>
      </c>
      <c r="E4370" t="s">
        <v>29</v>
      </c>
      <c r="F4370" t="s">
        <v>30</v>
      </c>
      <c r="G4370">
        <v>3</v>
      </c>
      <c r="H4370">
        <v>37902</v>
      </c>
      <c r="I4370">
        <v>173</v>
      </c>
      <c r="J4370" t="s">
        <v>32</v>
      </c>
      <c r="K4370" t="str">
        <f>_xlfn.XLOOKUP(datos_ventas[[#This Row],[Ciudad]],Tabla2[Ciudades],Tabla2[Provincias],"no se encuentra")</f>
        <v>Barcelona</v>
      </c>
      <c r="L4370" t="str">
        <f>_xlfn.XLOOKUP(datos_ventas[[#This Row],[Provincia]],Tabla2[Provincias],Tabla2[Comunidades],"no se encuentra")</f>
        <v>Cataluña</v>
      </c>
      <c r="M4370" t="s">
        <v>28</v>
      </c>
      <c r="N4370">
        <v>3</v>
      </c>
    </row>
    <row r="4371" spans="1:14" x14ac:dyDescent="0.25">
      <c r="A4371">
        <v>5370</v>
      </c>
      <c r="B4371" s="1">
        <v>45727</v>
      </c>
      <c r="C4371" s="4">
        <f>MONTH(datos_ventas[[#This Row],[Fecha]])</f>
        <v>3</v>
      </c>
      <c r="D4371" s="4">
        <f>WEEKNUM(datos_ventas[[#This Row],[Fecha]],2)</f>
        <v>11</v>
      </c>
      <c r="E4371" t="s">
        <v>16</v>
      </c>
      <c r="F4371" t="s">
        <v>11</v>
      </c>
      <c r="G4371">
        <v>3</v>
      </c>
      <c r="H4371">
        <v>114478</v>
      </c>
      <c r="I4371">
        <v>1521</v>
      </c>
      <c r="J4371" t="s">
        <v>22</v>
      </c>
      <c r="K4371" t="str">
        <f>_xlfn.XLOOKUP(datos_ventas[[#This Row],[Ciudad]],Tabla2[Ciudades],Tabla2[Provincias],"no se encuentra")</f>
        <v>Valencia</v>
      </c>
      <c r="L4371" t="str">
        <f>_xlfn.XLOOKUP(datos_ventas[[#This Row],[Provincia]],Tabla2[Provincias],Tabla2[Comunidades],"no se encuentra")</f>
        <v>Comunidad Valenciana</v>
      </c>
      <c r="M4371" t="s">
        <v>28</v>
      </c>
      <c r="N4371">
        <v>4</v>
      </c>
    </row>
    <row r="4372" spans="1:14" x14ac:dyDescent="0.25">
      <c r="A4372">
        <v>5371</v>
      </c>
      <c r="B4372" s="1">
        <v>45975</v>
      </c>
      <c r="C4372" s="4">
        <f>MONTH(datos_ventas[[#This Row],[Fecha]])</f>
        <v>11</v>
      </c>
      <c r="D4372" s="4">
        <f>WEEKNUM(datos_ventas[[#This Row],[Fecha]],2)</f>
        <v>46</v>
      </c>
      <c r="E4372" t="s">
        <v>10</v>
      </c>
      <c r="F4372" t="s">
        <v>11</v>
      </c>
      <c r="G4372">
        <v>5</v>
      </c>
      <c r="H4372">
        <v>115753</v>
      </c>
      <c r="I4372">
        <v>2012</v>
      </c>
      <c r="J4372" t="s">
        <v>31</v>
      </c>
      <c r="K4372" t="str">
        <f>_xlfn.XLOOKUP(datos_ventas[[#This Row],[Ciudad]],Tabla2[Ciudades],Tabla2[Provincias],"no se encuentra")</f>
        <v>Vizcaya</v>
      </c>
      <c r="L4372" t="str">
        <f>_xlfn.XLOOKUP(datos_ventas[[#This Row],[Provincia]],Tabla2[Provincias],Tabla2[Comunidades],"no se encuentra")</f>
        <v>País Vasco</v>
      </c>
      <c r="M4372" t="s">
        <v>28</v>
      </c>
      <c r="N4372">
        <v>2</v>
      </c>
    </row>
    <row r="4373" spans="1:14" x14ac:dyDescent="0.25">
      <c r="A4373">
        <v>5372</v>
      </c>
      <c r="B4373" s="1">
        <v>45956</v>
      </c>
      <c r="C4373" s="4">
        <f>MONTH(datos_ventas[[#This Row],[Fecha]])</f>
        <v>10</v>
      </c>
      <c r="D4373" s="4">
        <f>WEEKNUM(datos_ventas[[#This Row],[Fecha]],2)</f>
        <v>43</v>
      </c>
      <c r="E4373" t="s">
        <v>10</v>
      </c>
      <c r="F4373" t="s">
        <v>11</v>
      </c>
      <c r="G4373">
        <v>3</v>
      </c>
      <c r="H4373">
        <v>4093</v>
      </c>
      <c r="I4373">
        <v>2359</v>
      </c>
      <c r="J4373" t="s">
        <v>31</v>
      </c>
      <c r="K4373" t="str">
        <f>_xlfn.XLOOKUP(datos_ventas[[#This Row],[Ciudad]],Tabla2[Ciudades],Tabla2[Provincias],"no se encuentra")</f>
        <v>Vizcaya</v>
      </c>
      <c r="L4373" t="str">
        <f>_xlfn.XLOOKUP(datos_ventas[[#This Row],[Provincia]],Tabla2[Provincias],Tabla2[Comunidades],"no se encuentra")</f>
        <v>País Vasco</v>
      </c>
      <c r="M4373" t="s">
        <v>15</v>
      </c>
      <c r="N4373">
        <v>3</v>
      </c>
    </row>
    <row r="4374" spans="1:14" x14ac:dyDescent="0.25">
      <c r="A4374">
        <v>5373</v>
      </c>
      <c r="B4374" s="1">
        <v>45942</v>
      </c>
      <c r="C4374" s="4">
        <f>MONTH(datos_ventas[[#This Row],[Fecha]])</f>
        <v>10</v>
      </c>
      <c r="D4374" s="4">
        <f>WEEKNUM(datos_ventas[[#This Row],[Fecha]],2)</f>
        <v>41</v>
      </c>
      <c r="E4374" t="s">
        <v>26</v>
      </c>
      <c r="F4374" t="s">
        <v>18</v>
      </c>
      <c r="G4374">
        <v>4</v>
      </c>
      <c r="H4374">
        <v>6741</v>
      </c>
      <c r="I4374">
        <v>350</v>
      </c>
      <c r="J4374" t="s">
        <v>14</v>
      </c>
      <c r="K4374" t="str">
        <f>_xlfn.XLOOKUP(datos_ventas[[#This Row],[Ciudad]],Tabla2[Ciudades],Tabla2[Provincias],"no se encuentra")</f>
        <v>Madrid</v>
      </c>
      <c r="L4374" t="str">
        <f>_xlfn.XLOOKUP(datos_ventas[[#This Row],[Provincia]],Tabla2[Provincias],Tabla2[Comunidades],"no se encuentra")</f>
        <v>Comunidad de Madrid</v>
      </c>
      <c r="M4374" t="s">
        <v>28</v>
      </c>
      <c r="N4374">
        <v>1</v>
      </c>
    </row>
    <row r="4375" spans="1:14" x14ac:dyDescent="0.25">
      <c r="A4375">
        <v>5374</v>
      </c>
      <c r="B4375" s="1">
        <v>45879</v>
      </c>
      <c r="C4375" s="4">
        <f>MONTH(datos_ventas[[#This Row],[Fecha]])</f>
        <v>8</v>
      </c>
      <c r="D4375" s="4">
        <f>WEEKNUM(datos_ventas[[#This Row],[Fecha]],2)</f>
        <v>32</v>
      </c>
      <c r="E4375" t="s">
        <v>16</v>
      </c>
      <c r="F4375" t="s">
        <v>11</v>
      </c>
      <c r="G4375">
        <v>2</v>
      </c>
      <c r="H4375">
        <v>4595</v>
      </c>
      <c r="I4375">
        <v>2621</v>
      </c>
      <c r="J4375" t="s">
        <v>14</v>
      </c>
      <c r="K4375" t="str">
        <f>_xlfn.XLOOKUP(datos_ventas[[#This Row],[Ciudad]],Tabla2[Ciudades],Tabla2[Provincias],"no se encuentra")</f>
        <v>Madrid</v>
      </c>
      <c r="L4375" t="str">
        <f>_xlfn.XLOOKUP(datos_ventas[[#This Row],[Provincia]],Tabla2[Provincias],Tabla2[Comunidades],"no se encuentra")</f>
        <v>Comunidad de Madrid</v>
      </c>
      <c r="M4375" t="s">
        <v>28</v>
      </c>
      <c r="N4375">
        <v>4</v>
      </c>
    </row>
    <row r="4376" spans="1:14" x14ac:dyDescent="0.25">
      <c r="A4376">
        <v>5375</v>
      </c>
      <c r="B4376" s="1">
        <v>45792</v>
      </c>
      <c r="C4376" s="4">
        <f>MONTH(datos_ventas[[#This Row],[Fecha]])</f>
        <v>5</v>
      </c>
      <c r="D4376" s="4">
        <f>WEEKNUM(datos_ventas[[#This Row],[Fecha]],2)</f>
        <v>20</v>
      </c>
      <c r="E4376" t="s">
        <v>20</v>
      </c>
      <c r="F4376" t="s">
        <v>21</v>
      </c>
      <c r="G4376">
        <v>4</v>
      </c>
      <c r="H4376">
        <v>6132</v>
      </c>
      <c r="I4376">
        <v>2001</v>
      </c>
      <c r="J4376" t="s">
        <v>32</v>
      </c>
      <c r="K4376" t="str">
        <f>_xlfn.XLOOKUP(datos_ventas[[#This Row],[Ciudad]],Tabla2[Ciudades],Tabla2[Provincias],"no se encuentra")</f>
        <v>Barcelona</v>
      </c>
      <c r="L4376" t="str">
        <f>_xlfn.XLOOKUP(datos_ventas[[#This Row],[Provincia]],Tabla2[Provincias],Tabla2[Comunidades],"no se encuentra")</f>
        <v>Cataluña</v>
      </c>
      <c r="M4376" t="s">
        <v>28</v>
      </c>
      <c r="N4376">
        <v>4</v>
      </c>
    </row>
    <row r="4377" spans="1:14" x14ac:dyDescent="0.25">
      <c r="A4377">
        <v>5376</v>
      </c>
      <c r="B4377" s="1">
        <v>45891</v>
      </c>
      <c r="C4377" s="4">
        <f>MONTH(datos_ventas[[#This Row],[Fecha]])</f>
        <v>8</v>
      </c>
      <c r="D4377" s="4">
        <f>WEEKNUM(datos_ventas[[#This Row],[Fecha]],2)</f>
        <v>34</v>
      </c>
      <c r="E4377" t="s">
        <v>17</v>
      </c>
      <c r="F4377" t="s">
        <v>18</v>
      </c>
      <c r="G4377">
        <v>4</v>
      </c>
      <c r="H4377">
        <v>87924</v>
      </c>
      <c r="I4377">
        <v>3236</v>
      </c>
      <c r="J4377" t="s">
        <v>14</v>
      </c>
      <c r="K4377" t="str">
        <f>_xlfn.XLOOKUP(datos_ventas[[#This Row],[Ciudad]],Tabla2[Ciudades],Tabla2[Provincias],"no se encuentra")</f>
        <v>Madrid</v>
      </c>
      <c r="L4377" t="str">
        <f>_xlfn.XLOOKUP(datos_ventas[[#This Row],[Provincia]],Tabla2[Provincias],Tabla2[Comunidades],"no se encuentra")</f>
        <v>Comunidad de Madrid</v>
      </c>
      <c r="M4377" t="s">
        <v>28</v>
      </c>
      <c r="N4377">
        <v>3</v>
      </c>
    </row>
    <row r="4378" spans="1:14" x14ac:dyDescent="0.25">
      <c r="A4378">
        <v>5377</v>
      </c>
      <c r="B4378" s="1">
        <v>45944</v>
      </c>
      <c r="C4378" s="4">
        <f>MONTH(datos_ventas[[#This Row],[Fecha]])</f>
        <v>10</v>
      </c>
      <c r="D4378" s="4">
        <f>WEEKNUM(datos_ventas[[#This Row],[Fecha]],2)</f>
        <v>42</v>
      </c>
      <c r="E4378" t="s">
        <v>24</v>
      </c>
      <c r="F4378" t="s">
        <v>25</v>
      </c>
      <c r="G4378">
        <v>1</v>
      </c>
      <c r="H4378">
        <v>72389</v>
      </c>
      <c r="I4378">
        <v>4034</v>
      </c>
      <c r="J4378" t="s">
        <v>12</v>
      </c>
      <c r="K4378" t="str">
        <f>_xlfn.XLOOKUP(datos_ventas[[#This Row],[Ciudad]],Tabla2[Ciudades],Tabla2[Provincias],"no se encuentra")</f>
        <v>Málaga</v>
      </c>
      <c r="L4378" t="str">
        <f>_xlfn.XLOOKUP(datos_ventas[[#This Row],[Provincia]],Tabla2[Provincias],Tabla2[Comunidades],"no se encuentra")</f>
        <v>Andalucía</v>
      </c>
      <c r="M4378" t="s">
        <v>19</v>
      </c>
      <c r="N4378">
        <v>2</v>
      </c>
    </row>
    <row r="4379" spans="1:14" x14ac:dyDescent="0.25">
      <c r="A4379">
        <v>5378</v>
      </c>
      <c r="B4379" s="1">
        <v>45891</v>
      </c>
      <c r="C4379" s="4">
        <f>MONTH(datos_ventas[[#This Row],[Fecha]])</f>
        <v>8</v>
      </c>
      <c r="D4379" s="4">
        <f>WEEKNUM(datos_ventas[[#This Row],[Fecha]],2)</f>
        <v>34</v>
      </c>
      <c r="E4379" t="s">
        <v>23</v>
      </c>
      <c r="F4379" t="s">
        <v>18</v>
      </c>
      <c r="G4379">
        <v>2</v>
      </c>
      <c r="H4379">
        <v>80574</v>
      </c>
      <c r="I4379">
        <v>3496</v>
      </c>
      <c r="J4379" t="s">
        <v>31</v>
      </c>
      <c r="K4379" t="str">
        <f>_xlfn.XLOOKUP(datos_ventas[[#This Row],[Ciudad]],Tabla2[Ciudades],Tabla2[Provincias],"no se encuentra")</f>
        <v>Vizcaya</v>
      </c>
      <c r="L4379" t="str">
        <f>_xlfn.XLOOKUP(datos_ventas[[#This Row],[Provincia]],Tabla2[Provincias],Tabla2[Comunidades],"no se encuentra")</f>
        <v>País Vasco</v>
      </c>
      <c r="M4379" t="s">
        <v>15</v>
      </c>
      <c r="N4379">
        <v>3</v>
      </c>
    </row>
    <row r="4380" spans="1:14" x14ac:dyDescent="0.25">
      <c r="A4380">
        <v>5379</v>
      </c>
      <c r="B4380" s="1">
        <v>45659</v>
      </c>
      <c r="C4380" s="4">
        <f>MONTH(datos_ventas[[#This Row],[Fecha]])</f>
        <v>1</v>
      </c>
      <c r="D4380" s="4">
        <f>WEEKNUM(datos_ventas[[#This Row],[Fecha]],2)</f>
        <v>1</v>
      </c>
      <c r="E4380" t="s">
        <v>29</v>
      </c>
      <c r="F4380" t="s">
        <v>30</v>
      </c>
      <c r="G4380">
        <v>3</v>
      </c>
      <c r="H4380">
        <v>61139</v>
      </c>
      <c r="I4380">
        <v>964</v>
      </c>
      <c r="J4380" t="s">
        <v>32</v>
      </c>
      <c r="K4380" t="str">
        <f>_xlfn.XLOOKUP(datos_ventas[[#This Row],[Ciudad]],Tabla2[Ciudades],Tabla2[Provincias],"no se encuentra")</f>
        <v>Barcelona</v>
      </c>
      <c r="L4380" t="str">
        <f>_xlfn.XLOOKUP(datos_ventas[[#This Row],[Provincia]],Tabla2[Provincias],Tabla2[Comunidades],"no se encuentra")</f>
        <v>Cataluña</v>
      </c>
      <c r="M4380" t="s">
        <v>19</v>
      </c>
      <c r="N4380">
        <v>2</v>
      </c>
    </row>
    <row r="4381" spans="1:14" x14ac:dyDescent="0.25">
      <c r="A4381">
        <v>5380</v>
      </c>
      <c r="B4381" s="1">
        <v>45791</v>
      </c>
      <c r="C4381" s="4">
        <f>MONTH(datos_ventas[[#This Row],[Fecha]])</f>
        <v>5</v>
      </c>
      <c r="D4381" s="4">
        <f>WEEKNUM(datos_ventas[[#This Row],[Fecha]],2)</f>
        <v>20</v>
      </c>
      <c r="E4381" t="s">
        <v>26</v>
      </c>
      <c r="F4381" t="s">
        <v>18</v>
      </c>
      <c r="G4381">
        <v>1</v>
      </c>
      <c r="H4381">
        <v>92206</v>
      </c>
      <c r="I4381">
        <v>4573</v>
      </c>
      <c r="J4381" t="s">
        <v>22</v>
      </c>
      <c r="K4381" t="str">
        <f>_xlfn.XLOOKUP(datos_ventas[[#This Row],[Ciudad]],Tabla2[Ciudades],Tabla2[Provincias],"no se encuentra")</f>
        <v>Valencia</v>
      </c>
      <c r="L4381" t="str">
        <f>_xlfn.XLOOKUP(datos_ventas[[#This Row],[Provincia]],Tabla2[Provincias],Tabla2[Comunidades],"no se encuentra")</f>
        <v>Comunidad Valenciana</v>
      </c>
      <c r="M4381" t="s">
        <v>28</v>
      </c>
      <c r="N4381">
        <v>5</v>
      </c>
    </row>
    <row r="4382" spans="1:14" x14ac:dyDescent="0.25">
      <c r="A4382">
        <v>5381</v>
      </c>
      <c r="B4382" s="1">
        <v>45819</v>
      </c>
      <c r="C4382" s="4">
        <f>MONTH(datos_ventas[[#This Row],[Fecha]])</f>
        <v>6</v>
      </c>
      <c r="D4382" s="4">
        <f>WEEKNUM(datos_ventas[[#This Row],[Fecha]],2)</f>
        <v>24</v>
      </c>
      <c r="E4382" t="s">
        <v>16</v>
      </c>
      <c r="F4382" t="s">
        <v>11</v>
      </c>
      <c r="G4382">
        <v>1</v>
      </c>
      <c r="H4382">
        <v>40108</v>
      </c>
      <c r="I4382">
        <v>938</v>
      </c>
      <c r="J4382" t="s">
        <v>32</v>
      </c>
      <c r="K4382" t="str">
        <f>_xlfn.XLOOKUP(datos_ventas[[#This Row],[Ciudad]],Tabla2[Ciudades],Tabla2[Provincias],"no se encuentra")</f>
        <v>Barcelona</v>
      </c>
      <c r="L4382" t="str">
        <f>_xlfn.XLOOKUP(datos_ventas[[#This Row],[Provincia]],Tabla2[Provincias],Tabla2[Comunidades],"no se encuentra")</f>
        <v>Cataluña</v>
      </c>
      <c r="M4382" t="s">
        <v>15</v>
      </c>
      <c r="N4382">
        <v>4</v>
      </c>
    </row>
    <row r="4383" spans="1:14" x14ac:dyDescent="0.25">
      <c r="A4383">
        <v>5382</v>
      </c>
      <c r="B4383" s="1">
        <v>45741</v>
      </c>
      <c r="C4383" s="4">
        <f>MONTH(datos_ventas[[#This Row],[Fecha]])</f>
        <v>3</v>
      </c>
      <c r="D4383" s="4">
        <f>WEEKNUM(datos_ventas[[#This Row],[Fecha]],2)</f>
        <v>13</v>
      </c>
      <c r="E4383" t="s">
        <v>24</v>
      </c>
      <c r="F4383" t="s">
        <v>25</v>
      </c>
      <c r="G4383">
        <v>4</v>
      </c>
      <c r="H4383">
        <v>45156</v>
      </c>
      <c r="I4383">
        <v>429</v>
      </c>
      <c r="J4383" t="s">
        <v>27</v>
      </c>
      <c r="K4383" t="str">
        <f>_xlfn.XLOOKUP(datos_ventas[[#This Row],[Ciudad]],Tabla2[Ciudades],Tabla2[Provincias],"no se encuentra")</f>
        <v>Sevilla</v>
      </c>
      <c r="L4383" t="str">
        <f>_xlfn.XLOOKUP(datos_ventas[[#This Row],[Provincia]],Tabla2[Provincias],Tabla2[Comunidades],"no se encuentra")</f>
        <v>Andalucía</v>
      </c>
      <c r="M4383" t="s">
        <v>15</v>
      </c>
      <c r="N4383">
        <v>5</v>
      </c>
    </row>
    <row r="4384" spans="1:14" x14ac:dyDescent="0.25">
      <c r="A4384">
        <v>5383</v>
      </c>
      <c r="B4384" s="1">
        <v>45969</v>
      </c>
      <c r="C4384" s="4">
        <f>MONTH(datos_ventas[[#This Row],[Fecha]])</f>
        <v>11</v>
      </c>
      <c r="D4384" s="4">
        <f>WEEKNUM(datos_ventas[[#This Row],[Fecha]],2)</f>
        <v>45</v>
      </c>
      <c r="E4384" t="s">
        <v>10</v>
      </c>
      <c r="F4384" t="s">
        <v>11</v>
      </c>
      <c r="G4384">
        <v>3</v>
      </c>
      <c r="H4384">
        <v>116506</v>
      </c>
      <c r="I4384">
        <v>1373</v>
      </c>
      <c r="J4384" t="s">
        <v>22</v>
      </c>
      <c r="K4384" t="str">
        <f>_xlfn.XLOOKUP(datos_ventas[[#This Row],[Ciudad]],Tabla2[Ciudades],Tabla2[Provincias],"no se encuentra")</f>
        <v>Valencia</v>
      </c>
      <c r="L4384" t="str">
        <f>_xlfn.XLOOKUP(datos_ventas[[#This Row],[Provincia]],Tabla2[Provincias],Tabla2[Comunidades],"no se encuentra")</f>
        <v>Comunidad Valenciana</v>
      </c>
      <c r="M4384" t="s">
        <v>15</v>
      </c>
      <c r="N4384">
        <v>1</v>
      </c>
    </row>
    <row r="4385" spans="1:14" x14ac:dyDescent="0.25">
      <c r="A4385">
        <v>5384</v>
      </c>
      <c r="B4385" s="1">
        <v>45665</v>
      </c>
      <c r="C4385" s="4">
        <f>MONTH(datos_ventas[[#This Row],[Fecha]])</f>
        <v>1</v>
      </c>
      <c r="D4385" s="4">
        <f>WEEKNUM(datos_ventas[[#This Row],[Fecha]],2)</f>
        <v>2</v>
      </c>
      <c r="E4385" t="s">
        <v>26</v>
      </c>
      <c r="F4385" t="s">
        <v>18</v>
      </c>
      <c r="G4385">
        <v>2</v>
      </c>
      <c r="H4385">
        <v>1043</v>
      </c>
      <c r="I4385">
        <v>2819</v>
      </c>
      <c r="J4385" t="s">
        <v>31</v>
      </c>
      <c r="K4385" t="str">
        <f>_xlfn.XLOOKUP(datos_ventas[[#This Row],[Ciudad]],Tabla2[Ciudades],Tabla2[Provincias],"no se encuentra")</f>
        <v>Vizcaya</v>
      </c>
      <c r="L4385" t="str">
        <f>_xlfn.XLOOKUP(datos_ventas[[#This Row],[Provincia]],Tabla2[Provincias],Tabla2[Comunidades],"no se encuentra")</f>
        <v>País Vasco</v>
      </c>
      <c r="M4385" t="s">
        <v>15</v>
      </c>
      <c r="N4385">
        <v>5</v>
      </c>
    </row>
    <row r="4386" spans="1:14" x14ac:dyDescent="0.25">
      <c r="A4386">
        <v>5385</v>
      </c>
      <c r="B4386" s="1">
        <v>45927</v>
      </c>
      <c r="C4386" s="4">
        <f>MONTH(datos_ventas[[#This Row],[Fecha]])</f>
        <v>9</v>
      </c>
      <c r="D4386" s="4">
        <f>WEEKNUM(datos_ventas[[#This Row],[Fecha]],2)</f>
        <v>39</v>
      </c>
      <c r="E4386" t="s">
        <v>26</v>
      </c>
      <c r="F4386" t="s">
        <v>18</v>
      </c>
      <c r="G4386">
        <v>5</v>
      </c>
      <c r="H4386">
        <v>119277</v>
      </c>
      <c r="I4386">
        <v>3823</v>
      </c>
      <c r="J4386" t="s">
        <v>22</v>
      </c>
      <c r="K4386" t="str">
        <f>_xlfn.XLOOKUP(datos_ventas[[#This Row],[Ciudad]],Tabla2[Ciudades],Tabla2[Provincias],"no se encuentra")</f>
        <v>Valencia</v>
      </c>
      <c r="L4386" t="str">
        <f>_xlfn.XLOOKUP(datos_ventas[[#This Row],[Provincia]],Tabla2[Provincias],Tabla2[Comunidades],"no se encuentra")</f>
        <v>Comunidad Valenciana</v>
      </c>
      <c r="M4386" t="s">
        <v>19</v>
      </c>
      <c r="N4386">
        <v>4</v>
      </c>
    </row>
    <row r="4387" spans="1:14" x14ac:dyDescent="0.25">
      <c r="A4387">
        <v>5386</v>
      </c>
      <c r="B4387" s="1">
        <v>45848</v>
      </c>
      <c r="C4387" s="4">
        <f>MONTH(datos_ventas[[#This Row],[Fecha]])</f>
        <v>7</v>
      </c>
      <c r="D4387" s="4">
        <f>WEEKNUM(datos_ventas[[#This Row],[Fecha]],2)</f>
        <v>28</v>
      </c>
      <c r="E4387" t="s">
        <v>26</v>
      </c>
      <c r="F4387" t="s">
        <v>18</v>
      </c>
      <c r="G4387">
        <v>5</v>
      </c>
      <c r="H4387">
        <v>4608</v>
      </c>
      <c r="I4387">
        <v>252</v>
      </c>
      <c r="J4387" t="s">
        <v>12</v>
      </c>
      <c r="K4387" t="str">
        <f>_xlfn.XLOOKUP(datos_ventas[[#This Row],[Ciudad]],Tabla2[Ciudades],Tabla2[Provincias],"no se encuentra")</f>
        <v>Málaga</v>
      </c>
      <c r="L4387" t="str">
        <f>_xlfn.XLOOKUP(datos_ventas[[#This Row],[Provincia]],Tabla2[Provincias],Tabla2[Comunidades],"no se encuentra")</f>
        <v>Andalucía</v>
      </c>
      <c r="M4387" t="s">
        <v>28</v>
      </c>
      <c r="N4387">
        <v>1</v>
      </c>
    </row>
    <row r="4388" spans="1:14" x14ac:dyDescent="0.25">
      <c r="A4388">
        <v>5387</v>
      </c>
      <c r="B4388" s="1">
        <v>45908</v>
      </c>
      <c r="C4388" s="4">
        <f>MONTH(datos_ventas[[#This Row],[Fecha]])</f>
        <v>9</v>
      </c>
      <c r="D4388" s="4">
        <f>WEEKNUM(datos_ventas[[#This Row],[Fecha]],2)</f>
        <v>37</v>
      </c>
      <c r="E4388" t="s">
        <v>16</v>
      </c>
      <c r="F4388" t="s">
        <v>11</v>
      </c>
      <c r="G4388">
        <v>5</v>
      </c>
      <c r="H4388">
        <v>4524</v>
      </c>
      <c r="I4388">
        <v>909</v>
      </c>
      <c r="J4388" t="s">
        <v>12</v>
      </c>
      <c r="K4388" t="str">
        <f>_xlfn.XLOOKUP(datos_ventas[[#This Row],[Ciudad]],Tabla2[Ciudades],Tabla2[Provincias],"no se encuentra")</f>
        <v>Málaga</v>
      </c>
      <c r="L4388" t="str">
        <f>_xlfn.XLOOKUP(datos_ventas[[#This Row],[Provincia]],Tabla2[Provincias],Tabla2[Comunidades],"no se encuentra")</f>
        <v>Andalucía</v>
      </c>
      <c r="M4388" t="s">
        <v>19</v>
      </c>
      <c r="N4388">
        <v>3</v>
      </c>
    </row>
    <row r="4389" spans="1:14" x14ac:dyDescent="0.25">
      <c r="A4389">
        <v>5388</v>
      </c>
      <c r="B4389" s="1">
        <v>45738</v>
      </c>
      <c r="C4389" s="4">
        <f>MONTH(datos_ventas[[#This Row],[Fecha]])</f>
        <v>3</v>
      </c>
      <c r="D4389" s="4">
        <f>WEEKNUM(datos_ventas[[#This Row],[Fecha]],2)</f>
        <v>12</v>
      </c>
      <c r="E4389" t="s">
        <v>29</v>
      </c>
      <c r="F4389" t="s">
        <v>30</v>
      </c>
      <c r="G4389">
        <v>2</v>
      </c>
      <c r="H4389">
        <v>109085</v>
      </c>
      <c r="I4389">
        <v>424</v>
      </c>
      <c r="J4389" t="s">
        <v>31</v>
      </c>
      <c r="K4389" t="str">
        <f>_xlfn.XLOOKUP(datos_ventas[[#This Row],[Ciudad]],Tabla2[Ciudades],Tabla2[Provincias],"no se encuentra")</f>
        <v>Vizcaya</v>
      </c>
      <c r="L4389" t="str">
        <f>_xlfn.XLOOKUP(datos_ventas[[#This Row],[Provincia]],Tabla2[Provincias],Tabla2[Comunidades],"no se encuentra")</f>
        <v>País Vasco</v>
      </c>
      <c r="M4389" t="s">
        <v>15</v>
      </c>
      <c r="N4389">
        <v>1</v>
      </c>
    </row>
    <row r="4390" spans="1:14" x14ac:dyDescent="0.25">
      <c r="A4390">
        <v>5389</v>
      </c>
      <c r="B4390" s="1">
        <v>45977</v>
      </c>
      <c r="C4390" s="4">
        <f>MONTH(datos_ventas[[#This Row],[Fecha]])</f>
        <v>11</v>
      </c>
      <c r="D4390" s="4">
        <f>WEEKNUM(datos_ventas[[#This Row],[Fecha]],2)</f>
        <v>46</v>
      </c>
      <c r="E4390" t="s">
        <v>20</v>
      </c>
      <c r="F4390" t="s">
        <v>21</v>
      </c>
      <c r="G4390">
        <v>2</v>
      </c>
      <c r="H4390">
        <v>3882</v>
      </c>
      <c r="I4390">
        <v>521</v>
      </c>
      <c r="J4390" t="s">
        <v>14</v>
      </c>
      <c r="K4390" t="str">
        <f>_xlfn.XLOOKUP(datos_ventas[[#This Row],[Ciudad]],Tabla2[Ciudades],Tabla2[Provincias],"no se encuentra")</f>
        <v>Madrid</v>
      </c>
      <c r="L4390" t="str">
        <f>_xlfn.XLOOKUP(datos_ventas[[#This Row],[Provincia]],Tabla2[Provincias],Tabla2[Comunidades],"no se encuentra")</f>
        <v>Comunidad de Madrid</v>
      </c>
      <c r="M4390" t="s">
        <v>28</v>
      </c>
      <c r="N4390">
        <v>1</v>
      </c>
    </row>
    <row r="4391" spans="1:14" x14ac:dyDescent="0.25">
      <c r="A4391">
        <v>5390</v>
      </c>
      <c r="B4391" s="1">
        <v>45880</v>
      </c>
      <c r="C4391" s="4">
        <f>MONTH(datos_ventas[[#This Row],[Fecha]])</f>
        <v>8</v>
      </c>
      <c r="D4391" s="4">
        <f>WEEKNUM(datos_ventas[[#This Row],[Fecha]],2)</f>
        <v>33</v>
      </c>
      <c r="E4391" t="s">
        <v>29</v>
      </c>
      <c r="F4391" t="s">
        <v>30</v>
      </c>
      <c r="G4391">
        <v>3</v>
      </c>
      <c r="H4391">
        <v>82353</v>
      </c>
      <c r="I4391">
        <v>3767</v>
      </c>
      <c r="J4391" t="s">
        <v>31</v>
      </c>
      <c r="K4391" t="str">
        <f>_xlfn.XLOOKUP(datos_ventas[[#This Row],[Ciudad]],Tabla2[Ciudades],Tabla2[Provincias],"no se encuentra")</f>
        <v>Vizcaya</v>
      </c>
      <c r="L4391" t="str">
        <f>_xlfn.XLOOKUP(datos_ventas[[#This Row],[Provincia]],Tabla2[Provincias],Tabla2[Comunidades],"no se encuentra")</f>
        <v>País Vasco</v>
      </c>
      <c r="M4391" t="s">
        <v>28</v>
      </c>
      <c r="N4391">
        <v>4</v>
      </c>
    </row>
    <row r="4392" spans="1:14" x14ac:dyDescent="0.25">
      <c r="A4392">
        <v>5391</v>
      </c>
      <c r="B4392" s="1">
        <v>45930</v>
      </c>
      <c r="C4392" s="4">
        <f>MONTH(datos_ventas[[#This Row],[Fecha]])</f>
        <v>9</v>
      </c>
      <c r="D4392" s="4">
        <f>WEEKNUM(datos_ventas[[#This Row],[Fecha]],2)</f>
        <v>40</v>
      </c>
      <c r="E4392" t="s">
        <v>29</v>
      </c>
      <c r="F4392" t="s">
        <v>30</v>
      </c>
      <c r="G4392">
        <v>3</v>
      </c>
      <c r="H4392">
        <v>48145</v>
      </c>
      <c r="I4392">
        <v>2922</v>
      </c>
      <c r="J4392" t="s">
        <v>12</v>
      </c>
      <c r="K4392" t="str">
        <f>_xlfn.XLOOKUP(datos_ventas[[#This Row],[Ciudad]],Tabla2[Ciudades],Tabla2[Provincias],"no se encuentra")</f>
        <v>Málaga</v>
      </c>
      <c r="L4392" t="str">
        <f>_xlfn.XLOOKUP(datos_ventas[[#This Row],[Provincia]],Tabla2[Provincias],Tabla2[Comunidades],"no se encuentra")</f>
        <v>Andalucía</v>
      </c>
      <c r="M4392" t="s">
        <v>19</v>
      </c>
      <c r="N4392">
        <v>2</v>
      </c>
    </row>
    <row r="4393" spans="1:14" x14ac:dyDescent="0.25">
      <c r="A4393">
        <v>5392</v>
      </c>
      <c r="B4393" s="1">
        <v>45950</v>
      </c>
      <c r="C4393" s="4">
        <f>MONTH(datos_ventas[[#This Row],[Fecha]])</f>
        <v>10</v>
      </c>
      <c r="D4393" s="4">
        <f>WEEKNUM(datos_ventas[[#This Row],[Fecha]],2)</f>
        <v>43</v>
      </c>
      <c r="E4393" t="s">
        <v>29</v>
      </c>
      <c r="F4393" t="s">
        <v>30</v>
      </c>
      <c r="G4393">
        <v>1</v>
      </c>
      <c r="H4393">
        <v>36195</v>
      </c>
      <c r="I4393">
        <v>1455</v>
      </c>
      <c r="J4393" t="s">
        <v>22</v>
      </c>
      <c r="K4393" t="str">
        <f>_xlfn.XLOOKUP(datos_ventas[[#This Row],[Ciudad]],Tabla2[Ciudades],Tabla2[Provincias],"no se encuentra")</f>
        <v>Valencia</v>
      </c>
      <c r="L4393" t="str">
        <f>_xlfn.XLOOKUP(datos_ventas[[#This Row],[Provincia]],Tabla2[Provincias],Tabla2[Comunidades],"no se encuentra")</f>
        <v>Comunidad Valenciana</v>
      </c>
      <c r="M4393" t="s">
        <v>19</v>
      </c>
      <c r="N4393">
        <v>4</v>
      </c>
    </row>
    <row r="4394" spans="1:14" x14ac:dyDescent="0.25">
      <c r="A4394">
        <v>5393</v>
      </c>
      <c r="B4394" s="1">
        <v>45893</v>
      </c>
      <c r="C4394" s="4">
        <f>MONTH(datos_ventas[[#This Row],[Fecha]])</f>
        <v>8</v>
      </c>
      <c r="D4394" s="4">
        <f>WEEKNUM(datos_ventas[[#This Row],[Fecha]],2)</f>
        <v>34</v>
      </c>
      <c r="E4394" t="s">
        <v>17</v>
      </c>
      <c r="F4394" t="s">
        <v>18</v>
      </c>
      <c r="G4394">
        <v>1</v>
      </c>
      <c r="H4394">
        <v>14932</v>
      </c>
      <c r="I4394">
        <v>1283</v>
      </c>
      <c r="J4394" t="s">
        <v>32</v>
      </c>
      <c r="K4394" t="str">
        <f>_xlfn.XLOOKUP(datos_ventas[[#This Row],[Ciudad]],Tabla2[Ciudades],Tabla2[Provincias],"no se encuentra")</f>
        <v>Barcelona</v>
      </c>
      <c r="L4394" t="str">
        <f>_xlfn.XLOOKUP(datos_ventas[[#This Row],[Provincia]],Tabla2[Provincias],Tabla2[Comunidades],"no se encuentra")</f>
        <v>Cataluña</v>
      </c>
      <c r="M4394" t="s">
        <v>28</v>
      </c>
      <c r="N4394">
        <v>5</v>
      </c>
    </row>
    <row r="4395" spans="1:14" x14ac:dyDescent="0.25">
      <c r="A4395">
        <v>5394</v>
      </c>
      <c r="B4395" s="1">
        <v>45806</v>
      </c>
      <c r="C4395" s="4">
        <f>MONTH(datos_ventas[[#This Row],[Fecha]])</f>
        <v>5</v>
      </c>
      <c r="D4395" s="4">
        <f>WEEKNUM(datos_ventas[[#This Row],[Fecha]],2)</f>
        <v>22</v>
      </c>
      <c r="E4395" t="s">
        <v>17</v>
      </c>
      <c r="F4395" t="s">
        <v>18</v>
      </c>
      <c r="G4395">
        <v>5</v>
      </c>
      <c r="H4395">
        <v>100015</v>
      </c>
      <c r="I4395">
        <v>4903</v>
      </c>
      <c r="J4395" t="s">
        <v>12</v>
      </c>
      <c r="K4395" t="str">
        <f>_xlfn.XLOOKUP(datos_ventas[[#This Row],[Ciudad]],Tabla2[Ciudades],Tabla2[Provincias],"no se encuentra")</f>
        <v>Málaga</v>
      </c>
      <c r="L4395" t="str">
        <f>_xlfn.XLOOKUP(datos_ventas[[#This Row],[Provincia]],Tabla2[Provincias],Tabla2[Comunidades],"no se encuentra")</f>
        <v>Andalucía</v>
      </c>
      <c r="M4395" t="s">
        <v>19</v>
      </c>
      <c r="N4395">
        <v>3</v>
      </c>
    </row>
    <row r="4396" spans="1:14" x14ac:dyDescent="0.25">
      <c r="A4396">
        <v>5395</v>
      </c>
      <c r="B4396" s="1">
        <v>45960</v>
      </c>
      <c r="C4396" s="4">
        <f>MONTH(datos_ventas[[#This Row],[Fecha]])</f>
        <v>10</v>
      </c>
      <c r="D4396" s="4">
        <f>WEEKNUM(datos_ventas[[#This Row],[Fecha]],2)</f>
        <v>44</v>
      </c>
      <c r="E4396" t="s">
        <v>10</v>
      </c>
      <c r="F4396" t="s">
        <v>11</v>
      </c>
      <c r="G4396">
        <v>2</v>
      </c>
      <c r="H4396">
        <v>48654</v>
      </c>
      <c r="I4396">
        <v>2242</v>
      </c>
      <c r="J4396" t="s">
        <v>32</v>
      </c>
      <c r="K4396" t="str">
        <f>_xlfn.XLOOKUP(datos_ventas[[#This Row],[Ciudad]],Tabla2[Ciudades],Tabla2[Provincias],"no se encuentra")</f>
        <v>Barcelona</v>
      </c>
      <c r="L4396" t="str">
        <f>_xlfn.XLOOKUP(datos_ventas[[#This Row],[Provincia]],Tabla2[Provincias],Tabla2[Comunidades],"no se encuentra")</f>
        <v>Cataluña</v>
      </c>
      <c r="M4396" t="s">
        <v>19</v>
      </c>
      <c r="N4396">
        <v>3</v>
      </c>
    </row>
    <row r="4397" spans="1:14" x14ac:dyDescent="0.25">
      <c r="A4397">
        <v>5396</v>
      </c>
      <c r="B4397" s="1">
        <v>45965</v>
      </c>
      <c r="C4397" s="4">
        <f>MONTH(datos_ventas[[#This Row],[Fecha]])</f>
        <v>11</v>
      </c>
      <c r="D4397" s="4">
        <f>WEEKNUM(datos_ventas[[#This Row],[Fecha]],2)</f>
        <v>45</v>
      </c>
      <c r="E4397" t="s">
        <v>29</v>
      </c>
      <c r="F4397" t="s">
        <v>30</v>
      </c>
      <c r="G4397">
        <v>5</v>
      </c>
      <c r="H4397">
        <v>45215</v>
      </c>
      <c r="I4397">
        <v>2448</v>
      </c>
      <c r="J4397" t="s">
        <v>14</v>
      </c>
      <c r="K4397" t="str">
        <f>_xlfn.XLOOKUP(datos_ventas[[#This Row],[Ciudad]],Tabla2[Ciudades],Tabla2[Provincias],"no se encuentra")</f>
        <v>Madrid</v>
      </c>
      <c r="L4397" t="str">
        <f>_xlfn.XLOOKUP(datos_ventas[[#This Row],[Provincia]],Tabla2[Provincias],Tabla2[Comunidades],"no se encuentra")</f>
        <v>Comunidad de Madrid</v>
      </c>
      <c r="M4397" t="s">
        <v>13</v>
      </c>
      <c r="N4397">
        <v>4</v>
      </c>
    </row>
    <row r="4398" spans="1:14" x14ac:dyDescent="0.25">
      <c r="A4398">
        <v>5397</v>
      </c>
      <c r="B4398" s="1">
        <v>45844</v>
      </c>
      <c r="C4398" s="4">
        <f>MONTH(datos_ventas[[#This Row],[Fecha]])</f>
        <v>7</v>
      </c>
      <c r="D4398" s="4">
        <f>WEEKNUM(datos_ventas[[#This Row],[Fecha]],2)</f>
        <v>27</v>
      </c>
      <c r="E4398" t="s">
        <v>10</v>
      </c>
      <c r="F4398" t="s">
        <v>11</v>
      </c>
      <c r="G4398">
        <v>4</v>
      </c>
      <c r="H4398">
        <v>31062</v>
      </c>
      <c r="I4398">
        <v>781</v>
      </c>
      <c r="J4398" t="s">
        <v>12</v>
      </c>
      <c r="K4398" t="str">
        <f>_xlfn.XLOOKUP(datos_ventas[[#This Row],[Ciudad]],Tabla2[Ciudades],Tabla2[Provincias],"no se encuentra")</f>
        <v>Málaga</v>
      </c>
      <c r="L4398" t="str">
        <f>_xlfn.XLOOKUP(datos_ventas[[#This Row],[Provincia]],Tabla2[Provincias],Tabla2[Comunidades],"no se encuentra")</f>
        <v>Andalucía</v>
      </c>
      <c r="M4398" t="s">
        <v>19</v>
      </c>
      <c r="N4398">
        <v>2</v>
      </c>
    </row>
    <row r="4399" spans="1:14" x14ac:dyDescent="0.25">
      <c r="A4399">
        <v>5398</v>
      </c>
      <c r="B4399" s="1">
        <v>45833</v>
      </c>
      <c r="C4399" s="4">
        <f>MONTH(datos_ventas[[#This Row],[Fecha]])</f>
        <v>6</v>
      </c>
      <c r="D4399" s="4">
        <f>WEEKNUM(datos_ventas[[#This Row],[Fecha]],2)</f>
        <v>26</v>
      </c>
      <c r="E4399" t="s">
        <v>17</v>
      </c>
      <c r="F4399" t="s">
        <v>18</v>
      </c>
      <c r="G4399">
        <v>2</v>
      </c>
      <c r="H4399">
        <v>755</v>
      </c>
      <c r="I4399">
        <v>896</v>
      </c>
      <c r="J4399" t="s">
        <v>31</v>
      </c>
      <c r="K4399" t="str">
        <f>_xlfn.XLOOKUP(datos_ventas[[#This Row],[Ciudad]],Tabla2[Ciudades],Tabla2[Provincias],"no se encuentra")</f>
        <v>Vizcaya</v>
      </c>
      <c r="L4399" t="str">
        <f>_xlfn.XLOOKUP(datos_ventas[[#This Row],[Provincia]],Tabla2[Provincias],Tabla2[Comunidades],"no se encuentra")</f>
        <v>País Vasco</v>
      </c>
      <c r="M4399" t="s">
        <v>15</v>
      </c>
      <c r="N4399">
        <v>1</v>
      </c>
    </row>
    <row r="4400" spans="1:14" x14ac:dyDescent="0.25">
      <c r="A4400">
        <v>5399</v>
      </c>
      <c r="B4400" s="1">
        <v>45745</v>
      </c>
      <c r="C4400" s="4">
        <f>MONTH(datos_ventas[[#This Row],[Fecha]])</f>
        <v>3</v>
      </c>
      <c r="D4400" s="4">
        <f>WEEKNUM(datos_ventas[[#This Row],[Fecha]],2)</f>
        <v>13</v>
      </c>
      <c r="E4400" t="s">
        <v>10</v>
      </c>
      <c r="F4400" t="s">
        <v>11</v>
      </c>
      <c r="G4400">
        <v>4</v>
      </c>
      <c r="H4400">
        <v>65807</v>
      </c>
      <c r="I4400">
        <v>1804</v>
      </c>
      <c r="J4400" t="s">
        <v>22</v>
      </c>
      <c r="K4400" t="str">
        <f>_xlfn.XLOOKUP(datos_ventas[[#This Row],[Ciudad]],Tabla2[Ciudades],Tabla2[Provincias],"no se encuentra")</f>
        <v>Valencia</v>
      </c>
      <c r="L4400" t="str">
        <f>_xlfn.XLOOKUP(datos_ventas[[#This Row],[Provincia]],Tabla2[Provincias],Tabla2[Comunidades],"no se encuentra")</f>
        <v>Comunidad Valenciana</v>
      </c>
      <c r="M4400" t="s">
        <v>13</v>
      </c>
      <c r="N4400">
        <v>3</v>
      </c>
    </row>
    <row r="4401" spans="1:14" x14ac:dyDescent="0.25">
      <c r="A4401">
        <v>5400</v>
      </c>
      <c r="B4401" s="1">
        <v>45844</v>
      </c>
      <c r="C4401" s="4">
        <f>MONTH(datos_ventas[[#This Row],[Fecha]])</f>
        <v>7</v>
      </c>
      <c r="D4401" s="4">
        <f>WEEKNUM(datos_ventas[[#This Row],[Fecha]],2)</f>
        <v>27</v>
      </c>
      <c r="E4401" t="s">
        <v>10</v>
      </c>
      <c r="F4401" t="s">
        <v>11</v>
      </c>
      <c r="G4401">
        <v>3</v>
      </c>
      <c r="H4401">
        <v>88478</v>
      </c>
      <c r="I4401">
        <v>2304</v>
      </c>
      <c r="J4401" t="s">
        <v>32</v>
      </c>
      <c r="K4401" t="str">
        <f>_xlfn.XLOOKUP(datos_ventas[[#This Row],[Ciudad]],Tabla2[Ciudades],Tabla2[Provincias],"no se encuentra")</f>
        <v>Barcelona</v>
      </c>
      <c r="L4401" t="str">
        <f>_xlfn.XLOOKUP(datos_ventas[[#This Row],[Provincia]],Tabla2[Provincias],Tabla2[Comunidades],"no se encuentra")</f>
        <v>Cataluña</v>
      </c>
      <c r="M4401" t="s">
        <v>15</v>
      </c>
      <c r="N4401">
        <v>2</v>
      </c>
    </row>
    <row r="4402" spans="1:14" x14ac:dyDescent="0.25">
      <c r="A4402">
        <v>5401</v>
      </c>
      <c r="B4402" s="1">
        <v>45799</v>
      </c>
      <c r="C4402" s="4">
        <f>MONTH(datos_ventas[[#This Row],[Fecha]])</f>
        <v>5</v>
      </c>
      <c r="D4402" s="4">
        <f>WEEKNUM(datos_ventas[[#This Row],[Fecha]],2)</f>
        <v>21</v>
      </c>
      <c r="E4402" t="s">
        <v>29</v>
      </c>
      <c r="F4402" t="s">
        <v>30</v>
      </c>
      <c r="G4402">
        <v>3</v>
      </c>
      <c r="H4402">
        <v>108051</v>
      </c>
      <c r="I4402">
        <v>3623</v>
      </c>
      <c r="J4402" t="s">
        <v>31</v>
      </c>
      <c r="K4402" t="str">
        <f>_xlfn.XLOOKUP(datos_ventas[[#This Row],[Ciudad]],Tabla2[Ciudades],Tabla2[Provincias],"no se encuentra")</f>
        <v>Vizcaya</v>
      </c>
      <c r="L4402" t="str">
        <f>_xlfn.XLOOKUP(datos_ventas[[#This Row],[Provincia]],Tabla2[Provincias],Tabla2[Comunidades],"no se encuentra")</f>
        <v>País Vasco</v>
      </c>
      <c r="M4402" t="s">
        <v>19</v>
      </c>
      <c r="N4402">
        <v>3</v>
      </c>
    </row>
    <row r="4403" spans="1:14" x14ac:dyDescent="0.25">
      <c r="A4403">
        <v>5402</v>
      </c>
      <c r="B4403" s="1">
        <v>45805</v>
      </c>
      <c r="C4403" s="4">
        <f>MONTH(datos_ventas[[#This Row],[Fecha]])</f>
        <v>5</v>
      </c>
      <c r="D4403" s="4">
        <f>WEEKNUM(datos_ventas[[#This Row],[Fecha]],2)</f>
        <v>22</v>
      </c>
      <c r="E4403" t="s">
        <v>20</v>
      </c>
      <c r="F4403" t="s">
        <v>21</v>
      </c>
      <c r="G4403">
        <v>1</v>
      </c>
      <c r="H4403">
        <v>18631</v>
      </c>
      <c r="I4403">
        <v>4282</v>
      </c>
      <c r="J4403" t="s">
        <v>32</v>
      </c>
      <c r="K4403" t="str">
        <f>_xlfn.XLOOKUP(datos_ventas[[#This Row],[Ciudad]],Tabla2[Ciudades],Tabla2[Provincias],"no se encuentra")</f>
        <v>Barcelona</v>
      </c>
      <c r="L4403" t="str">
        <f>_xlfn.XLOOKUP(datos_ventas[[#This Row],[Provincia]],Tabla2[Provincias],Tabla2[Comunidades],"no se encuentra")</f>
        <v>Cataluña</v>
      </c>
      <c r="M4403" t="s">
        <v>15</v>
      </c>
      <c r="N4403">
        <v>4</v>
      </c>
    </row>
    <row r="4404" spans="1:14" x14ac:dyDescent="0.25">
      <c r="A4404">
        <v>5403</v>
      </c>
      <c r="B4404" s="1">
        <v>45894</v>
      </c>
      <c r="C4404" s="4">
        <f>MONTH(datos_ventas[[#This Row],[Fecha]])</f>
        <v>8</v>
      </c>
      <c r="D4404" s="4">
        <f>WEEKNUM(datos_ventas[[#This Row],[Fecha]],2)</f>
        <v>35</v>
      </c>
      <c r="E4404" t="s">
        <v>17</v>
      </c>
      <c r="F4404" t="s">
        <v>18</v>
      </c>
      <c r="G4404">
        <v>2</v>
      </c>
      <c r="H4404">
        <v>110703</v>
      </c>
      <c r="I4404">
        <v>1434</v>
      </c>
      <c r="J4404" t="s">
        <v>31</v>
      </c>
      <c r="K4404" t="str">
        <f>_xlfn.XLOOKUP(datos_ventas[[#This Row],[Ciudad]],Tabla2[Ciudades],Tabla2[Provincias],"no se encuentra")</f>
        <v>Vizcaya</v>
      </c>
      <c r="L4404" t="str">
        <f>_xlfn.XLOOKUP(datos_ventas[[#This Row],[Provincia]],Tabla2[Provincias],Tabla2[Comunidades],"no se encuentra")</f>
        <v>País Vasco</v>
      </c>
      <c r="M4404" t="s">
        <v>19</v>
      </c>
      <c r="N4404">
        <v>1</v>
      </c>
    </row>
    <row r="4405" spans="1:14" x14ac:dyDescent="0.25">
      <c r="A4405">
        <v>5404</v>
      </c>
      <c r="B4405" s="1">
        <v>45920</v>
      </c>
      <c r="C4405" s="4">
        <f>MONTH(datos_ventas[[#This Row],[Fecha]])</f>
        <v>9</v>
      </c>
      <c r="D4405" s="4">
        <f>WEEKNUM(datos_ventas[[#This Row],[Fecha]],2)</f>
        <v>38</v>
      </c>
      <c r="E4405" t="s">
        <v>24</v>
      </c>
      <c r="F4405" t="s">
        <v>25</v>
      </c>
      <c r="G4405">
        <v>1</v>
      </c>
      <c r="H4405">
        <v>25063</v>
      </c>
      <c r="I4405">
        <v>3142</v>
      </c>
      <c r="J4405" t="s">
        <v>14</v>
      </c>
      <c r="K4405" t="str">
        <f>_xlfn.XLOOKUP(datos_ventas[[#This Row],[Ciudad]],Tabla2[Ciudades],Tabla2[Provincias],"no se encuentra")</f>
        <v>Madrid</v>
      </c>
      <c r="L4405" t="str">
        <f>_xlfn.XLOOKUP(datos_ventas[[#This Row],[Provincia]],Tabla2[Provincias],Tabla2[Comunidades],"no se encuentra")</f>
        <v>Comunidad de Madrid</v>
      </c>
      <c r="M4405" t="s">
        <v>13</v>
      </c>
      <c r="N4405">
        <v>2</v>
      </c>
    </row>
    <row r="4406" spans="1:14" x14ac:dyDescent="0.25">
      <c r="A4406">
        <v>5405</v>
      </c>
      <c r="B4406" s="1">
        <v>45871</v>
      </c>
      <c r="C4406" s="4">
        <f>MONTH(datos_ventas[[#This Row],[Fecha]])</f>
        <v>8</v>
      </c>
      <c r="D4406" s="4">
        <f>WEEKNUM(datos_ventas[[#This Row],[Fecha]],2)</f>
        <v>31</v>
      </c>
      <c r="E4406" t="s">
        <v>10</v>
      </c>
      <c r="F4406" t="s">
        <v>11</v>
      </c>
      <c r="G4406">
        <v>5</v>
      </c>
      <c r="H4406">
        <v>82677</v>
      </c>
      <c r="I4406">
        <v>3467</v>
      </c>
      <c r="J4406" t="s">
        <v>12</v>
      </c>
      <c r="K4406" t="str">
        <f>_xlfn.XLOOKUP(datos_ventas[[#This Row],[Ciudad]],Tabla2[Ciudades],Tabla2[Provincias],"no se encuentra")</f>
        <v>Málaga</v>
      </c>
      <c r="L4406" t="str">
        <f>_xlfn.XLOOKUP(datos_ventas[[#This Row],[Provincia]],Tabla2[Provincias],Tabla2[Comunidades],"no se encuentra")</f>
        <v>Andalucía</v>
      </c>
      <c r="M4406" t="s">
        <v>13</v>
      </c>
      <c r="N4406">
        <v>4</v>
      </c>
    </row>
    <row r="4407" spans="1:14" x14ac:dyDescent="0.25">
      <c r="A4407">
        <v>5406</v>
      </c>
      <c r="B4407" s="1">
        <v>46011</v>
      </c>
      <c r="C4407" s="4">
        <f>MONTH(datos_ventas[[#This Row],[Fecha]])</f>
        <v>12</v>
      </c>
      <c r="D4407" s="4">
        <f>WEEKNUM(datos_ventas[[#This Row],[Fecha]],2)</f>
        <v>51</v>
      </c>
      <c r="E4407" t="s">
        <v>23</v>
      </c>
      <c r="F4407" t="s">
        <v>18</v>
      </c>
      <c r="G4407">
        <v>2</v>
      </c>
      <c r="H4407">
        <v>93305</v>
      </c>
      <c r="I4407">
        <v>4588</v>
      </c>
      <c r="J4407" t="s">
        <v>32</v>
      </c>
      <c r="K4407" t="str">
        <f>_xlfn.XLOOKUP(datos_ventas[[#This Row],[Ciudad]],Tabla2[Ciudades],Tabla2[Provincias],"no se encuentra")</f>
        <v>Barcelona</v>
      </c>
      <c r="L4407" t="str">
        <f>_xlfn.XLOOKUP(datos_ventas[[#This Row],[Provincia]],Tabla2[Provincias],Tabla2[Comunidades],"no se encuentra")</f>
        <v>Cataluña</v>
      </c>
      <c r="M4407" t="s">
        <v>13</v>
      </c>
      <c r="N4407">
        <v>5</v>
      </c>
    </row>
    <row r="4408" spans="1:14" x14ac:dyDescent="0.25">
      <c r="A4408">
        <v>5407</v>
      </c>
      <c r="B4408" s="1">
        <v>45701</v>
      </c>
      <c r="C4408" s="4">
        <f>MONTH(datos_ventas[[#This Row],[Fecha]])</f>
        <v>2</v>
      </c>
      <c r="D4408" s="4">
        <f>WEEKNUM(datos_ventas[[#This Row],[Fecha]],2)</f>
        <v>7</v>
      </c>
      <c r="E4408" t="s">
        <v>16</v>
      </c>
      <c r="F4408" t="s">
        <v>11</v>
      </c>
      <c r="G4408">
        <v>3</v>
      </c>
      <c r="H4408">
        <v>9263</v>
      </c>
      <c r="I4408">
        <v>1495</v>
      </c>
      <c r="J4408" t="s">
        <v>14</v>
      </c>
      <c r="K4408" t="str">
        <f>_xlfn.XLOOKUP(datos_ventas[[#This Row],[Ciudad]],Tabla2[Ciudades],Tabla2[Provincias],"no se encuentra")</f>
        <v>Madrid</v>
      </c>
      <c r="L4408" t="str">
        <f>_xlfn.XLOOKUP(datos_ventas[[#This Row],[Provincia]],Tabla2[Provincias],Tabla2[Comunidades],"no se encuentra")</f>
        <v>Comunidad de Madrid</v>
      </c>
      <c r="M4408" t="s">
        <v>13</v>
      </c>
      <c r="N4408">
        <v>3</v>
      </c>
    </row>
    <row r="4409" spans="1:14" x14ac:dyDescent="0.25">
      <c r="A4409">
        <v>5408</v>
      </c>
      <c r="B4409" s="1">
        <v>45954</v>
      </c>
      <c r="C4409" s="4">
        <f>MONTH(datos_ventas[[#This Row],[Fecha]])</f>
        <v>10</v>
      </c>
      <c r="D4409" s="4">
        <f>WEEKNUM(datos_ventas[[#This Row],[Fecha]],2)</f>
        <v>43</v>
      </c>
      <c r="E4409" t="s">
        <v>24</v>
      </c>
      <c r="F4409" t="s">
        <v>25</v>
      </c>
      <c r="G4409">
        <v>2</v>
      </c>
      <c r="H4409">
        <v>85613</v>
      </c>
      <c r="I4409">
        <v>1507</v>
      </c>
      <c r="J4409" t="s">
        <v>12</v>
      </c>
      <c r="K4409" t="str">
        <f>_xlfn.XLOOKUP(datos_ventas[[#This Row],[Ciudad]],Tabla2[Ciudades],Tabla2[Provincias],"no se encuentra")</f>
        <v>Málaga</v>
      </c>
      <c r="L4409" t="str">
        <f>_xlfn.XLOOKUP(datos_ventas[[#This Row],[Provincia]],Tabla2[Provincias],Tabla2[Comunidades],"no se encuentra")</f>
        <v>Andalucía</v>
      </c>
      <c r="M4409" t="s">
        <v>19</v>
      </c>
      <c r="N4409">
        <v>1</v>
      </c>
    </row>
    <row r="4410" spans="1:14" x14ac:dyDescent="0.25">
      <c r="A4410">
        <v>5409</v>
      </c>
      <c r="B4410" s="1">
        <v>45880</v>
      </c>
      <c r="C4410" s="4">
        <f>MONTH(datos_ventas[[#This Row],[Fecha]])</f>
        <v>8</v>
      </c>
      <c r="D4410" s="4">
        <f>WEEKNUM(datos_ventas[[#This Row],[Fecha]],2)</f>
        <v>33</v>
      </c>
      <c r="E4410" t="s">
        <v>20</v>
      </c>
      <c r="F4410" t="s">
        <v>21</v>
      </c>
      <c r="G4410">
        <v>2</v>
      </c>
      <c r="H4410">
        <v>105939</v>
      </c>
      <c r="I4410">
        <v>3035</v>
      </c>
      <c r="J4410" t="s">
        <v>27</v>
      </c>
      <c r="K4410" t="str">
        <f>_xlfn.XLOOKUP(datos_ventas[[#This Row],[Ciudad]],Tabla2[Ciudades],Tabla2[Provincias],"no se encuentra")</f>
        <v>Sevilla</v>
      </c>
      <c r="L4410" t="str">
        <f>_xlfn.XLOOKUP(datos_ventas[[#This Row],[Provincia]],Tabla2[Provincias],Tabla2[Comunidades],"no se encuentra")</f>
        <v>Andalucía</v>
      </c>
      <c r="M4410" t="s">
        <v>13</v>
      </c>
      <c r="N4410">
        <v>2</v>
      </c>
    </row>
    <row r="4411" spans="1:14" x14ac:dyDescent="0.25">
      <c r="A4411">
        <v>5410</v>
      </c>
      <c r="B4411" s="1">
        <v>45710</v>
      </c>
      <c r="C4411" s="4">
        <f>MONTH(datos_ventas[[#This Row],[Fecha]])</f>
        <v>2</v>
      </c>
      <c r="D4411" s="4">
        <f>WEEKNUM(datos_ventas[[#This Row],[Fecha]],2)</f>
        <v>8</v>
      </c>
      <c r="E4411" t="s">
        <v>29</v>
      </c>
      <c r="F4411" t="s">
        <v>30</v>
      </c>
      <c r="G4411">
        <v>2</v>
      </c>
      <c r="H4411">
        <v>96374</v>
      </c>
      <c r="I4411">
        <v>4444</v>
      </c>
      <c r="J4411" t="s">
        <v>22</v>
      </c>
      <c r="K4411" t="str">
        <f>_xlfn.XLOOKUP(datos_ventas[[#This Row],[Ciudad]],Tabla2[Ciudades],Tabla2[Provincias],"no se encuentra")</f>
        <v>Valencia</v>
      </c>
      <c r="L4411" t="str">
        <f>_xlfn.XLOOKUP(datos_ventas[[#This Row],[Provincia]],Tabla2[Provincias],Tabla2[Comunidades],"no se encuentra")</f>
        <v>Comunidad Valenciana</v>
      </c>
      <c r="M4411" t="s">
        <v>15</v>
      </c>
      <c r="N4411">
        <v>2</v>
      </c>
    </row>
    <row r="4412" spans="1:14" x14ac:dyDescent="0.25">
      <c r="A4412">
        <v>5411</v>
      </c>
      <c r="B4412" s="1">
        <v>45917</v>
      </c>
      <c r="C4412" s="4">
        <f>MONTH(datos_ventas[[#This Row],[Fecha]])</f>
        <v>9</v>
      </c>
      <c r="D4412" s="4">
        <f>WEEKNUM(datos_ventas[[#This Row],[Fecha]],2)</f>
        <v>38</v>
      </c>
      <c r="E4412" t="s">
        <v>20</v>
      </c>
      <c r="F4412" t="s">
        <v>21</v>
      </c>
      <c r="G4412">
        <v>2</v>
      </c>
      <c r="H4412">
        <v>7405</v>
      </c>
      <c r="I4412">
        <v>1943</v>
      </c>
      <c r="J4412" t="s">
        <v>22</v>
      </c>
      <c r="K4412" t="str">
        <f>_xlfn.XLOOKUP(datos_ventas[[#This Row],[Ciudad]],Tabla2[Ciudades],Tabla2[Provincias],"no se encuentra")</f>
        <v>Valencia</v>
      </c>
      <c r="L4412" t="str">
        <f>_xlfn.XLOOKUP(datos_ventas[[#This Row],[Provincia]],Tabla2[Provincias],Tabla2[Comunidades],"no se encuentra")</f>
        <v>Comunidad Valenciana</v>
      </c>
      <c r="M4412" t="s">
        <v>28</v>
      </c>
      <c r="N4412">
        <v>2</v>
      </c>
    </row>
    <row r="4413" spans="1:14" x14ac:dyDescent="0.25">
      <c r="A4413">
        <v>5412</v>
      </c>
      <c r="B4413" s="1">
        <v>45831</v>
      </c>
      <c r="C4413" s="4">
        <f>MONTH(datos_ventas[[#This Row],[Fecha]])</f>
        <v>6</v>
      </c>
      <c r="D4413" s="4">
        <f>WEEKNUM(datos_ventas[[#This Row],[Fecha]],2)</f>
        <v>26</v>
      </c>
      <c r="E4413" t="s">
        <v>23</v>
      </c>
      <c r="F4413" t="s">
        <v>18</v>
      </c>
      <c r="G4413">
        <v>1</v>
      </c>
      <c r="H4413">
        <v>68327</v>
      </c>
      <c r="I4413">
        <v>202</v>
      </c>
      <c r="J4413" t="s">
        <v>12</v>
      </c>
      <c r="K4413" t="str">
        <f>_xlfn.XLOOKUP(datos_ventas[[#This Row],[Ciudad]],Tabla2[Ciudades],Tabla2[Provincias],"no se encuentra")</f>
        <v>Málaga</v>
      </c>
      <c r="L4413" t="str">
        <f>_xlfn.XLOOKUP(datos_ventas[[#This Row],[Provincia]],Tabla2[Provincias],Tabla2[Comunidades],"no se encuentra")</f>
        <v>Andalucía</v>
      </c>
      <c r="M4413" t="s">
        <v>28</v>
      </c>
      <c r="N4413">
        <v>2</v>
      </c>
    </row>
    <row r="4414" spans="1:14" x14ac:dyDescent="0.25">
      <c r="A4414">
        <v>5413</v>
      </c>
      <c r="B4414" s="1">
        <v>45970</v>
      </c>
      <c r="C4414" s="4">
        <f>MONTH(datos_ventas[[#This Row],[Fecha]])</f>
        <v>11</v>
      </c>
      <c r="D4414" s="4">
        <f>WEEKNUM(datos_ventas[[#This Row],[Fecha]],2)</f>
        <v>45</v>
      </c>
      <c r="E4414" t="s">
        <v>20</v>
      </c>
      <c r="F4414" t="s">
        <v>21</v>
      </c>
      <c r="G4414">
        <v>4</v>
      </c>
      <c r="H4414">
        <v>6028</v>
      </c>
      <c r="I4414">
        <v>1762</v>
      </c>
      <c r="J4414" t="s">
        <v>12</v>
      </c>
      <c r="K4414" t="str">
        <f>_xlfn.XLOOKUP(datos_ventas[[#This Row],[Ciudad]],Tabla2[Ciudades],Tabla2[Provincias],"no se encuentra")</f>
        <v>Málaga</v>
      </c>
      <c r="L4414" t="str">
        <f>_xlfn.XLOOKUP(datos_ventas[[#This Row],[Provincia]],Tabla2[Provincias],Tabla2[Comunidades],"no se encuentra")</f>
        <v>Andalucía</v>
      </c>
      <c r="M4414" t="s">
        <v>15</v>
      </c>
      <c r="N4414">
        <v>5</v>
      </c>
    </row>
    <row r="4415" spans="1:14" x14ac:dyDescent="0.25">
      <c r="A4415">
        <v>5414</v>
      </c>
      <c r="B4415" s="1">
        <v>45838</v>
      </c>
      <c r="C4415" s="4">
        <f>MONTH(datos_ventas[[#This Row],[Fecha]])</f>
        <v>6</v>
      </c>
      <c r="D4415" s="4">
        <f>WEEKNUM(datos_ventas[[#This Row],[Fecha]],2)</f>
        <v>27</v>
      </c>
      <c r="E4415" t="s">
        <v>16</v>
      </c>
      <c r="F4415" t="s">
        <v>11</v>
      </c>
      <c r="G4415">
        <v>5</v>
      </c>
      <c r="H4415">
        <v>59096</v>
      </c>
      <c r="I4415">
        <v>1758</v>
      </c>
      <c r="J4415" t="s">
        <v>27</v>
      </c>
      <c r="K4415" t="str">
        <f>_xlfn.XLOOKUP(datos_ventas[[#This Row],[Ciudad]],Tabla2[Ciudades],Tabla2[Provincias],"no se encuentra")</f>
        <v>Sevilla</v>
      </c>
      <c r="L4415" t="str">
        <f>_xlfn.XLOOKUP(datos_ventas[[#This Row],[Provincia]],Tabla2[Provincias],Tabla2[Comunidades],"no se encuentra")</f>
        <v>Andalucía</v>
      </c>
      <c r="M4415" t="s">
        <v>19</v>
      </c>
      <c r="N4415">
        <v>1</v>
      </c>
    </row>
    <row r="4416" spans="1:14" x14ac:dyDescent="0.25">
      <c r="A4416">
        <v>5415</v>
      </c>
      <c r="B4416" s="1">
        <v>45863</v>
      </c>
      <c r="C4416" s="4">
        <f>MONTH(datos_ventas[[#This Row],[Fecha]])</f>
        <v>7</v>
      </c>
      <c r="D4416" s="4">
        <f>WEEKNUM(datos_ventas[[#This Row],[Fecha]],2)</f>
        <v>30</v>
      </c>
      <c r="E4416" t="s">
        <v>17</v>
      </c>
      <c r="F4416" t="s">
        <v>18</v>
      </c>
      <c r="G4416">
        <v>2</v>
      </c>
      <c r="H4416">
        <v>31104</v>
      </c>
      <c r="I4416">
        <v>72</v>
      </c>
      <c r="J4416" t="s">
        <v>12</v>
      </c>
      <c r="K4416" t="str">
        <f>_xlfn.XLOOKUP(datos_ventas[[#This Row],[Ciudad]],Tabla2[Ciudades],Tabla2[Provincias],"no se encuentra")</f>
        <v>Málaga</v>
      </c>
      <c r="L4416" t="str">
        <f>_xlfn.XLOOKUP(datos_ventas[[#This Row],[Provincia]],Tabla2[Provincias],Tabla2[Comunidades],"no se encuentra")</f>
        <v>Andalucía</v>
      </c>
      <c r="M4416" t="s">
        <v>28</v>
      </c>
      <c r="N4416">
        <v>2</v>
      </c>
    </row>
    <row r="4417" spans="1:14" x14ac:dyDescent="0.25">
      <c r="A4417">
        <v>5416</v>
      </c>
      <c r="B4417" s="1">
        <v>45986</v>
      </c>
      <c r="C4417" s="4">
        <f>MONTH(datos_ventas[[#This Row],[Fecha]])</f>
        <v>11</v>
      </c>
      <c r="D4417" s="4">
        <f>WEEKNUM(datos_ventas[[#This Row],[Fecha]],2)</f>
        <v>48</v>
      </c>
      <c r="E4417" t="s">
        <v>23</v>
      </c>
      <c r="F4417" t="s">
        <v>18</v>
      </c>
      <c r="G4417">
        <v>4</v>
      </c>
      <c r="H4417">
        <v>70382</v>
      </c>
      <c r="I4417">
        <v>2023</v>
      </c>
      <c r="J4417" t="s">
        <v>32</v>
      </c>
      <c r="K4417" t="str">
        <f>_xlfn.XLOOKUP(datos_ventas[[#This Row],[Ciudad]],Tabla2[Ciudades],Tabla2[Provincias],"no se encuentra")</f>
        <v>Barcelona</v>
      </c>
      <c r="L4417" t="str">
        <f>_xlfn.XLOOKUP(datos_ventas[[#This Row],[Provincia]],Tabla2[Provincias],Tabla2[Comunidades],"no se encuentra")</f>
        <v>Cataluña</v>
      </c>
      <c r="M4417" t="s">
        <v>15</v>
      </c>
      <c r="N4417">
        <v>4</v>
      </c>
    </row>
    <row r="4418" spans="1:14" x14ac:dyDescent="0.25">
      <c r="A4418">
        <v>5417</v>
      </c>
      <c r="B4418" s="1">
        <v>45828</v>
      </c>
      <c r="C4418" s="4">
        <f>MONTH(datos_ventas[[#This Row],[Fecha]])</f>
        <v>6</v>
      </c>
      <c r="D4418" s="4">
        <f>WEEKNUM(datos_ventas[[#This Row],[Fecha]],2)</f>
        <v>25</v>
      </c>
      <c r="E4418" t="s">
        <v>23</v>
      </c>
      <c r="F4418" t="s">
        <v>18</v>
      </c>
      <c r="G4418">
        <v>5</v>
      </c>
      <c r="H4418">
        <v>25035</v>
      </c>
      <c r="I4418">
        <v>2494</v>
      </c>
      <c r="J4418" t="s">
        <v>12</v>
      </c>
      <c r="K4418" t="str">
        <f>_xlfn.XLOOKUP(datos_ventas[[#This Row],[Ciudad]],Tabla2[Ciudades],Tabla2[Provincias],"no se encuentra")</f>
        <v>Málaga</v>
      </c>
      <c r="L4418" t="str">
        <f>_xlfn.XLOOKUP(datos_ventas[[#This Row],[Provincia]],Tabla2[Provincias],Tabla2[Comunidades],"no se encuentra")</f>
        <v>Andalucía</v>
      </c>
      <c r="M4418" t="s">
        <v>28</v>
      </c>
      <c r="N4418">
        <v>1</v>
      </c>
    </row>
    <row r="4419" spans="1:14" x14ac:dyDescent="0.25">
      <c r="A4419">
        <v>5418</v>
      </c>
      <c r="B4419" s="1">
        <v>45975</v>
      </c>
      <c r="C4419" s="4">
        <f>MONTH(datos_ventas[[#This Row],[Fecha]])</f>
        <v>11</v>
      </c>
      <c r="D4419" s="4">
        <f>WEEKNUM(datos_ventas[[#This Row],[Fecha]],2)</f>
        <v>46</v>
      </c>
      <c r="E4419" t="s">
        <v>24</v>
      </c>
      <c r="F4419" t="s">
        <v>25</v>
      </c>
      <c r="G4419">
        <v>5</v>
      </c>
      <c r="H4419">
        <v>51825</v>
      </c>
      <c r="I4419">
        <v>3356</v>
      </c>
      <c r="J4419" t="s">
        <v>14</v>
      </c>
      <c r="K4419" t="str">
        <f>_xlfn.XLOOKUP(datos_ventas[[#This Row],[Ciudad]],Tabla2[Ciudades],Tabla2[Provincias],"no se encuentra")</f>
        <v>Madrid</v>
      </c>
      <c r="L4419" t="str">
        <f>_xlfn.XLOOKUP(datos_ventas[[#This Row],[Provincia]],Tabla2[Provincias],Tabla2[Comunidades],"no se encuentra")</f>
        <v>Comunidad de Madrid</v>
      </c>
      <c r="M4419" t="s">
        <v>19</v>
      </c>
      <c r="N4419">
        <v>1</v>
      </c>
    </row>
    <row r="4420" spans="1:14" x14ac:dyDescent="0.25">
      <c r="A4420">
        <v>5419</v>
      </c>
      <c r="B4420" s="1">
        <v>45720</v>
      </c>
      <c r="C4420" s="4">
        <f>MONTH(datos_ventas[[#This Row],[Fecha]])</f>
        <v>3</v>
      </c>
      <c r="D4420" s="4">
        <f>WEEKNUM(datos_ventas[[#This Row],[Fecha]],2)</f>
        <v>10</v>
      </c>
      <c r="E4420" t="s">
        <v>26</v>
      </c>
      <c r="F4420" t="s">
        <v>18</v>
      </c>
      <c r="G4420">
        <v>3</v>
      </c>
      <c r="H4420">
        <v>41244</v>
      </c>
      <c r="I4420">
        <v>3603</v>
      </c>
      <c r="J4420" t="s">
        <v>31</v>
      </c>
      <c r="K4420" t="str">
        <f>_xlfn.XLOOKUP(datos_ventas[[#This Row],[Ciudad]],Tabla2[Ciudades],Tabla2[Provincias],"no se encuentra")</f>
        <v>Vizcaya</v>
      </c>
      <c r="L4420" t="str">
        <f>_xlfn.XLOOKUP(datos_ventas[[#This Row],[Provincia]],Tabla2[Provincias],Tabla2[Comunidades],"no se encuentra")</f>
        <v>País Vasco</v>
      </c>
      <c r="M4420" t="s">
        <v>15</v>
      </c>
      <c r="N4420">
        <v>5</v>
      </c>
    </row>
    <row r="4421" spans="1:14" x14ac:dyDescent="0.25">
      <c r="A4421">
        <v>5420</v>
      </c>
      <c r="B4421" s="1">
        <v>46022</v>
      </c>
      <c r="C4421" s="4">
        <f>MONTH(datos_ventas[[#This Row],[Fecha]])</f>
        <v>12</v>
      </c>
      <c r="D4421" s="4">
        <f>WEEKNUM(datos_ventas[[#This Row],[Fecha]],2)</f>
        <v>53</v>
      </c>
      <c r="E4421" t="s">
        <v>16</v>
      </c>
      <c r="F4421" t="s">
        <v>11</v>
      </c>
      <c r="G4421">
        <v>3</v>
      </c>
      <c r="H4421">
        <v>2949</v>
      </c>
      <c r="I4421">
        <v>1695</v>
      </c>
      <c r="J4421" t="s">
        <v>27</v>
      </c>
      <c r="K4421" t="str">
        <f>_xlfn.XLOOKUP(datos_ventas[[#This Row],[Ciudad]],Tabla2[Ciudades],Tabla2[Provincias],"no se encuentra")</f>
        <v>Sevilla</v>
      </c>
      <c r="L4421" t="str">
        <f>_xlfn.XLOOKUP(datos_ventas[[#This Row],[Provincia]],Tabla2[Provincias],Tabla2[Comunidades],"no se encuentra")</f>
        <v>Andalucía</v>
      </c>
      <c r="M4421" t="s">
        <v>15</v>
      </c>
      <c r="N4421">
        <v>4</v>
      </c>
    </row>
    <row r="4422" spans="1:14" x14ac:dyDescent="0.25">
      <c r="A4422">
        <v>5421</v>
      </c>
      <c r="B4422" s="1">
        <v>45790</v>
      </c>
      <c r="C4422" s="4">
        <f>MONTH(datos_ventas[[#This Row],[Fecha]])</f>
        <v>5</v>
      </c>
      <c r="D4422" s="4">
        <f>WEEKNUM(datos_ventas[[#This Row],[Fecha]],2)</f>
        <v>20</v>
      </c>
      <c r="E4422" t="s">
        <v>26</v>
      </c>
      <c r="F4422" t="s">
        <v>18</v>
      </c>
      <c r="G4422">
        <v>3</v>
      </c>
      <c r="H4422">
        <v>118688</v>
      </c>
      <c r="I4422">
        <v>988</v>
      </c>
      <c r="J4422" t="s">
        <v>32</v>
      </c>
      <c r="K4422" t="str">
        <f>_xlfn.XLOOKUP(datos_ventas[[#This Row],[Ciudad]],Tabla2[Ciudades],Tabla2[Provincias],"no se encuentra")</f>
        <v>Barcelona</v>
      </c>
      <c r="L4422" t="str">
        <f>_xlfn.XLOOKUP(datos_ventas[[#This Row],[Provincia]],Tabla2[Provincias],Tabla2[Comunidades],"no se encuentra")</f>
        <v>Cataluña</v>
      </c>
      <c r="M4422" t="s">
        <v>28</v>
      </c>
      <c r="N4422">
        <v>3</v>
      </c>
    </row>
    <row r="4423" spans="1:14" x14ac:dyDescent="0.25">
      <c r="A4423">
        <v>5422</v>
      </c>
      <c r="B4423" s="1">
        <v>45965</v>
      </c>
      <c r="C4423" s="4">
        <f>MONTH(datos_ventas[[#This Row],[Fecha]])</f>
        <v>11</v>
      </c>
      <c r="D4423" s="4">
        <f>WEEKNUM(datos_ventas[[#This Row],[Fecha]],2)</f>
        <v>45</v>
      </c>
      <c r="E4423" t="s">
        <v>29</v>
      </c>
      <c r="F4423" t="s">
        <v>30</v>
      </c>
      <c r="G4423">
        <v>4</v>
      </c>
      <c r="H4423">
        <v>36347</v>
      </c>
      <c r="I4423">
        <v>261</v>
      </c>
      <c r="J4423" t="s">
        <v>32</v>
      </c>
      <c r="K4423" t="str">
        <f>_xlfn.XLOOKUP(datos_ventas[[#This Row],[Ciudad]],Tabla2[Ciudades],Tabla2[Provincias],"no se encuentra")</f>
        <v>Barcelona</v>
      </c>
      <c r="L4423" t="str">
        <f>_xlfn.XLOOKUP(datos_ventas[[#This Row],[Provincia]],Tabla2[Provincias],Tabla2[Comunidades],"no se encuentra")</f>
        <v>Cataluña</v>
      </c>
      <c r="M4423" t="s">
        <v>15</v>
      </c>
      <c r="N4423">
        <v>1</v>
      </c>
    </row>
    <row r="4424" spans="1:14" x14ac:dyDescent="0.25">
      <c r="A4424">
        <v>5423</v>
      </c>
      <c r="B4424" s="1">
        <v>46020</v>
      </c>
      <c r="C4424" s="4">
        <f>MONTH(datos_ventas[[#This Row],[Fecha]])</f>
        <v>12</v>
      </c>
      <c r="D4424" s="4">
        <f>WEEKNUM(datos_ventas[[#This Row],[Fecha]],2)</f>
        <v>53</v>
      </c>
      <c r="E4424" t="s">
        <v>20</v>
      </c>
      <c r="F4424" t="s">
        <v>21</v>
      </c>
      <c r="G4424">
        <v>3</v>
      </c>
      <c r="H4424">
        <v>95162</v>
      </c>
      <c r="I4424">
        <v>4973</v>
      </c>
      <c r="J4424" t="s">
        <v>27</v>
      </c>
      <c r="K4424" t="str">
        <f>_xlfn.XLOOKUP(datos_ventas[[#This Row],[Ciudad]],Tabla2[Ciudades],Tabla2[Provincias],"no se encuentra")</f>
        <v>Sevilla</v>
      </c>
      <c r="L4424" t="str">
        <f>_xlfn.XLOOKUP(datos_ventas[[#This Row],[Provincia]],Tabla2[Provincias],Tabla2[Comunidades],"no se encuentra")</f>
        <v>Andalucía</v>
      </c>
      <c r="M4424" t="s">
        <v>15</v>
      </c>
      <c r="N4424">
        <v>1</v>
      </c>
    </row>
    <row r="4425" spans="1:14" x14ac:dyDescent="0.25">
      <c r="A4425">
        <v>5424</v>
      </c>
      <c r="B4425" s="1">
        <v>45667</v>
      </c>
      <c r="C4425" s="4">
        <f>MONTH(datos_ventas[[#This Row],[Fecha]])</f>
        <v>1</v>
      </c>
      <c r="D4425" s="4">
        <f>WEEKNUM(datos_ventas[[#This Row],[Fecha]],2)</f>
        <v>2</v>
      </c>
      <c r="E4425" t="s">
        <v>20</v>
      </c>
      <c r="F4425" t="s">
        <v>21</v>
      </c>
      <c r="G4425">
        <v>5</v>
      </c>
      <c r="H4425">
        <v>53923</v>
      </c>
      <c r="I4425">
        <v>2145</v>
      </c>
      <c r="J4425" t="s">
        <v>31</v>
      </c>
      <c r="K4425" t="str">
        <f>_xlfn.XLOOKUP(datos_ventas[[#This Row],[Ciudad]],Tabla2[Ciudades],Tabla2[Provincias],"no se encuentra")</f>
        <v>Vizcaya</v>
      </c>
      <c r="L4425" t="str">
        <f>_xlfn.XLOOKUP(datos_ventas[[#This Row],[Provincia]],Tabla2[Provincias],Tabla2[Comunidades],"no se encuentra")</f>
        <v>País Vasco</v>
      </c>
      <c r="M4425" t="s">
        <v>15</v>
      </c>
      <c r="N4425">
        <v>5</v>
      </c>
    </row>
    <row r="4426" spans="1:14" x14ac:dyDescent="0.25">
      <c r="A4426">
        <v>5425</v>
      </c>
      <c r="B4426" s="1">
        <v>45688</v>
      </c>
      <c r="C4426" s="4">
        <f>MONTH(datos_ventas[[#This Row],[Fecha]])</f>
        <v>1</v>
      </c>
      <c r="D4426" s="4">
        <f>WEEKNUM(datos_ventas[[#This Row],[Fecha]],2)</f>
        <v>5</v>
      </c>
      <c r="E4426" t="s">
        <v>23</v>
      </c>
      <c r="F4426" t="s">
        <v>18</v>
      </c>
      <c r="G4426">
        <v>3</v>
      </c>
      <c r="H4426">
        <v>119949</v>
      </c>
      <c r="I4426">
        <v>4238</v>
      </c>
      <c r="J4426" t="s">
        <v>27</v>
      </c>
      <c r="K4426" t="str">
        <f>_xlfn.XLOOKUP(datos_ventas[[#This Row],[Ciudad]],Tabla2[Ciudades],Tabla2[Provincias],"no se encuentra")</f>
        <v>Sevilla</v>
      </c>
      <c r="L4426" t="str">
        <f>_xlfn.XLOOKUP(datos_ventas[[#This Row],[Provincia]],Tabla2[Provincias],Tabla2[Comunidades],"no se encuentra")</f>
        <v>Andalucía</v>
      </c>
      <c r="M4426" t="s">
        <v>15</v>
      </c>
      <c r="N4426">
        <v>2</v>
      </c>
    </row>
    <row r="4427" spans="1:14" x14ac:dyDescent="0.25">
      <c r="A4427">
        <v>5426</v>
      </c>
      <c r="B4427" s="1">
        <v>45783</v>
      </c>
      <c r="C4427" s="4">
        <f>MONTH(datos_ventas[[#This Row],[Fecha]])</f>
        <v>5</v>
      </c>
      <c r="D4427" s="4">
        <f>WEEKNUM(datos_ventas[[#This Row],[Fecha]],2)</f>
        <v>19</v>
      </c>
      <c r="E4427" t="s">
        <v>23</v>
      </c>
      <c r="F4427" t="s">
        <v>18</v>
      </c>
      <c r="G4427">
        <v>5</v>
      </c>
      <c r="H4427">
        <v>53465</v>
      </c>
      <c r="I4427">
        <v>2885</v>
      </c>
      <c r="J4427" t="s">
        <v>27</v>
      </c>
      <c r="K4427" t="str">
        <f>_xlfn.XLOOKUP(datos_ventas[[#This Row],[Ciudad]],Tabla2[Ciudades],Tabla2[Provincias],"no se encuentra")</f>
        <v>Sevilla</v>
      </c>
      <c r="L4427" t="str">
        <f>_xlfn.XLOOKUP(datos_ventas[[#This Row],[Provincia]],Tabla2[Provincias],Tabla2[Comunidades],"no se encuentra")</f>
        <v>Andalucía</v>
      </c>
      <c r="M4427" t="s">
        <v>13</v>
      </c>
      <c r="N4427">
        <v>4</v>
      </c>
    </row>
    <row r="4428" spans="1:14" x14ac:dyDescent="0.25">
      <c r="A4428">
        <v>5427</v>
      </c>
      <c r="B4428" s="1">
        <v>45759</v>
      </c>
      <c r="C4428" s="4">
        <f>MONTH(datos_ventas[[#This Row],[Fecha]])</f>
        <v>4</v>
      </c>
      <c r="D4428" s="4">
        <f>WEEKNUM(datos_ventas[[#This Row],[Fecha]],2)</f>
        <v>15</v>
      </c>
      <c r="E4428" t="s">
        <v>17</v>
      </c>
      <c r="F4428" t="s">
        <v>18</v>
      </c>
      <c r="G4428">
        <v>4</v>
      </c>
      <c r="H4428">
        <v>114242</v>
      </c>
      <c r="I4428">
        <v>1813</v>
      </c>
      <c r="J4428" t="s">
        <v>31</v>
      </c>
      <c r="K4428" t="str">
        <f>_xlfn.XLOOKUP(datos_ventas[[#This Row],[Ciudad]],Tabla2[Ciudades],Tabla2[Provincias],"no se encuentra")</f>
        <v>Vizcaya</v>
      </c>
      <c r="L4428" t="str">
        <f>_xlfn.XLOOKUP(datos_ventas[[#This Row],[Provincia]],Tabla2[Provincias],Tabla2[Comunidades],"no se encuentra")</f>
        <v>País Vasco</v>
      </c>
      <c r="M4428" t="s">
        <v>15</v>
      </c>
      <c r="N4428">
        <v>2</v>
      </c>
    </row>
    <row r="4429" spans="1:14" x14ac:dyDescent="0.25">
      <c r="A4429">
        <v>5428</v>
      </c>
      <c r="B4429" s="1">
        <v>45888</v>
      </c>
      <c r="C4429" s="4">
        <f>MONTH(datos_ventas[[#This Row],[Fecha]])</f>
        <v>8</v>
      </c>
      <c r="D4429" s="4">
        <f>WEEKNUM(datos_ventas[[#This Row],[Fecha]],2)</f>
        <v>34</v>
      </c>
      <c r="E4429" t="s">
        <v>24</v>
      </c>
      <c r="F4429" t="s">
        <v>25</v>
      </c>
      <c r="G4429">
        <v>5</v>
      </c>
      <c r="H4429">
        <v>50906</v>
      </c>
      <c r="I4429">
        <v>3976</v>
      </c>
      <c r="J4429" t="s">
        <v>14</v>
      </c>
      <c r="K4429" t="str">
        <f>_xlfn.XLOOKUP(datos_ventas[[#This Row],[Ciudad]],Tabla2[Ciudades],Tabla2[Provincias],"no se encuentra")</f>
        <v>Madrid</v>
      </c>
      <c r="L4429" t="str">
        <f>_xlfn.XLOOKUP(datos_ventas[[#This Row],[Provincia]],Tabla2[Provincias],Tabla2[Comunidades],"no se encuentra")</f>
        <v>Comunidad de Madrid</v>
      </c>
      <c r="M4429" t="s">
        <v>19</v>
      </c>
      <c r="N4429">
        <v>1</v>
      </c>
    </row>
    <row r="4430" spans="1:14" x14ac:dyDescent="0.25">
      <c r="A4430">
        <v>5429</v>
      </c>
      <c r="B4430" s="1">
        <v>45789</v>
      </c>
      <c r="C4430" s="4">
        <f>MONTH(datos_ventas[[#This Row],[Fecha]])</f>
        <v>5</v>
      </c>
      <c r="D4430" s="4">
        <f>WEEKNUM(datos_ventas[[#This Row],[Fecha]],2)</f>
        <v>20</v>
      </c>
      <c r="E4430" t="s">
        <v>20</v>
      </c>
      <c r="F4430" t="s">
        <v>21</v>
      </c>
      <c r="G4430">
        <v>4</v>
      </c>
      <c r="H4430">
        <v>113424</v>
      </c>
      <c r="I4430">
        <v>2698</v>
      </c>
      <c r="J4430" t="s">
        <v>31</v>
      </c>
      <c r="K4430" t="str">
        <f>_xlfn.XLOOKUP(datos_ventas[[#This Row],[Ciudad]],Tabla2[Ciudades],Tabla2[Provincias],"no se encuentra")</f>
        <v>Vizcaya</v>
      </c>
      <c r="L4430" t="str">
        <f>_xlfn.XLOOKUP(datos_ventas[[#This Row],[Provincia]],Tabla2[Provincias],Tabla2[Comunidades],"no se encuentra")</f>
        <v>País Vasco</v>
      </c>
      <c r="M4430" t="s">
        <v>28</v>
      </c>
      <c r="N4430">
        <v>4</v>
      </c>
    </row>
    <row r="4431" spans="1:14" x14ac:dyDescent="0.25">
      <c r="A4431">
        <v>5430</v>
      </c>
      <c r="B4431" s="1">
        <v>45658</v>
      </c>
      <c r="C4431" s="4">
        <f>MONTH(datos_ventas[[#This Row],[Fecha]])</f>
        <v>1</v>
      </c>
      <c r="D4431" s="4">
        <f>WEEKNUM(datos_ventas[[#This Row],[Fecha]],2)</f>
        <v>1</v>
      </c>
      <c r="E4431" t="s">
        <v>20</v>
      </c>
      <c r="F4431" t="s">
        <v>21</v>
      </c>
      <c r="G4431">
        <v>5</v>
      </c>
      <c r="H4431">
        <v>51925</v>
      </c>
      <c r="I4431">
        <v>4339</v>
      </c>
      <c r="J4431" t="s">
        <v>32</v>
      </c>
      <c r="K4431" t="str">
        <f>_xlfn.XLOOKUP(datos_ventas[[#This Row],[Ciudad]],Tabla2[Ciudades],Tabla2[Provincias],"no se encuentra")</f>
        <v>Barcelona</v>
      </c>
      <c r="L4431" t="str">
        <f>_xlfn.XLOOKUP(datos_ventas[[#This Row],[Provincia]],Tabla2[Provincias],Tabla2[Comunidades],"no se encuentra")</f>
        <v>Cataluña</v>
      </c>
      <c r="M4431" t="s">
        <v>13</v>
      </c>
      <c r="N4431">
        <v>4</v>
      </c>
    </row>
    <row r="4432" spans="1:14" x14ac:dyDescent="0.25">
      <c r="A4432">
        <v>5431</v>
      </c>
      <c r="B4432" s="1">
        <v>45882</v>
      </c>
      <c r="C4432" s="4">
        <f>MONTH(datos_ventas[[#This Row],[Fecha]])</f>
        <v>8</v>
      </c>
      <c r="D4432" s="4">
        <f>WEEKNUM(datos_ventas[[#This Row],[Fecha]],2)</f>
        <v>33</v>
      </c>
      <c r="E4432" t="s">
        <v>26</v>
      </c>
      <c r="F4432" t="s">
        <v>18</v>
      </c>
      <c r="G4432">
        <v>5</v>
      </c>
      <c r="H4432">
        <v>74007</v>
      </c>
      <c r="I4432">
        <v>2422</v>
      </c>
      <c r="J4432" t="s">
        <v>32</v>
      </c>
      <c r="K4432" t="str">
        <f>_xlfn.XLOOKUP(datos_ventas[[#This Row],[Ciudad]],Tabla2[Ciudades],Tabla2[Provincias],"no se encuentra")</f>
        <v>Barcelona</v>
      </c>
      <c r="L4432" t="str">
        <f>_xlfn.XLOOKUP(datos_ventas[[#This Row],[Provincia]],Tabla2[Provincias],Tabla2[Comunidades],"no se encuentra")</f>
        <v>Cataluña</v>
      </c>
      <c r="M4432" t="s">
        <v>19</v>
      </c>
      <c r="N4432">
        <v>4</v>
      </c>
    </row>
    <row r="4433" spans="1:14" x14ac:dyDescent="0.25">
      <c r="A4433">
        <v>5432</v>
      </c>
      <c r="B4433" s="1">
        <v>45862</v>
      </c>
      <c r="C4433" s="4">
        <f>MONTH(datos_ventas[[#This Row],[Fecha]])</f>
        <v>7</v>
      </c>
      <c r="D4433" s="4">
        <f>WEEKNUM(datos_ventas[[#This Row],[Fecha]],2)</f>
        <v>30</v>
      </c>
      <c r="E4433" t="s">
        <v>24</v>
      </c>
      <c r="F4433" t="s">
        <v>25</v>
      </c>
      <c r="G4433">
        <v>1</v>
      </c>
      <c r="H4433">
        <v>97528</v>
      </c>
      <c r="I4433">
        <v>4937</v>
      </c>
      <c r="J4433" t="s">
        <v>32</v>
      </c>
      <c r="K4433" t="str">
        <f>_xlfn.XLOOKUP(datos_ventas[[#This Row],[Ciudad]],Tabla2[Ciudades],Tabla2[Provincias],"no se encuentra")</f>
        <v>Barcelona</v>
      </c>
      <c r="L4433" t="str">
        <f>_xlfn.XLOOKUP(datos_ventas[[#This Row],[Provincia]],Tabla2[Provincias],Tabla2[Comunidades],"no se encuentra")</f>
        <v>Cataluña</v>
      </c>
      <c r="M4433" t="s">
        <v>13</v>
      </c>
      <c r="N4433">
        <v>2</v>
      </c>
    </row>
    <row r="4434" spans="1:14" x14ac:dyDescent="0.25">
      <c r="A4434">
        <v>5433</v>
      </c>
      <c r="B4434" s="1">
        <v>45724</v>
      </c>
      <c r="C4434" s="4">
        <f>MONTH(datos_ventas[[#This Row],[Fecha]])</f>
        <v>3</v>
      </c>
      <c r="D4434" s="4">
        <f>WEEKNUM(datos_ventas[[#This Row],[Fecha]],2)</f>
        <v>10</v>
      </c>
      <c r="E4434" t="s">
        <v>16</v>
      </c>
      <c r="F4434" t="s">
        <v>11</v>
      </c>
      <c r="G4434">
        <v>4</v>
      </c>
      <c r="H4434">
        <v>81676</v>
      </c>
      <c r="I4434">
        <v>1141</v>
      </c>
      <c r="J4434" t="s">
        <v>14</v>
      </c>
      <c r="K4434" t="str">
        <f>_xlfn.XLOOKUP(datos_ventas[[#This Row],[Ciudad]],Tabla2[Ciudades],Tabla2[Provincias],"no se encuentra")</f>
        <v>Madrid</v>
      </c>
      <c r="L4434" t="str">
        <f>_xlfn.XLOOKUP(datos_ventas[[#This Row],[Provincia]],Tabla2[Provincias],Tabla2[Comunidades],"no se encuentra")</f>
        <v>Comunidad de Madrid</v>
      </c>
      <c r="M4434" t="s">
        <v>19</v>
      </c>
      <c r="N4434">
        <v>3</v>
      </c>
    </row>
    <row r="4435" spans="1:14" x14ac:dyDescent="0.25">
      <c r="A4435">
        <v>5434</v>
      </c>
      <c r="B4435" s="1">
        <v>45865</v>
      </c>
      <c r="C4435" s="4">
        <f>MONTH(datos_ventas[[#This Row],[Fecha]])</f>
        <v>7</v>
      </c>
      <c r="D4435" s="4">
        <f>WEEKNUM(datos_ventas[[#This Row],[Fecha]],2)</f>
        <v>30</v>
      </c>
      <c r="E4435" t="s">
        <v>26</v>
      </c>
      <c r="F4435" t="s">
        <v>18</v>
      </c>
      <c r="G4435">
        <v>2</v>
      </c>
      <c r="H4435">
        <v>91762</v>
      </c>
      <c r="I4435">
        <v>2231</v>
      </c>
      <c r="J4435" t="s">
        <v>14</v>
      </c>
      <c r="K4435" t="str">
        <f>_xlfn.XLOOKUP(datos_ventas[[#This Row],[Ciudad]],Tabla2[Ciudades],Tabla2[Provincias],"no se encuentra")</f>
        <v>Madrid</v>
      </c>
      <c r="L4435" t="str">
        <f>_xlfn.XLOOKUP(datos_ventas[[#This Row],[Provincia]],Tabla2[Provincias],Tabla2[Comunidades],"no se encuentra")</f>
        <v>Comunidad de Madrid</v>
      </c>
      <c r="M4435" t="s">
        <v>28</v>
      </c>
      <c r="N4435">
        <v>1</v>
      </c>
    </row>
    <row r="4436" spans="1:14" x14ac:dyDescent="0.25">
      <c r="A4436">
        <v>5435</v>
      </c>
      <c r="B4436" s="1">
        <v>45777</v>
      </c>
      <c r="C4436" s="4">
        <f>MONTH(datos_ventas[[#This Row],[Fecha]])</f>
        <v>4</v>
      </c>
      <c r="D4436" s="4">
        <f>WEEKNUM(datos_ventas[[#This Row],[Fecha]],2)</f>
        <v>18</v>
      </c>
      <c r="E4436" t="s">
        <v>24</v>
      </c>
      <c r="F4436" t="s">
        <v>25</v>
      </c>
      <c r="G4436">
        <v>4</v>
      </c>
      <c r="H4436">
        <v>102601</v>
      </c>
      <c r="I4436">
        <v>4563</v>
      </c>
      <c r="J4436" t="s">
        <v>27</v>
      </c>
      <c r="K4436" t="str">
        <f>_xlfn.XLOOKUP(datos_ventas[[#This Row],[Ciudad]],Tabla2[Ciudades],Tabla2[Provincias],"no se encuentra")</f>
        <v>Sevilla</v>
      </c>
      <c r="L4436" t="str">
        <f>_xlfn.XLOOKUP(datos_ventas[[#This Row],[Provincia]],Tabla2[Provincias],Tabla2[Comunidades],"no se encuentra")</f>
        <v>Andalucía</v>
      </c>
      <c r="M4436" t="s">
        <v>13</v>
      </c>
      <c r="N4436">
        <v>2</v>
      </c>
    </row>
    <row r="4437" spans="1:14" x14ac:dyDescent="0.25">
      <c r="A4437">
        <v>5436</v>
      </c>
      <c r="B4437" s="1">
        <v>45912</v>
      </c>
      <c r="C4437" s="4">
        <f>MONTH(datos_ventas[[#This Row],[Fecha]])</f>
        <v>9</v>
      </c>
      <c r="D4437" s="4">
        <f>WEEKNUM(datos_ventas[[#This Row],[Fecha]],2)</f>
        <v>37</v>
      </c>
      <c r="E4437" t="s">
        <v>26</v>
      </c>
      <c r="F4437" t="s">
        <v>18</v>
      </c>
      <c r="G4437">
        <v>5</v>
      </c>
      <c r="H4437">
        <v>40729</v>
      </c>
      <c r="I4437">
        <v>4305</v>
      </c>
      <c r="J4437" t="s">
        <v>32</v>
      </c>
      <c r="K4437" t="str">
        <f>_xlfn.XLOOKUP(datos_ventas[[#This Row],[Ciudad]],Tabla2[Ciudades],Tabla2[Provincias],"no se encuentra")</f>
        <v>Barcelona</v>
      </c>
      <c r="L4437" t="str">
        <f>_xlfn.XLOOKUP(datos_ventas[[#This Row],[Provincia]],Tabla2[Provincias],Tabla2[Comunidades],"no se encuentra")</f>
        <v>Cataluña</v>
      </c>
      <c r="M4437" t="s">
        <v>28</v>
      </c>
      <c r="N4437">
        <v>1</v>
      </c>
    </row>
    <row r="4438" spans="1:14" x14ac:dyDescent="0.25">
      <c r="A4438">
        <v>5437</v>
      </c>
      <c r="B4438" s="1">
        <v>45786</v>
      </c>
      <c r="C4438" s="4">
        <f>MONTH(datos_ventas[[#This Row],[Fecha]])</f>
        <v>5</v>
      </c>
      <c r="D4438" s="4">
        <f>WEEKNUM(datos_ventas[[#This Row],[Fecha]],2)</f>
        <v>19</v>
      </c>
      <c r="E4438" t="s">
        <v>23</v>
      </c>
      <c r="F4438" t="s">
        <v>18</v>
      </c>
      <c r="G4438">
        <v>1</v>
      </c>
      <c r="H4438">
        <v>22859</v>
      </c>
      <c r="I4438">
        <v>2486</v>
      </c>
      <c r="J4438" t="s">
        <v>32</v>
      </c>
      <c r="K4438" t="str">
        <f>_xlfn.XLOOKUP(datos_ventas[[#This Row],[Ciudad]],Tabla2[Ciudades],Tabla2[Provincias],"no se encuentra")</f>
        <v>Barcelona</v>
      </c>
      <c r="L4438" t="str">
        <f>_xlfn.XLOOKUP(datos_ventas[[#This Row],[Provincia]],Tabla2[Provincias],Tabla2[Comunidades],"no se encuentra")</f>
        <v>Cataluña</v>
      </c>
      <c r="M4438" t="s">
        <v>19</v>
      </c>
      <c r="N4438">
        <v>2</v>
      </c>
    </row>
    <row r="4439" spans="1:14" x14ac:dyDescent="0.25">
      <c r="A4439">
        <v>5438</v>
      </c>
      <c r="B4439" s="1">
        <v>45826</v>
      </c>
      <c r="C4439" s="4">
        <f>MONTH(datos_ventas[[#This Row],[Fecha]])</f>
        <v>6</v>
      </c>
      <c r="D4439" s="4">
        <f>WEEKNUM(datos_ventas[[#This Row],[Fecha]],2)</f>
        <v>25</v>
      </c>
      <c r="E4439" t="s">
        <v>23</v>
      </c>
      <c r="F4439" t="s">
        <v>18</v>
      </c>
      <c r="G4439">
        <v>4</v>
      </c>
      <c r="H4439">
        <v>80845</v>
      </c>
      <c r="I4439">
        <v>3861</v>
      </c>
      <c r="J4439" t="s">
        <v>14</v>
      </c>
      <c r="K4439" t="str">
        <f>_xlfn.XLOOKUP(datos_ventas[[#This Row],[Ciudad]],Tabla2[Ciudades],Tabla2[Provincias],"no se encuentra")</f>
        <v>Madrid</v>
      </c>
      <c r="L4439" t="str">
        <f>_xlfn.XLOOKUP(datos_ventas[[#This Row],[Provincia]],Tabla2[Provincias],Tabla2[Comunidades],"no se encuentra")</f>
        <v>Comunidad de Madrid</v>
      </c>
      <c r="M4439" t="s">
        <v>13</v>
      </c>
      <c r="N4439">
        <v>3</v>
      </c>
    </row>
    <row r="4440" spans="1:14" x14ac:dyDescent="0.25">
      <c r="A4440">
        <v>5439</v>
      </c>
      <c r="B4440" s="1">
        <v>45858</v>
      </c>
      <c r="C4440" s="4">
        <f>MONTH(datos_ventas[[#This Row],[Fecha]])</f>
        <v>7</v>
      </c>
      <c r="D4440" s="4">
        <f>WEEKNUM(datos_ventas[[#This Row],[Fecha]],2)</f>
        <v>29</v>
      </c>
      <c r="E4440" t="s">
        <v>29</v>
      </c>
      <c r="F4440" t="s">
        <v>30</v>
      </c>
      <c r="G4440">
        <v>5</v>
      </c>
      <c r="H4440">
        <v>60579</v>
      </c>
      <c r="I4440">
        <v>1792</v>
      </c>
      <c r="J4440" t="s">
        <v>14</v>
      </c>
      <c r="K4440" t="str">
        <f>_xlfn.XLOOKUP(datos_ventas[[#This Row],[Ciudad]],Tabla2[Ciudades],Tabla2[Provincias],"no se encuentra")</f>
        <v>Madrid</v>
      </c>
      <c r="L4440" t="str">
        <f>_xlfn.XLOOKUP(datos_ventas[[#This Row],[Provincia]],Tabla2[Provincias],Tabla2[Comunidades],"no se encuentra")</f>
        <v>Comunidad de Madrid</v>
      </c>
      <c r="M4440" t="s">
        <v>28</v>
      </c>
      <c r="N4440">
        <v>4</v>
      </c>
    </row>
    <row r="4441" spans="1:14" x14ac:dyDescent="0.25">
      <c r="A4441">
        <v>5440</v>
      </c>
      <c r="B4441" s="1">
        <v>45885</v>
      </c>
      <c r="C4441" s="4">
        <f>MONTH(datos_ventas[[#This Row],[Fecha]])</f>
        <v>8</v>
      </c>
      <c r="D4441" s="4">
        <f>WEEKNUM(datos_ventas[[#This Row],[Fecha]],2)</f>
        <v>33</v>
      </c>
      <c r="E4441" t="s">
        <v>20</v>
      </c>
      <c r="F4441" t="s">
        <v>21</v>
      </c>
      <c r="G4441">
        <v>2</v>
      </c>
      <c r="H4441">
        <v>12035</v>
      </c>
      <c r="I4441">
        <v>1895</v>
      </c>
      <c r="J4441" t="s">
        <v>12</v>
      </c>
      <c r="K4441" t="str">
        <f>_xlfn.XLOOKUP(datos_ventas[[#This Row],[Ciudad]],Tabla2[Ciudades],Tabla2[Provincias],"no se encuentra")</f>
        <v>Málaga</v>
      </c>
      <c r="L4441" t="str">
        <f>_xlfn.XLOOKUP(datos_ventas[[#This Row],[Provincia]],Tabla2[Provincias],Tabla2[Comunidades],"no se encuentra")</f>
        <v>Andalucía</v>
      </c>
      <c r="M4441" t="s">
        <v>13</v>
      </c>
      <c r="N4441">
        <v>4</v>
      </c>
    </row>
    <row r="4442" spans="1:14" x14ac:dyDescent="0.25">
      <c r="A4442">
        <v>5441</v>
      </c>
      <c r="B4442" s="1">
        <v>45872</v>
      </c>
      <c r="C4442" s="4">
        <f>MONTH(datos_ventas[[#This Row],[Fecha]])</f>
        <v>8</v>
      </c>
      <c r="D4442" s="4">
        <f>WEEKNUM(datos_ventas[[#This Row],[Fecha]],2)</f>
        <v>31</v>
      </c>
      <c r="E4442" t="s">
        <v>29</v>
      </c>
      <c r="F4442" t="s">
        <v>30</v>
      </c>
      <c r="G4442">
        <v>4</v>
      </c>
      <c r="H4442">
        <v>75655</v>
      </c>
      <c r="I4442">
        <v>1337</v>
      </c>
      <c r="J4442" t="s">
        <v>12</v>
      </c>
      <c r="K4442" t="str">
        <f>_xlfn.XLOOKUP(datos_ventas[[#This Row],[Ciudad]],Tabla2[Ciudades],Tabla2[Provincias],"no se encuentra")</f>
        <v>Málaga</v>
      </c>
      <c r="L4442" t="str">
        <f>_xlfn.XLOOKUP(datos_ventas[[#This Row],[Provincia]],Tabla2[Provincias],Tabla2[Comunidades],"no se encuentra")</f>
        <v>Andalucía</v>
      </c>
      <c r="M4442" t="s">
        <v>28</v>
      </c>
      <c r="N4442">
        <v>5</v>
      </c>
    </row>
    <row r="4443" spans="1:14" x14ac:dyDescent="0.25">
      <c r="A4443">
        <v>5442</v>
      </c>
      <c r="B4443" s="1">
        <v>45782</v>
      </c>
      <c r="C4443" s="4">
        <f>MONTH(datos_ventas[[#This Row],[Fecha]])</f>
        <v>5</v>
      </c>
      <c r="D4443" s="4">
        <f>WEEKNUM(datos_ventas[[#This Row],[Fecha]],2)</f>
        <v>19</v>
      </c>
      <c r="E4443" t="s">
        <v>23</v>
      </c>
      <c r="F4443" t="s">
        <v>18</v>
      </c>
      <c r="G4443">
        <v>5</v>
      </c>
      <c r="H4443">
        <v>69389</v>
      </c>
      <c r="I4443">
        <v>2751</v>
      </c>
      <c r="J4443" t="s">
        <v>22</v>
      </c>
      <c r="K4443" t="str">
        <f>_xlfn.XLOOKUP(datos_ventas[[#This Row],[Ciudad]],Tabla2[Ciudades],Tabla2[Provincias],"no se encuentra")</f>
        <v>Valencia</v>
      </c>
      <c r="L4443" t="str">
        <f>_xlfn.XLOOKUP(datos_ventas[[#This Row],[Provincia]],Tabla2[Provincias],Tabla2[Comunidades],"no se encuentra")</f>
        <v>Comunidad Valenciana</v>
      </c>
      <c r="M4443" t="s">
        <v>15</v>
      </c>
      <c r="N4443">
        <v>5</v>
      </c>
    </row>
    <row r="4444" spans="1:14" x14ac:dyDescent="0.25">
      <c r="A4444">
        <v>5443</v>
      </c>
      <c r="B4444" s="1">
        <v>46014</v>
      </c>
      <c r="C4444" s="4">
        <f>MONTH(datos_ventas[[#This Row],[Fecha]])</f>
        <v>12</v>
      </c>
      <c r="D4444" s="4">
        <f>WEEKNUM(datos_ventas[[#This Row],[Fecha]],2)</f>
        <v>52</v>
      </c>
      <c r="E4444" t="s">
        <v>17</v>
      </c>
      <c r="F4444" t="s">
        <v>18</v>
      </c>
      <c r="G4444">
        <v>1</v>
      </c>
      <c r="H4444">
        <v>13371</v>
      </c>
      <c r="I4444">
        <v>2491</v>
      </c>
      <c r="J4444" t="s">
        <v>12</v>
      </c>
      <c r="K4444" t="str">
        <f>_xlfn.XLOOKUP(datos_ventas[[#This Row],[Ciudad]],Tabla2[Ciudades],Tabla2[Provincias],"no se encuentra")</f>
        <v>Málaga</v>
      </c>
      <c r="L4444" t="str">
        <f>_xlfn.XLOOKUP(datos_ventas[[#This Row],[Provincia]],Tabla2[Provincias],Tabla2[Comunidades],"no se encuentra")</f>
        <v>Andalucía</v>
      </c>
      <c r="M4444" t="s">
        <v>13</v>
      </c>
      <c r="N4444">
        <v>4</v>
      </c>
    </row>
    <row r="4445" spans="1:14" x14ac:dyDescent="0.25">
      <c r="A4445">
        <v>5444</v>
      </c>
      <c r="B4445" s="1">
        <v>45697</v>
      </c>
      <c r="C4445" s="4">
        <f>MONTH(datos_ventas[[#This Row],[Fecha]])</f>
        <v>2</v>
      </c>
      <c r="D4445" s="4">
        <f>WEEKNUM(datos_ventas[[#This Row],[Fecha]],2)</f>
        <v>6</v>
      </c>
      <c r="E4445" t="s">
        <v>24</v>
      </c>
      <c r="F4445" t="s">
        <v>25</v>
      </c>
      <c r="G4445">
        <v>4</v>
      </c>
      <c r="H4445">
        <v>31706</v>
      </c>
      <c r="I4445">
        <v>3667</v>
      </c>
      <c r="J4445" t="s">
        <v>31</v>
      </c>
      <c r="K4445" t="str">
        <f>_xlfn.XLOOKUP(datos_ventas[[#This Row],[Ciudad]],Tabla2[Ciudades],Tabla2[Provincias],"no se encuentra")</f>
        <v>Vizcaya</v>
      </c>
      <c r="L4445" t="str">
        <f>_xlfn.XLOOKUP(datos_ventas[[#This Row],[Provincia]],Tabla2[Provincias],Tabla2[Comunidades],"no se encuentra")</f>
        <v>País Vasco</v>
      </c>
      <c r="M4445" t="s">
        <v>28</v>
      </c>
      <c r="N4445">
        <v>5</v>
      </c>
    </row>
    <row r="4446" spans="1:14" x14ac:dyDescent="0.25">
      <c r="A4446">
        <v>5445</v>
      </c>
      <c r="B4446" s="1">
        <v>45991</v>
      </c>
      <c r="C4446" s="4">
        <f>MONTH(datos_ventas[[#This Row],[Fecha]])</f>
        <v>11</v>
      </c>
      <c r="D4446" s="4">
        <f>WEEKNUM(datos_ventas[[#This Row],[Fecha]],2)</f>
        <v>48</v>
      </c>
      <c r="E4446" t="s">
        <v>29</v>
      </c>
      <c r="F4446" t="s">
        <v>30</v>
      </c>
      <c r="G4446">
        <v>4</v>
      </c>
      <c r="H4446">
        <v>106543</v>
      </c>
      <c r="I4446">
        <v>2771</v>
      </c>
      <c r="J4446" t="s">
        <v>12</v>
      </c>
      <c r="K4446" t="str">
        <f>_xlfn.XLOOKUP(datos_ventas[[#This Row],[Ciudad]],Tabla2[Ciudades],Tabla2[Provincias],"no se encuentra")</f>
        <v>Málaga</v>
      </c>
      <c r="L4446" t="str">
        <f>_xlfn.XLOOKUP(datos_ventas[[#This Row],[Provincia]],Tabla2[Provincias],Tabla2[Comunidades],"no se encuentra")</f>
        <v>Andalucía</v>
      </c>
      <c r="M4446" t="s">
        <v>28</v>
      </c>
      <c r="N4446">
        <v>4</v>
      </c>
    </row>
    <row r="4447" spans="1:14" x14ac:dyDescent="0.25">
      <c r="A4447">
        <v>5446</v>
      </c>
      <c r="B4447" s="1">
        <v>45878</v>
      </c>
      <c r="C4447" s="4">
        <f>MONTH(datos_ventas[[#This Row],[Fecha]])</f>
        <v>8</v>
      </c>
      <c r="D4447" s="4">
        <f>WEEKNUM(datos_ventas[[#This Row],[Fecha]],2)</f>
        <v>32</v>
      </c>
      <c r="E4447" t="s">
        <v>17</v>
      </c>
      <c r="F4447" t="s">
        <v>18</v>
      </c>
      <c r="G4447">
        <v>3</v>
      </c>
      <c r="H4447">
        <v>3644</v>
      </c>
      <c r="I4447">
        <v>466</v>
      </c>
      <c r="J4447" t="s">
        <v>32</v>
      </c>
      <c r="K4447" t="str">
        <f>_xlfn.XLOOKUP(datos_ventas[[#This Row],[Ciudad]],Tabla2[Ciudades],Tabla2[Provincias],"no se encuentra")</f>
        <v>Barcelona</v>
      </c>
      <c r="L4447" t="str">
        <f>_xlfn.XLOOKUP(datos_ventas[[#This Row],[Provincia]],Tabla2[Provincias],Tabla2[Comunidades],"no se encuentra")</f>
        <v>Cataluña</v>
      </c>
      <c r="M4447" t="s">
        <v>13</v>
      </c>
      <c r="N4447">
        <v>4</v>
      </c>
    </row>
    <row r="4448" spans="1:14" x14ac:dyDescent="0.25">
      <c r="A4448">
        <v>5447</v>
      </c>
      <c r="B4448" s="1">
        <v>45979</v>
      </c>
      <c r="C4448" s="4">
        <f>MONTH(datos_ventas[[#This Row],[Fecha]])</f>
        <v>11</v>
      </c>
      <c r="D4448" s="4">
        <f>WEEKNUM(datos_ventas[[#This Row],[Fecha]],2)</f>
        <v>47</v>
      </c>
      <c r="E4448" t="s">
        <v>20</v>
      </c>
      <c r="F4448" t="s">
        <v>21</v>
      </c>
      <c r="G4448">
        <v>3</v>
      </c>
      <c r="H4448">
        <v>57531</v>
      </c>
      <c r="I4448">
        <v>3915</v>
      </c>
      <c r="J4448" t="s">
        <v>27</v>
      </c>
      <c r="K4448" t="str">
        <f>_xlfn.XLOOKUP(datos_ventas[[#This Row],[Ciudad]],Tabla2[Ciudades],Tabla2[Provincias],"no se encuentra")</f>
        <v>Sevilla</v>
      </c>
      <c r="L4448" t="str">
        <f>_xlfn.XLOOKUP(datos_ventas[[#This Row],[Provincia]],Tabla2[Provincias],Tabla2[Comunidades],"no se encuentra")</f>
        <v>Andalucía</v>
      </c>
      <c r="M4448" t="s">
        <v>28</v>
      </c>
      <c r="N4448">
        <v>5</v>
      </c>
    </row>
    <row r="4449" spans="1:14" x14ac:dyDescent="0.25">
      <c r="A4449">
        <v>5448</v>
      </c>
      <c r="B4449" s="1">
        <v>45999</v>
      </c>
      <c r="C4449" s="4">
        <f>MONTH(datos_ventas[[#This Row],[Fecha]])</f>
        <v>12</v>
      </c>
      <c r="D4449" s="4">
        <f>WEEKNUM(datos_ventas[[#This Row],[Fecha]],2)</f>
        <v>50</v>
      </c>
      <c r="E4449" t="s">
        <v>24</v>
      </c>
      <c r="F4449" t="s">
        <v>25</v>
      </c>
      <c r="G4449">
        <v>1</v>
      </c>
      <c r="H4449">
        <v>116866</v>
      </c>
      <c r="I4449">
        <v>2767</v>
      </c>
      <c r="J4449" t="s">
        <v>12</v>
      </c>
      <c r="K4449" t="str">
        <f>_xlfn.XLOOKUP(datos_ventas[[#This Row],[Ciudad]],Tabla2[Ciudades],Tabla2[Provincias],"no se encuentra")</f>
        <v>Málaga</v>
      </c>
      <c r="L4449" t="str">
        <f>_xlfn.XLOOKUP(datos_ventas[[#This Row],[Provincia]],Tabla2[Provincias],Tabla2[Comunidades],"no se encuentra")</f>
        <v>Andalucía</v>
      </c>
      <c r="M4449" t="s">
        <v>15</v>
      </c>
      <c r="N4449">
        <v>3</v>
      </c>
    </row>
    <row r="4450" spans="1:14" x14ac:dyDescent="0.25">
      <c r="A4450">
        <v>5449</v>
      </c>
      <c r="B4450" s="1">
        <v>45890</v>
      </c>
      <c r="C4450" s="4">
        <f>MONTH(datos_ventas[[#This Row],[Fecha]])</f>
        <v>8</v>
      </c>
      <c r="D4450" s="4">
        <f>WEEKNUM(datos_ventas[[#This Row],[Fecha]],2)</f>
        <v>34</v>
      </c>
      <c r="E4450" t="s">
        <v>17</v>
      </c>
      <c r="F4450" t="s">
        <v>18</v>
      </c>
      <c r="G4450">
        <v>4</v>
      </c>
      <c r="H4450">
        <v>97571</v>
      </c>
      <c r="I4450">
        <v>3132</v>
      </c>
      <c r="J4450" t="s">
        <v>27</v>
      </c>
      <c r="K4450" t="str">
        <f>_xlfn.XLOOKUP(datos_ventas[[#This Row],[Ciudad]],Tabla2[Ciudades],Tabla2[Provincias],"no se encuentra")</f>
        <v>Sevilla</v>
      </c>
      <c r="L4450" t="str">
        <f>_xlfn.XLOOKUP(datos_ventas[[#This Row],[Provincia]],Tabla2[Provincias],Tabla2[Comunidades],"no se encuentra")</f>
        <v>Andalucía</v>
      </c>
      <c r="M4450" t="s">
        <v>28</v>
      </c>
      <c r="N4450">
        <v>1</v>
      </c>
    </row>
    <row r="4451" spans="1:14" x14ac:dyDescent="0.25">
      <c r="A4451">
        <v>5450</v>
      </c>
      <c r="B4451" s="1">
        <v>45751</v>
      </c>
      <c r="C4451" s="4">
        <f>MONTH(datos_ventas[[#This Row],[Fecha]])</f>
        <v>4</v>
      </c>
      <c r="D4451" s="4">
        <f>WEEKNUM(datos_ventas[[#This Row],[Fecha]],2)</f>
        <v>14</v>
      </c>
      <c r="E4451" t="s">
        <v>29</v>
      </c>
      <c r="F4451" t="s">
        <v>30</v>
      </c>
      <c r="G4451">
        <v>1</v>
      </c>
      <c r="H4451">
        <v>94928</v>
      </c>
      <c r="I4451">
        <v>2912</v>
      </c>
      <c r="J4451" t="s">
        <v>31</v>
      </c>
      <c r="K4451" t="str">
        <f>_xlfn.XLOOKUP(datos_ventas[[#This Row],[Ciudad]],Tabla2[Ciudades],Tabla2[Provincias],"no se encuentra")</f>
        <v>Vizcaya</v>
      </c>
      <c r="L4451" t="str">
        <f>_xlfn.XLOOKUP(datos_ventas[[#This Row],[Provincia]],Tabla2[Provincias],Tabla2[Comunidades],"no se encuentra")</f>
        <v>País Vasco</v>
      </c>
      <c r="M4451" t="s">
        <v>13</v>
      </c>
      <c r="N4451">
        <v>3</v>
      </c>
    </row>
    <row r="4452" spans="1:14" x14ac:dyDescent="0.25">
      <c r="A4452">
        <v>5451</v>
      </c>
      <c r="B4452" s="1">
        <v>46014</v>
      </c>
      <c r="C4452" s="4">
        <f>MONTH(datos_ventas[[#This Row],[Fecha]])</f>
        <v>12</v>
      </c>
      <c r="D4452" s="4">
        <f>WEEKNUM(datos_ventas[[#This Row],[Fecha]],2)</f>
        <v>52</v>
      </c>
      <c r="E4452" t="s">
        <v>29</v>
      </c>
      <c r="F4452" t="s">
        <v>30</v>
      </c>
      <c r="G4452">
        <v>2</v>
      </c>
      <c r="H4452">
        <v>33891</v>
      </c>
      <c r="I4452">
        <v>1846</v>
      </c>
      <c r="J4452" t="s">
        <v>31</v>
      </c>
      <c r="K4452" t="str">
        <f>_xlfn.XLOOKUP(datos_ventas[[#This Row],[Ciudad]],Tabla2[Ciudades],Tabla2[Provincias],"no se encuentra")</f>
        <v>Vizcaya</v>
      </c>
      <c r="L4452" t="str">
        <f>_xlfn.XLOOKUP(datos_ventas[[#This Row],[Provincia]],Tabla2[Provincias],Tabla2[Comunidades],"no se encuentra")</f>
        <v>País Vasco</v>
      </c>
      <c r="M4452" t="s">
        <v>13</v>
      </c>
      <c r="N4452">
        <v>4</v>
      </c>
    </row>
    <row r="4453" spans="1:14" x14ac:dyDescent="0.25">
      <c r="A4453">
        <v>5452</v>
      </c>
      <c r="B4453" s="1">
        <v>45699</v>
      </c>
      <c r="C4453" s="4">
        <f>MONTH(datos_ventas[[#This Row],[Fecha]])</f>
        <v>2</v>
      </c>
      <c r="D4453" s="4">
        <f>WEEKNUM(datos_ventas[[#This Row],[Fecha]],2)</f>
        <v>7</v>
      </c>
      <c r="E4453" t="s">
        <v>23</v>
      </c>
      <c r="F4453" t="s">
        <v>18</v>
      </c>
      <c r="G4453">
        <v>5</v>
      </c>
      <c r="H4453">
        <v>8698</v>
      </c>
      <c r="I4453">
        <v>2144</v>
      </c>
      <c r="J4453" t="s">
        <v>31</v>
      </c>
      <c r="K4453" t="str">
        <f>_xlfn.XLOOKUP(datos_ventas[[#This Row],[Ciudad]],Tabla2[Ciudades],Tabla2[Provincias],"no se encuentra")</f>
        <v>Vizcaya</v>
      </c>
      <c r="L4453" t="str">
        <f>_xlfn.XLOOKUP(datos_ventas[[#This Row],[Provincia]],Tabla2[Provincias],Tabla2[Comunidades],"no se encuentra")</f>
        <v>País Vasco</v>
      </c>
      <c r="M4453" t="s">
        <v>15</v>
      </c>
      <c r="N4453">
        <v>3</v>
      </c>
    </row>
    <row r="4454" spans="1:14" x14ac:dyDescent="0.25">
      <c r="A4454">
        <v>5453</v>
      </c>
      <c r="B4454" s="1">
        <v>45767</v>
      </c>
      <c r="C4454" s="4">
        <f>MONTH(datos_ventas[[#This Row],[Fecha]])</f>
        <v>4</v>
      </c>
      <c r="D4454" s="4">
        <f>WEEKNUM(datos_ventas[[#This Row],[Fecha]],2)</f>
        <v>16</v>
      </c>
      <c r="E4454" t="s">
        <v>26</v>
      </c>
      <c r="F4454" t="s">
        <v>18</v>
      </c>
      <c r="G4454">
        <v>2</v>
      </c>
      <c r="H4454">
        <v>73349</v>
      </c>
      <c r="I4454">
        <v>1878</v>
      </c>
      <c r="J4454" t="s">
        <v>27</v>
      </c>
      <c r="K4454" t="str">
        <f>_xlfn.XLOOKUP(datos_ventas[[#This Row],[Ciudad]],Tabla2[Ciudades],Tabla2[Provincias],"no se encuentra")</f>
        <v>Sevilla</v>
      </c>
      <c r="L4454" t="str">
        <f>_xlfn.XLOOKUP(datos_ventas[[#This Row],[Provincia]],Tabla2[Provincias],Tabla2[Comunidades],"no se encuentra")</f>
        <v>Andalucía</v>
      </c>
      <c r="M4454" t="s">
        <v>28</v>
      </c>
      <c r="N4454">
        <v>3</v>
      </c>
    </row>
    <row r="4455" spans="1:14" x14ac:dyDescent="0.25">
      <c r="A4455">
        <v>5454</v>
      </c>
      <c r="B4455" s="1">
        <v>45707</v>
      </c>
      <c r="C4455" s="4">
        <f>MONTH(datos_ventas[[#This Row],[Fecha]])</f>
        <v>2</v>
      </c>
      <c r="D4455" s="4">
        <f>WEEKNUM(datos_ventas[[#This Row],[Fecha]],2)</f>
        <v>8</v>
      </c>
      <c r="E4455" t="s">
        <v>20</v>
      </c>
      <c r="F4455" t="s">
        <v>21</v>
      </c>
      <c r="G4455">
        <v>3</v>
      </c>
      <c r="H4455">
        <v>5650</v>
      </c>
      <c r="I4455">
        <v>464</v>
      </c>
      <c r="J4455" t="s">
        <v>14</v>
      </c>
      <c r="K4455" t="str">
        <f>_xlfn.XLOOKUP(datos_ventas[[#This Row],[Ciudad]],Tabla2[Ciudades],Tabla2[Provincias],"no se encuentra")</f>
        <v>Madrid</v>
      </c>
      <c r="L4455" t="str">
        <f>_xlfn.XLOOKUP(datos_ventas[[#This Row],[Provincia]],Tabla2[Provincias],Tabla2[Comunidades],"no se encuentra")</f>
        <v>Comunidad de Madrid</v>
      </c>
      <c r="M4455" t="s">
        <v>28</v>
      </c>
      <c r="N4455">
        <v>1</v>
      </c>
    </row>
    <row r="4456" spans="1:14" x14ac:dyDescent="0.25">
      <c r="A4456">
        <v>5455</v>
      </c>
      <c r="B4456" s="1">
        <v>45858</v>
      </c>
      <c r="C4456" s="4">
        <f>MONTH(datos_ventas[[#This Row],[Fecha]])</f>
        <v>7</v>
      </c>
      <c r="D4456" s="4">
        <f>WEEKNUM(datos_ventas[[#This Row],[Fecha]],2)</f>
        <v>29</v>
      </c>
      <c r="E4456" t="s">
        <v>26</v>
      </c>
      <c r="F4456" t="s">
        <v>18</v>
      </c>
      <c r="G4456">
        <v>2</v>
      </c>
      <c r="H4456">
        <v>117771</v>
      </c>
      <c r="I4456">
        <v>3722</v>
      </c>
      <c r="J4456" t="s">
        <v>27</v>
      </c>
      <c r="K4456" t="str">
        <f>_xlfn.XLOOKUP(datos_ventas[[#This Row],[Ciudad]],Tabla2[Ciudades],Tabla2[Provincias],"no se encuentra")</f>
        <v>Sevilla</v>
      </c>
      <c r="L4456" t="str">
        <f>_xlfn.XLOOKUP(datos_ventas[[#This Row],[Provincia]],Tabla2[Provincias],Tabla2[Comunidades],"no se encuentra")</f>
        <v>Andalucía</v>
      </c>
      <c r="M4456" t="s">
        <v>28</v>
      </c>
      <c r="N4456">
        <v>3</v>
      </c>
    </row>
    <row r="4457" spans="1:14" x14ac:dyDescent="0.25">
      <c r="A4457">
        <v>5456</v>
      </c>
      <c r="B4457" s="1">
        <v>45734</v>
      </c>
      <c r="C4457" s="4">
        <f>MONTH(datos_ventas[[#This Row],[Fecha]])</f>
        <v>3</v>
      </c>
      <c r="D4457" s="4">
        <f>WEEKNUM(datos_ventas[[#This Row],[Fecha]],2)</f>
        <v>12</v>
      </c>
      <c r="E4457" t="s">
        <v>29</v>
      </c>
      <c r="F4457" t="s">
        <v>30</v>
      </c>
      <c r="G4457">
        <v>3</v>
      </c>
      <c r="H4457">
        <v>106115</v>
      </c>
      <c r="I4457">
        <v>1324</v>
      </c>
      <c r="J4457" t="s">
        <v>22</v>
      </c>
      <c r="K4457" t="str">
        <f>_xlfn.XLOOKUP(datos_ventas[[#This Row],[Ciudad]],Tabla2[Ciudades],Tabla2[Provincias],"no se encuentra")</f>
        <v>Valencia</v>
      </c>
      <c r="L4457" t="str">
        <f>_xlfn.XLOOKUP(datos_ventas[[#This Row],[Provincia]],Tabla2[Provincias],Tabla2[Comunidades],"no se encuentra")</f>
        <v>Comunidad Valenciana</v>
      </c>
      <c r="M4457" t="s">
        <v>28</v>
      </c>
      <c r="N4457">
        <v>3</v>
      </c>
    </row>
    <row r="4458" spans="1:14" x14ac:dyDescent="0.25">
      <c r="A4458">
        <v>5457</v>
      </c>
      <c r="B4458" s="1">
        <v>46010</v>
      </c>
      <c r="C4458" s="4">
        <f>MONTH(datos_ventas[[#This Row],[Fecha]])</f>
        <v>12</v>
      </c>
      <c r="D4458" s="4">
        <f>WEEKNUM(datos_ventas[[#This Row],[Fecha]],2)</f>
        <v>51</v>
      </c>
      <c r="E4458" t="s">
        <v>29</v>
      </c>
      <c r="F4458" t="s">
        <v>30</v>
      </c>
      <c r="G4458">
        <v>5</v>
      </c>
      <c r="H4458">
        <v>91967</v>
      </c>
      <c r="I4458">
        <v>2933</v>
      </c>
      <c r="J4458" t="s">
        <v>14</v>
      </c>
      <c r="K4458" t="str">
        <f>_xlfn.XLOOKUP(datos_ventas[[#This Row],[Ciudad]],Tabla2[Ciudades],Tabla2[Provincias],"no se encuentra")</f>
        <v>Madrid</v>
      </c>
      <c r="L4458" t="str">
        <f>_xlfn.XLOOKUP(datos_ventas[[#This Row],[Provincia]],Tabla2[Provincias],Tabla2[Comunidades],"no se encuentra")</f>
        <v>Comunidad de Madrid</v>
      </c>
      <c r="M4458" t="s">
        <v>15</v>
      </c>
      <c r="N4458">
        <v>5</v>
      </c>
    </row>
    <row r="4459" spans="1:14" x14ac:dyDescent="0.25">
      <c r="A4459">
        <v>5458</v>
      </c>
      <c r="B4459" s="1">
        <v>45981</v>
      </c>
      <c r="C4459" s="4">
        <f>MONTH(datos_ventas[[#This Row],[Fecha]])</f>
        <v>11</v>
      </c>
      <c r="D4459" s="4">
        <f>WEEKNUM(datos_ventas[[#This Row],[Fecha]],2)</f>
        <v>47</v>
      </c>
      <c r="E4459" t="s">
        <v>17</v>
      </c>
      <c r="F4459" t="s">
        <v>18</v>
      </c>
      <c r="G4459">
        <v>2</v>
      </c>
      <c r="H4459">
        <v>35471</v>
      </c>
      <c r="I4459">
        <v>3584</v>
      </c>
      <c r="J4459" t="s">
        <v>22</v>
      </c>
      <c r="K4459" t="str">
        <f>_xlfn.XLOOKUP(datos_ventas[[#This Row],[Ciudad]],Tabla2[Ciudades],Tabla2[Provincias],"no se encuentra")</f>
        <v>Valencia</v>
      </c>
      <c r="L4459" t="str">
        <f>_xlfn.XLOOKUP(datos_ventas[[#This Row],[Provincia]],Tabla2[Provincias],Tabla2[Comunidades],"no se encuentra")</f>
        <v>Comunidad Valenciana</v>
      </c>
      <c r="M4459" t="s">
        <v>28</v>
      </c>
      <c r="N4459">
        <v>2</v>
      </c>
    </row>
    <row r="4460" spans="1:14" x14ac:dyDescent="0.25">
      <c r="A4460">
        <v>5459</v>
      </c>
      <c r="B4460" s="1">
        <v>45845</v>
      </c>
      <c r="C4460" s="4">
        <f>MONTH(datos_ventas[[#This Row],[Fecha]])</f>
        <v>7</v>
      </c>
      <c r="D4460" s="4">
        <f>WEEKNUM(datos_ventas[[#This Row],[Fecha]],2)</f>
        <v>28</v>
      </c>
      <c r="E4460" t="s">
        <v>17</v>
      </c>
      <c r="F4460" t="s">
        <v>18</v>
      </c>
      <c r="G4460">
        <v>4</v>
      </c>
      <c r="H4460">
        <v>107872</v>
      </c>
      <c r="I4460">
        <v>3152</v>
      </c>
      <c r="J4460" t="s">
        <v>12</v>
      </c>
      <c r="K4460" t="str">
        <f>_xlfn.XLOOKUP(datos_ventas[[#This Row],[Ciudad]],Tabla2[Ciudades],Tabla2[Provincias],"no se encuentra")</f>
        <v>Málaga</v>
      </c>
      <c r="L4460" t="str">
        <f>_xlfn.XLOOKUP(datos_ventas[[#This Row],[Provincia]],Tabla2[Provincias],Tabla2[Comunidades],"no se encuentra")</f>
        <v>Andalucía</v>
      </c>
      <c r="M4460" t="s">
        <v>15</v>
      </c>
      <c r="N4460">
        <v>4</v>
      </c>
    </row>
    <row r="4461" spans="1:14" x14ac:dyDescent="0.25">
      <c r="A4461">
        <v>5460</v>
      </c>
      <c r="B4461" s="1">
        <v>45851</v>
      </c>
      <c r="C4461" s="4">
        <f>MONTH(datos_ventas[[#This Row],[Fecha]])</f>
        <v>7</v>
      </c>
      <c r="D4461" s="4">
        <f>WEEKNUM(datos_ventas[[#This Row],[Fecha]],2)</f>
        <v>28</v>
      </c>
      <c r="E4461" t="s">
        <v>26</v>
      </c>
      <c r="F4461" t="s">
        <v>18</v>
      </c>
      <c r="G4461">
        <v>3</v>
      </c>
      <c r="H4461">
        <v>89059</v>
      </c>
      <c r="I4461">
        <v>2573</v>
      </c>
      <c r="J4461" t="s">
        <v>12</v>
      </c>
      <c r="K4461" t="str">
        <f>_xlfn.XLOOKUP(datos_ventas[[#This Row],[Ciudad]],Tabla2[Ciudades],Tabla2[Provincias],"no se encuentra")</f>
        <v>Málaga</v>
      </c>
      <c r="L4461" t="str">
        <f>_xlfn.XLOOKUP(datos_ventas[[#This Row],[Provincia]],Tabla2[Provincias],Tabla2[Comunidades],"no se encuentra")</f>
        <v>Andalucía</v>
      </c>
      <c r="M4461" t="s">
        <v>15</v>
      </c>
      <c r="N4461">
        <v>3</v>
      </c>
    </row>
    <row r="4462" spans="1:14" x14ac:dyDescent="0.25">
      <c r="A4462">
        <v>5461</v>
      </c>
      <c r="B4462" s="1">
        <v>45825</v>
      </c>
      <c r="C4462" s="4">
        <f>MONTH(datos_ventas[[#This Row],[Fecha]])</f>
        <v>6</v>
      </c>
      <c r="D4462" s="4">
        <f>WEEKNUM(datos_ventas[[#This Row],[Fecha]],2)</f>
        <v>25</v>
      </c>
      <c r="E4462" t="s">
        <v>29</v>
      </c>
      <c r="F4462" t="s">
        <v>30</v>
      </c>
      <c r="G4462">
        <v>5</v>
      </c>
      <c r="H4462">
        <v>40722</v>
      </c>
      <c r="I4462">
        <v>1563</v>
      </c>
      <c r="J4462" t="s">
        <v>12</v>
      </c>
      <c r="K4462" t="str">
        <f>_xlfn.XLOOKUP(datos_ventas[[#This Row],[Ciudad]],Tabla2[Ciudades],Tabla2[Provincias],"no se encuentra")</f>
        <v>Málaga</v>
      </c>
      <c r="L4462" t="str">
        <f>_xlfn.XLOOKUP(datos_ventas[[#This Row],[Provincia]],Tabla2[Provincias],Tabla2[Comunidades],"no se encuentra")</f>
        <v>Andalucía</v>
      </c>
      <c r="M4462" t="s">
        <v>13</v>
      </c>
      <c r="N4462">
        <v>5</v>
      </c>
    </row>
    <row r="4463" spans="1:14" x14ac:dyDescent="0.25">
      <c r="A4463">
        <v>5462</v>
      </c>
      <c r="B4463" s="1">
        <v>45728</v>
      </c>
      <c r="C4463" s="4">
        <f>MONTH(datos_ventas[[#This Row],[Fecha]])</f>
        <v>3</v>
      </c>
      <c r="D4463" s="4">
        <f>WEEKNUM(datos_ventas[[#This Row],[Fecha]],2)</f>
        <v>11</v>
      </c>
      <c r="E4463" t="s">
        <v>20</v>
      </c>
      <c r="F4463" t="s">
        <v>21</v>
      </c>
      <c r="G4463">
        <v>3</v>
      </c>
      <c r="H4463">
        <v>73084</v>
      </c>
      <c r="I4463">
        <v>3135</v>
      </c>
      <c r="J4463" t="s">
        <v>32</v>
      </c>
      <c r="K4463" t="str">
        <f>_xlfn.XLOOKUP(datos_ventas[[#This Row],[Ciudad]],Tabla2[Ciudades],Tabla2[Provincias],"no se encuentra")</f>
        <v>Barcelona</v>
      </c>
      <c r="L4463" t="str">
        <f>_xlfn.XLOOKUP(datos_ventas[[#This Row],[Provincia]],Tabla2[Provincias],Tabla2[Comunidades],"no se encuentra")</f>
        <v>Cataluña</v>
      </c>
      <c r="M4463" t="s">
        <v>15</v>
      </c>
      <c r="N4463">
        <v>3</v>
      </c>
    </row>
    <row r="4464" spans="1:14" x14ac:dyDescent="0.25">
      <c r="A4464">
        <v>5463</v>
      </c>
      <c r="B4464" s="1">
        <v>45764</v>
      </c>
      <c r="C4464" s="4">
        <f>MONTH(datos_ventas[[#This Row],[Fecha]])</f>
        <v>4</v>
      </c>
      <c r="D4464" s="4">
        <f>WEEKNUM(datos_ventas[[#This Row],[Fecha]],2)</f>
        <v>16</v>
      </c>
      <c r="E4464" t="s">
        <v>24</v>
      </c>
      <c r="F4464" t="s">
        <v>25</v>
      </c>
      <c r="G4464">
        <v>4</v>
      </c>
      <c r="H4464">
        <v>101548</v>
      </c>
      <c r="I4464">
        <v>584</v>
      </c>
      <c r="J4464" t="s">
        <v>14</v>
      </c>
      <c r="K4464" t="str">
        <f>_xlfn.XLOOKUP(datos_ventas[[#This Row],[Ciudad]],Tabla2[Ciudades],Tabla2[Provincias],"no se encuentra")</f>
        <v>Madrid</v>
      </c>
      <c r="L4464" t="str">
        <f>_xlfn.XLOOKUP(datos_ventas[[#This Row],[Provincia]],Tabla2[Provincias],Tabla2[Comunidades],"no se encuentra")</f>
        <v>Comunidad de Madrid</v>
      </c>
      <c r="M4464" t="s">
        <v>28</v>
      </c>
      <c r="N4464">
        <v>3</v>
      </c>
    </row>
    <row r="4465" spans="1:14" x14ac:dyDescent="0.25">
      <c r="A4465">
        <v>5464</v>
      </c>
      <c r="B4465" s="1">
        <v>45977</v>
      </c>
      <c r="C4465" s="4">
        <f>MONTH(datos_ventas[[#This Row],[Fecha]])</f>
        <v>11</v>
      </c>
      <c r="D4465" s="4">
        <f>WEEKNUM(datos_ventas[[#This Row],[Fecha]],2)</f>
        <v>46</v>
      </c>
      <c r="E4465" t="s">
        <v>16</v>
      </c>
      <c r="F4465" t="s">
        <v>11</v>
      </c>
      <c r="G4465">
        <v>5</v>
      </c>
      <c r="H4465">
        <v>37473</v>
      </c>
      <c r="I4465">
        <v>1414</v>
      </c>
      <c r="J4465" t="s">
        <v>32</v>
      </c>
      <c r="K4465" t="str">
        <f>_xlfn.XLOOKUP(datos_ventas[[#This Row],[Ciudad]],Tabla2[Ciudades],Tabla2[Provincias],"no se encuentra")</f>
        <v>Barcelona</v>
      </c>
      <c r="L4465" t="str">
        <f>_xlfn.XLOOKUP(datos_ventas[[#This Row],[Provincia]],Tabla2[Provincias],Tabla2[Comunidades],"no se encuentra")</f>
        <v>Cataluña</v>
      </c>
      <c r="M4465" t="s">
        <v>19</v>
      </c>
      <c r="N4465">
        <v>5</v>
      </c>
    </row>
    <row r="4466" spans="1:14" x14ac:dyDescent="0.25">
      <c r="A4466">
        <v>5465</v>
      </c>
      <c r="B4466" s="1">
        <v>45979</v>
      </c>
      <c r="C4466" s="4">
        <f>MONTH(datos_ventas[[#This Row],[Fecha]])</f>
        <v>11</v>
      </c>
      <c r="D4466" s="4">
        <f>WEEKNUM(datos_ventas[[#This Row],[Fecha]],2)</f>
        <v>47</v>
      </c>
      <c r="E4466" t="s">
        <v>24</v>
      </c>
      <c r="F4466" t="s">
        <v>25</v>
      </c>
      <c r="G4466">
        <v>5</v>
      </c>
      <c r="H4466">
        <v>100284</v>
      </c>
      <c r="I4466">
        <v>2541</v>
      </c>
      <c r="J4466" t="s">
        <v>22</v>
      </c>
      <c r="K4466" t="str">
        <f>_xlfn.XLOOKUP(datos_ventas[[#This Row],[Ciudad]],Tabla2[Ciudades],Tabla2[Provincias],"no se encuentra")</f>
        <v>Valencia</v>
      </c>
      <c r="L4466" t="str">
        <f>_xlfn.XLOOKUP(datos_ventas[[#This Row],[Provincia]],Tabla2[Provincias],Tabla2[Comunidades],"no se encuentra")</f>
        <v>Comunidad Valenciana</v>
      </c>
      <c r="M4466" t="s">
        <v>15</v>
      </c>
      <c r="N4466">
        <v>4</v>
      </c>
    </row>
    <row r="4467" spans="1:14" x14ac:dyDescent="0.25">
      <c r="A4467">
        <v>5466</v>
      </c>
      <c r="B4467" s="1">
        <v>45917</v>
      </c>
      <c r="C4467" s="4">
        <f>MONTH(datos_ventas[[#This Row],[Fecha]])</f>
        <v>9</v>
      </c>
      <c r="D4467" s="4">
        <f>WEEKNUM(datos_ventas[[#This Row],[Fecha]],2)</f>
        <v>38</v>
      </c>
      <c r="E4467" t="s">
        <v>20</v>
      </c>
      <c r="F4467" t="s">
        <v>21</v>
      </c>
      <c r="G4467">
        <v>3</v>
      </c>
      <c r="H4467">
        <v>70295</v>
      </c>
      <c r="I4467">
        <v>4746</v>
      </c>
      <c r="J4467" t="s">
        <v>12</v>
      </c>
      <c r="K4467" t="str">
        <f>_xlfn.XLOOKUP(datos_ventas[[#This Row],[Ciudad]],Tabla2[Ciudades],Tabla2[Provincias],"no se encuentra")</f>
        <v>Málaga</v>
      </c>
      <c r="L4467" t="str">
        <f>_xlfn.XLOOKUP(datos_ventas[[#This Row],[Provincia]],Tabla2[Provincias],Tabla2[Comunidades],"no se encuentra")</f>
        <v>Andalucía</v>
      </c>
      <c r="M4467" t="s">
        <v>13</v>
      </c>
      <c r="N4467">
        <v>5</v>
      </c>
    </row>
    <row r="4468" spans="1:14" x14ac:dyDescent="0.25">
      <c r="A4468">
        <v>5467</v>
      </c>
      <c r="B4468" s="1">
        <v>45662</v>
      </c>
      <c r="C4468" s="4">
        <f>MONTH(datos_ventas[[#This Row],[Fecha]])</f>
        <v>1</v>
      </c>
      <c r="D4468" s="4">
        <f>WEEKNUM(datos_ventas[[#This Row],[Fecha]],2)</f>
        <v>1</v>
      </c>
      <c r="E4468" t="s">
        <v>24</v>
      </c>
      <c r="F4468" t="s">
        <v>25</v>
      </c>
      <c r="G4468">
        <v>2</v>
      </c>
      <c r="H4468">
        <v>73917</v>
      </c>
      <c r="I4468">
        <v>4921</v>
      </c>
      <c r="J4468" t="s">
        <v>31</v>
      </c>
      <c r="K4468" t="str">
        <f>_xlfn.XLOOKUP(datos_ventas[[#This Row],[Ciudad]],Tabla2[Ciudades],Tabla2[Provincias],"no se encuentra")</f>
        <v>Vizcaya</v>
      </c>
      <c r="L4468" t="str">
        <f>_xlfn.XLOOKUP(datos_ventas[[#This Row],[Provincia]],Tabla2[Provincias],Tabla2[Comunidades],"no se encuentra")</f>
        <v>País Vasco</v>
      </c>
      <c r="M4468" t="s">
        <v>28</v>
      </c>
      <c r="N4468">
        <v>4</v>
      </c>
    </row>
    <row r="4469" spans="1:14" x14ac:dyDescent="0.25">
      <c r="A4469">
        <v>5468</v>
      </c>
      <c r="B4469" s="1">
        <v>45782</v>
      </c>
      <c r="C4469" s="4">
        <f>MONTH(datos_ventas[[#This Row],[Fecha]])</f>
        <v>5</v>
      </c>
      <c r="D4469" s="4">
        <f>WEEKNUM(datos_ventas[[#This Row],[Fecha]],2)</f>
        <v>19</v>
      </c>
      <c r="E4469" t="s">
        <v>29</v>
      </c>
      <c r="F4469" t="s">
        <v>30</v>
      </c>
      <c r="G4469">
        <v>4</v>
      </c>
      <c r="H4469">
        <v>2984</v>
      </c>
      <c r="I4469">
        <v>2715</v>
      </c>
      <c r="J4469" t="s">
        <v>31</v>
      </c>
      <c r="K4469" t="str">
        <f>_xlfn.XLOOKUP(datos_ventas[[#This Row],[Ciudad]],Tabla2[Ciudades],Tabla2[Provincias],"no se encuentra")</f>
        <v>Vizcaya</v>
      </c>
      <c r="L4469" t="str">
        <f>_xlfn.XLOOKUP(datos_ventas[[#This Row],[Provincia]],Tabla2[Provincias],Tabla2[Comunidades],"no se encuentra")</f>
        <v>País Vasco</v>
      </c>
      <c r="M4469" t="s">
        <v>19</v>
      </c>
      <c r="N4469">
        <v>5</v>
      </c>
    </row>
    <row r="4470" spans="1:14" x14ac:dyDescent="0.25">
      <c r="A4470">
        <v>5469</v>
      </c>
      <c r="B4470" s="1">
        <v>45917</v>
      </c>
      <c r="C4470" s="4">
        <f>MONTH(datos_ventas[[#This Row],[Fecha]])</f>
        <v>9</v>
      </c>
      <c r="D4470" s="4">
        <f>WEEKNUM(datos_ventas[[#This Row],[Fecha]],2)</f>
        <v>38</v>
      </c>
      <c r="E4470" t="s">
        <v>10</v>
      </c>
      <c r="F4470" t="s">
        <v>11</v>
      </c>
      <c r="G4470">
        <v>5</v>
      </c>
      <c r="H4470">
        <v>22315</v>
      </c>
      <c r="I4470">
        <v>1195</v>
      </c>
      <c r="J4470" t="s">
        <v>12</v>
      </c>
      <c r="K4470" t="str">
        <f>_xlfn.XLOOKUP(datos_ventas[[#This Row],[Ciudad]],Tabla2[Ciudades],Tabla2[Provincias],"no se encuentra")</f>
        <v>Málaga</v>
      </c>
      <c r="L4470" t="str">
        <f>_xlfn.XLOOKUP(datos_ventas[[#This Row],[Provincia]],Tabla2[Provincias],Tabla2[Comunidades],"no se encuentra")</f>
        <v>Andalucía</v>
      </c>
      <c r="M4470" t="s">
        <v>19</v>
      </c>
      <c r="N4470">
        <v>3</v>
      </c>
    </row>
    <row r="4471" spans="1:14" x14ac:dyDescent="0.25">
      <c r="A4471">
        <v>5470</v>
      </c>
      <c r="B4471" s="1">
        <v>45720</v>
      </c>
      <c r="C4471" s="4">
        <f>MONTH(datos_ventas[[#This Row],[Fecha]])</f>
        <v>3</v>
      </c>
      <c r="D4471" s="4">
        <f>WEEKNUM(datos_ventas[[#This Row],[Fecha]],2)</f>
        <v>10</v>
      </c>
      <c r="E4471" t="s">
        <v>29</v>
      </c>
      <c r="F4471" t="s">
        <v>30</v>
      </c>
      <c r="G4471">
        <v>1</v>
      </c>
      <c r="H4471">
        <v>61399</v>
      </c>
      <c r="I4471">
        <v>1783</v>
      </c>
      <c r="J4471" t="s">
        <v>31</v>
      </c>
      <c r="K4471" t="str">
        <f>_xlfn.XLOOKUP(datos_ventas[[#This Row],[Ciudad]],Tabla2[Ciudades],Tabla2[Provincias],"no se encuentra")</f>
        <v>Vizcaya</v>
      </c>
      <c r="L4471" t="str">
        <f>_xlfn.XLOOKUP(datos_ventas[[#This Row],[Provincia]],Tabla2[Provincias],Tabla2[Comunidades],"no se encuentra")</f>
        <v>País Vasco</v>
      </c>
      <c r="M4471" t="s">
        <v>28</v>
      </c>
      <c r="N4471">
        <v>3</v>
      </c>
    </row>
    <row r="4472" spans="1:14" x14ac:dyDescent="0.25">
      <c r="A4472">
        <v>5471</v>
      </c>
      <c r="B4472" s="1">
        <v>45695</v>
      </c>
      <c r="C4472" s="4">
        <f>MONTH(datos_ventas[[#This Row],[Fecha]])</f>
        <v>2</v>
      </c>
      <c r="D4472" s="4">
        <f>WEEKNUM(datos_ventas[[#This Row],[Fecha]],2)</f>
        <v>6</v>
      </c>
      <c r="E4472" t="s">
        <v>26</v>
      </c>
      <c r="F4472" t="s">
        <v>18</v>
      </c>
      <c r="G4472">
        <v>2</v>
      </c>
      <c r="H4472">
        <v>87888</v>
      </c>
      <c r="I4472">
        <v>3137</v>
      </c>
      <c r="J4472" t="s">
        <v>27</v>
      </c>
      <c r="K4472" t="str">
        <f>_xlfn.XLOOKUP(datos_ventas[[#This Row],[Ciudad]],Tabla2[Ciudades],Tabla2[Provincias],"no se encuentra")</f>
        <v>Sevilla</v>
      </c>
      <c r="L4472" t="str">
        <f>_xlfn.XLOOKUP(datos_ventas[[#This Row],[Provincia]],Tabla2[Provincias],Tabla2[Comunidades],"no se encuentra")</f>
        <v>Andalucía</v>
      </c>
      <c r="M4472" t="s">
        <v>28</v>
      </c>
      <c r="N4472">
        <v>3</v>
      </c>
    </row>
    <row r="4473" spans="1:14" x14ac:dyDescent="0.25">
      <c r="A4473">
        <v>5472</v>
      </c>
      <c r="B4473" s="1">
        <v>45784</v>
      </c>
      <c r="C4473" s="4">
        <f>MONTH(datos_ventas[[#This Row],[Fecha]])</f>
        <v>5</v>
      </c>
      <c r="D4473" s="4">
        <f>WEEKNUM(datos_ventas[[#This Row],[Fecha]],2)</f>
        <v>19</v>
      </c>
      <c r="E4473" t="s">
        <v>20</v>
      </c>
      <c r="F4473" t="s">
        <v>21</v>
      </c>
      <c r="G4473">
        <v>5</v>
      </c>
      <c r="H4473">
        <v>111955</v>
      </c>
      <c r="I4473">
        <v>1507</v>
      </c>
      <c r="J4473" t="s">
        <v>27</v>
      </c>
      <c r="K4473" t="str">
        <f>_xlfn.XLOOKUP(datos_ventas[[#This Row],[Ciudad]],Tabla2[Ciudades],Tabla2[Provincias],"no se encuentra")</f>
        <v>Sevilla</v>
      </c>
      <c r="L4473" t="str">
        <f>_xlfn.XLOOKUP(datos_ventas[[#This Row],[Provincia]],Tabla2[Provincias],Tabla2[Comunidades],"no se encuentra")</f>
        <v>Andalucía</v>
      </c>
      <c r="M4473" t="s">
        <v>19</v>
      </c>
      <c r="N4473">
        <v>3</v>
      </c>
    </row>
    <row r="4474" spans="1:14" x14ac:dyDescent="0.25">
      <c r="A4474">
        <v>5473</v>
      </c>
      <c r="B4474" s="1">
        <v>45727</v>
      </c>
      <c r="C4474" s="4">
        <f>MONTH(datos_ventas[[#This Row],[Fecha]])</f>
        <v>3</v>
      </c>
      <c r="D4474" s="4">
        <f>WEEKNUM(datos_ventas[[#This Row],[Fecha]],2)</f>
        <v>11</v>
      </c>
      <c r="E4474" t="s">
        <v>24</v>
      </c>
      <c r="F4474" t="s">
        <v>25</v>
      </c>
      <c r="G4474">
        <v>5</v>
      </c>
      <c r="H4474">
        <v>26052</v>
      </c>
      <c r="I4474">
        <v>712</v>
      </c>
      <c r="J4474" t="s">
        <v>27</v>
      </c>
      <c r="K4474" t="str">
        <f>_xlfn.XLOOKUP(datos_ventas[[#This Row],[Ciudad]],Tabla2[Ciudades],Tabla2[Provincias],"no se encuentra")</f>
        <v>Sevilla</v>
      </c>
      <c r="L4474" t="str">
        <f>_xlfn.XLOOKUP(datos_ventas[[#This Row],[Provincia]],Tabla2[Provincias],Tabla2[Comunidades],"no se encuentra")</f>
        <v>Andalucía</v>
      </c>
      <c r="M4474" t="s">
        <v>13</v>
      </c>
      <c r="N4474">
        <v>2</v>
      </c>
    </row>
    <row r="4475" spans="1:14" x14ac:dyDescent="0.25">
      <c r="A4475">
        <v>5474</v>
      </c>
      <c r="B4475" s="1">
        <v>45670</v>
      </c>
      <c r="C4475" s="4">
        <f>MONTH(datos_ventas[[#This Row],[Fecha]])</f>
        <v>1</v>
      </c>
      <c r="D4475" s="4">
        <f>WEEKNUM(datos_ventas[[#This Row],[Fecha]],2)</f>
        <v>3</v>
      </c>
      <c r="E4475" t="s">
        <v>26</v>
      </c>
      <c r="F4475" t="s">
        <v>18</v>
      </c>
      <c r="G4475">
        <v>1</v>
      </c>
      <c r="H4475">
        <v>21637</v>
      </c>
      <c r="I4475">
        <v>2494</v>
      </c>
      <c r="J4475" t="s">
        <v>27</v>
      </c>
      <c r="K4475" t="str">
        <f>_xlfn.XLOOKUP(datos_ventas[[#This Row],[Ciudad]],Tabla2[Ciudades],Tabla2[Provincias],"no se encuentra")</f>
        <v>Sevilla</v>
      </c>
      <c r="L4475" t="str">
        <f>_xlfn.XLOOKUP(datos_ventas[[#This Row],[Provincia]],Tabla2[Provincias],Tabla2[Comunidades],"no se encuentra")</f>
        <v>Andalucía</v>
      </c>
      <c r="M4475" t="s">
        <v>28</v>
      </c>
      <c r="N4475">
        <v>3</v>
      </c>
    </row>
    <row r="4476" spans="1:14" x14ac:dyDescent="0.25">
      <c r="A4476">
        <v>5475</v>
      </c>
      <c r="B4476" s="1">
        <v>45682</v>
      </c>
      <c r="C4476" s="4">
        <f>MONTH(datos_ventas[[#This Row],[Fecha]])</f>
        <v>1</v>
      </c>
      <c r="D4476" s="4">
        <f>WEEKNUM(datos_ventas[[#This Row],[Fecha]],2)</f>
        <v>4</v>
      </c>
      <c r="E4476" t="s">
        <v>29</v>
      </c>
      <c r="F4476" t="s">
        <v>30</v>
      </c>
      <c r="G4476">
        <v>2</v>
      </c>
      <c r="H4476">
        <v>49434</v>
      </c>
      <c r="I4476">
        <v>825</v>
      </c>
      <c r="J4476" t="s">
        <v>22</v>
      </c>
      <c r="K4476" t="str">
        <f>_xlfn.XLOOKUP(datos_ventas[[#This Row],[Ciudad]],Tabla2[Ciudades],Tabla2[Provincias],"no se encuentra")</f>
        <v>Valencia</v>
      </c>
      <c r="L4476" t="str">
        <f>_xlfn.XLOOKUP(datos_ventas[[#This Row],[Provincia]],Tabla2[Provincias],Tabla2[Comunidades],"no se encuentra")</f>
        <v>Comunidad Valenciana</v>
      </c>
      <c r="M4476" t="s">
        <v>19</v>
      </c>
      <c r="N4476">
        <v>2</v>
      </c>
    </row>
    <row r="4477" spans="1:14" x14ac:dyDescent="0.25">
      <c r="A4477">
        <v>5476</v>
      </c>
      <c r="B4477" s="1">
        <v>45864</v>
      </c>
      <c r="C4477" s="4">
        <f>MONTH(datos_ventas[[#This Row],[Fecha]])</f>
        <v>7</v>
      </c>
      <c r="D4477" s="4">
        <f>WEEKNUM(datos_ventas[[#This Row],[Fecha]],2)</f>
        <v>30</v>
      </c>
      <c r="E4477" t="s">
        <v>26</v>
      </c>
      <c r="F4477" t="s">
        <v>18</v>
      </c>
      <c r="G4477">
        <v>4</v>
      </c>
      <c r="H4477">
        <v>94313</v>
      </c>
      <c r="I4477">
        <v>1548</v>
      </c>
      <c r="J4477" t="s">
        <v>22</v>
      </c>
      <c r="K4477" t="str">
        <f>_xlfn.XLOOKUP(datos_ventas[[#This Row],[Ciudad]],Tabla2[Ciudades],Tabla2[Provincias],"no se encuentra")</f>
        <v>Valencia</v>
      </c>
      <c r="L4477" t="str">
        <f>_xlfn.XLOOKUP(datos_ventas[[#This Row],[Provincia]],Tabla2[Provincias],Tabla2[Comunidades],"no se encuentra")</f>
        <v>Comunidad Valenciana</v>
      </c>
      <c r="M4477" t="s">
        <v>15</v>
      </c>
      <c r="N4477">
        <v>1</v>
      </c>
    </row>
    <row r="4478" spans="1:14" x14ac:dyDescent="0.25">
      <c r="A4478">
        <v>5477</v>
      </c>
      <c r="B4478" s="1">
        <v>45826</v>
      </c>
      <c r="C4478" s="4">
        <f>MONTH(datos_ventas[[#This Row],[Fecha]])</f>
        <v>6</v>
      </c>
      <c r="D4478" s="4">
        <f>WEEKNUM(datos_ventas[[#This Row],[Fecha]],2)</f>
        <v>25</v>
      </c>
      <c r="E4478" t="s">
        <v>29</v>
      </c>
      <c r="F4478" t="s">
        <v>30</v>
      </c>
      <c r="G4478">
        <v>1</v>
      </c>
      <c r="H4478">
        <v>5441</v>
      </c>
      <c r="I4478">
        <v>3401</v>
      </c>
      <c r="J4478" t="s">
        <v>12</v>
      </c>
      <c r="K4478" t="str">
        <f>_xlfn.XLOOKUP(datos_ventas[[#This Row],[Ciudad]],Tabla2[Ciudades],Tabla2[Provincias],"no se encuentra")</f>
        <v>Málaga</v>
      </c>
      <c r="L4478" t="str">
        <f>_xlfn.XLOOKUP(datos_ventas[[#This Row],[Provincia]],Tabla2[Provincias],Tabla2[Comunidades],"no se encuentra")</f>
        <v>Andalucía</v>
      </c>
      <c r="M4478" t="s">
        <v>13</v>
      </c>
      <c r="N4478">
        <v>2</v>
      </c>
    </row>
    <row r="4479" spans="1:14" x14ac:dyDescent="0.25">
      <c r="A4479">
        <v>5478</v>
      </c>
      <c r="B4479" s="1">
        <v>45853</v>
      </c>
      <c r="C4479" s="4">
        <f>MONTH(datos_ventas[[#This Row],[Fecha]])</f>
        <v>7</v>
      </c>
      <c r="D4479" s="4">
        <f>WEEKNUM(datos_ventas[[#This Row],[Fecha]],2)</f>
        <v>29</v>
      </c>
      <c r="E4479" t="s">
        <v>24</v>
      </c>
      <c r="F4479" t="s">
        <v>25</v>
      </c>
      <c r="G4479">
        <v>1</v>
      </c>
      <c r="H4479">
        <v>35647</v>
      </c>
      <c r="I4479">
        <v>2644</v>
      </c>
      <c r="J4479" t="s">
        <v>27</v>
      </c>
      <c r="K4479" t="str">
        <f>_xlfn.XLOOKUP(datos_ventas[[#This Row],[Ciudad]],Tabla2[Ciudades],Tabla2[Provincias],"no se encuentra")</f>
        <v>Sevilla</v>
      </c>
      <c r="L4479" t="str">
        <f>_xlfn.XLOOKUP(datos_ventas[[#This Row],[Provincia]],Tabla2[Provincias],Tabla2[Comunidades],"no se encuentra")</f>
        <v>Andalucía</v>
      </c>
      <c r="M4479" t="s">
        <v>19</v>
      </c>
      <c r="N4479">
        <v>4</v>
      </c>
    </row>
    <row r="4480" spans="1:14" x14ac:dyDescent="0.25">
      <c r="A4480">
        <v>5479</v>
      </c>
      <c r="B4480" s="1">
        <v>45713</v>
      </c>
      <c r="C4480" s="4">
        <f>MONTH(datos_ventas[[#This Row],[Fecha]])</f>
        <v>2</v>
      </c>
      <c r="D4480" s="4">
        <f>WEEKNUM(datos_ventas[[#This Row],[Fecha]],2)</f>
        <v>9</v>
      </c>
      <c r="E4480" t="s">
        <v>20</v>
      </c>
      <c r="F4480" t="s">
        <v>21</v>
      </c>
      <c r="G4480">
        <v>1</v>
      </c>
      <c r="H4480">
        <v>48706</v>
      </c>
      <c r="I4480">
        <v>2762</v>
      </c>
      <c r="J4480" t="s">
        <v>31</v>
      </c>
      <c r="K4480" t="str">
        <f>_xlfn.XLOOKUP(datos_ventas[[#This Row],[Ciudad]],Tabla2[Ciudades],Tabla2[Provincias],"no se encuentra")</f>
        <v>Vizcaya</v>
      </c>
      <c r="L4480" t="str">
        <f>_xlfn.XLOOKUP(datos_ventas[[#This Row],[Provincia]],Tabla2[Provincias],Tabla2[Comunidades],"no se encuentra")</f>
        <v>País Vasco</v>
      </c>
      <c r="M4480" t="s">
        <v>28</v>
      </c>
      <c r="N4480">
        <v>4</v>
      </c>
    </row>
    <row r="4481" spans="1:14" x14ac:dyDescent="0.25">
      <c r="A4481">
        <v>5480</v>
      </c>
      <c r="B4481" s="1">
        <v>46022</v>
      </c>
      <c r="C4481" s="4">
        <f>MONTH(datos_ventas[[#This Row],[Fecha]])</f>
        <v>12</v>
      </c>
      <c r="D4481" s="4">
        <f>WEEKNUM(datos_ventas[[#This Row],[Fecha]],2)</f>
        <v>53</v>
      </c>
      <c r="E4481" t="s">
        <v>23</v>
      </c>
      <c r="F4481" t="s">
        <v>18</v>
      </c>
      <c r="G4481">
        <v>1</v>
      </c>
      <c r="H4481">
        <v>54427</v>
      </c>
      <c r="I4481">
        <v>1152</v>
      </c>
      <c r="J4481" t="s">
        <v>12</v>
      </c>
      <c r="K4481" t="str">
        <f>_xlfn.XLOOKUP(datos_ventas[[#This Row],[Ciudad]],Tabla2[Ciudades],Tabla2[Provincias],"no se encuentra")</f>
        <v>Málaga</v>
      </c>
      <c r="L4481" t="str">
        <f>_xlfn.XLOOKUP(datos_ventas[[#This Row],[Provincia]],Tabla2[Provincias],Tabla2[Comunidades],"no se encuentra")</f>
        <v>Andalucía</v>
      </c>
      <c r="M4481" t="s">
        <v>19</v>
      </c>
      <c r="N4481">
        <v>2</v>
      </c>
    </row>
    <row r="4482" spans="1:14" x14ac:dyDescent="0.25">
      <c r="A4482">
        <v>5481</v>
      </c>
      <c r="B4482" s="1">
        <v>45897</v>
      </c>
      <c r="C4482" s="4">
        <f>MONTH(datos_ventas[[#This Row],[Fecha]])</f>
        <v>8</v>
      </c>
      <c r="D4482" s="4">
        <f>WEEKNUM(datos_ventas[[#This Row],[Fecha]],2)</f>
        <v>35</v>
      </c>
      <c r="E4482" t="s">
        <v>20</v>
      </c>
      <c r="F4482" t="s">
        <v>21</v>
      </c>
      <c r="G4482">
        <v>5</v>
      </c>
      <c r="H4482">
        <v>52044</v>
      </c>
      <c r="I4482">
        <v>4455</v>
      </c>
      <c r="J4482" t="s">
        <v>14</v>
      </c>
      <c r="K4482" t="str">
        <f>_xlfn.XLOOKUP(datos_ventas[[#This Row],[Ciudad]],Tabla2[Ciudades],Tabla2[Provincias],"no se encuentra")</f>
        <v>Madrid</v>
      </c>
      <c r="L4482" t="str">
        <f>_xlfn.XLOOKUP(datos_ventas[[#This Row],[Provincia]],Tabla2[Provincias],Tabla2[Comunidades],"no se encuentra")</f>
        <v>Comunidad de Madrid</v>
      </c>
      <c r="M4482" t="s">
        <v>19</v>
      </c>
      <c r="N4482">
        <v>1</v>
      </c>
    </row>
    <row r="4483" spans="1:14" x14ac:dyDescent="0.25">
      <c r="A4483">
        <v>5482</v>
      </c>
      <c r="B4483" s="1">
        <v>45936</v>
      </c>
      <c r="C4483" s="4">
        <f>MONTH(datos_ventas[[#This Row],[Fecha]])</f>
        <v>10</v>
      </c>
      <c r="D4483" s="4">
        <f>WEEKNUM(datos_ventas[[#This Row],[Fecha]],2)</f>
        <v>41</v>
      </c>
      <c r="E4483" t="s">
        <v>20</v>
      </c>
      <c r="F4483" t="s">
        <v>21</v>
      </c>
      <c r="G4483">
        <v>3</v>
      </c>
      <c r="H4483">
        <v>27868</v>
      </c>
      <c r="I4483">
        <v>367</v>
      </c>
      <c r="J4483" t="s">
        <v>27</v>
      </c>
      <c r="K4483" t="str">
        <f>_xlfn.XLOOKUP(datos_ventas[[#This Row],[Ciudad]],Tabla2[Ciudades],Tabla2[Provincias],"no se encuentra")</f>
        <v>Sevilla</v>
      </c>
      <c r="L4483" t="str">
        <f>_xlfn.XLOOKUP(datos_ventas[[#This Row],[Provincia]],Tabla2[Provincias],Tabla2[Comunidades],"no se encuentra")</f>
        <v>Andalucía</v>
      </c>
      <c r="M4483" t="s">
        <v>19</v>
      </c>
      <c r="N4483">
        <v>1</v>
      </c>
    </row>
    <row r="4484" spans="1:14" x14ac:dyDescent="0.25">
      <c r="A4484">
        <v>5483</v>
      </c>
      <c r="B4484" s="1">
        <v>45988</v>
      </c>
      <c r="C4484" s="4">
        <f>MONTH(datos_ventas[[#This Row],[Fecha]])</f>
        <v>11</v>
      </c>
      <c r="D4484" s="4">
        <f>WEEKNUM(datos_ventas[[#This Row],[Fecha]],2)</f>
        <v>48</v>
      </c>
      <c r="E4484" t="s">
        <v>26</v>
      </c>
      <c r="F4484" t="s">
        <v>18</v>
      </c>
      <c r="G4484">
        <v>4</v>
      </c>
      <c r="H4484">
        <v>77754</v>
      </c>
      <c r="I4484">
        <v>3826</v>
      </c>
      <c r="J4484" t="s">
        <v>14</v>
      </c>
      <c r="K4484" t="str">
        <f>_xlfn.XLOOKUP(datos_ventas[[#This Row],[Ciudad]],Tabla2[Ciudades],Tabla2[Provincias],"no se encuentra")</f>
        <v>Madrid</v>
      </c>
      <c r="L4484" t="str">
        <f>_xlfn.XLOOKUP(datos_ventas[[#This Row],[Provincia]],Tabla2[Provincias],Tabla2[Comunidades],"no se encuentra")</f>
        <v>Comunidad de Madrid</v>
      </c>
      <c r="M4484" t="s">
        <v>13</v>
      </c>
      <c r="N4484">
        <v>1</v>
      </c>
    </row>
    <row r="4485" spans="1:14" x14ac:dyDescent="0.25">
      <c r="A4485">
        <v>5484</v>
      </c>
      <c r="B4485" s="1">
        <v>45877</v>
      </c>
      <c r="C4485" s="4">
        <f>MONTH(datos_ventas[[#This Row],[Fecha]])</f>
        <v>8</v>
      </c>
      <c r="D4485" s="4">
        <f>WEEKNUM(datos_ventas[[#This Row],[Fecha]],2)</f>
        <v>32</v>
      </c>
      <c r="E4485" t="s">
        <v>26</v>
      </c>
      <c r="F4485" t="s">
        <v>18</v>
      </c>
      <c r="G4485">
        <v>2</v>
      </c>
      <c r="H4485">
        <v>36218</v>
      </c>
      <c r="I4485">
        <v>86</v>
      </c>
      <c r="J4485" t="s">
        <v>31</v>
      </c>
      <c r="K4485" t="str">
        <f>_xlfn.XLOOKUP(datos_ventas[[#This Row],[Ciudad]],Tabla2[Ciudades],Tabla2[Provincias],"no se encuentra")</f>
        <v>Vizcaya</v>
      </c>
      <c r="L4485" t="str">
        <f>_xlfn.XLOOKUP(datos_ventas[[#This Row],[Provincia]],Tabla2[Provincias],Tabla2[Comunidades],"no se encuentra")</f>
        <v>País Vasco</v>
      </c>
      <c r="M4485" t="s">
        <v>19</v>
      </c>
      <c r="N4485">
        <v>1</v>
      </c>
    </row>
    <row r="4486" spans="1:14" x14ac:dyDescent="0.25">
      <c r="A4486">
        <v>5485</v>
      </c>
      <c r="B4486" s="1">
        <v>45833</v>
      </c>
      <c r="C4486" s="4">
        <f>MONTH(datos_ventas[[#This Row],[Fecha]])</f>
        <v>6</v>
      </c>
      <c r="D4486" s="4">
        <f>WEEKNUM(datos_ventas[[#This Row],[Fecha]],2)</f>
        <v>26</v>
      </c>
      <c r="E4486" t="s">
        <v>10</v>
      </c>
      <c r="F4486" t="s">
        <v>11</v>
      </c>
      <c r="G4486">
        <v>3</v>
      </c>
      <c r="H4486">
        <v>25141</v>
      </c>
      <c r="I4486">
        <v>1603</v>
      </c>
      <c r="J4486" t="s">
        <v>32</v>
      </c>
      <c r="K4486" t="str">
        <f>_xlfn.XLOOKUP(datos_ventas[[#This Row],[Ciudad]],Tabla2[Ciudades],Tabla2[Provincias],"no se encuentra")</f>
        <v>Barcelona</v>
      </c>
      <c r="L4486" t="str">
        <f>_xlfn.XLOOKUP(datos_ventas[[#This Row],[Provincia]],Tabla2[Provincias],Tabla2[Comunidades],"no se encuentra")</f>
        <v>Cataluña</v>
      </c>
      <c r="M4486" t="s">
        <v>13</v>
      </c>
      <c r="N4486">
        <v>4</v>
      </c>
    </row>
    <row r="4487" spans="1:14" x14ac:dyDescent="0.25">
      <c r="A4487">
        <v>5486</v>
      </c>
      <c r="B4487" s="1">
        <v>45936</v>
      </c>
      <c r="C4487" s="4">
        <f>MONTH(datos_ventas[[#This Row],[Fecha]])</f>
        <v>10</v>
      </c>
      <c r="D4487" s="4">
        <f>WEEKNUM(datos_ventas[[#This Row],[Fecha]],2)</f>
        <v>41</v>
      </c>
      <c r="E4487" t="s">
        <v>20</v>
      </c>
      <c r="F4487" t="s">
        <v>21</v>
      </c>
      <c r="G4487">
        <v>2</v>
      </c>
      <c r="H4487">
        <v>102658</v>
      </c>
      <c r="I4487">
        <v>1894</v>
      </c>
      <c r="J4487" t="s">
        <v>22</v>
      </c>
      <c r="K4487" t="str">
        <f>_xlfn.XLOOKUP(datos_ventas[[#This Row],[Ciudad]],Tabla2[Ciudades],Tabla2[Provincias],"no se encuentra")</f>
        <v>Valencia</v>
      </c>
      <c r="L4487" t="str">
        <f>_xlfn.XLOOKUP(datos_ventas[[#This Row],[Provincia]],Tabla2[Provincias],Tabla2[Comunidades],"no se encuentra")</f>
        <v>Comunidad Valenciana</v>
      </c>
      <c r="M4487" t="s">
        <v>15</v>
      </c>
      <c r="N4487">
        <v>4</v>
      </c>
    </row>
    <row r="4488" spans="1:14" x14ac:dyDescent="0.25">
      <c r="A4488">
        <v>5487</v>
      </c>
      <c r="B4488" s="1">
        <v>45915</v>
      </c>
      <c r="C4488" s="4">
        <f>MONTH(datos_ventas[[#This Row],[Fecha]])</f>
        <v>9</v>
      </c>
      <c r="D4488" s="4">
        <f>WEEKNUM(datos_ventas[[#This Row],[Fecha]],2)</f>
        <v>38</v>
      </c>
      <c r="E4488" t="s">
        <v>20</v>
      </c>
      <c r="F4488" t="s">
        <v>21</v>
      </c>
      <c r="G4488">
        <v>3</v>
      </c>
      <c r="H4488">
        <v>110722</v>
      </c>
      <c r="I4488">
        <v>1142</v>
      </c>
      <c r="J4488" t="s">
        <v>14</v>
      </c>
      <c r="K4488" t="str">
        <f>_xlfn.XLOOKUP(datos_ventas[[#This Row],[Ciudad]],Tabla2[Ciudades],Tabla2[Provincias],"no se encuentra")</f>
        <v>Madrid</v>
      </c>
      <c r="L4488" t="str">
        <f>_xlfn.XLOOKUP(datos_ventas[[#This Row],[Provincia]],Tabla2[Provincias],Tabla2[Comunidades],"no se encuentra")</f>
        <v>Comunidad de Madrid</v>
      </c>
      <c r="M4488" t="s">
        <v>19</v>
      </c>
      <c r="N4488">
        <v>1</v>
      </c>
    </row>
    <row r="4489" spans="1:14" x14ac:dyDescent="0.25">
      <c r="A4489">
        <v>5488</v>
      </c>
      <c r="B4489" s="1">
        <v>45690</v>
      </c>
      <c r="C4489" s="4">
        <f>MONTH(datos_ventas[[#This Row],[Fecha]])</f>
        <v>2</v>
      </c>
      <c r="D4489" s="4">
        <f>WEEKNUM(datos_ventas[[#This Row],[Fecha]],2)</f>
        <v>5</v>
      </c>
      <c r="E4489" t="s">
        <v>17</v>
      </c>
      <c r="F4489" t="s">
        <v>18</v>
      </c>
      <c r="G4489">
        <v>3</v>
      </c>
      <c r="H4489">
        <v>11138</v>
      </c>
      <c r="I4489">
        <v>2628</v>
      </c>
      <c r="J4489" t="s">
        <v>27</v>
      </c>
      <c r="K4489" t="str">
        <f>_xlfn.XLOOKUP(datos_ventas[[#This Row],[Ciudad]],Tabla2[Ciudades],Tabla2[Provincias],"no se encuentra")</f>
        <v>Sevilla</v>
      </c>
      <c r="L4489" t="str">
        <f>_xlfn.XLOOKUP(datos_ventas[[#This Row],[Provincia]],Tabla2[Provincias],Tabla2[Comunidades],"no se encuentra")</f>
        <v>Andalucía</v>
      </c>
      <c r="M4489" t="s">
        <v>15</v>
      </c>
      <c r="N4489">
        <v>2</v>
      </c>
    </row>
    <row r="4490" spans="1:14" x14ac:dyDescent="0.25">
      <c r="A4490">
        <v>5489</v>
      </c>
      <c r="B4490" s="1">
        <v>46003</v>
      </c>
      <c r="C4490" s="4">
        <f>MONTH(datos_ventas[[#This Row],[Fecha]])</f>
        <v>12</v>
      </c>
      <c r="D4490" s="4">
        <f>WEEKNUM(datos_ventas[[#This Row],[Fecha]],2)</f>
        <v>50</v>
      </c>
      <c r="E4490" t="s">
        <v>16</v>
      </c>
      <c r="F4490" t="s">
        <v>11</v>
      </c>
      <c r="G4490">
        <v>5</v>
      </c>
      <c r="H4490">
        <v>5763</v>
      </c>
      <c r="I4490">
        <v>133</v>
      </c>
      <c r="J4490" t="s">
        <v>27</v>
      </c>
      <c r="K4490" t="str">
        <f>_xlfn.XLOOKUP(datos_ventas[[#This Row],[Ciudad]],Tabla2[Ciudades],Tabla2[Provincias],"no se encuentra")</f>
        <v>Sevilla</v>
      </c>
      <c r="L4490" t="str">
        <f>_xlfn.XLOOKUP(datos_ventas[[#This Row],[Provincia]],Tabla2[Provincias],Tabla2[Comunidades],"no se encuentra")</f>
        <v>Andalucía</v>
      </c>
      <c r="M4490" t="s">
        <v>19</v>
      </c>
      <c r="N4490">
        <v>1</v>
      </c>
    </row>
    <row r="4491" spans="1:14" x14ac:dyDescent="0.25">
      <c r="A4491">
        <v>5490</v>
      </c>
      <c r="B4491" s="1">
        <v>45664</v>
      </c>
      <c r="C4491" s="4">
        <f>MONTH(datos_ventas[[#This Row],[Fecha]])</f>
        <v>1</v>
      </c>
      <c r="D4491" s="4">
        <f>WEEKNUM(datos_ventas[[#This Row],[Fecha]],2)</f>
        <v>2</v>
      </c>
      <c r="E4491" t="s">
        <v>16</v>
      </c>
      <c r="F4491" t="s">
        <v>11</v>
      </c>
      <c r="G4491">
        <v>4</v>
      </c>
      <c r="H4491">
        <v>87896</v>
      </c>
      <c r="I4491">
        <v>4103</v>
      </c>
      <c r="J4491" t="s">
        <v>14</v>
      </c>
      <c r="K4491" t="str">
        <f>_xlfn.XLOOKUP(datos_ventas[[#This Row],[Ciudad]],Tabla2[Ciudades],Tabla2[Provincias],"no se encuentra")</f>
        <v>Madrid</v>
      </c>
      <c r="L4491" t="str">
        <f>_xlfn.XLOOKUP(datos_ventas[[#This Row],[Provincia]],Tabla2[Provincias],Tabla2[Comunidades],"no se encuentra")</f>
        <v>Comunidad de Madrid</v>
      </c>
      <c r="M4491" t="s">
        <v>28</v>
      </c>
      <c r="N4491">
        <v>4</v>
      </c>
    </row>
    <row r="4492" spans="1:14" x14ac:dyDescent="0.25">
      <c r="A4492">
        <v>5491</v>
      </c>
      <c r="B4492" s="1">
        <v>45864</v>
      </c>
      <c r="C4492" s="4">
        <f>MONTH(datos_ventas[[#This Row],[Fecha]])</f>
        <v>7</v>
      </c>
      <c r="D4492" s="4">
        <f>WEEKNUM(datos_ventas[[#This Row],[Fecha]],2)</f>
        <v>30</v>
      </c>
      <c r="E4492" t="s">
        <v>10</v>
      </c>
      <c r="F4492" t="s">
        <v>11</v>
      </c>
      <c r="G4492">
        <v>2</v>
      </c>
      <c r="H4492">
        <v>69536</v>
      </c>
      <c r="I4492">
        <v>1156</v>
      </c>
      <c r="J4492" t="s">
        <v>32</v>
      </c>
      <c r="K4492" t="str">
        <f>_xlfn.XLOOKUP(datos_ventas[[#This Row],[Ciudad]],Tabla2[Ciudades],Tabla2[Provincias],"no se encuentra")</f>
        <v>Barcelona</v>
      </c>
      <c r="L4492" t="str">
        <f>_xlfn.XLOOKUP(datos_ventas[[#This Row],[Provincia]],Tabla2[Provincias],Tabla2[Comunidades],"no se encuentra")</f>
        <v>Cataluña</v>
      </c>
      <c r="M4492" t="s">
        <v>13</v>
      </c>
      <c r="N4492">
        <v>3</v>
      </c>
    </row>
    <row r="4493" spans="1:14" x14ac:dyDescent="0.25">
      <c r="A4493">
        <v>5492</v>
      </c>
      <c r="B4493" s="1">
        <v>45733</v>
      </c>
      <c r="C4493" s="4">
        <f>MONTH(datos_ventas[[#This Row],[Fecha]])</f>
        <v>3</v>
      </c>
      <c r="D4493" s="4">
        <f>WEEKNUM(datos_ventas[[#This Row],[Fecha]],2)</f>
        <v>12</v>
      </c>
      <c r="E4493" t="s">
        <v>24</v>
      </c>
      <c r="F4493" t="s">
        <v>25</v>
      </c>
      <c r="G4493">
        <v>5</v>
      </c>
      <c r="H4493">
        <v>20972</v>
      </c>
      <c r="I4493">
        <v>2192</v>
      </c>
      <c r="J4493" t="s">
        <v>32</v>
      </c>
      <c r="K4493" t="str">
        <f>_xlfn.XLOOKUP(datos_ventas[[#This Row],[Ciudad]],Tabla2[Ciudades],Tabla2[Provincias],"no se encuentra")</f>
        <v>Barcelona</v>
      </c>
      <c r="L4493" t="str">
        <f>_xlfn.XLOOKUP(datos_ventas[[#This Row],[Provincia]],Tabla2[Provincias],Tabla2[Comunidades],"no se encuentra")</f>
        <v>Cataluña</v>
      </c>
      <c r="M4493" t="s">
        <v>28</v>
      </c>
      <c r="N4493">
        <v>3</v>
      </c>
    </row>
    <row r="4494" spans="1:14" x14ac:dyDescent="0.25">
      <c r="A4494">
        <v>5493</v>
      </c>
      <c r="B4494" s="1">
        <v>45889</v>
      </c>
      <c r="C4494" s="4">
        <f>MONTH(datos_ventas[[#This Row],[Fecha]])</f>
        <v>8</v>
      </c>
      <c r="D4494" s="4">
        <f>WEEKNUM(datos_ventas[[#This Row],[Fecha]],2)</f>
        <v>34</v>
      </c>
      <c r="E4494" t="s">
        <v>26</v>
      </c>
      <c r="F4494" t="s">
        <v>18</v>
      </c>
      <c r="G4494">
        <v>5</v>
      </c>
      <c r="H4494">
        <v>60211</v>
      </c>
      <c r="I4494">
        <v>2357</v>
      </c>
      <c r="J4494" t="s">
        <v>31</v>
      </c>
      <c r="K4494" t="str">
        <f>_xlfn.XLOOKUP(datos_ventas[[#This Row],[Ciudad]],Tabla2[Ciudades],Tabla2[Provincias],"no se encuentra")</f>
        <v>Vizcaya</v>
      </c>
      <c r="L4494" t="str">
        <f>_xlfn.XLOOKUP(datos_ventas[[#This Row],[Provincia]],Tabla2[Provincias],Tabla2[Comunidades],"no se encuentra")</f>
        <v>País Vasco</v>
      </c>
      <c r="M4494" t="s">
        <v>13</v>
      </c>
      <c r="N4494">
        <v>5</v>
      </c>
    </row>
    <row r="4495" spans="1:14" x14ac:dyDescent="0.25">
      <c r="A4495">
        <v>5494</v>
      </c>
      <c r="B4495" s="1">
        <v>45896</v>
      </c>
      <c r="C4495" s="4">
        <f>MONTH(datos_ventas[[#This Row],[Fecha]])</f>
        <v>8</v>
      </c>
      <c r="D4495" s="4">
        <f>WEEKNUM(datos_ventas[[#This Row],[Fecha]],2)</f>
        <v>35</v>
      </c>
      <c r="E4495" t="s">
        <v>24</v>
      </c>
      <c r="F4495" t="s">
        <v>25</v>
      </c>
      <c r="G4495">
        <v>2</v>
      </c>
      <c r="H4495">
        <v>18928</v>
      </c>
      <c r="I4495">
        <v>2435</v>
      </c>
      <c r="J4495" t="s">
        <v>14</v>
      </c>
      <c r="K4495" t="str">
        <f>_xlfn.XLOOKUP(datos_ventas[[#This Row],[Ciudad]],Tabla2[Ciudades],Tabla2[Provincias],"no se encuentra")</f>
        <v>Madrid</v>
      </c>
      <c r="L4495" t="str">
        <f>_xlfn.XLOOKUP(datos_ventas[[#This Row],[Provincia]],Tabla2[Provincias],Tabla2[Comunidades],"no se encuentra")</f>
        <v>Comunidad de Madrid</v>
      </c>
      <c r="M4495" t="s">
        <v>19</v>
      </c>
      <c r="N4495">
        <v>5</v>
      </c>
    </row>
    <row r="4496" spans="1:14" x14ac:dyDescent="0.25">
      <c r="A4496">
        <v>5495</v>
      </c>
      <c r="B4496" s="1">
        <v>46013</v>
      </c>
      <c r="C4496" s="4">
        <f>MONTH(datos_ventas[[#This Row],[Fecha]])</f>
        <v>12</v>
      </c>
      <c r="D4496" s="4">
        <f>WEEKNUM(datos_ventas[[#This Row],[Fecha]],2)</f>
        <v>52</v>
      </c>
      <c r="E4496" t="s">
        <v>10</v>
      </c>
      <c r="F4496" t="s">
        <v>11</v>
      </c>
      <c r="G4496">
        <v>3</v>
      </c>
      <c r="H4496">
        <v>71468</v>
      </c>
      <c r="I4496">
        <v>1144</v>
      </c>
      <c r="J4496" t="s">
        <v>22</v>
      </c>
      <c r="K4496" t="str">
        <f>_xlfn.XLOOKUP(datos_ventas[[#This Row],[Ciudad]],Tabla2[Ciudades],Tabla2[Provincias],"no se encuentra")</f>
        <v>Valencia</v>
      </c>
      <c r="L4496" t="str">
        <f>_xlfn.XLOOKUP(datos_ventas[[#This Row],[Provincia]],Tabla2[Provincias],Tabla2[Comunidades],"no se encuentra")</f>
        <v>Comunidad Valenciana</v>
      </c>
      <c r="M4496" t="s">
        <v>19</v>
      </c>
      <c r="N4496">
        <v>1</v>
      </c>
    </row>
    <row r="4497" spans="1:14" x14ac:dyDescent="0.25">
      <c r="A4497">
        <v>5496</v>
      </c>
      <c r="B4497" s="1">
        <v>45872</v>
      </c>
      <c r="C4497" s="4">
        <f>MONTH(datos_ventas[[#This Row],[Fecha]])</f>
        <v>8</v>
      </c>
      <c r="D4497" s="4">
        <f>WEEKNUM(datos_ventas[[#This Row],[Fecha]],2)</f>
        <v>31</v>
      </c>
      <c r="E4497" t="s">
        <v>24</v>
      </c>
      <c r="F4497" t="s">
        <v>25</v>
      </c>
      <c r="G4497">
        <v>5</v>
      </c>
      <c r="H4497">
        <v>72651</v>
      </c>
      <c r="I4497">
        <v>3546</v>
      </c>
      <c r="J4497" t="s">
        <v>14</v>
      </c>
      <c r="K4497" t="str">
        <f>_xlfn.XLOOKUP(datos_ventas[[#This Row],[Ciudad]],Tabla2[Ciudades],Tabla2[Provincias],"no se encuentra")</f>
        <v>Madrid</v>
      </c>
      <c r="L4497" t="str">
        <f>_xlfn.XLOOKUP(datos_ventas[[#This Row],[Provincia]],Tabla2[Provincias],Tabla2[Comunidades],"no se encuentra")</f>
        <v>Comunidad de Madrid</v>
      </c>
      <c r="M4497" t="s">
        <v>15</v>
      </c>
      <c r="N4497">
        <v>4</v>
      </c>
    </row>
    <row r="4498" spans="1:14" x14ac:dyDescent="0.25">
      <c r="A4498">
        <v>5497</v>
      </c>
      <c r="B4498" s="1">
        <v>45672</v>
      </c>
      <c r="C4498" s="4">
        <f>MONTH(datos_ventas[[#This Row],[Fecha]])</f>
        <v>1</v>
      </c>
      <c r="D4498" s="4">
        <f>WEEKNUM(datos_ventas[[#This Row],[Fecha]],2)</f>
        <v>3</v>
      </c>
      <c r="E4498" t="s">
        <v>16</v>
      </c>
      <c r="F4498" t="s">
        <v>11</v>
      </c>
      <c r="G4498">
        <v>1</v>
      </c>
      <c r="H4498">
        <v>8047</v>
      </c>
      <c r="I4498">
        <v>4828</v>
      </c>
      <c r="J4498" t="s">
        <v>32</v>
      </c>
      <c r="K4498" t="str">
        <f>_xlfn.XLOOKUP(datos_ventas[[#This Row],[Ciudad]],Tabla2[Ciudades],Tabla2[Provincias],"no se encuentra")</f>
        <v>Barcelona</v>
      </c>
      <c r="L4498" t="str">
        <f>_xlfn.XLOOKUP(datos_ventas[[#This Row],[Provincia]],Tabla2[Provincias],Tabla2[Comunidades],"no se encuentra")</f>
        <v>Cataluña</v>
      </c>
      <c r="M4498" t="s">
        <v>19</v>
      </c>
      <c r="N4498">
        <v>4</v>
      </c>
    </row>
    <row r="4499" spans="1:14" x14ac:dyDescent="0.25">
      <c r="A4499">
        <v>5498</v>
      </c>
      <c r="B4499" s="1">
        <v>45952</v>
      </c>
      <c r="C4499" s="4">
        <f>MONTH(datos_ventas[[#This Row],[Fecha]])</f>
        <v>10</v>
      </c>
      <c r="D4499" s="4">
        <f>WEEKNUM(datos_ventas[[#This Row],[Fecha]],2)</f>
        <v>43</v>
      </c>
      <c r="E4499" t="s">
        <v>24</v>
      </c>
      <c r="F4499" t="s">
        <v>25</v>
      </c>
      <c r="G4499">
        <v>5</v>
      </c>
      <c r="H4499">
        <v>22608</v>
      </c>
      <c r="I4499">
        <v>735</v>
      </c>
      <c r="J4499" t="s">
        <v>27</v>
      </c>
      <c r="K4499" t="str">
        <f>_xlfn.XLOOKUP(datos_ventas[[#This Row],[Ciudad]],Tabla2[Ciudades],Tabla2[Provincias],"no se encuentra")</f>
        <v>Sevilla</v>
      </c>
      <c r="L4499" t="str">
        <f>_xlfn.XLOOKUP(datos_ventas[[#This Row],[Provincia]],Tabla2[Provincias],Tabla2[Comunidades],"no se encuentra")</f>
        <v>Andalucía</v>
      </c>
      <c r="M4499" t="s">
        <v>13</v>
      </c>
      <c r="N4499">
        <v>4</v>
      </c>
    </row>
    <row r="4500" spans="1:14" x14ac:dyDescent="0.25">
      <c r="A4500">
        <v>5499</v>
      </c>
      <c r="B4500" s="1">
        <v>45681</v>
      </c>
      <c r="C4500" s="4">
        <f>MONTH(datos_ventas[[#This Row],[Fecha]])</f>
        <v>1</v>
      </c>
      <c r="D4500" s="4">
        <f>WEEKNUM(datos_ventas[[#This Row],[Fecha]],2)</f>
        <v>4</v>
      </c>
      <c r="E4500" t="s">
        <v>26</v>
      </c>
      <c r="F4500" t="s">
        <v>18</v>
      </c>
      <c r="G4500">
        <v>3</v>
      </c>
      <c r="H4500">
        <v>116094</v>
      </c>
      <c r="I4500">
        <v>1848</v>
      </c>
      <c r="J4500" t="s">
        <v>27</v>
      </c>
      <c r="K4500" t="str">
        <f>_xlfn.XLOOKUP(datos_ventas[[#This Row],[Ciudad]],Tabla2[Ciudades],Tabla2[Provincias],"no se encuentra")</f>
        <v>Sevilla</v>
      </c>
      <c r="L4500" t="str">
        <f>_xlfn.XLOOKUP(datos_ventas[[#This Row],[Provincia]],Tabla2[Provincias],Tabla2[Comunidades],"no se encuentra")</f>
        <v>Andalucía</v>
      </c>
      <c r="M4500" t="s">
        <v>28</v>
      </c>
      <c r="N4500">
        <v>3</v>
      </c>
    </row>
    <row r="4501" spans="1:14" x14ac:dyDescent="0.25">
      <c r="A4501">
        <v>5500</v>
      </c>
      <c r="B4501" s="1">
        <v>45940</v>
      </c>
      <c r="C4501" s="4">
        <f>MONTH(datos_ventas[[#This Row],[Fecha]])</f>
        <v>10</v>
      </c>
      <c r="D4501" s="4">
        <f>WEEKNUM(datos_ventas[[#This Row],[Fecha]],2)</f>
        <v>41</v>
      </c>
      <c r="E4501" t="s">
        <v>17</v>
      </c>
      <c r="F4501" t="s">
        <v>18</v>
      </c>
      <c r="G4501">
        <v>1</v>
      </c>
      <c r="H4501">
        <v>72486</v>
      </c>
      <c r="I4501">
        <v>65</v>
      </c>
      <c r="J4501" t="s">
        <v>31</v>
      </c>
      <c r="K4501" t="str">
        <f>_xlfn.XLOOKUP(datos_ventas[[#This Row],[Ciudad]],Tabla2[Ciudades],Tabla2[Provincias],"no se encuentra")</f>
        <v>Vizcaya</v>
      </c>
      <c r="L4501" t="str">
        <f>_xlfn.XLOOKUP(datos_ventas[[#This Row],[Provincia]],Tabla2[Provincias],Tabla2[Comunidades],"no se encuentra")</f>
        <v>País Vasco</v>
      </c>
      <c r="M4501" t="s">
        <v>15</v>
      </c>
      <c r="N4501">
        <v>1</v>
      </c>
    </row>
    <row r="4502" spans="1:14" x14ac:dyDescent="0.25">
      <c r="A4502">
        <v>5501</v>
      </c>
      <c r="B4502" s="1">
        <v>45711</v>
      </c>
      <c r="C4502" s="4">
        <f>MONTH(datos_ventas[[#This Row],[Fecha]])</f>
        <v>2</v>
      </c>
      <c r="D4502" s="4">
        <f>WEEKNUM(datos_ventas[[#This Row],[Fecha]],2)</f>
        <v>8</v>
      </c>
      <c r="E4502" t="s">
        <v>17</v>
      </c>
      <c r="F4502" t="s">
        <v>18</v>
      </c>
      <c r="G4502">
        <v>4</v>
      </c>
      <c r="H4502">
        <v>7679</v>
      </c>
      <c r="I4502">
        <v>105</v>
      </c>
      <c r="J4502" t="s">
        <v>27</v>
      </c>
      <c r="K4502" t="str">
        <f>_xlfn.XLOOKUP(datos_ventas[[#This Row],[Ciudad]],Tabla2[Ciudades],Tabla2[Provincias],"no se encuentra")</f>
        <v>Sevilla</v>
      </c>
      <c r="L4502" t="str">
        <f>_xlfn.XLOOKUP(datos_ventas[[#This Row],[Provincia]],Tabla2[Provincias],Tabla2[Comunidades],"no se encuentra")</f>
        <v>Andalucía</v>
      </c>
      <c r="M4502" t="s">
        <v>13</v>
      </c>
      <c r="N4502">
        <v>5</v>
      </c>
    </row>
    <row r="4503" spans="1:14" x14ac:dyDescent="0.25">
      <c r="A4503">
        <v>5502</v>
      </c>
      <c r="B4503" s="1">
        <v>45867</v>
      </c>
      <c r="C4503" s="4">
        <f>MONTH(datos_ventas[[#This Row],[Fecha]])</f>
        <v>7</v>
      </c>
      <c r="D4503" s="4">
        <f>WEEKNUM(datos_ventas[[#This Row],[Fecha]],2)</f>
        <v>31</v>
      </c>
      <c r="E4503" t="s">
        <v>26</v>
      </c>
      <c r="F4503" t="s">
        <v>18</v>
      </c>
      <c r="G4503">
        <v>4</v>
      </c>
      <c r="H4503">
        <v>3372</v>
      </c>
      <c r="I4503">
        <v>2753</v>
      </c>
      <c r="J4503" t="s">
        <v>31</v>
      </c>
      <c r="K4503" t="str">
        <f>_xlfn.XLOOKUP(datos_ventas[[#This Row],[Ciudad]],Tabla2[Ciudades],Tabla2[Provincias],"no se encuentra")</f>
        <v>Vizcaya</v>
      </c>
      <c r="L4503" t="str">
        <f>_xlfn.XLOOKUP(datos_ventas[[#This Row],[Provincia]],Tabla2[Provincias],Tabla2[Comunidades],"no se encuentra")</f>
        <v>País Vasco</v>
      </c>
      <c r="M4503" t="s">
        <v>13</v>
      </c>
      <c r="N4503">
        <v>5</v>
      </c>
    </row>
    <row r="4504" spans="1:14" x14ac:dyDescent="0.25">
      <c r="A4504">
        <v>5503</v>
      </c>
      <c r="B4504" s="1">
        <v>45786</v>
      </c>
      <c r="C4504" s="4">
        <f>MONTH(datos_ventas[[#This Row],[Fecha]])</f>
        <v>5</v>
      </c>
      <c r="D4504" s="4">
        <f>WEEKNUM(datos_ventas[[#This Row],[Fecha]],2)</f>
        <v>19</v>
      </c>
      <c r="E4504" t="s">
        <v>23</v>
      </c>
      <c r="F4504" t="s">
        <v>18</v>
      </c>
      <c r="G4504">
        <v>4</v>
      </c>
      <c r="H4504">
        <v>91469</v>
      </c>
      <c r="I4504">
        <v>941</v>
      </c>
      <c r="J4504" t="s">
        <v>27</v>
      </c>
      <c r="K4504" t="str">
        <f>_xlfn.XLOOKUP(datos_ventas[[#This Row],[Ciudad]],Tabla2[Ciudades],Tabla2[Provincias],"no se encuentra")</f>
        <v>Sevilla</v>
      </c>
      <c r="L4504" t="str">
        <f>_xlfn.XLOOKUP(datos_ventas[[#This Row],[Provincia]],Tabla2[Provincias],Tabla2[Comunidades],"no se encuentra")</f>
        <v>Andalucía</v>
      </c>
      <c r="M4504" t="s">
        <v>28</v>
      </c>
      <c r="N4504">
        <v>3</v>
      </c>
    </row>
    <row r="4505" spans="1:14" x14ac:dyDescent="0.25">
      <c r="A4505">
        <v>5504</v>
      </c>
      <c r="B4505" s="1">
        <v>46001</v>
      </c>
      <c r="C4505" s="4">
        <f>MONTH(datos_ventas[[#This Row],[Fecha]])</f>
        <v>12</v>
      </c>
      <c r="D4505" s="4">
        <f>WEEKNUM(datos_ventas[[#This Row],[Fecha]],2)</f>
        <v>50</v>
      </c>
      <c r="E4505" t="s">
        <v>23</v>
      </c>
      <c r="F4505" t="s">
        <v>18</v>
      </c>
      <c r="G4505">
        <v>1</v>
      </c>
      <c r="H4505">
        <v>7378</v>
      </c>
      <c r="I4505">
        <v>1278</v>
      </c>
      <c r="J4505" t="s">
        <v>14</v>
      </c>
      <c r="K4505" t="str">
        <f>_xlfn.XLOOKUP(datos_ventas[[#This Row],[Ciudad]],Tabla2[Ciudades],Tabla2[Provincias],"no se encuentra")</f>
        <v>Madrid</v>
      </c>
      <c r="L4505" t="str">
        <f>_xlfn.XLOOKUP(datos_ventas[[#This Row],[Provincia]],Tabla2[Provincias],Tabla2[Comunidades],"no se encuentra")</f>
        <v>Comunidad de Madrid</v>
      </c>
      <c r="M4505" t="s">
        <v>28</v>
      </c>
      <c r="N4505">
        <v>4</v>
      </c>
    </row>
    <row r="4506" spans="1:14" x14ac:dyDescent="0.25">
      <c r="A4506">
        <v>5505</v>
      </c>
      <c r="B4506" s="1">
        <v>46019</v>
      </c>
      <c r="C4506" s="4">
        <f>MONTH(datos_ventas[[#This Row],[Fecha]])</f>
        <v>12</v>
      </c>
      <c r="D4506" s="4">
        <f>WEEKNUM(datos_ventas[[#This Row],[Fecha]],2)</f>
        <v>52</v>
      </c>
      <c r="E4506" t="s">
        <v>20</v>
      </c>
      <c r="F4506" t="s">
        <v>21</v>
      </c>
      <c r="G4506">
        <v>5</v>
      </c>
      <c r="H4506">
        <v>53125</v>
      </c>
      <c r="I4506">
        <v>2043</v>
      </c>
      <c r="J4506" t="s">
        <v>22</v>
      </c>
      <c r="K4506" t="str">
        <f>_xlfn.XLOOKUP(datos_ventas[[#This Row],[Ciudad]],Tabla2[Ciudades],Tabla2[Provincias],"no se encuentra")</f>
        <v>Valencia</v>
      </c>
      <c r="L4506" t="str">
        <f>_xlfn.XLOOKUP(datos_ventas[[#This Row],[Provincia]],Tabla2[Provincias],Tabla2[Comunidades],"no se encuentra")</f>
        <v>Comunidad Valenciana</v>
      </c>
      <c r="M4506" t="s">
        <v>13</v>
      </c>
      <c r="N4506">
        <v>3</v>
      </c>
    </row>
    <row r="4507" spans="1:14" x14ac:dyDescent="0.25">
      <c r="A4507">
        <v>5506</v>
      </c>
      <c r="B4507" s="1">
        <v>45947</v>
      </c>
      <c r="C4507" s="4">
        <f>MONTH(datos_ventas[[#This Row],[Fecha]])</f>
        <v>10</v>
      </c>
      <c r="D4507" s="4">
        <f>WEEKNUM(datos_ventas[[#This Row],[Fecha]],2)</f>
        <v>42</v>
      </c>
      <c r="E4507" t="s">
        <v>16</v>
      </c>
      <c r="F4507" t="s">
        <v>11</v>
      </c>
      <c r="G4507">
        <v>4</v>
      </c>
      <c r="H4507">
        <v>114053</v>
      </c>
      <c r="I4507">
        <v>2794</v>
      </c>
      <c r="J4507" t="s">
        <v>12</v>
      </c>
      <c r="K4507" t="str">
        <f>_xlfn.XLOOKUP(datos_ventas[[#This Row],[Ciudad]],Tabla2[Ciudades],Tabla2[Provincias],"no se encuentra")</f>
        <v>Málaga</v>
      </c>
      <c r="L4507" t="str">
        <f>_xlfn.XLOOKUP(datos_ventas[[#This Row],[Provincia]],Tabla2[Provincias],Tabla2[Comunidades],"no se encuentra")</f>
        <v>Andalucía</v>
      </c>
      <c r="M4507" t="s">
        <v>13</v>
      </c>
      <c r="N4507">
        <v>3</v>
      </c>
    </row>
    <row r="4508" spans="1:14" x14ac:dyDescent="0.25">
      <c r="A4508">
        <v>5507</v>
      </c>
      <c r="B4508" s="1">
        <v>46006</v>
      </c>
      <c r="C4508" s="4">
        <f>MONTH(datos_ventas[[#This Row],[Fecha]])</f>
        <v>12</v>
      </c>
      <c r="D4508" s="4">
        <f>WEEKNUM(datos_ventas[[#This Row],[Fecha]],2)</f>
        <v>51</v>
      </c>
      <c r="E4508" t="s">
        <v>26</v>
      </c>
      <c r="F4508" t="s">
        <v>18</v>
      </c>
      <c r="G4508">
        <v>4</v>
      </c>
      <c r="H4508">
        <v>9707</v>
      </c>
      <c r="I4508">
        <v>532</v>
      </c>
      <c r="J4508" t="s">
        <v>12</v>
      </c>
      <c r="K4508" t="str">
        <f>_xlfn.XLOOKUP(datos_ventas[[#This Row],[Ciudad]],Tabla2[Ciudades],Tabla2[Provincias],"no se encuentra")</f>
        <v>Málaga</v>
      </c>
      <c r="L4508" t="str">
        <f>_xlfn.XLOOKUP(datos_ventas[[#This Row],[Provincia]],Tabla2[Provincias],Tabla2[Comunidades],"no se encuentra")</f>
        <v>Andalucía</v>
      </c>
      <c r="M4508" t="s">
        <v>19</v>
      </c>
      <c r="N4508">
        <v>4</v>
      </c>
    </row>
    <row r="4509" spans="1:14" x14ac:dyDescent="0.25">
      <c r="A4509">
        <v>5508</v>
      </c>
      <c r="B4509" s="1">
        <v>45912</v>
      </c>
      <c r="C4509" s="4">
        <f>MONTH(datos_ventas[[#This Row],[Fecha]])</f>
        <v>9</v>
      </c>
      <c r="D4509" s="4">
        <f>WEEKNUM(datos_ventas[[#This Row],[Fecha]],2)</f>
        <v>37</v>
      </c>
      <c r="E4509" t="s">
        <v>29</v>
      </c>
      <c r="F4509" t="s">
        <v>30</v>
      </c>
      <c r="G4509">
        <v>5</v>
      </c>
      <c r="H4509">
        <v>81465</v>
      </c>
      <c r="I4509">
        <v>118</v>
      </c>
      <c r="J4509" t="s">
        <v>31</v>
      </c>
      <c r="K4509" t="str">
        <f>_xlfn.XLOOKUP(datos_ventas[[#This Row],[Ciudad]],Tabla2[Ciudades],Tabla2[Provincias],"no se encuentra")</f>
        <v>Vizcaya</v>
      </c>
      <c r="L4509" t="str">
        <f>_xlfn.XLOOKUP(datos_ventas[[#This Row],[Provincia]],Tabla2[Provincias],Tabla2[Comunidades],"no se encuentra")</f>
        <v>País Vasco</v>
      </c>
      <c r="M4509" t="s">
        <v>28</v>
      </c>
      <c r="N4509">
        <v>4</v>
      </c>
    </row>
    <row r="4510" spans="1:14" x14ac:dyDescent="0.25">
      <c r="A4510">
        <v>5509</v>
      </c>
      <c r="B4510" s="1">
        <v>45914</v>
      </c>
      <c r="C4510" s="4">
        <f>MONTH(datos_ventas[[#This Row],[Fecha]])</f>
        <v>9</v>
      </c>
      <c r="D4510" s="4">
        <f>WEEKNUM(datos_ventas[[#This Row],[Fecha]],2)</f>
        <v>37</v>
      </c>
      <c r="E4510" t="s">
        <v>24</v>
      </c>
      <c r="F4510" t="s">
        <v>25</v>
      </c>
      <c r="G4510">
        <v>1</v>
      </c>
      <c r="H4510">
        <v>114664</v>
      </c>
      <c r="I4510">
        <v>1426</v>
      </c>
      <c r="J4510" t="s">
        <v>27</v>
      </c>
      <c r="K4510" t="str">
        <f>_xlfn.XLOOKUP(datos_ventas[[#This Row],[Ciudad]],Tabla2[Ciudades],Tabla2[Provincias],"no se encuentra")</f>
        <v>Sevilla</v>
      </c>
      <c r="L4510" t="str">
        <f>_xlfn.XLOOKUP(datos_ventas[[#This Row],[Provincia]],Tabla2[Provincias],Tabla2[Comunidades],"no se encuentra")</f>
        <v>Andalucía</v>
      </c>
      <c r="M4510" t="s">
        <v>13</v>
      </c>
      <c r="N4510">
        <v>1</v>
      </c>
    </row>
    <row r="4511" spans="1:14" x14ac:dyDescent="0.25">
      <c r="A4511">
        <v>5510</v>
      </c>
      <c r="B4511" s="1">
        <v>45717</v>
      </c>
      <c r="C4511" s="4">
        <f>MONTH(datos_ventas[[#This Row],[Fecha]])</f>
        <v>3</v>
      </c>
      <c r="D4511" s="4">
        <f>WEEKNUM(datos_ventas[[#This Row],[Fecha]],2)</f>
        <v>9</v>
      </c>
      <c r="E4511" t="s">
        <v>26</v>
      </c>
      <c r="F4511" t="s">
        <v>18</v>
      </c>
      <c r="G4511">
        <v>3</v>
      </c>
      <c r="H4511">
        <v>64412</v>
      </c>
      <c r="I4511">
        <v>2699</v>
      </c>
      <c r="J4511" t="s">
        <v>31</v>
      </c>
      <c r="K4511" t="str">
        <f>_xlfn.XLOOKUP(datos_ventas[[#This Row],[Ciudad]],Tabla2[Ciudades],Tabla2[Provincias],"no se encuentra")</f>
        <v>Vizcaya</v>
      </c>
      <c r="L4511" t="str">
        <f>_xlfn.XLOOKUP(datos_ventas[[#This Row],[Provincia]],Tabla2[Provincias],Tabla2[Comunidades],"no se encuentra")</f>
        <v>País Vasco</v>
      </c>
      <c r="M4511" t="s">
        <v>28</v>
      </c>
      <c r="N4511">
        <v>4</v>
      </c>
    </row>
    <row r="4512" spans="1:14" x14ac:dyDescent="0.25">
      <c r="A4512">
        <v>5511</v>
      </c>
      <c r="B4512" s="1">
        <v>45745</v>
      </c>
      <c r="C4512" s="4">
        <f>MONTH(datos_ventas[[#This Row],[Fecha]])</f>
        <v>3</v>
      </c>
      <c r="D4512" s="4">
        <f>WEEKNUM(datos_ventas[[#This Row],[Fecha]],2)</f>
        <v>13</v>
      </c>
      <c r="E4512" t="s">
        <v>10</v>
      </c>
      <c r="F4512" t="s">
        <v>11</v>
      </c>
      <c r="G4512">
        <v>3</v>
      </c>
      <c r="H4512">
        <v>8007</v>
      </c>
      <c r="I4512">
        <v>2791</v>
      </c>
      <c r="J4512" t="s">
        <v>32</v>
      </c>
      <c r="K4512" t="str">
        <f>_xlfn.XLOOKUP(datos_ventas[[#This Row],[Ciudad]],Tabla2[Ciudades],Tabla2[Provincias],"no se encuentra")</f>
        <v>Barcelona</v>
      </c>
      <c r="L4512" t="str">
        <f>_xlfn.XLOOKUP(datos_ventas[[#This Row],[Provincia]],Tabla2[Provincias],Tabla2[Comunidades],"no se encuentra")</f>
        <v>Cataluña</v>
      </c>
      <c r="M4512" t="s">
        <v>19</v>
      </c>
      <c r="N4512">
        <v>2</v>
      </c>
    </row>
    <row r="4513" spans="1:14" x14ac:dyDescent="0.25">
      <c r="A4513">
        <v>5512</v>
      </c>
      <c r="B4513" s="1">
        <v>45939</v>
      </c>
      <c r="C4513" s="4">
        <f>MONTH(datos_ventas[[#This Row],[Fecha]])</f>
        <v>10</v>
      </c>
      <c r="D4513" s="4">
        <f>WEEKNUM(datos_ventas[[#This Row],[Fecha]],2)</f>
        <v>41</v>
      </c>
      <c r="E4513" t="s">
        <v>10</v>
      </c>
      <c r="F4513" t="s">
        <v>11</v>
      </c>
      <c r="G4513">
        <v>1</v>
      </c>
      <c r="H4513">
        <v>78618</v>
      </c>
      <c r="I4513">
        <v>2006</v>
      </c>
      <c r="J4513" t="s">
        <v>32</v>
      </c>
      <c r="K4513" t="str">
        <f>_xlfn.XLOOKUP(datos_ventas[[#This Row],[Ciudad]],Tabla2[Ciudades],Tabla2[Provincias],"no se encuentra")</f>
        <v>Barcelona</v>
      </c>
      <c r="L4513" t="str">
        <f>_xlfn.XLOOKUP(datos_ventas[[#This Row],[Provincia]],Tabla2[Provincias],Tabla2[Comunidades],"no se encuentra")</f>
        <v>Cataluña</v>
      </c>
      <c r="M4513" t="s">
        <v>15</v>
      </c>
      <c r="N4513">
        <v>4</v>
      </c>
    </row>
    <row r="4514" spans="1:14" x14ac:dyDescent="0.25">
      <c r="A4514">
        <v>5513</v>
      </c>
      <c r="B4514" s="1">
        <v>45795</v>
      </c>
      <c r="C4514" s="4">
        <f>MONTH(datos_ventas[[#This Row],[Fecha]])</f>
        <v>5</v>
      </c>
      <c r="D4514" s="4">
        <f>WEEKNUM(datos_ventas[[#This Row],[Fecha]],2)</f>
        <v>20</v>
      </c>
      <c r="E4514" t="s">
        <v>16</v>
      </c>
      <c r="F4514" t="s">
        <v>11</v>
      </c>
      <c r="G4514">
        <v>3</v>
      </c>
      <c r="H4514">
        <v>2435</v>
      </c>
      <c r="I4514">
        <v>361</v>
      </c>
      <c r="J4514" t="s">
        <v>12</v>
      </c>
      <c r="K4514" t="str">
        <f>_xlfn.XLOOKUP(datos_ventas[[#This Row],[Ciudad]],Tabla2[Ciudades],Tabla2[Provincias],"no se encuentra")</f>
        <v>Málaga</v>
      </c>
      <c r="L4514" t="str">
        <f>_xlfn.XLOOKUP(datos_ventas[[#This Row],[Provincia]],Tabla2[Provincias],Tabla2[Comunidades],"no se encuentra")</f>
        <v>Andalucía</v>
      </c>
      <c r="M4514" t="s">
        <v>28</v>
      </c>
      <c r="N4514">
        <v>3</v>
      </c>
    </row>
    <row r="4515" spans="1:14" x14ac:dyDescent="0.25">
      <c r="A4515">
        <v>5514</v>
      </c>
      <c r="B4515" s="1">
        <v>45980</v>
      </c>
      <c r="C4515" s="4">
        <f>MONTH(datos_ventas[[#This Row],[Fecha]])</f>
        <v>11</v>
      </c>
      <c r="D4515" s="4">
        <f>WEEKNUM(datos_ventas[[#This Row],[Fecha]],2)</f>
        <v>47</v>
      </c>
      <c r="E4515" t="s">
        <v>17</v>
      </c>
      <c r="F4515" t="s">
        <v>18</v>
      </c>
      <c r="G4515">
        <v>2</v>
      </c>
      <c r="H4515">
        <v>29462</v>
      </c>
      <c r="I4515">
        <v>2316</v>
      </c>
      <c r="J4515" t="s">
        <v>12</v>
      </c>
      <c r="K4515" t="str">
        <f>_xlfn.XLOOKUP(datos_ventas[[#This Row],[Ciudad]],Tabla2[Ciudades],Tabla2[Provincias],"no se encuentra")</f>
        <v>Málaga</v>
      </c>
      <c r="L4515" t="str">
        <f>_xlfn.XLOOKUP(datos_ventas[[#This Row],[Provincia]],Tabla2[Provincias],Tabla2[Comunidades],"no se encuentra")</f>
        <v>Andalucía</v>
      </c>
      <c r="M4515" t="s">
        <v>15</v>
      </c>
      <c r="N4515">
        <v>5</v>
      </c>
    </row>
    <row r="4516" spans="1:14" x14ac:dyDescent="0.25">
      <c r="A4516">
        <v>5515</v>
      </c>
      <c r="B4516" s="1">
        <v>45888</v>
      </c>
      <c r="C4516" s="4">
        <f>MONTH(datos_ventas[[#This Row],[Fecha]])</f>
        <v>8</v>
      </c>
      <c r="D4516" s="4">
        <f>WEEKNUM(datos_ventas[[#This Row],[Fecha]],2)</f>
        <v>34</v>
      </c>
      <c r="E4516" t="s">
        <v>26</v>
      </c>
      <c r="F4516" t="s">
        <v>18</v>
      </c>
      <c r="G4516">
        <v>4</v>
      </c>
      <c r="H4516">
        <v>93731</v>
      </c>
      <c r="I4516">
        <v>1636</v>
      </c>
      <c r="J4516" t="s">
        <v>22</v>
      </c>
      <c r="K4516" t="str">
        <f>_xlfn.XLOOKUP(datos_ventas[[#This Row],[Ciudad]],Tabla2[Ciudades],Tabla2[Provincias],"no se encuentra")</f>
        <v>Valencia</v>
      </c>
      <c r="L4516" t="str">
        <f>_xlfn.XLOOKUP(datos_ventas[[#This Row],[Provincia]],Tabla2[Provincias],Tabla2[Comunidades],"no se encuentra")</f>
        <v>Comunidad Valenciana</v>
      </c>
      <c r="M4516" t="s">
        <v>19</v>
      </c>
      <c r="N4516">
        <v>5</v>
      </c>
    </row>
    <row r="4517" spans="1:14" x14ac:dyDescent="0.25">
      <c r="A4517">
        <v>5516</v>
      </c>
      <c r="B4517" s="1">
        <v>45994</v>
      </c>
      <c r="C4517" s="4">
        <f>MONTH(datos_ventas[[#This Row],[Fecha]])</f>
        <v>12</v>
      </c>
      <c r="D4517" s="4">
        <f>WEEKNUM(datos_ventas[[#This Row],[Fecha]],2)</f>
        <v>49</v>
      </c>
      <c r="E4517" t="s">
        <v>20</v>
      </c>
      <c r="F4517" t="s">
        <v>21</v>
      </c>
      <c r="G4517">
        <v>5</v>
      </c>
      <c r="H4517">
        <v>73675</v>
      </c>
      <c r="I4517">
        <v>1244</v>
      </c>
      <c r="J4517" t="s">
        <v>31</v>
      </c>
      <c r="K4517" t="str">
        <f>_xlfn.XLOOKUP(datos_ventas[[#This Row],[Ciudad]],Tabla2[Ciudades],Tabla2[Provincias],"no se encuentra")</f>
        <v>Vizcaya</v>
      </c>
      <c r="L4517" t="str">
        <f>_xlfn.XLOOKUP(datos_ventas[[#This Row],[Provincia]],Tabla2[Provincias],Tabla2[Comunidades],"no se encuentra")</f>
        <v>País Vasco</v>
      </c>
      <c r="M4517" t="s">
        <v>13</v>
      </c>
      <c r="N4517">
        <v>4</v>
      </c>
    </row>
    <row r="4518" spans="1:14" x14ac:dyDescent="0.25">
      <c r="A4518">
        <v>5517</v>
      </c>
      <c r="B4518" s="1">
        <v>45881</v>
      </c>
      <c r="C4518" s="4">
        <f>MONTH(datos_ventas[[#This Row],[Fecha]])</f>
        <v>8</v>
      </c>
      <c r="D4518" s="4">
        <f>WEEKNUM(datos_ventas[[#This Row],[Fecha]],2)</f>
        <v>33</v>
      </c>
      <c r="E4518" t="s">
        <v>23</v>
      </c>
      <c r="F4518" t="s">
        <v>18</v>
      </c>
      <c r="G4518">
        <v>1</v>
      </c>
      <c r="H4518">
        <v>18426</v>
      </c>
      <c r="I4518">
        <v>4698</v>
      </c>
      <c r="J4518" t="s">
        <v>31</v>
      </c>
      <c r="K4518" t="str">
        <f>_xlfn.XLOOKUP(datos_ventas[[#This Row],[Ciudad]],Tabla2[Ciudades],Tabla2[Provincias],"no se encuentra")</f>
        <v>Vizcaya</v>
      </c>
      <c r="L4518" t="str">
        <f>_xlfn.XLOOKUP(datos_ventas[[#This Row],[Provincia]],Tabla2[Provincias],Tabla2[Comunidades],"no se encuentra")</f>
        <v>País Vasco</v>
      </c>
      <c r="M4518" t="s">
        <v>28</v>
      </c>
      <c r="N4518">
        <v>2</v>
      </c>
    </row>
    <row r="4519" spans="1:14" x14ac:dyDescent="0.25">
      <c r="A4519">
        <v>5518</v>
      </c>
      <c r="B4519" s="1">
        <v>45950</v>
      </c>
      <c r="C4519" s="4">
        <f>MONTH(datos_ventas[[#This Row],[Fecha]])</f>
        <v>10</v>
      </c>
      <c r="D4519" s="4">
        <f>WEEKNUM(datos_ventas[[#This Row],[Fecha]],2)</f>
        <v>43</v>
      </c>
      <c r="E4519" t="s">
        <v>26</v>
      </c>
      <c r="F4519" t="s">
        <v>18</v>
      </c>
      <c r="G4519">
        <v>2</v>
      </c>
      <c r="H4519">
        <v>4215</v>
      </c>
      <c r="I4519">
        <v>1493</v>
      </c>
      <c r="J4519" t="s">
        <v>32</v>
      </c>
      <c r="K4519" t="str">
        <f>_xlfn.XLOOKUP(datos_ventas[[#This Row],[Ciudad]],Tabla2[Ciudades],Tabla2[Provincias],"no se encuentra")</f>
        <v>Barcelona</v>
      </c>
      <c r="L4519" t="str">
        <f>_xlfn.XLOOKUP(datos_ventas[[#This Row],[Provincia]],Tabla2[Provincias],Tabla2[Comunidades],"no se encuentra")</f>
        <v>Cataluña</v>
      </c>
      <c r="M4519" t="s">
        <v>15</v>
      </c>
      <c r="N4519">
        <v>4</v>
      </c>
    </row>
    <row r="4520" spans="1:14" x14ac:dyDescent="0.25">
      <c r="A4520">
        <v>5519</v>
      </c>
      <c r="B4520" s="1">
        <v>45845</v>
      </c>
      <c r="C4520" s="4">
        <f>MONTH(datos_ventas[[#This Row],[Fecha]])</f>
        <v>7</v>
      </c>
      <c r="D4520" s="4">
        <f>WEEKNUM(datos_ventas[[#This Row],[Fecha]],2)</f>
        <v>28</v>
      </c>
      <c r="E4520" t="s">
        <v>20</v>
      </c>
      <c r="F4520" t="s">
        <v>21</v>
      </c>
      <c r="G4520">
        <v>4</v>
      </c>
      <c r="H4520">
        <v>102731</v>
      </c>
      <c r="I4520">
        <v>2686</v>
      </c>
      <c r="J4520" t="s">
        <v>31</v>
      </c>
      <c r="K4520" t="str">
        <f>_xlfn.XLOOKUP(datos_ventas[[#This Row],[Ciudad]],Tabla2[Ciudades],Tabla2[Provincias],"no se encuentra")</f>
        <v>Vizcaya</v>
      </c>
      <c r="L4520" t="str">
        <f>_xlfn.XLOOKUP(datos_ventas[[#This Row],[Provincia]],Tabla2[Provincias],Tabla2[Comunidades],"no se encuentra")</f>
        <v>País Vasco</v>
      </c>
      <c r="M4520" t="s">
        <v>28</v>
      </c>
      <c r="N4520">
        <v>4</v>
      </c>
    </row>
    <row r="4521" spans="1:14" x14ac:dyDescent="0.25">
      <c r="A4521">
        <v>5520</v>
      </c>
      <c r="B4521" s="1">
        <v>45750</v>
      </c>
      <c r="C4521" s="4">
        <f>MONTH(datos_ventas[[#This Row],[Fecha]])</f>
        <v>4</v>
      </c>
      <c r="D4521" s="4">
        <f>WEEKNUM(datos_ventas[[#This Row],[Fecha]],2)</f>
        <v>14</v>
      </c>
      <c r="E4521" t="s">
        <v>24</v>
      </c>
      <c r="F4521" t="s">
        <v>25</v>
      </c>
      <c r="G4521">
        <v>1</v>
      </c>
      <c r="H4521">
        <v>51659</v>
      </c>
      <c r="I4521">
        <v>4487</v>
      </c>
      <c r="J4521" t="s">
        <v>31</v>
      </c>
      <c r="K4521" t="str">
        <f>_xlfn.XLOOKUP(datos_ventas[[#This Row],[Ciudad]],Tabla2[Ciudades],Tabla2[Provincias],"no se encuentra")</f>
        <v>Vizcaya</v>
      </c>
      <c r="L4521" t="str">
        <f>_xlfn.XLOOKUP(datos_ventas[[#This Row],[Provincia]],Tabla2[Provincias],Tabla2[Comunidades],"no se encuentra")</f>
        <v>País Vasco</v>
      </c>
      <c r="M4521" t="s">
        <v>13</v>
      </c>
      <c r="N4521">
        <v>3</v>
      </c>
    </row>
    <row r="4522" spans="1:14" x14ac:dyDescent="0.25">
      <c r="A4522">
        <v>5521</v>
      </c>
      <c r="B4522" s="1">
        <v>45686</v>
      </c>
      <c r="C4522" s="4">
        <f>MONTH(datos_ventas[[#This Row],[Fecha]])</f>
        <v>1</v>
      </c>
      <c r="D4522" s="4">
        <f>WEEKNUM(datos_ventas[[#This Row],[Fecha]],2)</f>
        <v>5</v>
      </c>
      <c r="E4522" t="s">
        <v>24</v>
      </c>
      <c r="F4522" t="s">
        <v>25</v>
      </c>
      <c r="G4522">
        <v>5</v>
      </c>
      <c r="H4522">
        <v>90336</v>
      </c>
      <c r="I4522">
        <v>3266</v>
      </c>
      <c r="J4522" t="s">
        <v>22</v>
      </c>
      <c r="K4522" t="str">
        <f>_xlfn.XLOOKUP(datos_ventas[[#This Row],[Ciudad]],Tabla2[Ciudades],Tabla2[Provincias],"no se encuentra")</f>
        <v>Valencia</v>
      </c>
      <c r="L4522" t="str">
        <f>_xlfn.XLOOKUP(datos_ventas[[#This Row],[Provincia]],Tabla2[Provincias],Tabla2[Comunidades],"no se encuentra")</f>
        <v>Comunidad Valenciana</v>
      </c>
      <c r="M4522" t="s">
        <v>28</v>
      </c>
      <c r="N4522">
        <v>4</v>
      </c>
    </row>
    <row r="4523" spans="1:14" x14ac:dyDescent="0.25">
      <c r="A4523">
        <v>5522</v>
      </c>
      <c r="B4523" s="1">
        <v>45815</v>
      </c>
      <c r="C4523" s="4">
        <f>MONTH(datos_ventas[[#This Row],[Fecha]])</f>
        <v>6</v>
      </c>
      <c r="D4523" s="4">
        <f>WEEKNUM(datos_ventas[[#This Row],[Fecha]],2)</f>
        <v>23</v>
      </c>
      <c r="E4523" t="s">
        <v>26</v>
      </c>
      <c r="F4523" t="s">
        <v>18</v>
      </c>
      <c r="G4523">
        <v>4</v>
      </c>
      <c r="H4523">
        <v>60224</v>
      </c>
      <c r="I4523">
        <v>161</v>
      </c>
      <c r="J4523" t="s">
        <v>27</v>
      </c>
      <c r="K4523" t="str">
        <f>_xlfn.XLOOKUP(datos_ventas[[#This Row],[Ciudad]],Tabla2[Ciudades],Tabla2[Provincias],"no se encuentra")</f>
        <v>Sevilla</v>
      </c>
      <c r="L4523" t="str">
        <f>_xlfn.XLOOKUP(datos_ventas[[#This Row],[Provincia]],Tabla2[Provincias],Tabla2[Comunidades],"no se encuentra")</f>
        <v>Andalucía</v>
      </c>
      <c r="M4523" t="s">
        <v>28</v>
      </c>
      <c r="N4523">
        <v>2</v>
      </c>
    </row>
    <row r="4524" spans="1:14" x14ac:dyDescent="0.25">
      <c r="A4524">
        <v>5523</v>
      </c>
      <c r="B4524" s="1">
        <v>46020</v>
      </c>
      <c r="C4524" s="4">
        <f>MONTH(datos_ventas[[#This Row],[Fecha]])</f>
        <v>12</v>
      </c>
      <c r="D4524" s="4">
        <f>WEEKNUM(datos_ventas[[#This Row],[Fecha]],2)</f>
        <v>53</v>
      </c>
      <c r="E4524" t="s">
        <v>29</v>
      </c>
      <c r="F4524" t="s">
        <v>30</v>
      </c>
      <c r="G4524">
        <v>4</v>
      </c>
      <c r="H4524">
        <v>53727</v>
      </c>
      <c r="I4524">
        <v>3445</v>
      </c>
      <c r="J4524" t="s">
        <v>27</v>
      </c>
      <c r="K4524" t="str">
        <f>_xlfn.XLOOKUP(datos_ventas[[#This Row],[Ciudad]],Tabla2[Ciudades],Tabla2[Provincias],"no se encuentra")</f>
        <v>Sevilla</v>
      </c>
      <c r="L4524" t="str">
        <f>_xlfn.XLOOKUP(datos_ventas[[#This Row],[Provincia]],Tabla2[Provincias],Tabla2[Comunidades],"no se encuentra")</f>
        <v>Andalucía</v>
      </c>
      <c r="M4524" t="s">
        <v>28</v>
      </c>
      <c r="N4524">
        <v>1</v>
      </c>
    </row>
    <row r="4525" spans="1:14" x14ac:dyDescent="0.25">
      <c r="A4525">
        <v>5524</v>
      </c>
      <c r="B4525" s="1">
        <v>45951</v>
      </c>
      <c r="C4525" s="4">
        <f>MONTH(datos_ventas[[#This Row],[Fecha]])</f>
        <v>10</v>
      </c>
      <c r="D4525" s="4">
        <f>WEEKNUM(datos_ventas[[#This Row],[Fecha]],2)</f>
        <v>43</v>
      </c>
      <c r="E4525" t="s">
        <v>29</v>
      </c>
      <c r="F4525" t="s">
        <v>30</v>
      </c>
      <c r="G4525">
        <v>1</v>
      </c>
      <c r="H4525">
        <v>89133</v>
      </c>
      <c r="I4525">
        <v>2073</v>
      </c>
      <c r="J4525" t="s">
        <v>22</v>
      </c>
      <c r="K4525" t="str">
        <f>_xlfn.XLOOKUP(datos_ventas[[#This Row],[Ciudad]],Tabla2[Ciudades],Tabla2[Provincias],"no se encuentra")</f>
        <v>Valencia</v>
      </c>
      <c r="L4525" t="str">
        <f>_xlfn.XLOOKUP(datos_ventas[[#This Row],[Provincia]],Tabla2[Provincias],Tabla2[Comunidades],"no se encuentra")</f>
        <v>Comunidad Valenciana</v>
      </c>
      <c r="M4525" t="s">
        <v>19</v>
      </c>
      <c r="N4525">
        <v>5</v>
      </c>
    </row>
    <row r="4526" spans="1:14" x14ac:dyDescent="0.25">
      <c r="A4526">
        <v>5525</v>
      </c>
      <c r="B4526" s="1">
        <v>45844</v>
      </c>
      <c r="C4526" s="4">
        <f>MONTH(datos_ventas[[#This Row],[Fecha]])</f>
        <v>7</v>
      </c>
      <c r="D4526" s="4">
        <f>WEEKNUM(datos_ventas[[#This Row],[Fecha]],2)</f>
        <v>27</v>
      </c>
      <c r="E4526" t="s">
        <v>23</v>
      </c>
      <c r="F4526" t="s">
        <v>18</v>
      </c>
      <c r="G4526">
        <v>2</v>
      </c>
      <c r="H4526">
        <v>10411</v>
      </c>
      <c r="I4526">
        <v>4961</v>
      </c>
      <c r="J4526" t="s">
        <v>31</v>
      </c>
      <c r="K4526" t="str">
        <f>_xlfn.XLOOKUP(datos_ventas[[#This Row],[Ciudad]],Tabla2[Ciudades],Tabla2[Provincias],"no se encuentra")</f>
        <v>Vizcaya</v>
      </c>
      <c r="L4526" t="str">
        <f>_xlfn.XLOOKUP(datos_ventas[[#This Row],[Provincia]],Tabla2[Provincias],Tabla2[Comunidades],"no se encuentra")</f>
        <v>País Vasco</v>
      </c>
      <c r="M4526" t="s">
        <v>28</v>
      </c>
      <c r="N4526">
        <v>1</v>
      </c>
    </row>
    <row r="4527" spans="1:14" x14ac:dyDescent="0.25">
      <c r="A4527">
        <v>5526</v>
      </c>
      <c r="B4527" s="1">
        <v>45881</v>
      </c>
      <c r="C4527" s="4">
        <f>MONTH(datos_ventas[[#This Row],[Fecha]])</f>
        <v>8</v>
      </c>
      <c r="D4527" s="4">
        <f>WEEKNUM(datos_ventas[[#This Row],[Fecha]],2)</f>
        <v>33</v>
      </c>
      <c r="E4527" t="s">
        <v>16</v>
      </c>
      <c r="F4527" t="s">
        <v>11</v>
      </c>
      <c r="G4527">
        <v>2</v>
      </c>
      <c r="H4527">
        <v>68647</v>
      </c>
      <c r="I4527">
        <v>681</v>
      </c>
      <c r="J4527" t="s">
        <v>32</v>
      </c>
      <c r="K4527" t="str">
        <f>_xlfn.XLOOKUP(datos_ventas[[#This Row],[Ciudad]],Tabla2[Ciudades],Tabla2[Provincias],"no se encuentra")</f>
        <v>Barcelona</v>
      </c>
      <c r="L4527" t="str">
        <f>_xlfn.XLOOKUP(datos_ventas[[#This Row],[Provincia]],Tabla2[Provincias],Tabla2[Comunidades],"no se encuentra")</f>
        <v>Cataluña</v>
      </c>
      <c r="M4527" t="s">
        <v>13</v>
      </c>
      <c r="N4527">
        <v>5</v>
      </c>
    </row>
    <row r="4528" spans="1:14" x14ac:dyDescent="0.25">
      <c r="A4528">
        <v>5527</v>
      </c>
      <c r="B4528" s="1">
        <v>45813</v>
      </c>
      <c r="C4528" s="4">
        <f>MONTH(datos_ventas[[#This Row],[Fecha]])</f>
        <v>6</v>
      </c>
      <c r="D4528" s="4">
        <f>WEEKNUM(datos_ventas[[#This Row],[Fecha]],2)</f>
        <v>23</v>
      </c>
      <c r="E4528" t="s">
        <v>20</v>
      </c>
      <c r="F4528" t="s">
        <v>21</v>
      </c>
      <c r="G4528">
        <v>1</v>
      </c>
      <c r="H4528">
        <v>28805</v>
      </c>
      <c r="I4528">
        <v>2154</v>
      </c>
      <c r="J4528" t="s">
        <v>14</v>
      </c>
      <c r="K4528" t="str">
        <f>_xlfn.XLOOKUP(datos_ventas[[#This Row],[Ciudad]],Tabla2[Ciudades],Tabla2[Provincias],"no se encuentra")</f>
        <v>Madrid</v>
      </c>
      <c r="L4528" t="str">
        <f>_xlfn.XLOOKUP(datos_ventas[[#This Row],[Provincia]],Tabla2[Provincias],Tabla2[Comunidades],"no se encuentra")</f>
        <v>Comunidad de Madrid</v>
      </c>
      <c r="M4528" t="s">
        <v>28</v>
      </c>
      <c r="N4528">
        <v>5</v>
      </c>
    </row>
    <row r="4529" spans="1:14" x14ac:dyDescent="0.25">
      <c r="A4529">
        <v>5528</v>
      </c>
      <c r="B4529" s="1">
        <v>45924</v>
      </c>
      <c r="C4529" s="4">
        <f>MONTH(datos_ventas[[#This Row],[Fecha]])</f>
        <v>9</v>
      </c>
      <c r="D4529" s="4">
        <f>WEEKNUM(datos_ventas[[#This Row],[Fecha]],2)</f>
        <v>39</v>
      </c>
      <c r="E4529" t="s">
        <v>16</v>
      </c>
      <c r="F4529" t="s">
        <v>11</v>
      </c>
      <c r="G4529">
        <v>4</v>
      </c>
      <c r="H4529">
        <v>109787</v>
      </c>
      <c r="I4529">
        <v>4819</v>
      </c>
      <c r="J4529" t="s">
        <v>14</v>
      </c>
      <c r="K4529" t="str">
        <f>_xlfn.XLOOKUP(datos_ventas[[#This Row],[Ciudad]],Tabla2[Ciudades],Tabla2[Provincias],"no se encuentra")</f>
        <v>Madrid</v>
      </c>
      <c r="L4529" t="str">
        <f>_xlfn.XLOOKUP(datos_ventas[[#This Row],[Provincia]],Tabla2[Provincias],Tabla2[Comunidades],"no se encuentra")</f>
        <v>Comunidad de Madrid</v>
      </c>
      <c r="M4529" t="s">
        <v>13</v>
      </c>
      <c r="N4529">
        <v>2</v>
      </c>
    </row>
    <row r="4530" spans="1:14" x14ac:dyDescent="0.25">
      <c r="A4530">
        <v>5529</v>
      </c>
      <c r="B4530" s="1">
        <v>45906</v>
      </c>
      <c r="C4530" s="4">
        <f>MONTH(datos_ventas[[#This Row],[Fecha]])</f>
        <v>9</v>
      </c>
      <c r="D4530" s="4">
        <f>WEEKNUM(datos_ventas[[#This Row],[Fecha]],2)</f>
        <v>36</v>
      </c>
      <c r="E4530" t="s">
        <v>26</v>
      </c>
      <c r="F4530" t="s">
        <v>18</v>
      </c>
      <c r="G4530">
        <v>2</v>
      </c>
      <c r="H4530">
        <v>9336</v>
      </c>
      <c r="I4530">
        <v>902</v>
      </c>
      <c r="J4530" t="s">
        <v>12</v>
      </c>
      <c r="K4530" t="str">
        <f>_xlfn.XLOOKUP(datos_ventas[[#This Row],[Ciudad]],Tabla2[Ciudades],Tabla2[Provincias],"no se encuentra")</f>
        <v>Málaga</v>
      </c>
      <c r="L4530" t="str">
        <f>_xlfn.XLOOKUP(datos_ventas[[#This Row],[Provincia]],Tabla2[Provincias],Tabla2[Comunidades],"no se encuentra")</f>
        <v>Andalucía</v>
      </c>
      <c r="M4530" t="s">
        <v>19</v>
      </c>
      <c r="N4530">
        <v>2</v>
      </c>
    </row>
    <row r="4531" spans="1:14" x14ac:dyDescent="0.25">
      <c r="A4531">
        <v>5530</v>
      </c>
      <c r="B4531" s="1">
        <v>45962</v>
      </c>
      <c r="C4531" s="4">
        <f>MONTH(datos_ventas[[#This Row],[Fecha]])</f>
        <v>11</v>
      </c>
      <c r="D4531" s="4">
        <f>WEEKNUM(datos_ventas[[#This Row],[Fecha]],2)</f>
        <v>44</v>
      </c>
      <c r="E4531" t="s">
        <v>20</v>
      </c>
      <c r="F4531" t="s">
        <v>21</v>
      </c>
      <c r="G4531">
        <v>1</v>
      </c>
      <c r="H4531">
        <v>93239</v>
      </c>
      <c r="I4531">
        <v>2448</v>
      </c>
      <c r="J4531" t="s">
        <v>12</v>
      </c>
      <c r="K4531" t="str">
        <f>_xlfn.XLOOKUP(datos_ventas[[#This Row],[Ciudad]],Tabla2[Ciudades],Tabla2[Provincias],"no se encuentra")</f>
        <v>Málaga</v>
      </c>
      <c r="L4531" t="str">
        <f>_xlfn.XLOOKUP(datos_ventas[[#This Row],[Provincia]],Tabla2[Provincias],Tabla2[Comunidades],"no se encuentra")</f>
        <v>Andalucía</v>
      </c>
      <c r="M4531" t="s">
        <v>13</v>
      </c>
      <c r="N4531">
        <v>1</v>
      </c>
    </row>
    <row r="4532" spans="1:14" x14ac:dyDescent="0.25">
      <c r="A4532">
        <v>5531</v>
      </c>
      <c r="B4532" s="1">
        <v>45847</v>
      </c>
      <c r="C4532" s="4">
        <f>MONTH(datos_ventas[[#This Row],[Fecha]])</f>
        <v>7</v>
      </c>
      <c r="D4532" s="4">
        <f>WEEKNUM(datos_ventas[[#This Row],[Fecha]],2)</f>
        <v>28</v>
      </c>
      <c r="E4532" t="s">
        <v>17</v>
      </c>
      <c r="F4532" t="s">
        <v>18</v>
      </c>
      <c r="G4532">
        <v>2</v>
      </c>
      <c r="H4532">
        <v>14591</v>
      </c>
      <c r="I4532">
        <v>3968</v>
      </c>
      <c r="J4532" t="s">
        <v>22</v>
      </c>
      <c r="K4532" t="str">
        <f>_xlfn.XLOOKUP(datos_ventas[[#This Row],[Ciudad]],Tabla2[Ciudades],Tabla2[Provincias],"no se encuentra")</f>
        <v>Valencia</v>
      </c>
      <c r="L4532" t="str">
        <f>_xlfn.XLOOKUP(datos_ventas[[#This Row],[Provincia]],Tabla2[Provincias],Tabla2[Comunidades],"no se encuentra")</f>
        <v>Comunidad Valenciana</v>
      </c>
      <c r="M4532" t="s">
        <v>28</v>
      </c>
      <c r="N4532">
        <v>3</v>
      </c>
    </row>
    <row r="4533" spans="1:14" x14ac:dyDescent="0.25">
      <c r="A4533">
        <v>5532</v>
      </c>
      <c r="B4533" s="1">
        <v>45965</v>
      </c>
      <c r="C4533" s="4">
        <f>MONTH(datos_ventas[[#This Row],[Fecha]])</f>
        <v>11</v>
      </c>
      <c r="D4533" s="4">
        <f>WEEKNUM(datos_ventas[[#This Row],[Fecha]],2)</f>
        <v>45</v>
      </c>
      <c r="E4533" t="s">
        <v>17</v>
      </c>
      <c r="F4533" t="s">
        <v>18</v>
      </c>
      <c r="G4533">
        <v>3</v>
      </c>
      <c r="H4533">
        <v>43838</v>
      </c>
      <c r="I4533">
        <v>1587</v>
      </c>
      <c r="J4533" t="s">
        <v>22</v>
      </c>
      <c r="K4533" t="str">
        <f>_xlfn.XLOOKUP(datos_ventas[[#This Row],[Ciudad]],Tabla2[Ciudades],Tabla2[Provincias],"no se encuentra")</f>
        <v>Valencia</v>
      </c>
      <c r="L4533" t="str">
        <f>_xlfn.XLOOKUP(datos_ventas[[#This Row],[Provincia]],Tabla2[Provincias],Tabla2[Comunidades],"no se encuentra")</f>
        <v>Comunidad Valenciana</v>
      </c>
      <c r="M4533" t="s">
        <v>19</v>
      </c>
      <c r="N4533">
        <v>5</v>
      </c>
    </row>
    <row r="4534" spans="1:14" x14ac:dyDescent="0.25">
      <c r="A4534">
        <v>5533</v>
      </c>
      <c r="B4534" s="1">
        <v>45745</v>
      </c>
      <c r="C4534" s="4">
        <f>MONTH(datos_ventas[[#This Row],[Fecha]])</f>
        <v>3</v>
      </c>
      <c r="D4534" s="4">
        <f>WEEKNUM(datos_ventas[[#This Row],[Fecha]],2)</f>
        <v>13</v>
      </c>
      <c r="E4534" t="s">
        <v>23</v>
      </c>
      <c r="F4534" t="s">
        <v>18</v>
      </c>
      <c r="G4534">
        <v>1</v>
      </c>
      <c r="H4534">
        <v>5781</v>
      </c>
      <c r="I4534">
        <v>3055</v>
      </c>
      <c r="J4534" t="s">
        <v>14</v>
      </c>
      <c r="K4534" t="str">
        <f>_xlfn.XLOOKUP(datos_ventas[[#This Row],[Ciudad]],Tabla2[Ciudades],Tabla2[Provincias],"no se encuentra")</f>
        <v>Madrid</v>
      </c>
      <c r="L4534" t="str">
        <f>_xlfn.XLOOKUP(datos_ventas[[#This Row],[Provincia]],Tabla2[Provincias],Tabla2[Comunidades],"no se encuentra")</f>
        <v>Comunidad de Madrid</v>
      </c>
      <c r="M4534" t="s">
        <v>28</v>
      </c>
      <c r="N4534">
        <v>5</v>
      </c>
    </row>
    <row r="4535" spans="1:14" x14ac:dyDescent="0.25">
      <c r="A4535">
        <v>5534</v>
      </c>
      <c r="B4535" s="1">
        <v>45962</v>
      </c>
      <c r="C4535" s="4">
        <f>MONTH(datos_ventas[[#This Row],[Fecha]])</f>
        <v>11</v>
      </c>
      <c r="D4535" s="4">
        <f>WEEKNUM(datos_ventas[[#This Row],[Fecha]],2)</f>
        <v>44</v>
      </c>
      <c r="E4535" t="s">
        <v>23</v>
      </c>
      <c r="F4535" t="s">
        <v>18</v>
      </c>
      <c r="G4535">
        <v>2</v>
      </c>
      <c r="H4535">
        <v>84372</v>
      </c>
      <c r="I4535">
        <v>4376</v>
      </c>
      <c r="J4535" t="s">
        <v>27</v>
      </c>
      <c r="K4535" t="str">
        <f>_xlfn.XLOOKUP(datos_ventas[[#This Row],[Ciudad]],Tabla2[Ciudades],Tabla2[Provincias],"no se encuentra")</f>
        <v>Sevilla</v>
      </c>
      <c r="L4535" t="str">
        <f>_xlfn.XLOOKUP(datos_ventas[[#This Row],[Provincia]],Tabla2[Provincias],Tabla2[Comunidades],"no se encuentra")</f>
        <v>Andalucía</v>
      </c>
      <c r="M4535" t="s">
        <v>28</v>
      </c>
      <c r="N4535">
        <v>3</v>
      </c>
    </row>
    <row r="4536" spans="1:14" x14ac:dyDescent="0.25">
      <c r="A4536">
        <v>5535</v>
      </c>
      <c r="B4536" s="1">
        <v>45689</v>
      </c>
      <c r="C4536" s="4">
        <f>MONTH(datos_ventas[[#This Row],[Fecha]])</f>
        <v>2</v>
      </c>
      <c r="D4536" s="4">
        <f>WEEKNUM(datos_ventas[[#This Row],[Fecha]],2)</f>
        <v>5</v>
      </c>
      <c r="E4536" t="s">
        <v>26</v>
      </c>
      <c r="F4536" t="s">
        <v>18</v>
      </c>
      <c r="G4536">
        <v>2</v>
      </c>
      <c r="H4536">
        <v>6582</v>
      </c>
      <c r="I4536">
        <v>3045</v>
      </c>
      <c r="J4536" t="s">
        <v>12</v>
      </c>
      <c r="K4536" t="str">
        <f>_xlfn.XLOOKUP(datos_ventas[[#This Row],[Ciudad]],Tabla2[Ciudades],Tabla2[Provincias],"no se encuentra")</f>
        <v>Málaga</v>
      </c>
      <c r="L4536" t="str">
        <f>_xlfn.XLOOKUP(datos_ventas[[#This Row],[Provincia]],Tabla2[Provincias],Tabla2[Comunidades],"no se encuentra")</f>
        <v>Andalucía</v>
      </c>
      <c r="M4536" t="s">
        <v>15</v>
      </c>
      <c r="N4536">
        <v>2</v>
      </c>
    </row>
    <row r="4537" spans="1:14" x14ac:dyDescent="0.25">
      <c r="A4537">
        <v>5536</v>
      </c>
      <c r="B4537" s="1">
        <v>45860</v>
      </c>
      <c r="C4537" s="4">
        <f>MONTH(datos_ventas[[#This Row],[Fecha]])</f>
        <v>7</v>
      </c>
      <c r="D4537" s="4">
        <f>WEEKNUM(datos_ventas[[#This Row],[Fecha]],2)</f>
        <v>30</v>
      </c>
      <c r="E4537" t="s">
        <v>26</v>
      </c>
      <c r="F4537" t="s">
        <v>18</v>
      </c>
      <c r="G4537">
        <v>1</v>
      </c>
      <c r="H4537">
        <v>82812</v>
      </c>
      <c r="I4537">
        <v>703</v>
      </c>
      <c r="J4537" t="s">
        <v>14</v>
      </c>
      <c r="K4537" t="str">
        <f>_xlfn.XLOOKUP(datos_ventas[[#This Row],[Ciudad]],Tabla2[Ciudades],Tabla2[Provincias],"no se encuentra")</f>
        <v>Madrid</v>
      </c>
      <c r="L4537" t="str">
        <f>_xlfn.XLOOKUP(datos_ventas[[#This Row],[Provincia]],Tabla2[Provincias],Tabla2[Comunidades],"no se encuentra")</f>
        <v>Comunidad de Madrid</v>
      </c>
      <c r="M4537" t="s">
        <v>13</v>
      </c>
      <c r="N4537">
        <v>1</v>
      </c>
    </row>
    <row r="4538" spans="1:14" x14ac:dyDescent="0.25">
      <c r="A4538">
        <v>5537</v>
      </c>
      <c r="B4538" s="1">
        <v>45682</v>
      </c>
      <c r="C4538" s="4">
        <f>MONTH(datos_ventas[[#This Row],[Fecha]])</f>
        <v>1</v>
      </c>
      <c r="D4538" s="4">
        <f>WEEKNUM(datos_ventas[[#This Row],[Fecha]],2)</f>
        <v>4</v>
      </c>
      <c r="E4538" t="s">
        <v>23</v>
      </c>
      <c r="F4538" t="s">
        <v>18</v>
      </c>
      <c r="G4538">
        <v>1</v>
      </c>
      <c r="H4538">
        <v>91909</v>
      </c>
      <c r="I4538">
        <v>3679</v>
      </c>
      <c r="J4538" t="s">
        <v>31</v>
      </c>
      <c r="K4538" t="str">
        <f>_xlfn.XLOOKUP(datos_ventas[[#This Row],[Ciudad]],Tabla2[Ciudades],Tabla2[Provincias],"no se encuentra")</f>
        <v>Vizcaya</v>
      </c>
      <c r="L4538" t="str">
        <f>_xlfn.XLOOKUP(datos_ventas[[#This Row],[Provincia]],Tabla2[Provincias],Tabla2[Comunidades],"no se encuentra")</f>
        <v>País Vasco</v>
      </c>
      <c r="M4538" t="s">
        <v>15</v>
      </c>
      <c r="N4538">
        <v>4</v>
      </c>
    </row>
    <row r="4539" spans="1:14" x14ac:dyDescent="0.25">
      <c r="A4539">
        <v>5538</v>
      </c>
      <c r="B4539" s="1">
        <v>45863</v>
      </c>
      <c r="C4539" s="4">
        <f>MONTH(datos_ventas[[#This Row],[Fecha]])</f>
        <v>7</v>
      </c>
      <c r="D4539" s="4">
        <f>WEEKNUM(datos_ventas[[#This Row],[Fecha]],2)</f>
        <v>30</v>
      </c>
      <c r="E4539" t="s">
        <v>17</v>
      </c>
      <c r="F4539" t="s">
        <v>18</v>
      </c>
      <c r="G4539">
        <v>5</v>
      </c>
      <c r="H4539">
        <v>66773</v>
      </c>
      <c r="I4539">
        <v>4205</v>
      </c>
      <c r="J4539" t="s">
        <v>31</v>
      </c>
      <c r="K4539" t="str">
        <f>_xlfn.XLOOKUP(datos_ventas[[#This Row],[Ciudad]],Tabla2[Ciudades],Tabla2[Provincias],"no se encuentra")</f>
        <v>Vizcaya</v>
      </c>
      <c r="L4539" t="str">
        <f>_xlfn.XLOOKUP(datos_ventas[[#This Row],[Provincia]],Tabla2[Provincias],Tabla2[Comunidades],"no se encuentra")</f>
        <v>País Vasco</v>
      </c>
      <c r="M4539" t="s">
        <v>13</v>
      </c>
      <c r="N4539">
        <v>1</v>
      </c>
    </row>
    <row r="4540" spans="1:14" x14ac:dyDescent="0.25">
      <c r="A4540">
        <v>5539</v>
      </c>
      <c r="B4540" s="1">
        <v>45938</v>
      </c>
      <c r="C4540" s="4">
        <f>MONTH(datos_ventas[[#This Row],[Fecha]])</f>
        <v>10</v>
      </c>
      <c r="D4540" s="4">
        <f>WEEKNUM(datos_ventas[[#This Row],[Fecha]],2)</f>
        <v>41</v>
      </c>
      <c r="E4540" t="s">
        <v>23</v>
      </c>
      <c r="F4540" t="s">
        <v>18</v>
      </c>
      <c r="G4540">
        <v>4</v>
      </c>
      <c r="H4540">
        <v>40271</v>
      </c>
      <c r="I4540">
        <v>996</v>
      </c>
      <c r="J4540" t="s">
        <v>32</v>
      </c>
      <c r="K4540" t="str">
        <f>_xlfn.XLOOKUP(datos_ventas[[#This Row],[Ciudad]],Tabla2[Ciudades],Tabla2[Provincias],"no se encuentra")</f>
        <v>Barcelona</v>
      </c>
      <c r="L4540" t="str">
        <f>_xlfn.XLOOKUP(datos_ventas[[#This Row],[Provincia]],Tabla2[Provincias],Tabla2[Comunidades],"no se encuentra")</f>
        <v>Cataluña</v>
      </c>
      <c r="M4540" t="s">
        <v>28</v>
      </c>
      <c r="N4540">
        <v>2</v>
      </c>
    </row>
    <row r="4541" spans="1:14" x14ac:dyDescent="0.25">
      <c r="A4541">
        <v>5540</v>
      </c>
      <c r="B4541" s="1">
        <v>45809</v>
      </c>
      <c r="C4541" s="4">
        <f>MONTH(datos_ventas[[#This Row],[Fecha]])</f>
        <v>6</v>
      </c>
      <c r="D4541" s="4">
        <f>WEEKNUM(datos_ventas[[#This Row],[Fecha]],2)</f>
        <v>22</v>
      </c>
      <c r="E4541" t="s">
        <v>29</v>
      </c>
      <c r="F4541" t="s">
        <v>30</v>
      </c>
      <c r="G4541">
        <v>4</v>
      </c>
      <c r="H4541">
        <v>109234</v>
      </c>
      <c r="I4541">
        <v>3722</v>
      </c>
      <c r="J4541" t="s">
        <v>32</v>
      </c>
      <c r="K4541" t="str">
        <f>_xlfn.XLOOKUP(datos_ventas[[#This Row],[Ciudad]],Tabla2[Ciudades],Tabla2[Provincias],"no se encuentra")</f>
        <v>Barcelona</v>
      </c>
      <c r="L4541" t="str">
        <f>_xlfn.XLOOKUP(datos_ventas[[#This Row],[Provincia]],Tabla2[Provincias],Tabla2[Comunidades],"no se encuentra")</f>
        <v>Cataluña</v>
      </c>
      <c r="M4541" t="s">
        <v>15</v>
      </c>
      <c r="N4541">
        <v>2</v>
      </c>
    </row>
    <row r="4542" spans="1:14" x14ac:dyDescent="0.25">
      <c r="A4542">
        <v>5541</v>
      </c>
      <c r="B4542" s="1">
        <v>45802</v>
      </c>
      <c r="C4542" s="4">
        <f>MONTH(datos_ventas[[#This Row],[Fecha]])</f>
        <v>5</v>
      </c>
      <c r="D4542" s="4">
        <f>WEEKNUM(datos_ventas[[#This Row],[Fecha]],2)</f>
        <v>21</v>
      </c>
      <c r="E4542" t="s">
        <v>17</v>
      </c>
      <c r="F4542" t="s">
        <v>18</v>
      </c>
      <c r="G4542">
        <v>4</v>
      </c>
      <c r="H4542">
        <v>106865</v>
      </c>
      <c r="I4542">
        <v>1842</v>
      </c>
      <c r="J4542" t="s">
        <v>22</v>
      </c>
      <c r="K4542" t="str">
        <f>_xlfn.XLOOKUP(datos_ventas[[#This Row],[Ciudad]],Tabla2[Ciudades],Tabla2[Provincias],"no se encuentra")</f>
        <v>Valencia</v>
      </c>
      <c r="L4542" t="str">
        <f>_xlfn.XLOOKUP(datos_ventas[[#This Row],[Provincia]],Tabla2[Provincias],Tabla2[Comunidades],"no se encuentra")</f>
        <v>Comunidad Valenciana</v>
      </c>
      <c r="M4542" t="s">
        <v>28</v>
      </c>
      <c r="N4542">
        <v>1</v>
      </c>
    </row>
    <row r="4543" spans="1:14" x14ac:dyDescent="0.25">
      <c r="A4543">
        <v>5542</v>
      </c>
      <c r="B4543" s="1">
        <v>45862</v>
      </c>
      <c r="C4543" s="4">
        <f>MONTH(datos_ventas[[#This Row],[Fecha]])</f>
        <v>7</v>
      </c>
      <c r="D4543" s="4">
        <f>WEEKNUM(datos_ventas[[#This Row],[Fecha]],2)</f>
        <v>30</v>
      </c>
      <c r="E4543" t="s">
        <v>20</v>
      </c>
      <c r="F4543" t="s">
        <v>21</v>
      </c>
      <c r="G4543">
        <v>1</v>
      </c>
      <c r="H4543">
        <v>85085</v>
      </c>
      <c r="I4543">
        <v>585</v>
      </c>
      <c r="J4543" t="s">
        <v>12</v>
      </c>
      <c r="K4543" t="str">
        <f>_xlfn.XLOOKUP(datos_ventas[[#This Row],[Ciudad]],Tabla2[Ciudades],Tabla2[Provincias],"no se encuentra")</f>
        <v>Málaga</v>
      </c>
      <c r="L4543" t="str">
        <f>_xlfn.XLOOKUP(datos_ventas[[#This Row],[Provincia]],Tabla2[Provincias],Tabla2[Comunidades],"no se encuentra")</f>
        <v>Andalucía</v>
      </c>
      <c r="M4543" t="s">
        <v>19</v>
      </c>
      <c r="N4543">
        <v>5</v>
      </c>
    </row>
    <row r="4544" spans="1:14" x14ac:dyDescent="0.25">
      <c r="A4544">
        <v>5543</v>
      </c>
      <c r="B4544" s="1">
        <v>45889</v>
      </c>
      <c r="C4544" s="4">
        <f>MONTH(datos_ventas[[#This Row],[Fecha]])</f>
        <v>8</v>
      </c>
      <c r="D4544" s="4">
        <f>WEEKNUM(datos_ventas[[#This Row],[Fecha]],2)</f>
        <v>34</v>
      </c>
      <c r="E4544" t="s">
        <v>17</v>
      </c>
      <c r="F4544" t="s">
        <v>18</v>
      </c>
      <c r="G4544">
        <v>1</v>
      </c>
      <c r="H4544">
        <v>96567</v>
      </c>
      <c r="I4544">
        <v>4717</v>
      </c>
      <c r="J4544" t="s">
        <v>22</v>
      </c>
      <c r="K4544" t="str">
        <f>_xlfn.XLOOKUP(datos_ventas[[#This Row],[Ciudad]],Tabla2[Ciudades],Tabla2[Provincias],"no se encuentra")</f>
        <v>Valencia</v>
      </c>
      <c r="L4544" t="str">
        <f>_xlfn.XLOOKUP(datos_ventas[[#This Row],[Provincia]],Tabla2[Provincias],Tabla2[Comunidades],"no se encuentra")</f>
        <v>Comunidad Valenciana</v>
      </c>
      <c r="M4544" t="s">
        <v>19</v>
      </c>
      <c r="N4544">
        <v>1</v>
      </c>
    </row>
    <row r="4545" spans="1:14" x14ac:dyDescent="0.25">
      <c r="A4545">
        <v>5544</v>
      </c>
      <c r="B4545" s="1">
        <v>45807</v>
      </c>
      <c r="C4545" s="4">
        <f>MONTH(datos_ventas[[#This Row],[Fecha]])</f>
        <v>5</v>
      </c>
      <c r="D4545" s="4">
        <f>WEEKNUM(datos_ventas[[#This Row],[Fecha]],2)</f>
        <v>22</v>
      </c>
      <c r="E4545" t="s">
        <v>10</v>
      </c>
      <c r="F4545" t="s">
        <v>11</v>
      </c>
      <c r="G4545">
        <v>3</v>
      </c>
      <c r="H4545">
        <v>115693</v>
      </c>
      <c r="I4545">
        <v>1471</v>
      </c>
      <c r="J4545" t="s">
        <v>12</v>
      </c>
      <c r="K4545" t="str">
        <f>_xlfn.XLOOKUP(datos_ventas[[#This Row],[Ciudad]],Tabla2[Ciudades],Tabla2[Provincias],"no se encuentra")</f>
        <v>Málaga</v>
      </c>
      <c r="L4545" t="str">
        <f>_xlfn.XLOOKUP(datos_ventas[[#This Row],[Provincia]],Tabla2[Provincias],Tabla2[Comunidades],"no se encuentra")</f>
        <v>Andalucía</v>
      </c>
      <c r="M4545" t="s">
        <v>15</v>
      </c>
      <c r="N4545">
        <v>1</v>
      </c>
    </row>
    <row r="4546" spans="1:14" x14ac:dyDescent="0.25">
      <c r="A4546">
        <v>5545</v>
      </c>
      <c r="B4546" s="1">
        <v>46020</v>
      </c>
      <c r="C4546" s="4">
        <f>MONTH(datos_ventas[[#This Row],[Fecha]])</f>
        <v>12</v>
      </c>
      <c r="D4546" s="4">
        <f>WEEKNUM(datos_ventas[[#This Row],[Fecha]],2)</f>
        <v>53</v>
      </c>
      <c r="E4546" t="s">
        <v>10</v>
      </c>
      <c r="F4546" t="s">
        <v>11</v>
      </c>
      <c r="G4546">
        <v>1</v>
      </c>
      <c r="H4546">
        <v>32538</v>
      </c>
      <c r="I4546">
        <v>3256</v>
      </c>
      <c r="J4546" t="s">
        <v>31</v>
      </c>
      <c r="K4546" t="str">
        <f>_xlfn.XLOOKUP(datos_ventas[[#This Row],[Ciudad]],Tabla2[Ciudades],Tabla2[Provincias],"no se encuentra")</f>
        <v>Vizcaya</v>
      </c>
      <c r="L4546" t="str">
        <f>_xlfn.XLOOKUP(datos_ventas[[#This Row],[Provincia]],Tabla2[Provincias],Tabla2[Comunidades],"no se encuentra")</f>
        <v>País Vasco</v>
      </c>
      <c r="M4546" t="s">
        <v>13</v>
      </c>
      <c r="N4546">
        <v>5</v>
      </c>
    </row>
    <row r="4547" spans="1:14" x14ac:dyDescent="0.25">
      <c r="A4547">
        <v>5546</v>
      </c>
      <c r="B4547" s="1">
        <v>45978</v>
      </c>
      <c r="C4547" s="4">
        <f>MONTH(datos_ventas[[#This Row],[Fecha]])</f>
        <v>11</v>
      </c>
      <c r="D4547" s="4">
        <f>WEEKNUM(datos_ventas[[#This Row],[Fecha]],2)</f>
        <v>47</v>
      </c>
      <c r="E4547" t="s">
        <v>17</v>
      </c>
      <c r="F4547" t="s">
        <v>18</v>
      </c>
      <c r="G4547">
        <v>1</v>
      </c>
      <c r="H4547">
        <v>61711</v>
      </c>
      <c r="I4547">
        <v>2073</v>
      </c>
      <c r="J4547" t="s">
        <v>14</v>
      </c>
      <c r="K4547" t="str">
        <f>_xlfn.XLOOKUP(datos_ventas[[#This Row],[Ciudad]],Tabla2[Ciudades],Tabla2[Provincias],"no se encuentra")</f>
        <v>Madrid</v>
      </c>
      <c r="L4547" t="str">
        <f>_xlfn.XLOOKUP(datos_ventas[[#This Row],[Provincia]],Tabla2[Provincias],Tabla2[Comunidades],"no se encuentra")</f>
        <v>Comunidad de Madrid</v>
      </c>
      <c r="M4547" t="s">
        <v>28</v>
      </c>
      <c r="N4547">
        <v>1</v>
      </c>
    </row>
    <row r="4548" spans="1:14" x14ac:dyDescent="0.25">
      <c r="A4548">
        <v>5547</v>
      </c>
      <c r="B4548" s="1">
        <v>45838</v>
      </c>
      <c r="C4548" s="4">
        <f>MONTH(datos_ventas[[#This Row],[Fecha]])</f>
        <v>6</v>
      </c>
      <c r="D4548" s="4">
        <f>WEEKNUM(datos_ventas[[#This Row],[Fecha]],2)</f>
        <v>27</v>
      </c>
      <c r="E4548" t="s">
        <v>23</v>
      </c>
      <c r="F4548" t="s">
        <v>18</v>
      </c>
      <c r="G4548">
        <v>1</v>
      </c>
      <c r="H4548">
        <v>3537</v>
      </c>
      <c r="I4548">
        <v>2356</v>
      </c>
      <c r="J4548" t="s">
        <v>31</v>
      </c>
      <c r="K4548" t="str">
        <f>_xlfn.XLOOKUP(datos_ventas[[#This Row],[Ciudad]],Tabla2[Ciudades],Tabla2[Provincias],"no se encuentra")</f>
        <v>Vizcaya</v>
      </c>
      <c r="L4548" t="str">
        <f>_xlfn.XLOOKUP(datos_ventas[[#This Row],[Provincia]],Tabla2[Provincias],Tabla2[Comunidades],"no se encuentra")</f>
        <v>País Vasco</v>
      </c>
      <c r="M4548" t="s">
        <v>28</v>
      </c>
      <c r="N4548">
        <v>4</v>
      </c>
    </row>
    <row r="4549" spans="1:14" x14ac:dyDescent="0.25">
      <c r="A4549">
        <v>5548</v>
      </c>
      <c r="B4549" s="1">
        <v>45969</v>
      </c>
      <c r="C4549" s="4">
        <f>MONTH(datos_ventas[[#This Row],[Fecha]])</f>
        <v>11</v>
      </c>
      <c r="D4549" s="4">
        <f>WEEKNUM(datos_ventas[[#This Row],[Fecha]],2)</f>
        <v>45</v>
      </c>
      <c r="E4549" t="s">
        <v>23</v>
      </c>
      <c r="F4549" t="s">
        <v>18</v>
      </c>
      <c r="G4549">
        <v>2</v>
      </c>
      <c r="H4549">
        <v>46102</v>
      </c>
      <c r="I4549">
        <v>2221</v>
      </c>
      <c r="J4549" t="s">
        <v>32</v>
      </c>
      <c r="K4549" t="str">
        <f>_xlfn.XLOOKUP(datos_ventas[[#This Row],[Ciudad]],Tabla2[Ciudades],Tabla2[Provincias],"no se encuentra")</f>
        <v>Barcelona</v>
      </c>
      <c r="L4549" t="str">
        <f>_xlfn.XLOOKUP(datos_ventas[[#This Row],[Provincia]],Tabla2[Provincias],Tabla2[Comunidades],"no se encuentra")</f>
        <v>Cataluña</v>
      </c>
      <c r="M4549" t="s">
        <v>13</v>
      </c>
      <c r="N4549">
        <v>4</v>
      </c>
    </row>
    <row r="4550" spans="1:14" x14ac:dyDescent="0.25">
      <c r="A4550">
        <v>5549</v>
      </c>
      <c r="B4550" s="1">
        <v>45791</v>
      </c>
      <c r="C4550" s="4">
        <f>MONTH(datos_ventas[[#This Row],[Fecha]])</f>
        <v>5</v>
      </c>
      <c r="D4550" s="4">
        <f>WEEKNUM(datos_ventas[[#This Row],[Fecha]],2)</f>
        <v>20</v>
      </c>
      <c r="E4550" t="s">
        <v>26</v>
      </c>
      <c r="F4550" t="s">
        <v>18</v>
      </c>
      <c r="G4550">
        <v>4</v>
      </c>
      <c r="H4550">
        <v>116791</v>
      </c>
      <c r="I4550">
        <v>4117</v>
      </c>
      <c r="J4550" t="s">
        <v>14</v>
      </c>
      <c r="K4550" t="str">
        <f>_xlfn.XLOOKUP(datos_ventas[[#This Row],[Ciudad]],Tabla2[Ciudades],Tabla2[Provincias],"no se encuentra")</f>
        <v>Madrid</v>
      </c>
      <c r="L4550" t="str">
        <f>_xlfn.XLOOKUP(datos_ventas[[#This Row],[Provincia]],Tabla2[Provincias],Tabla2[Comunidades],"no se encuentra")</f>
        <v>Comunidad de Madrid</v>
      </c>
      <c r="M4550" t="s">
        <v>13</v>
      </c>
      <c r="N4550">
        <v>3</v>
      </c>
    </row>
    <row r="4551" spans="1:14" x14ac:dyDescent="0.25">
      <c r="A4551">
        <v>5550</v>
      </c>
      <c r="B4551" s="1">
        <v>45743</v>
      </c>
      <c r="C4551" s="4">
        <f>MONTH(datos_ventas[[#This Row],[Fecha]])</f>
        <v>3</v>
      </c>
      <c r="D4551" s="4">
        <f>WEEKNUM(datos_ventas[[#This Row],[Fecha]],2)</f>
        <v>13</v>
      </c>
      <c r="E4551" t="s">
        <v>16</v>
      </c>
      <c r="F4551" t="s">
        <v>11</v>
      </c>
      <c r="G4551">
        <v>5</v>
      </c>
      <c r="H4551">
        <v>110808</v>
      </c>
      <c r="I4551">
        <v>768</v>
      </c>
      <c r="J4551" t="s">
        <v>27</v>
      </c>
      <c r="K4551" t="str">
        <f>_xlfn.XLOOKUP(datos_ventas[[#This Row],[Ciudad]],Tabla2[Ciudades],Tabla2[Provincias],"no se encuentra")</f>
        <v>Sevilla</v>
      </c>
      <c r="L4551" t="str">
        <f>_xlfn.XLOOKUP(datos_ventas[[#This Row],[Provincia]],Tabla2[Provincias],Tabla2[Comunidades],"no se encuentra")</f>
        <v>Andalucía</v>
      </c>
      <c r="M4551" t="s">
        <v>15</v>
      </c>
      <c r="N4551">
        <v>5</v>
      </c>
    </row>
    <row r="4552" spans="1:14" x14ac:dyDescent="0.25">
      <c r="A4552">
        <v>5551</v>
      </c>
      <c r="B4552" s="1">
        <v>45884</v>
      </c>
      <c r="C4552" s="4">
        <f>MONTH(datos_ventas[[#This Row],[Fecha]])</f>
        <v>8</v>
      </c>
      <c r="D4552" s="4">
        <f>WEEKNUM(datos_ventas[[#This Row],[Fecha]],2)</f>
        <v>33</v>
      </c>
      <c r="E4552" t="s">
        <v>16</v>
      </c>
      <c r="F4552" t="s">
        <v>11</v>
      </c>
      <c r="G4552">
        <v>5</v>
      </c>
      <c r="H4552">
        <v>55203</v>
      </c>
      <c r="I4552">
        <v>3426</v>
      </c>
      <c r="J4552" t="s">
        <v>14</v>
      </c>
      <c r="K4552" t="str">
        <f>_xlfn.XLOOKUP(datos_ventas[[#This Row],[Ciudad]],Tabla2[Ciudades],Tabla2[Provincias],"no se encuentra")</f>
        <v>Madrid</v>
      </c>
      <c r="L4552" t="str">
        <f>_xlfn.XLOOKUP(datos_ventas[[#This Row],[Provincia]],Tabla2[Provincias],Tabla2[Comunidades],"no se encuentra")</f>
        <v>Comunidad de Madrid</v>
      </c>
      <c r="M4552" t="s">
        <v>13</v>
      </c>
      <c r="N4552">
        <v>3</v>
      </c>
    </row>
    <row r="4553" spans="1:14" x14ac:dyDescent="0.25">
      <c r="A4553">
        <v>5552</v>
      </c>
      <c r="B4553" s="1">
        <v>45831</v>
      </c>
      <c r="C4553" s="4">
        <f>MONTH(datos_ventas[[#This Row],[Fecha]])</f>
        <v>6</v>
      </c>
      <c r="D4553" s="4">
        <f>WEEKNUM(datos_ventas[[#This Row],[Fecha]],2)</f>
        <v>26</v>
      </c>
      <c r="E4553" t="s">
        <v>20</v>
      </c>
      <c r="F4553" t="s">
        <v>21</v>
      </c>
      <c r="G4553">
        <v>1</v>
      </c>
      <c r="H4553">
        <v>2964</v>
      </c>
      <c r="I4553">
        <v>2903</v>
      </c>
      <c r="J4553" t="s">
        <v>14</v>
      </c>
      <c r="K4553" t="str">
        <f>_xlfn.XLOOKUP(datos_ventas[[#This Row],[Ciudad]],Tabla2[Ciudades],Tabla2[Provincias],"no se encuentra")</f>
        <v>Madrid</v>
      </c>
      <c r="L4553" t="str">
        <f>_xlfn.XLOOKUP(datos_ventas[[#This Row],[Provincia]],Tabla2[Provincias],Tabla2[Comunidades],"no se encuentra")</f>
        <v>Comunidad de Madrid</v>
      </c>
      <c r="M4553" t="s">
        <v>15</v>
      </c>
      <c r="N4553">
        <v>3</v>
      </c>
    </row>
    <row r="4554" spans="1:14" x14ac:dyDescent="0.25">
      <c r="A4554">
        <v>5553</v>
      </c>
      <c r="B4554" s="1">
        <v>45789</v>
      </c>
      <c r="C4554" s="4">
        <f>MONTH(datos_ventas[[#This Row],[Fecha]])</f>
        <v>5</v>
      </c>
      <c r="D4554" s="4">
        <f>WEEKNUM(datos_ventas[[#This Row],[Fecha]],2)</f>
        <v>20</v>
      </c>
      <c r="E4554" t="s">
        <v>17</v>
      </c>
      <c r="F4554" t="s">
        <v>18</v>
      </c>
      <c r="G4554">
        <v>3</v>
      </c>
      <c r="H4554">
        <v>92586</v>
      </c>
      <c r="I4554">
        <v>384</v>
      </c>
      <c r="J4554" t="s">
        <v>14</v>
      </c>
      <c r="K4554" t="str">
        <f>_xlfn.XLOOKUP(datos_ventas[[#This Row],[Ciudad]],Tabla2[Ciudades],Tabla2[Provincias],"no se encuentra")</f>
        <v>Madrid</v>
      </c>
      <c r="L4554" t="str">
        <f>_xlfn.XLOOKUP(datos_ventas[[#This Row],[Provincia]],Tabla2[Provincias],Tabla2[Comunidades],"no se encuentra")</f>
        <v>Comunidad de Madrid</v>
      </c>
      <c r="M4554" t="s">
        <v>13</v>
      </c>
      <c r="N4554">
        <v>5</v>
      </c>
    </row>
    <row r="4555" spans="1:14" x14ac:dyDescent="0.25">
      <c r="A4555">
        <v>5554</v>
      </c>
      <c r="B4555" s="1">
        <v>45855</v>
      </c>
      <c r="C4555" s="4">
        <f>MONTH(datos_ventas[[#This Row],[Fecha]])</f>
        <v>7</v>
      </c>
      <c r="D4555" s="4">
        <f>WEEKNUM(datos_ventas[[#This Row],[Fecha]],2)</f>
        <v>29</v>
      </c>
      <c r="E4555" t="s">
        <v>17</v>
      </c>
      <c r="F4555" t="s">
        <v>18</v>
      </c>
      <c r="G4555">
        <v>2</v>
      </c>
      <c r="H4555">
        <v>58177</v>
      </c>
      <c r="I4555">
        <v>2399</v>
      </c>
      <c r="J4555" t="s">
        <v>32</v>
      </c>
      <c r="K4555" t="str">
        <f>_xlfn.XLOOKUP(datos_ventas[[#This Row],[Ciudad]],Tabla2[Ciudades],Tabla2[Provincias],"no se encuentra")</f>
        <v>Barcelona</v>
      </c>
      <c r="L4555" t="str">
        <f>_xlfn.XLOOKUP(datos_ventas[[#This Row],[Provincia]],Tabla2[Provincias],Tabla2[Comunidades],"no se encuentra")</f>
        <v>Cataluña</v>
      </c>
      <c r="M4555" t="s">
        <v>13</v>
      </c>
      <c r="N4555">
        <v>3</v>
      </c>
    </row>
    <row r="4556" spans="1:14" x14ac:dyDescent="0.25">
      <c r="A4556">
        <v>5555</v>
      </c>
      <c r="B4556" s="1">
        <v>45672</v>
      </c>
      <c r="C4556" s="4">
        <f>MONTH(datos_ventas[[#This Row],[Fecha]])</f>
        <v>1</v>
      </c>
      <c r="D4556" s="4">
        <f>WEEKNUM(datos_ventas[[#This Row],[Fecha]],2)</f>
        <v>3</v>
      </c>
      <c r="E4556" t="s">
        <v>20</v>
      </c>
      <c r="F4556" t="s">
        <v>21</v>
      </c>
      <c r="G4556">
        <v>2</v>
      </c>
      <c r="H4556">
        <v>15616</v>
      </c>
      <c r="I4556">
        <v>3719</v>
      </c>
      <c r="J4556" t="s">
        <v>27</v>
      </c>
      <c r="K4556" t="str">
        <f>_xlfn.XLOOKUP(datos_ventas[[#This Row],[Ciudad]],Tabla2[Ciudades],Tabla2[Provincias],"no se encuentra")</f>
        <v>Sevilla</v>
      </c>
      <c r="L4556" t="str">
        <f>_xlfn.XLOOKUP(datos_ventas[[#This Row],[Provincia]],Tabla2[Provincias],Tabla2[Comunidades],"no se encuentra")</f>
        <v>Andalucía</v>
      </c>
      <c r="M4556" t="s">
        <v>28</v>
      </c>
      <c r="N4556">
        <v>5</v>
      </c>
    </row>
    <row r="4557" spans="1:14" x14ac:dyDescent="0.25">
      <c r="A4557">
        <v>5556</v>
      </c>
      <c r="B4557" s="1">
        <v>45963</v>
      </c>
      <c r="C4557" s="4">
        <f>MONTH(datos_ventas[[#This Row],[Fecha]])</f>
        <v>11</v>
      </c>
      <c r="D4557" s="4">
        <f>WEEKNUM(datos_ventas[[#This Row],[Fecha]],2)</f>
        <v>44</v>
      </c>
      <c r="E4557" t="s">
        <v>26</v>
      </c>
      <c r="F4557" t="s">
        <v>18</v>
      </c>
      <c r="G4557">
        <v>4</v>
      </c>
      <c r="H4557">
        <v>45032</v>
      </c>
      <c r="I4557">
        <v>1237</v>
      </c>
      <c r="J4557" t="s">
        <v>12</v>
      </c>
      <c r="K4557" t="str">
        <f>_xlfn.XLOOKUP(datos_ventas[[#This Row],[Ciudad]],Tabla2[Ciudades],Tabla2[Provincias],"no se encuentra")</f>
        <v>Málaga</v>
      </c>
      <c r="L4557" t="str">
        <f>_xlfn.XLOOKUP(datos_ventas[[#This Row],[Provincia]],Tabla2[Provincias],Tabla2[Comunidades],"no se encuentra")</f>
        <v>Andalucía</v>
      </c>
      <c r="M4557" t="s">
        <v>13</v>
      </c>
      <c r="N4557">
        <v>1</v>
      </c>
    </row>
    <row r="4558" spans="1:14" x14ac:dyDescent="0.25">
      <c r="A4558">
        <v>5557</v>
      </c>
      <c r="B4558" s="1">
        <v>45808</v>
      </c>
      <c r="C4558" s="4">
        <f>MONTH(datos_ventas[[#This Row],[Fecha]])</f>
        <v>5</v>
      </c>
      <c r="D4558" s="4">
        <f>WEEKNUM(datos_ventas[[#This Row],[Fecha]],2)</f>
        <v>22</v>
      </c>
      <c r="E4558" t="s">
        <v>20</v>
      </c>
      <c r="F4558" t="s">
        <v>21</v>
      </c>
      <c r="G4558">
        <v>1</v>
      </c>
      <c r="H4558">
        <v>99351</v>
      </c>
      <c r="I4558">
        <v>1757</v>
      </c>
      <c r="J4558" t="s">
        <v>27</v>
      </c>
      <c r="K4558" t="str">
        <f>_xlfn.XLOOKUP(datos_ventas[[#This Row],[Ciudad]],Tabla2[Ciudades],Tabla2[Provincias],"no se encuentra")</f>
        <v>Sevilla</v>
      </c>
      <c r="L4558" t="str">
        <f>_xlfn.XLOOKUP(datos_ventas[[#This Row],[Provincia]],Tabla2[Provincias],Tabla2[Comunidades],"no se encuentra")</f>
        <v>Andalucía</v>
      </c>
      <c r="M4558" t="s">
        <v>15</v>
      </c>
      <c r="N4558">
        <v>2</v>
      </c>
    </row>
    <row r="4559" spans="1:14" x14ac:dyDescent="0.25">
      <c r="A4559">
        <v>5558</v>
      </c>
      <c r="B4559" s="1">
        <v>45864</v>
      </c>
      <c r="C4559" s="4">
        <f>MONTH(datos_ventas[[#This Row],[Fecha]])</f>
        <v>7</v>
      </c>
      <c r="D4559" s="4">
        <f>WEEKNUM(datos_ventas[[#This Row],[Fecha]],2)</f>
        <v>30</v>
      </c>
      <c r="E4559" t="s">
        <v>17</v>
      </c>
      <c r="F4559" t="s">
        <v>18</v>
      </c>
      <c r="G4559">
        <v>5</v>
      </c>
      <c r="H4559">
        <v>47088</v>
      </c>
      <c r="I4559">
        <v>1902</v>
      </c>
      <c r="J4559" t="s">
        <v>27</v>
      </c>
      <c r="K4559" t="str">
        <f>_xlfn.XLOOKUP(datos_ventas[[#This Row],[Ciudad]],Tabla2[Ciudades],Tabla2[Provincias],"no se encuentra")</f>
        <v>Sevilla</v>
      </c>
      <c r="L4559" t="str">
        <f>_xlfn.XLOOKUP(datos_ventas[[#This Row],[Provincia]],Tabla2[Provincias],Tabla2[Comunidades],"no se encuentra")</f>
        <v>Andalucía</v>
      </c>
      <c r="M4559" t="s">
        <v>19</v>
      </c>
      <c r="N4559">
        <v>3</v>
      </c>
    </row>
    <row r="4560" spans="1:14" x14ac:dyDescent="0.25">
      <c r="A4560">
        <v>5559</v>
      </c>
      <c r="B4560" s="1">
        <v>45773</v>
      </c>
      <c r="C4560" s="4">
        <f>MONTH(datos_ventas[[#This Row],[Fecha]])</f>
        <v>4</v>
      </c>
      <c r="D4560" s="4">
        <f>WEEKNUM(datos_ventas[[#This Row],[Fecha]],2)</f>
        <v>17</v>
      </c>
      <c r="E4560" t="s">
        <v>10</v>
      </c>
      <c r="F4560" t="s">
        <v>11</v>
      </c>
      <c r="G4560">
        <v>4</v>
      </c>
      <c r="H4560">
        <v>105241</v>
      </c>
      <c r="I4560">
        <v>4665</v>
      </c>
      <c r="J4560" t="s">
        <v>14</v>
      </c>
      <c r="K4560" t="str">
        <f>_xlfn.XLOOKUP(datos_ventas[[#This Row],[Ciudad]],Tabla2[Ciudades],Tabla2[Provincias],"no se encuentra")</f>
        <v>Madrid</v>
      </c>
      <c r="L4560" t="str">
        <f>_xlfn.XLOOKUP(datos_ventas[[#This Row],[Provincia]],Tabla2[Provincias],Tabla2[Comunidades],"no se encuentra")</f>
        <v>Comunidad de Madrid</v>
      </c>
      <c r="M4560" t="s">
        <v>13</v>
      </c>
      <c r="N4560">
        <v>4</v>
      </c>
    </row>
    <row r="4561" spans="1:14" x14ac:dyDescent="0.25">
      <c r="A4561">
        <v>5560</v>
      </c>
      <c r="B4561" s="1">
        <v>45844</v>
      </c>
      <c r="C4561" s="4">
        <f>MONTH(datos_ventas[[#This Row],[Fecha]])</f>
        <v>7</v>
      </c>
      <c r="D4561" s="4">
        <f>WEEKNUM(datos_ventas[[#This Row],[Fecha]],2)</f>
        <v>27</v>
      </c>
      <c r="E4561" t="s">
        <v>10</v>
      </c>
      <c r="F4561" t="s">
        <v>11</v>
      </c>
      <c r="G4561">
        <v>3</v>
      </c>
      <c r="H4561">
        <v>81659</v>
      </c>
      <c r="I4561">
        <v>4537</v>
      </c>
      <c r="J4561" t="s">
        <v>31</v>
      </c>
      <c r="K4561" t="str">
        <f>_xlfn.XLOOKUP(datos_ventas[[#This Row],[Ciudad]],Tabla2[Ciudades],Tabla2[Provincias],"no se encuentra")</f>
        <v>Vizcaya</v>
      </c>
      <c r="L4561" t="str">
        <f>_xlfn.XLOOKUP(datos_ventas[[#This Row],[Provincia]],Tabla2[Provincias],Tabla2[Comunidades],"no se encuentra")</f>
        <v>País Vasco</v>
      </c>
      <c r="M4561" t="s">
        <v>15</v>
      </c>
      <c r="N4561">
        <v>2</v>
      </c>
    </row>
    <row r="4562" spans="1:14" x14ac:dyDescent="0.25">
      <c r="A4562">
        <v>5561</v>
      </c>
      <c r="B4562" s="1">
        <v>45840</v>
      </c>
      <c r="C4562" s="4">
        <f>MONTH(datos_ventas[[#This Row],[Fecha]])</f>
        <v>7</v>
      </c>
      <c r="D4562" s="4">
        <f>WEEKNUM(datos_ventas[[#This Row],[Fecha]],2)</f>
        <v>27</v>
      </c>
      <c r="E4562" t="s">
        <v>26</v>
      </c>
      <c r="F4562" t="s">
        <v>18</v>
      </c>
      <c r="G4562">
        <v>5</v>
      </c>
      <c r="H4562">
        <v>76205</v>
      </c>
      <c r="I4562">
        <v>4115</v>
      </c>
      <c r="J4562" t="s">
        <v>14</v>
      </c>
      <c r="K4562" t="str">
        <f>_xlfn.XLOOKUP(datos_ventas[[#This Row],[Ciudad]],Tabla2[Ciudades],Tabla2[Provincias],"no se encuentra")</f>
        <v>Madrid</v>
      </c>
      <c r="L4562" t="str">
        <f>_xlfn.XLOOKUP(datos_ventas[[#This Row],[Provincia]],Tabla2[Provincias],Tabla2[Comunidades],"no se encuentra")</f>
        <v>Comunidad de Madrid</v>
      </c>
      <c r="M4562" t="s">
        <v>28</v>
      </c>
      <c r="N4562">
        <v>1</v>
      </c>
    </row>
    <row r="4563" spans="1:14" x14ac:dyDescent="0.25">
      <c r="A4563">
        <v>5562</v>
      </c>
      <c r="B4563" s="1">
        <v>45907</v>
      </c>
      <c r="C4563" s="4">
        <f>MONTH(datos_ventas[[#This Row],[Fecha]])</f>
        <v>9</v>
      </c>
      <c r="D4563" s="4">
        <f>WEEKNUM(datos_ventas[[#This Row],[Fecha]],2)</f>
        <v>36</v>
      </c>
      <c r="E4563" t="s">
        <v>16</v>
      </c>
      <c r="F4563" t="s">
        <v>11</v>
      </c>
      <c r="G4563">
        <v>5</v>
      </c>
      <c r="H4563">
        <v>12697</v>
      </c>
      <c r="I4563">
        <v>4203</v>
      </c>
      <c r="J4563" t="s">
        <v>14</v>
      </c>
      <c r="K4563" t="str">
        <f>_xlfn.XLOOKUP(datos_ventas[[#This Row],[Ciudad]],Tabla2[Ciudades],Tabla2[Provincias],"no se encuentra")</f>
        <v>Madrid</v>
      </c>
      <c r="L4563" t="str">
        <f>_xlfn.XLOOKUP(datos_ventas[[#This Row],[Provincia]],Tabla2[Provincias],Tabla2[Comunidades],"no se encuentra")</f>
        <v>Comunidad de Madrid</v>
      </c>
      <c r="M4563" t="s">
        <v>15</v>
      </c>
      <c r="N4563">
        <v>1</v>
      </c>
    </row>
    <row r="4564" spans="1:14" x14ac:dyDescent="0.25">
      <c r="A4564">
        <v>5563</v>
      </c>
      <c r="B4564" s="1">
        <v>45940</v>
      </c>
      <c r="C4564" s="4">
        <f>MONTH(datos_ventas[[#This Row],[Fecha]])</f>
        <v>10</v>
      </c>
      <c r="D4564" s="4">
        <f>WEEKNUM(datos_ventas[[#This Row],[Fecha]],2)</f>
        <v>41</v>
      </c>
      <c r="E4564" t="s">
        <v>20</v>
      </c>
      <c r="F4564" t="s">
        <v>21</v>
      </c>
      <c r="G4564">
        <v>5</v>
      </c>
      <c r="H4564">
        <v>115409</v>
      </c>
      <c r="I4564">
        <v>3638</v>
      </c>
      <c r="J4564" t="s">
        <v>31</v>
      </c>
      <c r="K4564" t="str">
        <f>_xlfn.XLOOKUP(datos_ventas[[#This Row],[Ciudad]],Tabla2[Ciudades],Tabla2[Provincias],"no se encuentra")</f>
        <v>Vizcaya</v>
      </c>
      <c r="L4564" t="str">
        <f>_xlfn.XLOOKUP(datos_ventas[[#This Row],[Provincia]],Tabla2[Provincias],Tabla2[Comunidades],"no se encuentra")</f>
        <v>País Vasco</v>
      </c>
      <c r="M4564" t="s">
        <v>13</v>
      </c>
      <c r="N4564">
        <v>5</v>
      </c>
    </row>
    <row r="4565" spans="1:14" x14ac:dyDescent="0.25">
      <c r="A4565">
        <v>5564</v>
      </c>
      <c r="B4565" s="1">
        <v>45770</v>
      </c>
      <c r="C4565" s="4">
        <f>MONTH(datos_ventas[[#This Row],[Fecha]])</f>
        <v>4</v>
      </c>
      <c r="D4565" s="4">
        <f>WEEKNUM(datos_ventas[[#This Row],[Fecha]],2)</f>
        <v>17</v>
      </c>
      <c r="E4565" t="s">
        <v>24</v>
      </c>
      <c r="F4565" t="s">
        <v>25</v>
      </c>
      <c r="G4565">
        <v>4</v>
      </c>
      <c r="H4565">
        <v>10373</v>
      </c>
      <c r="I4565">
        <v>4673</v>
      </c>
      <c r="J4565" t="s">
        <v>32</v>
      </c>
      <c r="K4565" t="str">
        <f>_xlfn.XLOOKUP(datos_ventas[[#This Row],[Ciudad]],Tabla2[Ciudades],Tabla2[Provincias],"no se encuentra")</f>
        <v>Barcelona</v>
      </c>
      <c r="L4565" t="str">
        <f>_xlfn.XLOOKUP(datos_ventas[[#This Row],[Provincia]],Tabla2[Provincias],Tabla2[Comunidades],"no se encuentra")</f>
        <v>Cataluña</v>
      </c>
      <c r="M4565" t="s">
        <v>13</v>
      </c>
      <c r="N4565">
        <v>5</v>
      </c>
    </row>
    <row r="4566" spans="1:14" x14ac:dyDescent="0.25">
      <c r="A4566">
        <v>5565</v>
      </c>
      <c r="B4566" s="1">
        <v>45964</v>
      </c>
      <c r="C4566" s="4">
        <f>MONTH(datos_ventas[[#This Row],[Fecha]])</f>
        <v>11</v>
      </c>
      <c r="D4566" s="4">
        <f>WEEKNUM(datos_ventas[[#This Row],[Fecha]],2)</f>
        <v>45</v>
      </c>
      <c r="E4566" t="s">
        <v>23</v>
      </c>
      <c r="F4566" t="s">
        <v>18</v>
      </c>
      <c r="G4566">
        <v>3</v>
      </c>
      <c r="H4566">
        <v>4917</v>
      </c>
      <c r="I4566">
        <v>3507</v>
      </c>
      <c r="J4566" t="s">
        <v>27</v>
      </c>
      <c r="K4566" t="str">
        <f>_xlfn.XLOOKUP(datos_ventas[[#This Row],[Ciudad]],Tabla2[Ciudades],Tabla2[Provincias],"no se encuentra")</f>
        <v>Sevilla</v>
      </c>
      <c r="L4566" t="str">
        <f>_xlfn.XLOOKUP(datos_ventas[[#This Row],[Provincia]],Tabla2[Provincias],Tabla2[Comunidades],"no se encuentra")</f>
        <v>Andalucía</v>
      </c>
      <c r="M4566" t="s">
        <v>13</v>
      </c>
      <c r="N4566">
        <v>4</v>
      </c>
    </row>
    <row r="4567" spans="1:14" x14ac:dyDescent="0.25">
      <c r="A4567">
        <v>5566</v>
      </c>
      <c r="B4567" s="1">
        <v>45878</v>
      </c>
      <c r="C4567" s="4">
        <f>MONTH(datos_ventas[[#This Row],[Fecha]])</f>
        <v>8</v>
      </c>
      <c r="D4567" s="4">
        <f>WEEKNUM(datos_ventas[[#This Row],[Fecha]],2)</f>
        <v>32</v>
      </c>
      <c r="E4567" t="s">
        <v>17</v>
      </c>
      <c r="F4567" t="s">
        <v>18</v>
      </c>
      <c r="G4567">
        <v>2</v>
      </c>
      <c r="H4567">
        <v>8862</v>
      </c>
      <c r="I4567">
        <v>1334</v>
      </c>
      <c r="J4567" t="s">
        <v>12</v>
      </c>
      <c r="K4567" t="str">
        <f>_xlfn.XLOOKUP(datos_ventas[[#This Row],[Ciudad]],Tabla2[Ciudades],Tabla2[Provincias],"no se encuentra")</f>
        <v>Málaga</v>
      </c>
      <c r="L4567" t="str">
        <f>_xlfn.XLOOKUP(datos_ventas[[#This Row],[Provincia]],Tabla2[Provincias],Tabla2[Comunidades],"no se encuentra")</f>
        <v>Andalucía</v>
      </c>
      <c r="M4567" t="s">
        <v>19</v>
      </c>
      <c r="N4567">
        <v>2</v>
      </c>
    </row>
    <row r="4568" spans="1:14" x14ac:dyDescent="0.25">
      <c r="A4568">
        <v>5567</v>
      </c>
      <c r="B4568" s="1">
        <v>45687</v>
      </c>
      <c r="C4568" s="4">
        <f>MONTH(datos_ventas[[#This Row],[Fecha]])</f>
        <v>1</v>
      </c>
      <c r="D4568" s="4">
        <f>WEEKNUM(datos_ventas[[#This Row],[Fecha]],2)</f>
        <v>5</v>
      </c>
      <c r="E4568" t="s">
        <v>17</v>
      </c>
      <c r="F4568" t="s">
        <v>18</v>
      </c>
      <c r="G4568">
        <v>2</v>
      </c>
      <c r="H4568">
        <v>6035</v>
      </c>
      <c r="I4568">
        <v>4157</v>
      </c>
      <c r="J4568" t="s">
        <v>12</v>
      </c>
      <c r="K4568" t="str">
        <f>_xlfn.XLOOKUP(datos_ventas[[#This Row],[Ciudad]],Tabla2[Ciudades],Tabla2[Provincias],"no se encuentra")</f>
        <v>Málaga</v>
      </c>
      <c r="L4568" t="str">
        <f>_xlfn.XLOOKUP(datos_ventas[[#This Row],[Provincia]],Tabla2[Provincias],Tabla2[Comunidades],"no se encuentra")</f>
        <v>Andalucía</v>
      </c>
      <c r="M4568" t="s">
        <v>13</v>
      </c>
      <c r="N4568">
        <v>5</v>
      </c>
    </row>
    <row r="4569" spans="1:14" x14ac:dyDescent="0.25">
      <c r="A4569">
        <v>5568</v>
      </c>
      <c r="B4569" s="1">
        <v>45715</v>
      </c>
      <c r="C4569" s="4">
        <f>MONTH(datos_ventas[[#This Row],[Fecha]])</f>
        <v>2</v>
      </c>
      <c r="D4569" s="4">
        <f>WEEKNUM(datos_ventas[[#This Row],[Fecha]],2)</f>
        <v>9</v>
      </c>
      <c r="E4569" t="s">
        <v>10</v>
      </c>
      <c r="F4569" t="s">
        <v>11</v>
      </c>
      <c r="G4569">
        <v>2</v>
      </c>
      <c r="H4569">
        <v>38896</v>
      </c>
      <c r="I4569">
        <v>126</v>
      </c>
      <c r="J4569" t="s">
        <v>12</v>
      </c>
      <c r="K4569" t="str">
        <f>_xlfn.XLOOKUP(datos_ventas[[#This Row],[Ciudad]],Tabla2[Ciudades],Tabla2[Provincias],"no se encuentra")</f>
        <v>Málaga</v>
      </c>
      <c r="L4569" t="str">
        <f>_xlfn.XLOOKUP(datos_ventas[[#This Row],[Provincia]],Tabla2[Provincias],Tabla2[Comunidades],"no se encuentra")</f>
        <v>Andalucía</v>
      </c>
      <c r="M4569" t="s">
        <v>19</v>
      </c>
      <c r="N4569">
        <v>3</v>
      </c>
    </row>
    <row r="4570" spans="1:14" x14ac:dyDescent="0.25">
      <c r="A4570">
        <v>5569</v>
      </c>
      <c r="B4570" s="1">
        <v>45852</v>
      </c>
      <c r="C4570" s="4">
        <f>MONTH(datos_ventas[[#This Row],[Fecha]])</f>
        <v>7</v>
      </c>
      <c r="D4570" s="4">
        <f>WEEKNUM(datos_ventas[[#This Row],[Fecha]],2)</f>
        <v>29</v>
      </c>
      <c r="E4570" t="s">
        <v>23</v>
      </c>
      <c r="F4570" t="s">
        <v>18</v>
      </c>
      <c r="G4570">
        <v>1</v>
      </c>
      <c r="H4570">
        <v>10426</v>
      </c>
      <c r="I4570">
        <v>593</v>
      </c>
      <c r="J4570" t="s">
        <v>22</v>
      </c>
      <c r="K4570" t="str">
        <f>_xlfn.XLOOKUP(datos_ventas[[#This Row],[Ciudad]],Tabla2[Ciudades],Tabla2[Provincias],"no se encuentra")</f>
        <v>Valencia</v>
      </c>
      <c r="L4570" t="str">
        <f>_xlfn.XLOOKUP(datos_ventas[[#This Row],[Provincia]],Tabla2[Provincias],Tabla2[Comunidades],"no se encuentra")</f>
        <v>Comunidad Valenciana</v>
      </c>
      <c r="M4570" t="s">
        <v>28</v>
      </c>
      <c r="N4570">
        <v>3</v>
      </c>
    </row>
    <row r="4571" spans="1:14" x14ac:dyDescent="0.25">
      <c r="A4571">
        <v>5570</v>
      </c>
      <c r="B4571" s="1">
        <v>45722</v>
      </c>
      <c r="C4571" s="4">
        <f>MONTH(datos_ventas[[#This Row],[Fecha]])</f>
        <v>3</v>
      </c>
      <c r="D4571" s="4">
        <f>WEEKNUM(datos_ventas[[#This Row],[Fecha]],2)</f>
        <v>10</v>
      </c>
      <c r="E4571" t="s">
        <v>29</v>
      </c>
      <c r="F4571" t="s">
        <v>30</v>
      </c>
      <c r="G4571">
        <v>1</v>
      </c>
      <c r="H4571">
        <v>43186</v>
      </c>
      <c r="I4571">
        <v>341</v>
      </c>
      <c r="J4571" t="s">
        <v>12</v>
      </c>
      <c r="K4571" t="str">
        <f>_xlfn.XLOOKUP(datos_ventas[[#This Row],[Ciudad]],Tabla2[Ciudades],Tabla2[Provincias],"no se encuentra")</f>
        <v>Málaga</v>
      </c>
      <c r="L4571" t="str">
        <f>_xlfn.XLOOKUP(datos_ventas[[#This Row],[Provincia]],Tabla2[Provincias],Tabla2[Comunidades],"no se encuentra")</f>
        <v>Andalucía</v>
      </c>
      <c r="M4571" t="s">
        <v>28</v>
      </c>
      <c r="N4571">
        <v>2</v>
      </c>
    </row>
    <row r="4572" spans="1:14" x14ac:dyDescent="0.25">
      <c r="A4572">
        <v>5571</v>
      </c>
      <c r="B4572" s="1">
        <v>46000</v>
      </c>
      <c r="C4572" s="4">
        <f>MONTH(datos_ventas[[#This Row],[Fecha]])</f>
        <v>12</v>
      </c>
      <c r="D4572" s="4">
        <f>WEEKNUM(datos_ventas[[#This Row],[Fecha]],2)</f>
        <v>50</v>
      </c>
      <c r="E4572" t="s">
        <v>23</v>
      </c>
      <c r="F4572" t="s">
        <v>18</v>
      </c>
      <c r="G4572">
        <v>1</v>
      </c>
      <c r="H4572">
        <v>106535</v>
      </c>
      <c r="I4572">
        <v>581</v>
      </c>
      <c r="J4572" t="s">
        <v>31</v>
      </c>
      <c r="K4572" t="str">
        <f>_xlfn.XLOOKUP(datos_ventas[[#This Row],[Ciudad]],Tabla2[Ciudades],Tabla2[Provincias],"no se encuentra")</f>
        <v>Vizcaya</v>
      </c>
      <c r="L4572" t="str">
        <f>_xlfn.XLOOKUP(datos_ventas[[#This Row],[Provincia]],Tabla2[Provincias],Tabla2[Comunidades],"no se encuentra")</f>
        <v>País Vasco</v>
      </c>
      <c r="M4572" t="s">
        <v>28</v>
      </c>
      <c r="N4572">
        <v>3</v>
      </c>
    </row>
    <row r="4573" spans="1:14" x14ac:dyDescent="0.25">
      <c r="A4573">
        <v>5572</v>
      </c>
      <c r="B4573" s="1">
        <v>45909</v>
      </c>
      <c r="C4573" s="4">
        <f>MONTH(datos_ventas[[#This Row],[Fecha]])</f>
        <v>9</v>
      </c>
      <c r="D4573" s="4">
        <f>WEEKNUM(datos_ventas[[#This Row],[Fecha]],2)</f>
        <v>37</v>
      </c>
      <c r="E4573" t="s">
        <v>24</v>
      </c>
      <c r="F4573" t="s">
        <v>25</v>
      </c>
      <c r="G4573">
        <v>2</v>
      </c>
      <c r="H4573">
        <v>9306</v>
      </c>
      <c r="I4573">
        <v>919</v>
      </c>
      <c r="J4573" t="s">
        <v>32</v>
      </c>
      <c r="K4573" t="str">
        <f>_xlfn.XLOOKUP(datos_ventas[[#This Row],[Ciudad]],Tabla2[Ciudades],Tabla2[Provincias],"no se encuentra")</f>
        <v>Barcelona</v>
      </c>
      <c r="L4573" t="str">
        <f>_xlfn.XLOOKUP(datos_ventas[[#This Row],[Provincia]],Tabla2[Provincias],Tabla2[Comunidades],"no se encuentra")</f>
        <v>Cataluña</v>
      </c>
      <c r="M4573" t="s">
        <v>15</v>
      </c>
      <c r="N4573">
        <v>2</v>
      </c>
    </row>
    <row r="4574" spans="1:14" x14ac:dyDescent="0.25">
      <c r="A4574">
        <v>5573</v>
      </c>
      <c r="B4574" s="1">
        <v>45978</v>
      </c>
      <c r="C4574" s="4">
        <f>MONTH(datos_ventas[[#This Row],[Fecha]])</f>
        <v>11</v>
      </c>
      <c r="D4574" s="4">
        <f>WEEKNUM(datos_ventas[[#This Row],[Fecha]],2)</f>
        <v>47</v>
      </c>
      <c r="E4574" t="s">
        <v>16</v>
      </c>
      <c r="F4574" t="s">
        <v>11</v>
      </c>
      <c r="G4574">
        <v>2</v>
      </c>
      <c r="H4574">
        <v>17146</v>
      </c>
      <c r="I4574">
        <v>1224</v>
      </c>
      <c r="J4574" t="s">
        <v>12</v>
      </c>
      <c r="K4574" t="str">
        <f>_xlfn.XLOOKUP(datos_ventas[[#This Row],[Ciudad]],Tabla2[Ciudades],Tabla2[Provincias],"no se encuentra")</f>
        <v>Málaga</v>
      </c>
      <c r="L4574" t="str">
        <f>_xlfn.XLOOKUP(datos_ventas[[#This Row],[Provincia]],Tabla2[Provincias],Tabla2[Comunidades],"no se encuentra")</f>
        <v>Andalucía</v>
      </c>
      <c r="M4574" t="s">
        <v>15</v>
      </c>
      <c r="N4574">
        <v>3</v>
      </c>
    </row>
    <row r="4575" spans="1:14" x14ac:dyDescent="0.25">
      <c r="A4575">
        <v>5574</v>
      </c>
      <c r="B4575" s="1">
        <v>46018</v>
      </c>
      <c r="C4575" s="4">
        <f>MONTH(datos_ventas[[#This Row],[Fecha]])</f>
        <v>12</v>
      </c>
      <c r="D4575" s="4">
        <f>WEEKNUM(datos_ventas[[#This Row],[Fecha]],2)</f>
        <v>52</v>
      </c>
      <c r="E4575" t="s">
        <v>24</v>
      </c>
      <c r="F4575" t="s">
        <v>25</v>
      </c>
      <c r="G4575">
        <v>1</v>
      </c>
      <c r="H4575">
        <v>85911</v>
      </c>
      <c r="I4575">
        <v>974</v>
      </c>
      <c r="J4575" t="s">
        <v>14</v>
      </c>
      <c r="K4575" t="str">
        <f>_xlfn.XLOOKUP(datos_ventas[[#This Row],[Ciudad]],Tabla2[Ciudades],Tabla2[Provincias],"no se encuentra")</f>
        <v>Madrid</v>
      </c>
      <c r="L4575" t="str">
        <f>_xlfn.XLOOKUP(datos_ventas[[#This Row],[Provincia]],Tabla2[Provincias],Tabla2[Comunidades],"no se encuentra")</f>
        <v>Comunidad de Madrid</v>
      </c>
      <c r="M4575" t="s">
        <v>15</v>
      </c>
      <c r="N4575">
        <v>2</v>
      </c>
    </row>
    <row r="4576" spans="1:14" x14ac:dyDescent="0.25">
      <c r="A4576">
        <v>5575</v>
      </c>
      <c r="B4576" s="1">
        <v>45941</v>
      </c>
      <c r="C4576" s="4">
        <f>MONTH(datos_ventas[[#This Row],[Fecha]])</f>
        <v>10</v>
      </c>
      <c r="D4576" s="4">
        <f>WEEKNUM(datos_ventas[[#This Row],[Fecha]],2)</f>
        <v>41</v>
      </c>
      <c r="E4576" t="s">
        <v>24</v>
      </c>
      <c r="F4576" t="s">
        <v>25</v>
      </c>
      <c r="G4576">
        <v>5</v>
      </c>
      <c r="H4576">
        <v>52892</v>
      </c>
      <c r="I4576">
        <v>153</v>
      </c>
      <c r="J4576" t="s">
        <v>12</v>
      </c>
      <c r="K4576" t="str">
        <f>_xlfn.XLOOKUP(datos_ventas[[#This Row],[Ciudad]],Tabla2[Ciudades],Tabla2[Provincias],"no se encuentra")</f>
        <v>Málaga</v>
      </c>
      <c r="L4576" t="str">
        <f>_xlfn.XLOOKUP(datos_ventas[[#This Row],[Provincia]],Tabla2[Provincias],Tabla2[Comunidades],"no se encuentra")</f>
        <v>Andalucía</v>
      </c>
      <c r="M4576" t="s">
        <v>28</v>
      </c>
      <c r="N4576">
        <v>1</v>
      </c>
    </row>
    <row r="4577" spans="1:14" x14ac:dyDescent="0.25">
      <c r="A4577">
        <v>5576</v>
      </c>
      <c r="B4577" s="1">
        <v>45963</v>
      </c>
      <c r="C4577" s="4">
        <f>MONTH(datos_ventas[[#This Row],[Fecha]])</f>
        <v>11</v>
      </c>
      <c r="D4577" s="4">
        <f>WEEKNUM(datos_ventas[[#This Row],[Fecha]],2)</f>
        <v>44</v>
      </c>
      <c r="E4577" t="s">
        <v>17</v>
      </c>
      <c r="F4577" t="s">
        <v>18</v>
      </c>
      <c r="G4577">
        <v>3</v>
      </c>
      <c r="H4577">
        <v>9845</v>
      </c>
      <c r="I4577">
        <v>1325</v>
      </c>
      <c r="J4577" t="s">
        <v>32</v>
      </c>
      <c r="K4577" t="str">
        <f>_xlfn.XLOOKUP(datos_ventas[[#This Row],[Ciudad]],Tabla2[Ciudades],Tabla2[Provincias],"no se encuentra")</f>
        <v>Barcelona</v>
      </c>
      <c r="L4577" t="str">
        <f>_xlfn.XLOOKUP(datos_ventas[[#This Row],[Provincia]],Tabla2[Provincias],Tabla2[Comunidades],"no se encuentra")</f>
        <v>Cataluña</v>
      </c>
      <c r="M4577" t="s">
        <v>15</v>
      </c>
      <c r="N4577">
        <v>2</v>
      </c>
    </row>
    <row r="4578" spans="1:14" x14ac:dyDescent="0.25">
      <c r="A4578">
        <v>5577</v>
      </c>
      <c r="B4578" s="1">
        <v>45957</v>
      </c>
      <c r="C4578" s="4">
        <f>MONTH(datos_ventas[[#This Row],[Fecha]])</f>
        <v>10</v>
      </c>
      <c r="D4578" s="4">
        <f>WEEKNUM(datos_ventas[[#This Row],[Fecha]],2)</f>
        <v>44</v>
      </c>
      <c r="E4578" t="s">
        <v>26</v>
      </c>
      <c r="F4578" t="s">
        <v>18</v>
      </c>
      <c r="G4578">
        <v>2</v>
      </c>
      <c r="H4578">
        <v>8448</v>
      </c>
      <c r="I4578">
        <v>744</v>
      </c>
      <c r="J4578" t="s">
        <v>31</v>
      </c>
      <c r="K4578" t="str">
        <f>_xlfn.XLOOKUP(datos_ventas[[#This Row],[Ciudad]],Tabla2[Ciudades],Tabla2[Provincias],"no se encuentra")</f>
        <v>Vizcaya</v>
      </c>
      <c r="L4578" t="str">
        <f>_xlfn.XLOOKUP(datos_ventas[[#This Row],[Provincia]],Tabla2[Provincias],Tabla2[Comunidades],"no se encuentra")</f>
        <v>País Vasco</v>
      </c>
      <c r="M4578" t="s">
        <v>15</v>
      </c>
      <c r="N4578">
        <v>2</v>
      </c>
    </row>
    <row r="4579" spans="1:14" x14ac:dyDescent="0.25">
      <c r="A4579">
        <v>5578</v>
      </c>
      <c r="B4579" s="1">
        <v>45738</v>
      </c>
      <c r="C4579" s="4">
        <f>MONTH(datos_ventas[[#This Row],[Fecha]])</f>
        <v>3</v>
      </c>
      <c r="D4579" s="4">
        <f>WEEKNUM(datos_ventas[[#This Row],[Fecha]],2)</f>
        <v>12</v>
      </c>
      <c r="E4579" t="s">
        <v>20</v>
      </c>
      <c r="F4579" t="s">
        <v>21</v>
      </c>
      <c r="G4579">
        <v>1</v>
      </c>
      <c r="H4579">
        <v>97118</v>
      </c>
      <c r="I4579">
        <v>3337</v>
      </c>
      <c r="J4579" t="s">
        <v>31</v>
      </c>
      <c r="K4579" t="str">
        <f>_xlfn.XLOOKUP(datos_ventas[[#This Row],[Ciudad]],Tabla2[Ciudades],Tabla2[Provincias],"no se encuentra")</f>
        <v>Vizcaya</v>
      </c>
      <c r="L4579" t="str">
        <f>_xlfn.XLOOKUP(datos_ventas[[#This Row],[Provincia]],Tabla2[Provincias],Tabla2[Comunidades],"no se encuentra")</f>
        <v>País Vasco</v>
      </c>
      <c r="M4579" t="s">
        <v>13</v>
      </c>
      <c r="N4579">
        <v>3</v>
      </c>
    </row>
    <row r="4580" spans="1:14" x14ac:dyDescent="0.25">
      <c r="A4580">
        <v>5579</v>
      </c>
      <c r="B4580" s="1">
        <v>45824</v>
      </c>
      <c r="C4580" s="4">
        <f>MONTH(datos_ventas[[#This Row],[Fecha]])</f>
        <v>6</v>
      </c>
      <c r="D4580" s="4">
        <f>WEEKNUM(datos_ventas[[#This Row],[Fecha]],2)</f>
        <v>25</v>
      </c>
      <c r="E4580" t="s">
        <v>24</v>
      </c>
      <c r="F4580" t="s">
        <v>25</v>
      </c>
      <c r="G4580">
        <v>4</v>
      </c>
      <c r="H4580">
        <v>114601</v>
      </c>
      <c r="I4580">
        <v>2598</v>
      </c>
      <c r="J4580" t="s">
        <v>14</v>
      </c>
      <c r="K4580" t="str">
        <f>_xlfn.XLOOKUP(datos_ventas[[#This Row],[Ciudad]],Tabla2[Ciudades],Tabla2[Provincias],"no se encuentra")</f>
        <v>Madrid</v>
      </c>
      <c r="L4580" t="str">
        <f>_xlfn.XLOOKUP(datos_ventas[[#This Row],[Provincia]],Tabla2[Provincias],Tabla2[Comunidades],"no se encuentra")</f>
        <v>Comunidad de Madrid</v>
      </c>
      <c r="M4580" t="s">
        <v>19</v>
      </c>
      <c r="N4580">
        <v>4</v>
      </c>
    </row>
    <row r="4581" spans="1:14" x14ac:dyDescent="0.25">
      <c r="A4581">
        <v>5580</v>
      </c>
      <c r="B4581" s="1">
        <v>45734</v>
      </c>
      <c r="C4581" s="4">
        <f>MONTH(datos_ventas[[#This Row],[Fecha]])</f>
        <v>3</v>
      </c>
      <c r="D4581" s="4">
        <f>WEEKNUM(datos_ventas[[#This Row],[Fecha]],2)</f>
        <v>12</v>
      </c>
      <c r="E4581" t="s">
        <v>10</v>
      </c>
      <c r="F4581" t="s">
        <v>11</v>
      </c>
      <c r="G4581">
        <v>2</v>
      </c>
      <c r="H4581">
        <v>3542</v>
      </c>
      <c r="I4581">
        <v>2108</v>
      </c>
      <c r="J4581" t="s">
        <v>32</v>
      </c>
      <c r="K4581" t="str">
        <f>_xlfn.XLOOKUP(datos_ventas[[#This Row],[Ciudad]],Tabla2[Ciudades],Tabla2[Provincias],"no se encuentra")</f>
        <v>Barcelona</v>
      </c>
      <c r="L4581" t="str">
        <f>_xlfn.XLOOKUP(datos_ventas[[#This Row],[Provincia]],Tabla2[Provincias],Tabla2[Comunidades],"no se encuentra")</f>
        <v>Cataluña</v>
      </c>
      <c r="M4581" t="s">
        <v>15</v>
      </c>
      <c r="N4581">
        <v>3</v>
      </c>
    </row>
    <row r="4582" spans="1:14" x14ac:dyDescent="0.25">
      <c r="A4582">
        <v>5581</v>
      </c>
      <c r="B4582" s="1">
        <v>45719</v>
      </c>
      <c r="C4582" s="4">
        <f>MONTH(datos_ventas[[#This Row],[Fecha]])</f>
        <v>3</v>
      </c>
      <c r="D4582" s="4">
        <f>WEEKNUM(datos_ventas[[#This Row],[Fecha]],2)</f>
        <v>10</v>
      </c>
      <c r="E4582" t="s">
        <v>10</v>
      </c>
      <c r="F4582" t="s">
        <v>11</v>
      </c>
      <c r="G4582">
        <v>4</v>
      </c>
      <c r="H4582">
        <v>5656</v>
      </c>
      <c r="I4582">
        <v>146</v>
      </c>
      <c r="J4582" t="s">
        <v>12</v>
      </c>
      <c r="K4582" t="str">
        <f>_xlfn.XLOOKUP(datos_ventas[[#This Row],[Ciudad]],Tabla2[Ciudades],Tabla2[Provincias],"no se encuentra")</f>
        <v>Málaga</v>
      </c>
      <c r="L4582" t="str">
        <f>_xlfn.XLOOKUP(datos_ventas[[#This Row],[Provincia]],Tabla2[Provincias],Tabla2[Comunidades],"no se encuentra")</f>
        <v>Andalucía</v>
      </c>
      <c r="M4582" t="s">
        <v>15</v>
      </c>
      <c r="N4582">
        <v>5</v>
      </c>
    </row>
    <row r="4583" spans="1:14" x14ac:dyDescent="0.25">
      <c r="A4583">
        <v>5582</v>
      </c>
      <c r="B4583" s="1">
        <v>46020</v>
      </c>
      <c r="C4583" s="4">
        <f>MONTH(datos_ventas[[#This Row],[Fecha]])</f>
        <v>12</v>
      </c>
      <c r="D4583" s="4">
        <f>WEEKNUM(datos_ventas[[#This Row],[Fecha]],2)</f>
        <v>53</v>
      </c>
      <c r="E4583" t="s">
        <v>24</v>
      </c>
      <c r="F4583" t="s">
        <v>25</v>
      </c>
      <c r="G4583">
        <v>3</v>
      </c>
      <c r="H4583">
        <v>91851</v>
      </c>
      <c r="I4583">
        <v>2552</v>
      </c>
      <c r="J4583" t="s">
        <v>14</v>
      </c>
      <c r="K4583" t="str">
        <f>_xlfn.XLOOKUP(datos_ventas[[#This Row],[Ciudad]],Tabla2[Ciudades],Tabla2[Provincias],"no se encuentra")</f>
        <v>Madrid</v>
      </c>
      <c r="L4583" t="str">
        <f>_xlfn.XLOOKUP(datos_ventas[[#This Row],[Provincia]],Tabla2[Provincias],Tabla2[Comunidades],"no se encuentra")</f>
        <v>Comunidad de Madrid</v>
      </c>
      <c r="M4583" t="s">
        <v>19</v>
      </c>
      <c r="N4583">
        <v>3</v>
      </c>
    </row>
    <row r="4584" spans="1:14" x14ac:dyDescent="0.25">
      <c r="A4584">
        <v>5583</v>
      </c>
      <c r="B4584" s="1">
        <v>46022</v>
      </c>
      <c r="C4584" s="4">
        <f>MONTH(datos_ventas[[#This Row],[Fecha]])</f>
        <v>12</v>
      </c>
      <c r="D4584" s="4">
        <f>WEEKNUM(datos_ventas[[#This Row],[Fecha]],2)</f>
        <v>53</v>
      </c>
      <c r="E4584" t="s">
        <v>17</v>
      </c>
      <c r="F4584" t="s">
        <v>18</v>
      </c>
      <c r="G4584">
        <v>1</v>
      </c>
      <c r="H4584">
        <v>112059</v>
      </c>
      <c r="I4584">
        <v>3847</v>
      </c>
      <c r="J4584" t="s">
        <v>22</v>
      </c>
      <c r="K4584" t="str">
        <f>_xlfn.XLOOKUP(datos_ventas[[#This Row],[Ciudad]],Tabla2[Ciudades],Tabla2[Provincias],"no se encuentra")</f>
        <v>Valencia</v>
      </c>
      <c r="L4584" t="str">
        <f>_xlfn.XLOOKUP(datos_ventas[[#This Row],[Provincia]],Tabla2[Provincias],Tabla2[Comunidades],"no se encuentra")</f>
        <v>Comunidad Valenciana</v>
      </c>
      <c r="M4584" t="s">
        <v>15</v>
      </c>
      <c r="N4584">
        <v>1</v>
      </c>
    </row>
    <row r="4585" spans="1:14" x14ac:dyDescent="0.25">
      <c r="A4585">
        <v>5584</v>
      </c>
      <c r="B4585" s="1">
        <v>45988</v>
      </c>
      <c r="C4585" s="4">
        <f>MONTH(datos_ventas[[#This Row],[Fecha]])</f>
        <v>11</v>
      </c>
      <c r="D4585" s="4">
        <f>WEEKNUM(datos_ventas[[#This Row],[Fecha]],2)</f>
        <v>48</v>
      </c>
      <c r="E4585" t="s">
        <v>26</v>
      </c>
      <c r="F4585" t="s">
        <v>18</v>
      </c>
      <c r="G4585">
        <v>5</v>
      </c>
      <c r="H4585">
        <v>48012</v>
      </c>
      <c r="I4585">
        <v>4518</v>
      </c>
      <c r="J4585" t="s">
        <v>12</v>
      </c>
      <c r="K4585" t="str">
        <f>_xlfn.XLOOKUP(datos_ventas[[#This Row],[Ciudad]],Tabla2[Ciudades],Tabla2[Provincias],"no se encuentra")</f>
        <v>Málaga</v>
      </c>
      <c r="L4585" t="str">
        <f>_xlfn.XLOOKUP(datos_ventas[[#This Row],[Provincia]],Tabla2[Provincias],Tabla2[Comunidades],"no se encuentra")</f>
        <v>Andalucía</v>
      </c>
      <c r="M4585" t="s">
        <v>13</v>
      </c>
      <c r="N4585">
        <v>2</v>
      </c>
    </row>
    <row r="4586" spans="1:14" x14ac:dyDescent="0.25">
      <c r="A4586">
        <v>5585</v>
      </c>
      <c r="B4586" s="1">
        <v>45786</v>
      </c>
      <c r="C4586" s="4">
        <f>MONTH(datos_ventas[[#This Row],[Fecha]])</f>
        <v>5</v>
      </c>
      <c r="D4586" s="4">
        <f>WEEKNUM(datos_ventas[[#This Row],[Fecha]],2)</f>
        <v>19</v>
      </c>
      <c r="E4586" t="s">
        <v>16</v>
      </c>
      <c r="F4586" t="s">
        <v>11</v>
      </c>
      <c r="G4586">
        <v>2</v>
      </c>
      <c r="H4586">
        <v>16167</v>
      </c>
      <c r="I4586">
        <v>3436</v>
      </c>
      <c r="J4586" t="s">
        <v>22</v>
      </c>
      <c r="K4586" t="str">
        <f>_xlfn.XLOOKUP(datos_ventas[[#This Row],[Ciudad]],Tabla2[Ciudades],Tabla2[Provincias],"no se encuentra")</f>
        <v>Valencia</v>
      </c>
      <c r="L4586" t="str">
        <f>_xlfn.XLOOKUP(datos_ventas[[#This Row],[Provincia]],Tabla2[Provincias],Tabla2[Comunidades],"no se encuentra")</f>
        <v>Comunidad Valenciana</v>
      </c>
      <c r="M4586" t="s">
        <v>15</v>
      </c>
      <c r="N4586">
        <v>4</v>
      </c>
    </row>
    <row r="4587" spans="1:14" x14ac:dyDescent="0.25">
      <c r="A4587">
        <v>5586</v>
      </c>
      <c r="B4587" s="1">
        <v>45902</v>
      </c>
      <c r="C4587" s="4">
        <f>MONTH(datos_ventas[[#This Row],[Fecha]])</f>
        <v>9</v>
      </c>
      <c r="D4587" s="4">
        <f>WEEKNUM(datos_ventas[[#This Row],[Fecha]],2)</f>
        <v>36</v>
      </c>
      <c r="E4587" t="s">
        <v>23</v>
      </c>
      <c r="F4587" t="s">
        <v>18</v>
      </c>
      <c r="G4587">
        <v>3</v>
      </c>
      <c r="H4587">
        <v>52354</v>
      </c>
      <c r="I4587">
        <v>315</v>
      </c>
      <c r="J4587" t="s">
        <v>12</v>
      </c>
      <c r="K4587" t="str">
        <f>_xlfn.XLOOKUP(datos_ventas[[#This Row],[Ciudad]],Tabla2[Ciudades],Tabla2[Provincias],"no se encuentra")</f>
        <v>Málaga</v>
      </c>
      <c r="L4587" t="str">
        <f>_xlfn.XLOOKUP(datos_ventas[[#This Row],[Provincia]],Tabla2[Provincias],Tabla2[Comunidades],"no se encuentra")</f>
        <v>Andalucía</v>
      </c>
      <c r="M4587" t="s">
        <v>28</v>
      </c>
      <c r="N4587">
        <v>1</v>
      </c>
    </row>
    <row r="4588" spans="1:14" x14ac:dyDescent="0.25">
      <c r="A4588">
        <v>5587</v>
      </c>
      <c r="B4588" s="1">
        <v>45857</v>
      </c>
      <c r="C4588" s="4">
        <f>MONTH(datos_ventas[[#This Row],[Fecha]])</f>
        <v>7</v>
      </c>
      <c r="D4588" s="4">
        <f>WEEKNUM(datos_ventas[[#This Row],[Fecha]],2)</f>
        <v>29</v>
      </c>
      <c r="E4588" t="s">
        <v>23</v>
      </c>
      <c r="F4588" t="s">
        <v>18</v>
      </c>
      <c r="G4588">
        <v>3</v>
      </c>
      <c r="H4588">
        <v>73532</v>
      </c>
      <c r="I4588">
        <v>3128</v>
      </c>
      <c r="J4588" t="s">
        <v>31</v>
      </c>
      <c r="K4588" t="str">
        <f>_xlfn.XLOOKUP(datos_ventas[[#This Row],[Ciudad]],Tabla2[Ciudades],Tabla2[Provincias],"no se encuentra")</f>
        <v>Vizcaya</v>
      </c>
      <c r="L4588" t="str">
        <f>_xlfn.XLOOKUP(datos_ventas[[#This Row],[Provincia]],Tabla2[Provincias],Tabla2[Comunidades],"no se encuentra")</f>
        <v>País Vasco</v>
      </c>
      <c r="M4588" t="s">
        <v>13</v>
      </c>
      <c r="N4588">
        <v>2</v>
      </c>
    </row>
    <row r="4589" spans="1:14" x14ac:dyDescent="0.25">
      <c r="A4589">
        <v>5588</v>
      </c>
      <c r="B4589" s="1">
        <v>45977</v>
      </c>
      <c r="C4589" s="4">
        <f>MONTH(datos_ventas[[#This Row],[Fecha]])</f>
        <v>11</v>
      </c>
      <c r="D4589" s="4">
        <f>WEEKNUM(datos_ventas[[#This Row],[Fecha]],2)</f>
        <v>46</v>
      </c>
      <c r="E4589" t="s">
        <v>24</v>
      </c>
      <c r="F4589" t="s">
        <v>25</v>
      </c>
      <c r="G4589">
        <v>3</v>
      </c>
      <c r="H4589">
        <v>64292</v>
      </c>
      <c r="I4589">
        <v>2228</v>
      </c>
      <c r="J4589" t="s">
        <v>14</v>
      </c>
      <c r="K4589" t="str">
        <f>_xlfn.XLOOKUP(datos_ventas[[#This Row],[Ciudad]],Tabla2[Ciudades],Tabla2[Provincias],"no se encuentra")</f>
        <v>Madrid</v>
      </c>
      <c r="L4589" t="str">
        <f>_xlfn.XLOOKUP(datos_ventas[[#This Row],[Provincia]],Tabla2[Provincias],Tabla2[Comunidades],"no se encuentra")</f>
        <v>Comunidad de Madrid</v>
      </c>
      <c r="M4589" t="s">
        <v>28</v>
      </c>
      <c r="N4589">
        <v>5</v>
      </c>
    </row>
    <row r="4590" spans="1:14" x14ac:dyDescent="0.25">
      <c r="A4590">
        <v>5589</v>
      </c>
      <c r="B4590" s="1">
        <v>45690</v>
      </c>
      <c r="C4590" s="4">
        <f>MONTH(datos_ventas[[#This Row],[Fecha]])</f>
        <v>2</v>
      </c>
      <c r="D4590" s="4">
        <f>WEEKNUM(datos_ventas[[#This Row],[Fecha]],2)</f>
        <v>5</v>
      </c>
      <c r="E4590" t="s">
        <v>10</v>
      </c>
      <c r="F4590" t="s">
        <v>11</v>
      </c>
      <c r="G4590">
        <v>4</v>
      </c>
      <c r="H4590">
        <v>4414</v>
      </c>
      <c r="I4590">
        <v>1243</v>
      </c>
      <c r="J4590" t="s">
        <v>32</v>
      </c>
      <c r="K4590" t="str">
        <f>_xlfn.XLOOKUP(datos_ventas[[#This Row],[Ciudad]],Tabla2[Ciudades],Tabla2[Provincias],"no se encuentra")</f>
        <v>Barcelona</v>
      </c>
      <c r="L4590" t="str">
        <f>_xlfn.XLOOKUP(datos_ventas[[#This Row],[Provincia]],Tabla2[Provincias],Tabla2[Comunidades],"no se encuentra")</f>
        <v>Cataluña</v>
      </c>
      <c r="M4590" t="s">
        <v>28</v>
      </c>
      <c r="N4590">
        <v>3</v>
      </c>
    </row>
    <row r="4591" spans="1:14" x14ac:dyDescent="0.25">
      <c r="A4591">
        <v>5590</v>
      </c>
      <c r="B4591" s="1">
        <v>45769</v>
      </c>
      <c r="C4591" s="4">
        <f>MONTH(datos_ventas[[#This Row],[Fecha]])</f>
        <v>4</v>
      </c>
      <c r="D4591" s="4">
        <f>WEEKNUM(datos_ventas[[#This Row],[Fecha]],2)</f>
        <v>17</v>
      </c>
      <c r="E4591" t="s">
        <v>20</v>
      </c>
      <c r="F4591" t="s">
        <v>21</v>
      </c>
      <c r="G4591">
        <v>1</v>
      </c>
      <c r="H4591">
        <v>8700</v>
      </c>
      <c r="I4591">
        <v>2236</v>
      </c>
      <c r="J4591" t="s">
        <v>32</v>
      </c>
      <c r="K4591" t="str">
        <f>_xlfn.XLOOKUP(datos_ventas[[#This Row],[Ciudad]],Tabla2[Ciudades],Tabla2[Provincias],"no se encuentra")</f>
        <v>Barcelona</v>
      </c>
      <c r="L4591" t="str">
        <f>_xlfn.XLOOKUP(datos_ventas[[#This Row],[Provincia]],Tabla2[Provincias],Tabla2[Comunidades],"no se encuentra")</f>
        <v>Cataluña</v>
      </c>
      <c r="M4591" t="s">
        <v>19</v>
      </c>
      <c r="N4591">
        <v>3</v>
      </c>
    </row>
    <row r="4592" spans="1:14" x14ac:dyDescent="0.25">
      <c r="A4592">
        <v>5591</v>
      </c>
      <c r="B4592" s="1">
        <v>45932</v>
      </c>
      <c r="C4592" s="4">
        <f>MONTH(datos_ventas[[#This Row],[Fecha]])</f>
        <v>10</v>
      </c>
      <c r="D4592" s="4">
        <f>WEEKNUM(datos_ventas[[#This Row],[Fecha]],2)</f>
        <v>40</v>
      </c>
      <c r="E4592" t="s">
        <v>24</v>
      </c>
      <c r="F4592" t="s">
        <v>25</v>
      </c>
      <c r="G4592">
        <v>5</v>
      </c>
      <c r="H4592">
        <v>43028</v>
      </c>
      <c r="I4592">
        <v>2151</v>
      </c>
      <c r="J4592" t="s">
        <v>31</v>
      </c>
      <c r="K4592" t="str">
        <f>_xlfn.XLOOKUP(datos_ventas[[#This Row],[Ciudad]],Tabla2[Ciudades],Tabla2[Provincias],"no se encuentra")</f>
        <v>Vizcaya</v>
      </c>
      <c r="L4592" t="str">
        <f>_xlfn.XLOOKUP(datos_ventas[[#This Row],[Provincia]],Tabla2[Provincias],Tabla2[Comunidades],"no se encuentra")</f>
        <v>País Vasco</v>
      </c>
      <c r="M4592" t="s">
        <v>13</v>
      </c>
      <c r="N4592">
        <v>3</v>
      </c>
    </row>
    <row r="4593" spans="1:14" x14ac:dyDescent="0.25">
      <c r="A4593">
        <v>5592</v>
      </c>
      <c r="B4593" s="1">
        <v>45820</v>
      </c>
      <c r="C4593" s="4">
        <f>MONTH(datos_ventas[[#This Row],[Fecha]])</f>
        <v>6</v>
      </c>
      <c r="D4593" s="4">
        <f>WEEKNUM(datos_ventas[[#This Row],[Fecha]],2)</f>
        <v>24</v>
      </c>
      <c r="E4593" t="s">
        <v>17</v>
      </c>
      <c r="F4593" t="s">
        <v>18</v>
      </c>
      <c r="G4593">
        <v>3</v>
      </c>
      <c r="H4593">
        <v>118824</v>
      </c>
      <c r="I4593">
        <v>320</v>
      </c>
      <c r="J4593" t="s">
        <v>31</v>
      </c>
      <c r="K4593" t="str">
        <f>_xlfn.XLOOKUP(datos_ventas[[#This Row],[Ciudad]],Tabla2[Ciudades],Tabla2[Provincias],"no se encuentra")</f>
        <v>Vizcaya</v>
      </c>
      <c r="L4593" t="str">
        <f>_xlfn.XLOOKUP(datos_ventas[[#This Row],[Provincia]],Tabla2[Provincias],Tabla2[Comunidades],"no se encuentra")</f>
        <v>País Vasco</v>
      </c>
      <c r="M4593" t="s">
        <v>19</v>
      </c>
      <c r="N4593">
        <v>5</v>
      </c>
    </row>
    <row r="4594" spans="1:14" x14ac:dyDescent="0.25">
      <c r="A4594">
        <v>5593</v>
      </c>
      <c r="B4594" s="1">
        <v>45929</v>
      </c>
      <c r="C4594" s="4">
        <f>MONTH(datos_ventas[[#This Row],[Fecha]])</f>
        <v>9</v>
      </c>
      <c r="D4594" s="4">
        <f>WEEKNUM(datos_ventas[[#This Row],[Fecha]],2)</f>
        <v>40</v>
      </c>
      <c r="E4594" t="s">
        <v>26</v>
      </c>
      <c r="F4594" t="s">
        <v>18</v>
      </c>
      <c r="G4594">
        <v>2</v>
      </c>
      <c r="H4594">
        <v>7068</v>
      </c>
      <c r="I4594">
        <v>4985</v>
      </c>
      <c r="J4594" t="s">
        <v>14</v>
      </c>
      <c r="K4594" t="str">
        <f>_xlfn.XLOOKUP(datos_ventas[[#This Row],[Ciudad]],Tabla2[Ciudades],Tabla2[Provincias],"no se encuentra")</f>
        <v>Madrid</v>
      </c>
      <c r="L4594" t="str">
        <f>_xlfn.XLOOKUP(datos_ventas[[#This Row],[Provincia]],Tabla2[Provincias],Tabla2[Comunidades],"no se encuentra")</f>
        <v>Comunidad de Madrid</v>
      </c>
      <c r="M4594" t="s">
        <v>19</v>
      </c>
      <c r="N4594">
        <v>1</v>
      </c>
    </row>
    <row r="4595" spans="1:14" x14ac:dyDescent="0.25">
      <c r="A4595">
        <v>5594</v>
      </c>
      <c r="B4595" s="1">
        <v>45976</v>
      </c>
      <c r="C4595" s="4">
        <f>MONTH(datos_ventas[[#This Row],[Fecha]])</f>
        <v>11</v>
      </c>
      <c r="D4595" s="4">
        <f>WEEKNUM(datos_ventas[[#This Row],[Fecha]],2)</f>
        <v>46</v>
      </c>
      <c r="E4595" t="s">
        <v>29</v>
      </c>
      <c r="F4595" t="s">
        <v>30</v>
      </c>
      <c r="G4595">
        <v>1</v>
      </c>
      <c r="H4595">
        <v>107551</v>
      </c>
      <c r="I4595">
        <v>3362</v>
      </c>
      <c r="J4595" t="s">
        <v>12</v>
      </c>
      <c r="K4595" t="str">
        <f>_xlfn.XLOOKUP(datos_ventas[[#This Row],[Ciudad]],Tabla2[Ciudades],Tabla2[Provincias],"no se encuentra")</f>
        <v>Málaga</v>
      </c>
      <c r="L4595" t="str">
        <f>_xlfn.XLOOKUP(datos_ventas[[#This Row],[Provincia]],Tabla2[Provincias],Tabla2[Comunidades],"no se encuentra")</f>
        <v>Andalucía</v>
      </c>
      <c r="M4595" t="s">
        <v>13</v>
      </c>
      <c r="N4595">
        <v>4</v>
      </c>
    </row>
    <row r="4596" spans="1:14" x14ac:dyDescent="0.25">
      <c r="A4596">
        <v>5595</v>
      </c>
      <c r="B4596" s="1">
        <v>45935</v>
      </c>
      <c r="C4596" s="4">
        <f>MONTH(datos_ventas[[#This Row],[Fecha]])</f>
        <v>10</v>
      </c>
      <c r="D4596" s="4">
        <f>WEEKNUM(datos_ventas[[#This Row],[Fecha]],2)</f>
        <v>40</v>
      </c>
      <c r="E4596" t="s">
        <v>17</v>
      </c>
      <c r="F4596" t="s">
        <v>18</v>
      </c>
      <c r="G4596">
        <v>1</v>
      </c>
      <c r="H4596">
        <v>33439</v>
      </c>
      <c r="I4596">
        <v>1127</v>
      </c>
      <c r="J4596" t="s">
        <v>22</v>
      </c>
      <c r="K4596" t="str">
        <f>_xlfn.XLOOKUP(datos_ventas[[#This Row],[Ciudad]],Tabla2[Ciudades],Tabla2[Provincias],"no se encuentra")</f>
        <v>Valencia</v>
      </c>
      <c r="L4596" t="str">
        <f>_xlfn.XLOOKUP(datos_ventas[[#This Row],[Provincia]],Tabla2[Provincias],Tabla2[Comunidades],"no se encuentra")</f>
        <v>Comunidad Valenciana</v>
      </c>
      <c r="M4596" t="s">
        <v>28</v>
      </c>
      <c r="N4596">
        <v>4</v>
      </c>
    </row>
    <row r="4597" spans="1:14" x14ac:dyDescent="0.25">
      <c r="A4597">
        <v>5596</v>
      </c>
      <c r="B4597" s="1">
        <v>45968</v>
      </c>
      <c r="C4597" s="4">
        <f>MONTH(datos_ventas[[#This Row],[Fecha]])</f>
        <v>11</v>
      </c>
      <c r="D4597" s="4">
        <f>WEEKNUM(datos_ventas[[#This Row],[Fecha]],2)</f>
        <v>45</v>
      </c>
      <c r="E4597" t="s">
        <v>10</v>
      </c>
      <c r="F4597" t="s">
        <v>11</v>
      </c>
      <c r="G4597">
        <v>1</v>
      </c>
      <c r="H4597">
        <v>54543</v>
      </c>
      <c r="I4597">
        <v>4714</v>
      </c>
      <c r="J4597" t="s">
        <v>14</v>
      </c>
      <c r="K4597" t="str">
        <f>_xlfn.XLOOKUP(datos_ventas[[#This Row],[Ciudad]],Tabla2[Ciudades],Tabla2[Provincias],"no se encuentra")</f>
        <v>Madrid</v>
      </c>
      <c r="L4597" t="str">
        <f>_xlfn.XLOOKUP(datos_ventas[[#This Row],[Provincia]],Tabla2[Provincias],Tabla2[Comunidades],"no se encuentra")</f>
        <v>Comunidad de Madrid</v>
      </c>
      <c r="M4597" t="s">
        <v>19</v>
      </c>
      <c r="N4597">
        <v>1</v>
      </c>
    </row>
    <row r="4598" spans="1:14" x14ac:dyDescent="0.25">
      <c r="A4598">
        <v>5597</v>
      </c>
      <c r="B4598" s="1">
        <v>45856</v>
      </c>
      <c r="C4598" s="4">
        <f>MONTH(datos_ventas[[#This Row],[Fecha]])</f>
        <v>7</v>
      </c>
      <c r="D4598" s="4">
        <f>WEEKNUM(datos_ventas[[#This Row],[Fecha]],2)</f>
        <v>29</v>
      </c>
      <c r="E4598" t="s">
        <v>26</v>
      </c>
      <c r="F4598" t="s">
        <v>18</v>
      </c>
      <c r="G4598">
        <v>2</v>
      </c>
      <c r="H4598">
        <v>5572</v>
      </c>
      <c r="I4598">
        <v>832</v>
      </c>
      <c r="J4598" t="s">
        <v>14</v>
      </c>
      <c r="K4598" t="str">
        <f>_xlfn.XLOOKUP(datos_ventas[[#This Row],[Ciudad]],Tabla2[Ciudades],Tabla2[Provincias],"no se encuentra")</f>
        <v>Madrid</v>
      </c>
      <c r="L4598" t="str">
        <f>_xlfn.XLOOKUP(datos_ventas[[#This Row],[Provincia]],Tabla2[Provincias],Tabla2[Comunidades],"no se encuentra")</f>
        <v>Comunidad de Madrid</v>
      </c>
      <c r="M4598" t="s">
        <v>15</v>
      </c>
      <c r="N4598">
        <v>3</v>
      </c>
    </row>
    <row r="4599" spans="1:14" x14ac:dyDescent="0.25">
      <c r="A4599">
        <v>5598</v>
      </c>
      <c r="B4599" s="1">
        <v>45794</v>
      </c>
      <c r="C4599" s="4">
        <f>MONTH(datos_ventas[[#This Row],[Fecha]])</f>
        <v>5</v>
      </c>
      <c r="D4599" s="4">
        <f>WEEKNUM(datos_ventas[[#This Row],[Fecha]],2)</f>
        <v>20</v>
      </c>
      <c r="E4599" t="s">
        <v>29</v>
      </c>
      <c r="F4599" t="s">
        <v>30</v>
      </c>
      <c r="G4599">
        <v>5</v>
      </c>
      <c r="H4599">
        <v>33317</v>
      </c>
      <c r="I4599">
        <v>2498</v>
      </c>
      <c r="J4599" t="s">
        <v>22</v>
      </c>
      <c r="K4599" t="str">
        <f>_xlfn.XLOOKUP(datos_ventas[[#This Row],[Ciudad]],Tabla2[Ciudades],Tabla2[Provincias],"no se encuentra")</f>
        <v>Valencia</v>
      </c>
      <c r="L4599" t="str">
        <f>_xlfn.XLOOKUP(datos_ventas[[#This Row],[Provincia]],Tabla2[Provincias],Tabla2[Comunidades],"no se encuentra")</f>
        <v>Comunidad Valenciana</v>
      </c>
      <c r="M4599" t="s">
        <v>19</v>
      </c>
      <c r="N4599">
        <v>1</v>
      </c>
    </row>
    <row r="4600" spans="1:14" x14ac:dyDescent="0.25">
      <c r="A4600">
        <v>5599</v>
      </c>
      <c r="B4600" s="1">
        <v>45994</v>
      </c>
      <c r="C4600" s="4">
        <f>MONTH(datos_ventas[[#This Row],[Fecha]])</f>
        <v>12</v>
      </c>
      <c r="D4600" s="4">
        <f>WEEKNUM(datos_ventas[[#This Row],[Fecha]],2)</f>
        <v>49</v>
      </c>
      <c r="E4600" t="s">
        <v>16</v>
      </c>
      <c r="F4600" t="s">
        <v>11</v>
      </c>
      <c r="G4600">
        <v>4</v>
      </c>
      <c r="H4600">
        <v>22807</v>
      </c>
      <c r="I4600">
        <v>3169</v>
      </c>
      <c r="J4600" t="s">
        <v>32</v>
      </c>
      <c r="K4600" t="str">
        <f>_xlfn.XLOOKUP(datos_ventas[[#This Row],[Ciudad]],Tabla2[Ciudades],Tabla2[Provincias],"no se encuentra")</f>
        <v>Barcelona</v>
      </c>
      <c r="L4600" t="str">
        <f>_xlfn.XLOOKUP(datos_ventas[[#This Row],[Provincia]],Tabla2[Provincias],Tabla2[Comunidades],"no se encuentra")</f>
        <v>Cataluña</v>
      </c>
      <c r="M4600" t="s">
        <v>28</v>
      </c>
      <c r="N4600">
        <v>1</v>
      </c>
    </row>
    <row r="4601" spans="1:14" x14ac:dyDescent="0.25">
      <c r="A4601">
        <v>5600</v>
      </c>
      <c r="B4601" s="1">
        <v>45891</v>
      </c>
      <c r="C4601" s="4">
        <f>MONTH(datos_ventas[[#This Row],[Fecha]])</f>
        <v>8</v>
      </c>
      <c r="D4601" s="4">
        <f>WEEKNUM(datos_ventas[[#This Row],[Fecha]],2)</f>
        <v>34</v>
      </c>
      <c r="E4601" t="s">
        <v>16</v>
      </c>
      <c r="F4601" t="s">
        <v>11</v>
      </c>
      <c r="G4601">
        <v>2</v>
      </c>
      <c r="H4601">
        <v>53897</v>
      </c>
      <c r="I4601">
        <v>785</v>
      </c>
      <c r="J4601" t="s">
        <v>14</v>
      </c>
      <c r="K4601" t="str">
        <f>_xlfn.XLOOKUP(datos_ventas[[#This Row],[Ciudad]],Tabla2[Ciudades],Tabla2[Provincias],"no se encuentra")</f>
        <v>Madrid</v>
      </c>
      <c r="L4601" t="str">
        <f>_xlfn.XLOOKUP(datos_ventas[[#This Row],[Provincia]],Tabla2[Provincias],Tabla2[Comunidades],"no se encuentra")</f>
        <v>Comunidad de Madrid</v>
      </c>
      <c r="M4601" t="s">
        <v>19</v>
      </c>
      <c r="N4601">
        <v>1</v>
      </c>
    </row>
    <row r="4602" spans="1:14" x14ac:dyDescent="0.25">
      <c r="A4602">
        <v>5601</v>
      </c>
      <c r="B4602" s="1">
        <v>46004</v>
      </c>
      <c r="C4602" s="4">
        <f>MONTH(datos_ventas[[#This Row],[Fecha]])</f>
        <v>12</v>
      </c>
      <c r="D4602" s="4">
        <f>WEEKNUM(datos_ventas[[#This Row],[Fecha]],2)</f>
        <v>50</v>
      </c>
      <c r="E4602" t="s">
        <v>26</v>
      </c>
      <c r="F4602" t="s">
        <v>18</v>
      </c>
      <c r="G4602">
        <v>5</v>
      </c>
      <c r="H4602">
        <v>30066</v>
      </c>
      <c r="I4602">
        <v>3727</v>
      </c>
      <c r="J4602" t="s">
        <v>22</v>
      </c>
      <c r="K4602" t="str">
        <f>_xlfn.XLOOKUP(datos_ventas[[#This Row],[Ciudad]],Tabla2[Ciudades],Tabla2[Provincias],"no se encuentra")</f>
        <v>Valencia</v>
      </c>
      <c r="L4602" t="str">
        <f>_xlfn.XLOOKUP(datos_ventas[[#This Row],[Provincia]],Tabla2[Provincias],Tabla2[Comunidades],"no se encuentra")</f>
        <v>Comunidad Valenciana</v>
      </c>
      <c r="M4602" t="s">
        <v>19</v>
      </c>
      <c r="N4602">
        <v>4</v>
      </c>
    </row>
    <row r="4603" spans="1:14" x14ac:dyDescent="0.25">
      <c r="A4603">
        <v>5602</v>
      </c>
      <c r="B4603" s="1">
        <v>45694</v>
      </c>
      <c r="C4603" s="4">
        <f>MONTH(datos_ventas[[#This Row],[Fecha]])</f>
        <v>2</v>
      </c>
      <c r="D4603" s="4">
        <f>WEEKNUM(datos_ventas[[#This Row],[Fecha]],2)</f>
        <v>6</v>
      </c>
      <c r="E4603" t="s">
        <v>17</v>
      </c>
      <c r="F4603" t="s">
        <v>18</v>
      </c>
      <c r="G4603">
        <v>3</v>
      </c>
      <c r="H4603">
        <v>112471</v>
      </c>
      <c r="I4603">
        <v>2506</v>
      </c>
      <c r="J4603" t="s">
        <v>12</v>
      </c>
      <c r="K4603" t="str">
        <f>_xlfn.XLOOKUP(datos_ventas[[#This Row],[Ciudad]],Tabla2[Ciudades],Tabla2[Provincias],"no se encuentra")</f>
        <v>Málaga</v>
      </c>
      <c r="L4603" t="str">
        <f>_xlfn.XLOOKUP(datos_ventas[[#This Row],[Provincia]],Tabla2[Provincias],Tabla2[Comunidades],"no se encuentra")</f>
        <v>Andalucía</v>
      </c>
      <c r="M4603" t="s">
        <v>28</v>
      </c>
      <c r="N4603">
        <v>2</v>
      </c>
    </row>
    <row r="4604" spans="1:14" x14ac:dyDescent="0.25">
      <c r="A4604">
        <v>5603</v>
      </c>
      <c r="B4604" s="1">
        <v>45695</v>
      </c>
      <c r="C4604" s="4">
        <f>MONTH(datos_ventas[[#This Row],[Fecha]])</f>
        <v>2</v>
      </c>
      <c r="D4604" s="4">
        <f>WEEKNUM(datos_ventas[[#This Row],[Fecha]],2)</f>
        <v>6</v>
      </c>
      <c r="E4604" t="s">
        <v>10</v>
      </c>
      <c r="F4604" t="s">
        <v>11</v>
      </c>
      <c r="G4604">
        <v>5</v>
      </c>
      <c r="H4604">
        <v>37014</v>
      </c>
      <c r="I4604">
        <v>1732</v>
      </c>
      <c r="J4604" t="s">
        <v>32</v>
      </c>
      <c r="K4604" t="str">
        <f>_xlfn.XLOOKUP(datos_ventas[[#This Row],[Ciudad]],Tabla2[Ciudades],Tabla2[Provincias],"no se encuentra")</f>
        <v>Barcelona</v>
      </c>
      <c r="L4604" t="str">
        <f>_xlfn.XLOOKUP(datos_ventas[[#This Row],[Provincia]],Tabla2[Provincias],Tabla2[Comunidades],"no se encuentra")</f>
        <v>Cataluña</v>
      </c>
      <c r="M4604" t="s">
        <v>19</v>
      </c>
      <c r="N4604">
        <v>1</v>
      </c>
    </row>
    <row r="4605" spans="1:14" x14ac:dyDescent="0.25">
      <c r="A4605">
        <v>5604</v>
      </c>
      <c r="B4605" s="1">
        <v>45925</v>
      </c>
      <c r="C4605" s="4">
        <f>MONTH(datos_ventas[[#This Row],[Fecha]])</f>
        <v>9</v>
      </c>
      <c r="D4605" s="4">
        <f>WEEKNUM(datos_ventas[[#This Row],[Fecha]],2)</f>
        <v>39</v>
      </c>
      <c r="E4605" t="s">
        <v>16</v>
      </c>
      <c r="F4605" t="s">
        <v>11</v>
      </c>
      <c r="G4605">
        <v>3</v>
      </c>
      <c r="H4605">
        <v>85859</v>
      </c>
      <c r="I4605">
        <v>3478</v>
      </c>
      <c r="J4605" t="s">
        <v>14</v>
      </c>
      <c r="K4605" t="str">
        <f>_xlfn.XLOOKUP(datos_ventas[[#This Row],[Ciudad]],Tabla2[Ciudades],Tabla2[Provincias],"no se encuentra")</f>
        <v>Madrid</v>
      </c>
      <c r="L4605" t="str">
        <f>_xlfn.XLOOKUP(datos_ventas[[#This Row],[Provincia]],Tabla2[Provincias],Tabla2[Comunidades],"no se encuentra")</f>
        <v>Comunidad de Madrid</v>
      </c>
      <c r="M4605" t="s">
        <v>19</v>
      </c>
      <c r="N4605">
        <v>3</v>
      </c>
    </row>
    <row r="4606" spans="1:14" x14ac:dyDescent="0.25">
      <c r="A4606">
        <v>5605</v>
      </c>
      <c r="B4606" s="1">
        <v>45985</v>
      </c>
      <c r="C4606" s="4">
        <f>MONTH(datos_ventas[[#This Row],[Fecha]])</f>
        <v>11</v>
      </c>
      <c r="D4606" s="4">
        <f>WEEKNUM(datos_ventas[[#This Row],[Fecha]],2)</f>
        <v>48</v>
      </c>
      <c r="E4606" t="s">
        <v>17</v>
      </c>
      <c r="F4606" t="s">
        <v>18</v>
      </c>
      <c r="G4606">
        <v>5</v>
      </c>
      <c r="H4606">
        <v>819</v>
      </c>
      <c r="I4606">
        <v>2866</v>
      </c>
      <c r="J4606" t="s">
        <v>31</v>
      </c>
      <c r="K4606" t="str">
        <f>_xlfn.XLOOKUP(datos_ventas[[#This Row],[Ciudad]],Tabla2[Ciudades],Tabla2[Provincias],"no se encuentra")</f>
        <v>Vizcaya</v>
      </c>
      <c r="L4606" t="str">
        <f>_xlfn.XLOOKUP(datos_ventas[[#This Row],[Provincia]],Tabla2[Provincias],Tabla2[Comunidades],"no se encuentra")</f>
        <v>País Vasco</v>
      </c>
      <c r="M4606" t="s">
        <v>19</v>
      </c>
      <c r="N4606">
        <v>2</v>
      </c>
    </row>
    <row r="4607" spans="1:14" x14ac:dyDescent="0.25">
      <c r="A4607">
        <v>5606</v>
      </c>
      <c r="B4607" s="1">
        <v>45965</v>
      </c>
      <c r="C4607" s="4">
        <f>MONTH(datos_ventas[[#This Row],[Fecha]])</f>
        <v>11</v>
      </c>
      <c r="D4607" s="4">
        <f>WEEKNUM(datos_ventas[[#This Row],[Fecha]],2)</f>
        <v>45</v>
      </c>
      <c r="E4607" t="s">
        <v>10</v>
      </c>
      <c r="F4607" t="s">
        <v>11</v>
      </c>
      <c r="G4607">
        <v>4</v>
      </c>
      <c r="H4607">
        <v>113216</v>
      </c>
      <c r="I4607">
        <v>2996</v>
      </c>
      <c r="J4607" t="s">
        <v>14</v>
      </c>
      <c r="K4607" t="str">
        <f>_xlfn.XLOOKUP(datos_ventas[[#This Row],[Ciudad]],Tabla2[Ciudades],Tabla2[Provincias],"no se encuentra")</f>
        <v>Madrid</v>
      </c>
      <c r="L4607" t="str">
        <f>_xlfn.XLOOKUP(datos_ventas[[#This Row],[Provincia]],Tabla2[Provincias],Tabla2[Comunidades],"no se encuentra")</f>
        <v>Comunidad de Madrid</v>
      </c>
      <c r="M4607" t="s">
        <v>13</v>
      </c>
      <c r="N4607">
        <v>2</v>
      </c>
    </row>
    <row r="4608" spans="1:14" x14ac:dyDescent="0.25">
      <c r="A4608">
        <v>5607</v>
      </c>
      <c r="B4608" s="1">
        <v>45958</v>
      </c>
      <c r="C4608" s="4">
        <f>MONTH(datos_ventas[[#This Row],[Fecha]])</f>
        <v>10</v>
      </c>
      <c r="D4608" s="4">
        <f>WEEKNUM(datos_ventas[[#This Row],[Fecha]],2)</f>
        <v>44</v>
      </c>
      <c r="E4608" t="s">
        <v>24</v>
      </c>
      <c r="F4608" t="s">
        <v>25</v>
      </c>
      <c r="G4608">
        <v>4</v>
      </c>
      <c r="H4608">
        <v>37566</v>
      </c>
      <c r="I4608">
        <v>603</v>
      </c>
      <c r="J4608" t="s">
        <v>32</v>
      </c>
      <c r="K4608" t="str">
        <f>_xlfn.XLOOKUP(datos_ventas[[#This Row],[Ciudad]],Tabla2[Ciudades],Tabla2[Provincias],"no se encuentra")</f>
        <v>Barcelona</v>
      </c>
      <c r="L4608" t="str">
        <f>_xlfn.XLOOKUP(datos_ventas[[#This Row],[Provincia]],Tabla2[Provincias],Tabla2[Comunidades],"no se encuentra")</f>
        <v>Cataluña</v>
      </c>
      <c r="M4608" t="s">
        <v>15</v>
      </c>
      <c r="N4608">
        <v>1</v>
      </c>
    </row>
    <row r="4609" spans="1:14" x14ac:dyDescent="0.25">
      <c r="A4609">
        <v>5608</v>
      </c>
      <c r="B4609" s="1">
        <v>45849</v>
      </c>
      <c r="C4609" s="4">
        <f>MONTH(datos_ventas[[#This Row],[Fecha]])</f>
        <v>7</v>
      </c>
      <c r="D4609" s="4">
        <f>WEEKNUM(datos_ventas[[#This Row],[Fecha]],2)</f>
        <v>28</v>
      </c>
      <c r="E4609" t="s">
        <v>17</v>
      </c>
      <c r="F4609" t="s">
        <v>18</v>
      </c>
      <c r="G4609">
        <v>3</v>
      </c>
      <c r="H4609">
        <v>40055</v>
      </c>
      <c r="I4609">
        <v>2151</v>
      </c>
      <c r="J4609" t="s">
        <v>12</v>
      </c>
      <c r="K4609" t="str">
        <f>_xlfn.XLOOKUP(datos_ventas[[#This Row],[Ciudad]],Tabla2[Ciudades],Tabla2[Provincias],"no se encuentra")</f>
        <v>Málaga</v>
      </c>
      <c r="L4609" t="str">
        <f>_xlfn.XLOOKUP(datos_ventas[[#This Row],[Provincia]],Tabla2[Provincias],Tabla2[Comunidades],"no se encuentra")</f>
        <v>Andalucía</v>
      </c>
      <c r="M4609" t="s">
        <v>28</v>
      </c>
      <c r="N4609">
        <v>1</v>
      </c>
    </row>
    <row r="4610" spans="1:14" x14ac:dyDescent="0.25">
      <c r="A4610">
        <v>5609</v>
      </c>
      <c r="B4610" s="1">
        <v>45781</v>
      </c>
      <c r="C4610" s="4">
        <f>MONTH(datos_ventas[[#This Row],[Fecha]])</f>
        <v>5</v>
      </c>
      <c r="D4610" s="4">
        <f>WEEKNUM(datos_ventas[[#This Row],[Fecha]],2)</f>
        <v>18</v>
      </c>
      <c r="E4610" t="s">
        <v>17</v>
      </c>
      <c r="F4610" t="s">
        <v>18</v>
      </c>
      <c r="G4610">
        <v>5</v>
      </c>
      <c r="H4610">
        <v>54188</v>
      </c>
      <c r="I4610">
        <v>79</v>
      </c>
      <c r="J4610" t="s">
        <v>14</v>
      </c>
      <c r="K4610" t="str">
        <f>_xlfn.XLOOKUP(datos_ventas[[#This Row],[Ciudad]],Tabla2[Ciudades],Tabla2[Provincias],"no se encuentra")</f>
        <v>Madrid</v>
      </c>
      <c r="L4610" t="str">
        <f>_xlfn.XLOOKUP(datos_ventas[[#This Row],[Provincia]],Tabla2[Provincias],Tabla2[Comunidades],"no se encuentra")</f>
        <v>Comunidad de Madrid</v>
      </c>
      <c r="M4610" t="s">
        <v>13</v>
      </c>
      <c r="N4610">
        <v>3</v>
      </c>
    </row>
    <row r="4611" spans="1:14" x14ac:dyDescent="0.25">
      <c r="A4611">
        <v>5610</v>
      </c>
      <c r="B4611" s="1">
        <v>45947</v>
      </c>
      <c r="C4611" s="4">
        <f>MONTH(datos_ventas[[#This Row],[Fecha]])</f>
        <v>10</v>
      </c>
      <c r="D4611" s="4">
        <f>WEEKNUM(datos_ventas[[#This Row],[Fecha]],2)</f>
        <v>42</v>
      </c>
      <c r="E4611" t="s">
        <v>26</v>
      </c>
      <c r="F4611" t="s">
        <v>18</v>
      </c>
      <c r="G4611">
        <v>3</v>
      </c>
      <c r="H4611">
        <v>5695</v>
      </c>
      <c r="I4611">
        <v>3841</v>
      </c>
      <c r="J4611" t="s">
        <v>27</v>
      </c>
      <c r="K4611" t="str">
        <f>_xlfn.XLOOKUP(datos_ventas[[#This Row],[Ciudad]],Tabla2[Ciudades],Tabla2[Provincias],"no se encuentra")</f>
        <v>Sevilla</v>
      </c>
      <c r="L4611" t="str">
        <f>_xlfn.XLOOKUP(datos_ventas[[#This Row],[Provincia]],Tabla2[Provincias],Tabla2[Comunidades],"no se encuentra")</f>
        <v>Andalucía</v>
      </c>
      <c r="M4611" t="s">
        <v>15</v>
      </c>
      <c r="N4611">
        <v>3</v>
      </c>
    </row>
    <row r="4612" spans="1:14" x14ac:dyDescent="0.25">
      <c r="A4612">
        <v>5611</v>
      </c>
      <c r="B4612" s="1">
        <v>45674</v>
      </c>
      <c r="C4612" s="4">
        <f>MONTH(datos_ventas[[#This Row],[Fecha]])</f>
        <v>1</v>
      </c>
      <c r="D4612" s="4">
        <f>WEEKNUM(datos_ventas[[#This Row],[Fecha]],2)</f>
        <v>3</v>
      </c>
      <c r="E4612" t="s">
        <v>10</v>
      </c>
      <c r="F4612" t="s">
        <v>11</v>
      </c>
      <c r="G4612">
        <v>2</v>
      </c>
      <c r="H4612">
        <v>98362</v>
      </c>
      <c r="I4612">
        <v>927</v>
      </c>
      <c r="J4612" t="s">
        <v>14</v>
      </c>
      <c r="K4612" t="str">
        <f>_xlfn.XLOOKUP(datos_ventas[[#This Row],[Ciudad]],Tabla2[Ciudades],Tabla2[Provincias],"no se encuentra")</f>
        <v>Madrid</v>
      </c>
      <c r="L4612" t="str">
        <f>_xlfn.XLOOKUP(datos_ventas[[#This Row],[Provincia]],Tabla2[Provincias],Tabla2[Comunidades],"no se encuentra")</f>
        <v>Comunidad de Madrid</v>
      </c>
      <c r="M4612" t="s">
        <v>19</v>
      </c>
      <c r="N4612">
        <v>1</v>
      </c>
    </row>
    <row r="4613" spans="1:14" x14ac:dyDescent="0.25">
      <c r="A4613">
        <v>5612</v>
      </c>
      <c r="B4613" s="1">
        <v>45761</v>
      </c>
      <c r="C4613" s="4">
        <f>MONTH(datos_ventas[[#This Row],[Fecha]])</f>
        <v>4</v>
      </c>
      <c r="D4613" s="4">
        <f>WEEKNUM(datos_ventas[[#This Row],[Fecha]],2)</f>
        <v>16</v>
      </c>
      <c r="E4613" t="s">
        <v>16</v>
      </c>
      <c r="F4613" t="s">
        <v>11</v>
      </c>
      <c r="G4613">
        <v>5</v>
      </c>
      <c r="H4613">
        <v>26242</v>
      </c>
      <c r="I4613">
        <v>3492</v>
      </c>
      <c r="J4613" t="s">
        <v>22</v>
      </c>
      <c r="K4613" t="str">
        <f>_xlfn.XLOOKUP(datos_ventas[[#This Row],[Ciudad]],Tabla2[Ciudades],Tabla2[Provincias],"no se encuentra")</f>
        <v>Valencia</v>
      </c>
      <c r="L4613" t="str">
        <f>_xlfn.XLOOKUP(datos_ventas[[#This Row],[Provincia]],Tabla2[Provincias],Tabla2[Comunidades],"no se encuentra")</f>
        <v>Comunidad Valenciana</v>
      </c>
      <c r="M4613" t="s">
        <v>13</v>
      </c>
      <c r="N4613">
        <v>2</v>
      </c>
    </row>
    <row r="4614" spans="1:14" x14ac:dyDescent="0.25">
      <c r="A4614">
        <v>5613</v>
      </c>
      <c r="B4614" s="1">
        <v>45852</v>
      </c>
      <c r="C4614" s="4">
        <f>MONTH(datos_ventas[[#This Row],[Fecha]])</f>
        <v>7</v>
      </c>
      <c r="D4614" s="4">
        <f>WEEKNUM(datos_ventas[[#This Row],[Fecha]],2)</f>
        <v>29</v>
      </c>
      <c r="E4614" t="s">
        <v>16</v>
      </c>
      <c r="F4614" t="s">
        <v>11</v>
      </c>
      <c r="G4614">
        <v>1</v>
      </c>
      <c r="H4614">
        <v>73875</v>
      </c>
      <c r="I4614">
        <v>4042</v>
      </c>
      <c r="J4614" t="s">
        <v>14</v>
      </c>
      <c r="K4614" t="str">
        <f>_xlfn.XLOOKUP(datos_ventas[[#This Row],[Ciudad]],Tabla2[Ciudades],Tabla2[Provincias],"no se encuentra")</f>
        <v>Madrid</v>
      </c>
      <c r="L4614" t="str">
        <f>_xlfn.XLOOKUP(datos_ventas[[#This Row],[Provincia]],Tabla2[Provincias],Tabla2[Comunidades],"no se encuentra")</f>
        <v>Comunidad de Madrid</v>
      </c>
      <c r="M4614" t="s">
        <v>19</v>
      </c>
      <c r="N4614">
        <v>2</v>
      </c>
    </row>
    <row r="4615" spans="1:14" x14ac:dyDescent="0.25">
      <c r="A4615">
        <v>5614</v>
      </c>
      <c r="B4615" s="1">
        <v>45791</v>
      </c>
      <c r="C4615" s="4">
        <f>MONTH(datos_ventas[[#This Row],[Fecha]])</f>
        <v>5</v>
      </c>
      <c r="D4615" s="4">
        <f>WEEKNUM(datos_ventas[[#This Row],[Fecha]],2)</f>
        <v>20</v>
      </c>
      <c r="E4615" t="s">
        <v>26</v>
      </c>
      <c r="F4615" t="s">
        <v>18</v>
      </c>
      <c r="G4615">
        <v>1</v>
      </c>
      <c r="H4615">
        <v>6739</v>
      </c>
      <c r="I4615">
        <v>2281</v>
      </c>
      <c r="J4615" t="s">
        <v>14</v>
      </c>
      <c r="K4615" t="str">
        <f>_xlfn.XLOOKUP(datos_ventas[[#This Row],[Ciudad]],Tabla2[Ciudades],Tabla2[Provincias],"no se encuentra")</f>
        <v>Madrid</v>
      </c>
      <c r="L4615" t="str">
        <f>_xlfn.XLOOKUP(datos_ventas[[#This Row],[Provincia]],Tabla2[Provincias],Tabla2[Comunidades],"no se encuentra")</f>
        <v>Comunidad de Madrid</v>
      </c>
      <c r="M4615" t="s">
        <v>28</v>
      </c>
      <c r="N4615">
        <v>1</v>
      </c>
    </row>
    <row r="4616" spans="1:14" x14ac:dyDescent="0.25">
      <c r="A4616">
        <v>5615</v>
      </c>
      <c r="B4616" s="1">
        <v>45930</v>
      </c>
      <c r="C4616" s="4">
        <f>MONTH(datos_ventas[[#This Row],[Fecha]])</f>
        <v>9</v>
      </c>
      <c r="D4616" s="4">
        <f>WEEKNUM(datos_ventas[[#This Row],[Fecha]],2)</f>
        <v>40</v>
      </c>
      <c r="E4616" t="s">
        <v>24</v>
      </c>
      <c r="F4616" t="s">
        <v>25</v>
      </c>
      <c r="G4616">
        <v>2</v>
      </c>
      <c r="H4616">
        <v>104195</v>
      </c>
      <c r="I4616">
        <v>4536</v>
      </c>
      <c r="J4616" t="s">
        <v>22</v>
      </c>
      <c r="K4616" t="str">
        <f>_xlfn.XLOOKUP(datos_ventas[[#This Row],[Ciudad]],Tabla2[Ciudades],Tabla2[Provincias],"no se encuentra")</f>
        <v>Valencia</v>
      </c>
      <c r="L4616" t="str">
        <f>_xlfn.XLOOKUP(datos_ventas[[#This Row],[Provincia]],Tabla2[Provincias],Tabla2[Comunidades],"no se encuentra")</f>
        <v>Comunidad Valenciana</v>
      </c>
      <c r="M4616" t="s">
        <v>19</v>
      </c>
      <c r="N4616">
        <v>5</v>
      </c>
    </row>
    <row r="4617" spans="1:14" x14ac:dyDescent="0.25">
      <c r="A4617">
        <v>5616</v>
      </c>
      <c r="B4617" s="1">
        <v>46020</v>
      </c>
      <c r="C4617" s="4">
        <f>MONTH(datos_ventas[[#This Row],[Fecha]])</f>
        <v>12</v>
      </c>
      <c r="D4617" s="4">
        <f>WEEKNUM(datos_ventas[[#This Row],[Fecha]],2)</f>
        <v>53</v>
      </c>
      <c r="E4617" t="s">
        <v>24</v>
      </c>
      <c r="F4617" t="s">
        <v>25</v>
      </c>
      <c r="G4617">
        <v>2</v>
      </c>
      <c r="H4617">
        <v>100161</v>
      </c>
      <c r="I4617">
        <v>1651</v>
      </c>
      <c r="J4617" t="s">
        <v>27</v>
      </c>
      <c r="K4617" t="str">
        <f>_xlfn.XLOOKUP(datos_ventas[[#This Row],[Ciudad]],Tabla2[Ciudades],Tabla2[Provincias],"no se encuentra")</f>
        <v>Sevilla</v>
      </c>
      <c r="L4617" t="str">
        <f>_xlfn.XLOOKUP(datos_ventas[[#This Row],[Provincia]],Tabla2[Provincias],Tabla2[Comunidades],"no se encuentra")</f>
        <v>Andalucía</v>
      </c>
      <c r="M4617" t="s">
        <v>19</v>
      </c>
      <c r="N4617">
        <v>1</v>
      </c>
    </row>
    <row r="4618" spans="1:14" x14ac:dyDescent="0.25">
      <c r="A4618">
        <v>5617</v>
      </c>
      <c r="B4618" s="1">
        <v>45952</v>
      </c>
      <c r="C4618" s="4">
        <f>MONTH(datos_ventas[[#This Row],[Fecha]])</f>
        <v>10</v>
      </c>
      <c r="D4618" s="4">
        <f>WEEKNUM(datos_ventas[[#This Row],[Fecha]],2)</f>
        <v>43</v>
      </c>
      <c r="E4618" t="s">
        <v>17</v>
      </c>
      <c r="F4618" t="s">
        <v>18</v>
      </c>
      <c r="G4618">
        <v>5</v>
      </c>
      <c r="H4618">
        <v>34311</v>
      </c>
      <c r="I4618">
        <v>3027</v>
      </c>
      <c r="J4618" t="s">
        <v>27</v>
      </c>
      <c r="K4618" t="str">
        <f>_xlfn.XLOOKUP(datos_ventas[[#This Row],[Ciudad]],Tabla2[Ciudades],Tabla2[Provincias],"no se encuentra")</f>
        <v>Sevilla</v>
      </c>
      <c r="L4618" t="str">
        <f>_xlfn.XLOOKUP(datos_ventas[[#This Row],[Provincia]],Tabla2[Provincias],Tabla2[Comunidades],"no se encuentra")</f>
        <v>Andalucía</v>
      </c>
      <c r="M4618" t="s">
        <v>15</v>
      </c>
      <c r="N4618">
        <v>2</v>
      </c>
    </row>
    <row r="4619" spans="1:14" x14ac:dyDescent="0.25">
      <c r="A4619">
        <v>5618</v>
      </c>
      <c r="B4619" s="1">
        <v>45717</v>
      </c>
      <c r="C4619" s="4">
        <f>MONTH(datos_ventas[[#This Row],[Fecha]])</f>
        <v>3</v>
      </c>
      <c r="D4619" s="4">
        <f>WEEKNUM(datos_ventas[[#This Row],[Fecha]],2)</f>
        <v>9</v>
      </c>
      <c r="E4619" t="s">
        <v>26</v>
      </c>
      <c r="F4619" t="s">
        <v>18</v>
      </c>
      <c r="G4619">
        <v>1</v>
      </c>
      <c r="H4619">
        <v>113924</v>
      </c>
      <c r="I4619">
        <v>395</v>
      </c>
      <c r="J4619" t="s">
        <v>22</v>
      </c>
      <c r="K4619" t="str">
        <f>_xlfn.XLOOKUP(datos_ventas[[#This Row],[Ciudad]],Tabla2[Ciudades],Tabla2[Provincias],"no se encuentra")</f>
        <v>Valencia</v>
      </c>
      <c r="L4619" t="str">
        <f>_xlfn.XLOOKUP(datos_ventas[[#This Row],[Provincia]],Tabla2[Provincias],Tabla2[Comunidades],"no se encuentra")</f>
        <v>Comunidad Valenciana</v>
      </c>
      <c r="M4619" t="s">
        <v>19</v>
      </c>
      <c r="N4619">
        <v>1</v>
      </c>
    </row>
    <row r="4620" spans="1:14" x14ac:dyDescent="0.25">
      <c r="A4620">
        <v>5619</v>
      </c>
      <c r="B4620" s="1">
        <v>45956</v>
      </c>
      <c r="C4620" s="4">
        <f>MONTH(datos_ventas[[#This Row],[Fecha]])</f>
        <v>10</v>
      </c>
      <c r="D4620" s="4">
        <f>WEEKNUM(datos_ventas[[#This Row],[Fecha]],2)</f>
        <v>43</v>
      </c>
      <c r="E4620" t="s">
        <v>26</v>
      </c>
      <c r="F4620" t="s">
        <v>18</v>
      </c>
      <c r="G4620">
        <v>1</v>
      </c>
      <c r="H4620">
        <v>5096</v>
      </c>
      <c r="I4620">
        <v>197</v>
      </c>
      <c r="J4620" t="s">
        <v>14</v>
      </c>
      <c r="K4620" t="str">
        <f>_xlfn.XLOOKUP(datos_ventas[[#This Row],[Ciudad]],Tabla2[Ciudades],Tabla2[Provincias],"no se encuentra")</f>
        <v>Madrid</v>
      </c>
      <c r="L4620" t="str">
        <f>_xlfn.XLOOKUP(datos_ventas[[#This Row],[Provincia]],Tabla2[Provincias],Tabla2[Comunidades],"no se encuentra")</f>
        <v>Comunidad de Madrid</v>
      </c>
      <c r="M4620" t="s">
        <v>28</v>
      </c>
      <c r="N4620">
        <v>2</v>
      </c>
    </row>
    <row r="4621" spans="1:14" x14ac:dyDescent="0.25">
      <c r="A4621">
        <v>5620</v>
      </c>
      <c r="B4621" s="1">
        <v>45745</v>
      </c>
      <c r="C4621" s="4">
        <f>MONTH(datos_ventas[[#This Row],[Fecha]])</f>
        <v>3</v>
      </c>
      <c r="D4621" s="4">
        <f>WEEKNUM(datos_ventas[[#This Row],[Fecha]],2)</f>
        <v>13</v>
      </c>
      <c r="E4621" t="s">
        <v>26</v>
      </c>
      <c r="F4621" t="s">
        <v>18</v>
      </c>
      <c r="G4621">
        <v>3</v>
      </c>
      <c r="H4621">
        <v>92009</v>
      </c>
      <c r="I4621">
        <v>303</v>
      </c>
      <c r="J4621" t="s">
        <v>14</v>
      </c>
      <c r="K4621" t="str">
        <f>_xlfn.XLOOKUP(datos_ventas[[#This Row],[Ciudad]],Tabla2[Ciudades],Tabla2[Provincias],"no se encuentra")</f>
        <v>Madrid</v>
      </c>
      <c r="L4621" t="str">
        <f>_xlfn.XLOOKUP(datos_ventas[[#This Row],[Provincia]],Tabla2[Provincias],Tabla2[Comunidades],"no se encuentra")</f>
        <v>Comunidad de Madrid</v>
      </c>
      <c r="M4621" t="s">
        <v>28</v>
      </c>
      <c r="N4621">
        <v>4</v>
      </c>
    </row>
    <row r="4622" spans="1:14" x14ac:dyDescent="0.25">
      <c r="A4622">
        <v>5621</v>
      </c>
      <c r="B4622" s="1">
        <v>45890</v>
      </c>
      <c r="C4622" s="4">
        <f>MONTH(datos_ventas[[#This Row],[Fecha]])</f>
        <v>8</v>
      </c>
      <c r="D4622" s="4">
        <f>WEEKNUM(datos_ventas[[#This Row],[Fecha]],2)</f>
        <v>34</v>
      </c>
      <c r="E4622" t="s">
        <v>17</v>
      </c>
      <c r="F4622" t="s">
        <v>18</v>
      </c>
      <c r="G4622">
        <v>5</v>
      </c>
      <c r="H4622">
        <v>74295</v>
      </c>
      <c r="I4622">
        <v>4222</v>
      </c>
      <c r="J4622" t="s">
        <v>31</v>
      </c>
      <c r="K4622" t="str">
        <f>_xlfn.XLOOKUP(datos_ventas[[#This Row],[Ciudad]],Tabla2[Ciudades],Tabla2[Provincias],"no se encuentra")</f>
        <v>Vizcaya</v>
      </c>
      <c r="L4622" t="str">
        <f>_xlfn.XLOOKUP(datos_ventas[[#This Row],[Provincia]],Tabla2[Provincias],Tabla2[Comunidades],"no se encuentra")</f>
        <v>País Vasco</v>
      </c>
      <c r="M4622" t="s">
        <v>15</v>
      </c>
      <c r="N4622">
        <v>1</v>
      </c>
    </row>
    <row r="4623" spans="1:14" x14ac:dyDescent="0.25">
      <c r="A4623">
        <v>5622</v>
      </c>
      <c r="B4623" s="1">
        <v>45699</v>
      </c>
      <c r="C4623" s="4">
        <f>MONTH(datos_ventas[[#This Row],[Fecha]])</f>
        <v>2</v>
      </c>
      <c r="D4623" s="4">
        <f>WEEKNUM(datos_ventas[[#This Row],[Fecha]],2)</f>
        <v>7</v>
      </c>
      <c r="E4623" t="s">
        <v>26</v>
      </c>
      <c r="F4623" t="s">
        <v>18</v>
      </c>
      <c r="G4623">
        <v>4</v>
      </c>
      <c r="H4623">
        <v>2142</v>
      </c>
      <c r="I4623">
        <v>1061</v>
      </c>
      <c r="J4623" t="s">
        <v>31</v>
      </c>
      <c r="K4623" t="str">
        <f>_xlfn.XLOOKUP(datos_ventas[[#This Row],[Ciudad]],Tabla2[Ciudades],Tabla2[Provincias],"no se encuentra")</f>
        <v>Vizcaya</v>
      </c>
      <c r="L4623" t="str">
        <f>_xlfn.XLOOKUP(datos_ventas[[#This Row],[Provincia]],Tabla2[Provincias],Tabla2[Comunidades],"no se encuentra")</f>
        <v>País Vasco</v>
      </c>
      <c r="M4623" t="s">
        <v>19</v>
      </c>
      <c r="N4623">
        <v>1</v>
      </c>
    </row>
    <row r="4624" spans="1:14" x14ac:dyDescent="0.25">
      <c r="A4624">
        <v>5623</v>
      </c>
      <c r="B4624" s="1">
        <v>45859</v>
      </c>
      <c r="C4624" s="4">
        <f>MONTH(datos_ventas[[#This Row],[Fecha]])</f>
        <v>7</v>
      </c>
      <c r="D4624" s="4">
        <f>WEEKNUM(datos_ventas[[#This Row],[Fecha]],2)</f>
        <v>30</v>
      </c>
      <c r="E4624" t="s">
        <v>26</v>
      </c>
      <c r="F4624" t="s">
        <v>18</v>
      </c>
      <c r="G4624">
        <v>2</v>
      </c>
      <c r="H4624">
        <v>19929</v>
      </c>
      <c r="I4624">
        <v>4245</v>
      </c>
      <c r="J4624" t="s">
        <v>31</v>
      </c>
      <c r="K4624" t="str">
        <f>_xlfn.XLOOKUP(datos_ventas[[#This Row],[Ciudad]],Tabla2[Ciudades],Tabla2[Provincias],"no se encuentra")</f>
        <v>Vizcaya</v>
      </c>
      <c r="L4624" t="str">
        <f>_xlfn.XLOOKUP(datos_ventas[[#This Row],[Provincia]],Tabla2[Provincias],Tabla2[Comunidades],"no se encuentra")</f>
        <v>País Vasco</v>
      </c>
      <c r="M4624" t="s">
        <v>19</v>
      </c>
      <c r="N4624">
        <v>3</v>
      </c>
    </row>
    <row r="4625" spans="1:14" x14ac:dyDescent="0.25">
      <c r="A4625">
        <v>5624</v>
      </c>
      <c r="B4625" s="1">
        <v>45906</v>
      </c>
      <c r="C4625" s="4">
        <f>MONTH(datos_ventas[[#This Row],[Fecha]])</f>
        <v>9</v>
      </c>
      <c r="D4625" s="4">
        <f>WEEKNUM(datos_ventas[[#This Row],[Fecha]],2)</f>
        <v>36</v>
      </c>
      <c r="E4625" t="s">
        <v>23</v>
      </c>
      <c r="F4625" t="s">
        <v>18</v>
      </c>
      <c r="G4625">
        <v>1</v>
      </c>
      <c r="H4625">
        <v>105401</v>
      </c>
      <c r="I4625">
        <v>2109</v>
      </c>
      <c r="J4625" t="s">
        <v>22</v>
      </c>
      <c r="K4625" t="str">
        <f>_xlfn.XLOOKUP(datos_ventas[[#This Row],[Ciudad]],Tabla2[Ciudades],Tabla2[Provincias],"no se encuentra")</f>
        <v>Valencia</v>
      </c>
      <c r="L4625" t="str">
        <f>_xlfn.XLOOKUP(datos_ventas[[#This Row],[Provincia]],Tabla2[Provincias],Tabla2[Comunidades],"no se encuentra")</f>
        <v>Comunidad Valenciana</v>
      </c>
      <c r="M4625" t="s">
        <v>28</v>
      </c>
      <c r="N4625">
        <v>1</v>
      </c>
    </row>
    <row r="4626" spans="1:14" x14ac:dyDescent="0.25">
      <c r="A4626">
        <v>5625</v>
      </c>
      <c r="B4626" s="1">
        <v>45955</v>
      </c>
      <c r="C4626" s="4">
        <f>MONTH(datos_ventas[[#This Row],[Fecha]])</f>
        <v>10</v>
      </c>
      <c r="D4626" s="4">
        <f>WEEKNUM(datos_ventas[[#This Row],[Fecha]],2)</f>
        <v>43</v>
      </c>
      <c r="E4626" t="s">
        <v>24</v>
      </c>
      <c r="F4626" t="s">
        <v>25</v>
      </c>
      <c r="G4626">
        <v>4</v>
      </c>
      <c r="H4626">
        <v>32124</v>
      </c>
      <c r="I4626">
        <v>332</v>
      </c>
      <c r="J4626" t="s">
        <v>31</v>
      </c>
      <c r="K4626" t="str">
        <f>_xlfn.XLOOKUP(datos_ventas[[#This Row],[Ciudad]],Tabla2[Ciudades],Tabla2[Provincias],"no se encuentra")</f>
        <v>Vizcaya</v>
      </c>
      <c r="L4626" t="str">
        <f>_xlfn.XLOOKUP(datos_ventas[[#This Row],[Provincia]],Tabla2[Provincias],Tabla2[Comunidades],"no se encuentra")</f>
        <v>País Vasco</v>
      </c>
      <c r="M4626" t="s">
        <v>19</v>
      </c>
      <c r="N4626">
        <v>5</v>
      </c>
    </row>
    <row r="4627" spans="1:14" x14ac:dyDescent="0.25">
      <c r="A4627">
        <v>5626</v>
      </c>
      <c r="B4627" s="1">
        <v>45889</v>
      </c>
      <c r="C4627" s="4">
        <f>MONTH(datos_ventas[[#This Row],[Fecha]])</f>
        <v>8</v>
      </c>
      <c r="D4627" s="4">
        <f>WEEKNUM(datos_ventas[[#This Row],[Fecha]],2)</f>
        <v>34</v>
      </c>
      <c r="E4627" t="s">
        <v>10</v>
      </c>
      <c r="F4627" t="s">
        <v>11</v>
      </c>
      <c r="G4627">
        <v>5</v>
      </c>
      <c r="H4627">
        <v>56285</v>
      </c>
      <c r="I4627">
        <v>3176</v>
      </c>
      <c r="J4627" t="s">
        <v>12</v>
      </c>
      <c r="K4627" t="str">
        <f>_xlfn.XLOOKUP(datos_ventas[[#This Row],[Ciudad]],Tabla2[Ciudades],Tabla2[Provincias],"no se encuentra")</f>
        <v>Málaga</v>
      </c>
      <c r="L4627" t="str">
        <f>_xlfn.XLOOKUP(datos_ventas[[#This Row],[Provincia]],Tabla2[Provincias],Tabla2[Comunidades],"no se encuentra")</f>
        <v>Andalucía</v>
      </c>
      <c r="M4627" t="s">
        <v>19</v>
      </c>
      <c r="N4627">
        <v>1</v>
      </c>
    </row>
    <row r="4628" spans="1:14" x14ac:dyDescent="0.25">
      <c r="A4628">
        <v>5627</v>
      </c>
      <c r="B4628" s="1">
        <v>45968</v>
      </c>
      <c r="C4628" s="4">
        <f>MONTH(datos_ventas[[#This Row],[Fecha]])</f>
        <v>11</v>
      </c>
      <c r="D4628" s="4">
        <f>WEEKNUM(datos_ventas[[#This Row],[Fecha]],2)</f>
        <v>45</v>
      </c>
      <c r="E4628" t="s">
        <v>26</v>
      </c>
      <c r="F4628" t="s">
        <v>18</v>
      </c>
      <c r="G4628">
        <v>3</v>
      </c>
      <c r="H4628">
        <v>345</v>
      </c>
      <c r="I4628">
        <v>2825</v>
      </c>
      <c r="J4628" t="s">
        <v>31</v>
      </c>
      <c r="K4628" t="str">
        <f>_xlfn.XLOOKUP(datos_ventas[[#This Row],[Ciudad]],Tabla2[Ciudades],Tabla2[Provincias],"no se encuentra")</f>
        <v>Vizcaya</v>
      </c>
      <c r="L4628" t="str">
        <f>_xlfn.XLOOKUP(datos_ventas[[#This Row],[Provincia]],Tabla2[Provincias],Tabla2[Comunidades],"no se encuentra")</f>
        <v>País Vasco</v>
      </c>
      <c r="M4628" t="s">
        <v>15</v>
      </c>
      <c r="N4628">
        <v>1</v>
      </c>
    </row>
    <row r="4629" spans="1:14" x14ac:dyDescent="0.25">
      <c r="A4629">
        <v>5628</v>
      </c>
      <c r="B4629" s="1">
        <v>45696</v>
      </c>
      <c r="C4629" s="4">
        <f>MONTH(datos_ventas[[#This Row],[Fecha]])</f>
        <v>2</v>
      </c>
      <c r="D4629" s="4">
        <f>WEEKNUM(datos_ventas[[#This Row],[Fecha]],2)</f>
        <v>6</v>
      </c>
      <c r="E4629" t="s">
        <v>16</v>
      </c>
      <c r="F4629" t="s">
        <v>11</v>
      </c>
      <c r="G4629">
        <v>5</v>
      </c>
      <c r="H4629">
        <v>46454</v>
      </c>
      <c r="I4629">
        <v>4427</v>
      </c>
      <c r="J4629" t="s">
        <v>22</v>
      </c>
      <c r="K4629" t="str">
        <f>_xlfn.XLOOKUP(datos_ventas[[#This Row],[Ciudad]],Tabla2[Ciudades],Tabla2[Provincias],"no se encuentra")</f>
        <v>Valencia</v>
      </c>
      <c r="L4629" t="str">
        <f>_xlfn.XLOOKUP(datos_ventas[[#This Row],[Provincia]],Tabla2[Provincias],Tabla2[Comunidades],"no se encuentra")</f>
        <v>Comunidad Valenciana</v>
      </c>
      <c r="M4629" t="s">
        <v>28</v>
      </c>
      <c r="N4629">
        <v>3</v>
      </c>
    </row>
    <row r="4630" spans="1:14" x14ac:dyDescent="0.25">
      <c r="A4630">
        <v>5629</v>
      </c>
      <c r="B4630" s="1">
        <v>45985</v>
      </c>
      <c r="C4630" s="4">
        <f>MONTH(datos_ventas[[#This Row],[Fecha]])</f>
        <v>11</v>
      </c>
      <c r="D4630" s="4">
        <f>WEEKNUM(datos_ventas[[#This Row],[Fecha]],2)</f>
        <v>48</v>
      </c>
      <c r="E4630" t="s">
        <v>17</v>
      </c>
      <c r="F4630" t="s">
        <v>18</v>
      </c>
      <c r="G4630">
        <v>1</v>
      </c>
      <c r="H4630">
        <v>87495</v>
      </c>
      <c r="I4630">
        <v>1592</v>
      </c>
      <c r="J4630" t="s">
        <v>31</v>
      </c>
      <c r="K4630" t="str">
        <f>_xlfn.XLOOKUP(datos_ventas[[#This Row],[Ciudad]],Tabla2[Ciudades],Tabla2[Provincias],"no se encuentra")</f>
        <v>Vizcaya</v>
      </c>
      <c r="L4630" t="str">
        <f>_xlfn.XLOOKUP(datos_ventas[[#This Row],[Provincia]],Tabla2[Provincias],Tabla2[Comunidades],"no se encuentra")</f>
        <v>País Vasco</v>
      </c>
      <c r="M4630" t="s">
        <v>13</v>
      </c>
      <c r="N4630">
        <v>2</v>
      </c>
    </row>
    <row r="4631" spans="1:14" x14ac:dyDescent="0.25">
      <c r="A4631">
        <v>5630</v>
      </c>
      <c r="B4631" s="1">
        <v>45698</v>
      </c>
      <c r="C4631" s="4">
        <f>MONTH(datos_ventas[[#This Row],[Fecha]])</f>
        <v>2</v>
      </c>
      <c r="D4631" s="4">
        <f>WEEKNUM(datos_ventas[[#This Row],[Fecha]],2)</f>
        <v>7</v>
      </c>
      <c r="E4631" t="s">
        <v>20</v>
      </c>
      <c r="F4631" t="s">
        <v>21</v>
      </c>
      <c r="G4631">
        <v>4</v>
      </c>
      <c r="H4631">
        <v>9112</v>
      </c>
      <c r="I4631">
        <v>2851</v>
      </c>
      <c r="J4631" t="s">
        <v>31</v>
      </c>
      <c r="K4631" t="str">
        <f>_xlfn.XLOOKUP(datos_ventas[[#This Row],[Ciudad]],Tabla2[Ciudades],Tabla2[Provincias],"no se encuentra")</f>
        <v>Vizcaya</v>
      </c>
      <c r="L4631" t="str">
        <f>_xlfn.XLOOKUP(datos_ventas[[#This Row],[Provincia]],Tabla2[Provincias],Tabla2[Comunidades],"no se encuentra")</f>
        <v>País Vasco</v>
      </c>
      <c r="M4631" t="s">
        <v>13</v>
      </c>
      <c r="N4631">
        <v>1</v>
      </c>
    </row>
    <row r="4632" spans="1:14" x14ac:dyDescent="0.25">
      <c r="A4632">
        <v>5631</v>
      </c>
      <c r="B4632" s="1">
        <v>45922</v>
      </c>
      <c r="C4632" s="4">
        <f>MONTH(datos_ventas[[#This Row],[Fecha]])</f>
        <v>9</v>
      </c>
      <c r="D4632" s="4">
        <f>WEEKNUM(datos_ventas[[#This Row],[Fecha]],2)</f>
        <v>39</v>
      </c>
      <c r="E4632" t="s">
        <v>26</v>
      </c>
      <c r="F4632" t="s">
        <v>18</v>
      </c>
      <c r="G4632">
        <v>2</v>
      </c>
      <c r="H4632">
        <v>41176</v>
      </c>
      <c r="I4632">
        <v>3642</v>
      </c>
      <c r="J4632" t="s">
        <v>32</v>
      </c>
      <c r="K4632" t="str">
        <f>_xlfn.XLOOKUP(datos_ventas[[#This Row],[Ciudad]],Tabla2[Ciudades],Tabla2[Provincias],"no se encuentra")</f>
        <v>Barcelona</v>
      </c>
      <c r="L4632" t="str">
        <f>_xlfn.XLOOKUP(datos_ventas[[#This Row],[Provincia]],Tabla2[Provincias],Tabla2[Comunidades],"no se encuentra")</f>
        <v>Cataluña</v>
      </c>
      <c r="M4632" t="s">
        <v>15</v>
      </c>
      <c r="N4632">
        <v>2</v>
      </c>
    </row>
    <row r="4633" spans="1:14" x14ac:dyDescent="0.25">
      <c r="A4633">
        <v>5632</v>
      </c>
      <c r="B4633" s="1">
        <v>45904</v>
      </c>
      <c r="C4633" s="4">
        <f>MONTH(datos_ventas[[#This Row],[Fecha]])</f>
        <v>9</v>
      </c>
      <c r="D4633" s="4">
        <f>WEEKNUM(datos_ventas[[#This Row],[Fecha]],2)</f>
        <v>36</v>
      </c>
      <c r="E4633" t="s">
        <v>16</v>
      </c>
      <c r="F4633" t="s">
        <v>11</v>
      </c>
      <c r="G4633">
        <v>1</v>
      </c>
      <c r="H4633">
        <v>64089</v>
      </c>
      <c r="I4633">
        <v>324</v>
      </c>
      <c r="J4633" t="s">
        <v>32</v>
      </c>
      <c r="K4633" t="str">
        <f>_xlfn.XLOOKUP(datos_ventas[[#This Row],[Ciudad]],Tabla2[Ciudades],Tabla2[Provincias],"no se encuentra")</f>
        <v>Barcelona</v>
      </c>
      <c r="L4633" t="str">
        <f>_xlfn.XLOOKUP(datos_ventas[[#This Row],[Provincia]],Tabla2[Provincias],Tabla2[Comunidades],"no se encuentra")</f>
        <v>Cataluña</v>
      </c>
      <c r="M4633" t="s">
        <v>13</v>
      </c>
      <c r="N4633">
        <v>5</v>
      </c>
    </row>
    <row r="4634" spans="1:14" x14ac:dyDescent="0.25">
      <c r="A4634">
        <v>5633</v>
      </c>
      <c r="B4634" s="1">
        <v>45781</v>
      </c>
      <c r="C4634" s="4">
        <f>MONTH(datos_ventas[[#This Row],[Fecha]])</f>
        <v>5</v>
      </c>
      <c r="D4634" s="4">
        <f>WEEKNUM(datos_ventas[[#This Row],[Fecha]],2)</f>
        <v>18</v>
      </c>
      <c r="E4634" t="s">
        <v>17</v>
      </c>
      <c r="F4634" t="s">
        <v>18</v>
      </c>
      <c r="G4634">
        <v>1</v>
      </c>
      <c r="H4634">
        <v>41028</v>
      </c>
      <c r="I4634">
        <v>3178</v>
      </c>
      <c r="J4634" t="s">
        <v>12</v>
      </c>
      <c r="K4634" t="str">
        <f>_xlfn.XLOOKUP(datos_ventas[[#This Row],[Ciudad]],Tabla2[Ciudades],Tabla2[Provincias],"no se encuentra")</f>
        <v>Málaga</v>
      </c>
      <c r="L4634" t="str">
        <f>_xlfn.XLOOKUP(datos_ventas[[#This Row],[Provincia]],Tabla2[Provincias],Tabla2[Comunidades],"no se encuentra")</f>
        <v>Andalucía</v>
      </c>
      <c r="M4634" t="s">
        <v>19</v>
      </c>
      <c r="N4634">
        <v>1</v>
      </c>
    </row>
    <row r="4635" spans="1:14" x14ac:dyDescent="0.25">
      <c r="A4635">
        <v>5634</v>
      </c>
      <c r="B4635" s="1">
        <v>45836</v>
      </c>
      <c r="C4635" s="4">
        <f>MONTH(datos_ventas[[#This Row],[Fecha]])</f>
        <v>6</v>
      </c>
      <c r="D4635" s="4">
        <f>WEEKNUM(datos_ventas[[#This Row],[Fecha]],2)</f>
        <v>26</v>
      </c>
      <c r="E4635" t="s">
        <v>29</v>
      </c>
      <c r="F4635" t="s">
        <v>30</v>
      </c>
      <c r="G4635">
        <v>5</v>
      </c>
      <c r="H4635">
        <v>38843</v>
      </c>
      <c r="I4635">
        <v>1411</v>
      </c>
      <c r="J4635" t="s">
        <v>27</v>
      </c>
      <c r="K4635" t="str">
        <f>_xlfn.XLOOKUP(datos_ventas[[#This Row],[Ciudad]],Tabla2[Ciudades],Tabla2[Provincias],"no se encuentra")</f>
        <v>Sevilla</v>
      </c>
      <c r="L4635" t="str">
        <f>_xlfn.XLOOKUP(datos_ventas[[#This Row],[Provincia]],Tabla2[Provincias],Tabla2[Comunidades],"no se encuentra")</f>
        <v>Andalucía</v>
      </c>
      <c r="M4635" t="s">
        <v>15</v>
      </c>
      <c r="N4635">
        <v>1</v>
      </c>
    </row>
    <row r="4636" spans="1:14" x14ac:dyDescent="0.25">
      <c r="A4636">
        <v>5635</v>
      </c>
      <c r="B4636" s="1">
        <v>45795</v>
      </c>
      <c r="C4636" s="4">
        <f>MONTH(datos_ventas[[#This Row],[Fecha]])</f>
        <v>5</v>
      </c>
      <c r="D4636" s="4">
        <f>WEEKNUM(datos_ventas[[#This Row],[Fecha]],2)</f>
        <v>20</v>
      </c>
      <c r="E4636" t="s">
        <v>10</v>
      </c>
      <c r="F4636" t="s">
        <v>11</v>
      </c>
      <c r="G4636">
        <v>1</v>
      </c>
      <c r="H4636">
        <v>50704</v>
      </c>
      <c r="I4636">
        <v>1879</v>
      </c>
      <c r="J4636" t="s">
        <v>31</v>
      </c>
      <c r="K4636" t="str">
        <f>_xlfn.XLOOKUP(datos_ventas[[#This Row],[Ciudad]],Tabla2[Ciudades],Tabla2[Provincias],"no se encuentra")</f>
        <v>Vizcaya</v>
      </c>
      <c r="L4636" t="str">
        <f>_xlfn.XLOOKUP(datos_ventas[[#This Row],[Provincia]],Tabla2[Provincias],Tabla2[Comunidades],"no se encuentra")</f>
        <v>País Vasco</v>
      </c>
      <c r="M4636" t="s">
        <v>13</v>
      </c>
      <c r="N4636">
        <v>1</v>
      </c>
    </row>
    <row r="4637" spans="1:14" x14ac:dyDescent="0.25">
      <c r="A4637">
        <v>5636</v>
      </c>
      <c r="B4637" s="1">
        <v>45965</v>
      </c>
      <c r="C4637" s="4">
        <f>MONTH(datos_ventas[[#This Row],[Fecha]])</f>
        <v>11</v>
      </c>
      <c r="D4637" s="4">
        <f>WEEKNUM(datos_ventas[[#This Row],[Fecha]],2)</f>
        <v>45</v>
      </c>
      <c r="E4637" t="s">
        <v>17</v>
      </c>
      <c r="F4637" t="s">
        <v>18</v>
      </c>
      <c r="G4637">
        <v>3</v>
      </c>
      <c r="H4637">
        <v>85696</v>
      </c>
      <c r="I4637">
        <v>2051</v>
      </c>
      <c r="J4637" t="s">
        <v>32</v>
      </c>
      <c r="K4637" t="str">
        <f>_xlfn.XLOOKUP(datos_ventas[[#This Row],[Ciudad]],Tabla2[Ciudades],Tabla2[Provincias],"no se encuentra")</f>
        <v>Barcelona</v>
      </c>
      <c r="L4637" t="str">
        <f>_xlfn.XLOOKUP(datos_ventas[[#This Row],[Provincia]],Tabla2[Provincias],Tabla2[Comunidades],"no se encuentra")</f>
        <v>Cataluña</v>
      </c>
      <c r="M4637" t="s">
        <v>13</v>
      </c>
      <c r="N4637">
        <v>3</v>
      </c>
    </row>
    <row r="4638" spans="1:14" x14ac:dyDescent="0.25">
      <c r="A4638">
        <v>5637</v>
      </c>
      <c r="B4638" s="1">
        <v>45676</v>
      </c>
      <c r="C4638" s="4">
        <f>MONTH(datos_ventas[[#This Row],[Fecha]])</f>
        <v>1</v>
      </c>
      <c r="D4638" s="4">
        <f>WEEKNUM(datos_ventas[[#This Row],[Fecha]],2)</f>
        <v>3</v>
      </c>
      <c r="E4638" t="s">
        <v>17</v>
      </c>
      <c r="F4638" t="s">
        <v>18</v>
      </c>
      <c r="G4638">
        <v>4</v>
      </c>
      <c r="H4638">
        <v>67532</v>
      </c>
      <c r="I4638">
        <v>4974</v>
      </c>
      <c r="J4638" t="s">
        <v>22</v>
      </c>
      <c r="K4638" t="str">
        <f>_xlfn.XLOOKUP(datos_ventas[[#This Row],[Ciudad]],Tabla2[Ciudades],Tabla2[Provincias],"no se encuentra")</f>
        <v>Valencia</v>
      </c>
      <c r="L4638" t="str">
        <f>_xlfn.XLOOKUP(datos_ventas[[#This Row],[Provincia]],Tabla2[Provincias],Tabla2[Comunidades],"no se encuentra")</f>
        <v>Comunidad Valenciana</v>
      </c>
      <c r="M4638" t="s">
        <v>19</v>
      </c>
      <c r="N4638">
        <v>1</v>
      </c>
    </row>
    <row r="4639" spans="1:14" x14ac:dyDescent="0.25">
      <c r="A4639">
        <v>5638</v>
      </c>
      <c r="B4639" s="1">
        <v>45921</v>
      </c>
      <c r="C4639" s="4">
        <f>MONTH(datos_ventas[[#This Row],[Fecha]])</f>
        <v>9</v>
      </c>
      <c r="D4639" s="4">
        <f>WEEKNUM(datos_ventas[[#This Row],[Fecha]],2)</f>
        <v>38</v>
      </c>
      <c r="E4639" t="s">
        <v>20</v>
      </c>
      <c r="F4639" t="s">
        <v>21</v>
      </c>
      <c r="G4639">
        <v>5</v>
      </c>
      <c r="H4639">
        <v>110089</v>
      </c>
      <c r="I4639">
        <v>1462</v>
      </c>
      <c r="J4639" t="s">
        <v>31</v>
      </c>
      <c r="K4639" t="str">
        <f>_xlfn.XLOOKUP(datos_ventas[[#This Row],[Ciudad]],Tabla2[Ciudades],Tabla2[Provincias],"no se encuentra")</f>
        <v>Vizcaya</v>
      </c>
      <c r="L4639" t="str">
        <f>_xlfn.XLOOKUP(datos_ventas[[#This Row],[Provincia]],Tabla2[Provincias],Tabla2[Comunidades],"no se encuentra")</f>
        <v>País Vasco</v>
      </c>
      <c r="M4639" t="s">
        <v>15</v>
      </c>
      <c r="N4639">
        <v>5</v>
      </c>
    </row>
    <row r="4640" spans="1:14" x14ac:dyDescent="0.25">
      <c r="A4640">
        <v>5639</v>
      </c>
      <c r="B4640" s="1">
        <v>45991</v>
      </c>
      <c r="C4640" s="4">
        <f>MONTH(datos_ventas[[#This Row],[Fecha]])</f>
        <v>11</v>
      </c>
      <c r="D4640" s="4">
        <f>WEEKNUM(datos_ventas[[#This Row],[Fecha]],2)</f>
        <v>48</v>
      </c>
      <c r="E4640" t="s">
        <v>24</v>
      </c>
      <c r="F4640" t="s">
        <v>25</v>
      </c>
      <c r="G4640">
        <v>2</v>
      </c>
      <c r="H4640">
        <v>16909</v>
      </c>
      <c r="I4640">
        <v>1424</v>
      </c>
      <c r="J4640" t="s">
        <v>22</v>
      </c>
      <c r="K4640" t="str">
        <f>_xlfn.XLOOKUP(datos_ventas[[#This Row],[Ciudad]],Tabla2[Ciudades],Tabla2[Provincias],"no se encuentra")</f>
        <v>Valencia</v>
      </c>
      <c r="L4640" t="str">
        <f>_xlfn.XLOOKUP(datos_ventas[[#This Row],[Provincia]],Tabla2[Provincias],Tabla2[Comunidades],"no se encuentra")</f>
        <v>Comunidad Valenciana</v>
      </c>
      <c r="M4640" t="s">
        <v>15</v>
      </c>
      <c r="N4640">
        <v>5</v>
      </c>
    </row>
    <row r="4641" spans="1:14" x14ac:dyDescent="0.25">
      <c r="A4641">
        <v>5640</v>
      </c>
      <c r="B4641" s="1">
        <v>45875</v>
      </c>
      <c r="C4641" s="4">
        <f>MONTH(datos_ventas[[#This Row],[Fecha]])</f>
        <v>8</v>
      </c>
      <c r="D4641" s="4">
        <f>WEEKNUM(datos_ventas[[#This Row],[Fecha]],2)</f>
        <v>32</v>
      </c>
      <c r="E4641" t="s">
        <v>24</v>
      </c>
      <c r="F4641" t="s">
        <v>25</v>
      </c>
      <c r="G4641">
        <v>2</v>
      </c>
      <c r="H4641">
        <v>110374</v>
      </c>
      <c r="I4641">
        <v>4667</v>
      </c>
      <c r="J4641" t="s">
        <v>31</v>
      </c>
      <c r="K4641" t="str">
        <f>_xlfn.XLOOKUP(datos_ventas[[#This Row],[Ciudad]],Tabla2[Ciudades],Tabla2[Provincias],"no se encuentra")</f>
        <v>Vizcaya</v>
      </c>
      <c r="L4641" t="str">
        <f>_xlfn.XLOOKUP(datos_ventas[[#This Row],[Provincia]],Tabla2[Provincias],Tabla2[Comunidades],"no se encuentra")</f>
        <v>País Vasco</v>
      </c>
      <c r="M4641" t="s">
        <v>28</v>
      </c>
      <c r="N4641">
        <v>2</v>
      </c>
    </row>
    <row r="4642" spans="1:14" x14ac:dyDescent="0.25">
      <c r="A4642">
        <v>5641</v>
      </c>
      <c r="B4642" s="1">
        <v>45725</v>
      </c>
      <c r="C4642" s="4">
        <f>MONTH(datos_ventas[[#This Row],[Fecha]])</f>
        <v>3</v>
      </c>
      <c r="D4642" s="4">
        <f>WEEKNUM(datos_ventas[[#This Row],[Fecha]],2)</f>
        <v>10</v>
      </c>
      <c r="E4642" t="s">
        <v>23</v>
      </c>
      <c r="F4642" t="s">
        <v>18</v>
      </c>
      <c r="G4642">
        <v>2</v>
      </c>
      <c r="H4642">
        <v>55315</v>
      </c>
      <c r="I4642">
        <v>1886</v>
      </c>
      <c r="J4642" t="s">
        <v>32</v>
      </c>
      <c r="K4642" t="str">
        <f>_xlfn.XLOOKUP(datos_ventas[[#This Row],[Ciudad]],Tabla2[Ciudades],Tabla2[Provincias],"no se encuentra")</f>
        <v>Barcelona</v>
      </c>
      <c r="L4642" t="str">
        <f>_xlfn.XLOOKUP(datos_ventas[[#This Row],[Provincia]],Tabla2[Provincias],Tabla2[Comunidades],"no se encuentra")</f>
        <v>Cataluña</v>
      </c>
      <c r="M4642" t="s">
        <v>15</v>
      </c>
      <c r="N4642">
        <v>2</v>
      </c>
    </row>
    <row r="4643" spans="1:14" x14ac:dyDescent="0.25">
      <c r="A4643">
        <v>5642</v>
      </c>
      <c r="B4643" s="1">
        <v>45792</v>
      </c>
      <c r="C4643" s="4">
        <f>MONTH(datos_ventas[[#This Row],[Fecha]])</f>
        <v>5</v>
      </c>
      <c r="D4643" s="4">
        <f>WEEKNUM(datos_ventas[[#This Row],[Fecha]],2)</f>
        <v>20</v>
      </c>
      <c r="E4643" t="s">
        <v>23</v>
      </c>
      <c r="F4643" t="s">
        <v>18</v>
      </c>
      <c r="G4643">
        <v>3</v>
      </c>
      <c r="H4643">
        <v>98488</v>
      </c>
      <c r="I4643">
        <v>3064</v>
      </c>
      <c r="J4643" t="s">
        <v>22</v>
      </c>
      <c r="K4643" t="str">
        <f>_xlfn.XLOOKUP(datos_ventas[[#This Row],[Ciudad]],Tabla2[Ciudades],Tabla2[Provincias],"no se encuentra")</f>
        <v>Valencia</v>
      </c>
      <c r="L4643" t="str">
        <f>_xlfn.XLOOKUP(datos_ventas[[#This Row],[Provincia]],Tabla2[Provincias],Tabla2[Comunidades],"no se encuentra")</f>
        <v>Comunidad Valenciana</v>
      </c>
      <c r="M4643" t="s">
        <v>19</v>
      </c>
      <c r="N4643">
        <v>3</v>
      </c>
    </row>
    <row r="4644" spans="1:14" x14ac:dyDescent="0.25">
      <c r="A4644">
        <v>5643</v>
      </c>
      <c r="B4644" s="1">
        <v>45966</v>
      </c>
      <c r="C4644" s="4">
        <f>MONTH(datos_ventas[[#This Row],[Fecha]])</f>
        <v>11</v>
      </c>
      <c r="D4644" s="4">
        <f>WEEKNUM(datos_ventas[[#This Row],[Fecha]],2)</f>
        <v>45</v>
      </c>
      <c r="E4644" t="s">
        <v>16</v>
      </c>
      <c r="F4644" t="s">
        <v>11</v>
      </c>
      <c r="G4644">
        <v>2</v>
      </c>
      <c r="H4644">
        <v>55036</v>
      </c>
      <c r="I4644">
        <v>2748</v>
      </c>
      <c r="J4644" t="s">
        <v>14</v>
      </c>
      <c r="K4644" t="str">
        <f>_xlfn.XLOOKUP(datos_ventas[[#This Row],[Ciudad]],Tabla2[Ciudades],Tabla2[Provincias],"no se encuentra")</f>
        <v>Madrid</v>
      </c>
      <c r="L4644" t="str">
        <f>_xlfn.XLOOKUP(datos_ventas[[#This Row],[Provincia]],Tabla2[Provincias],Tabla2[Comunidades],"no se encuentra")</f>
        <v>Comunidad de Madrid</v>
      </c>
      <c r="M4644" t="s">
        <v>15</v>
      </c>
      <c r="N4644">
        <v>5</v>
      </c>
    </row>
    <row r="4645" spans="1:14" x14ac:dyDescent="0.25">
      <c r="A4645">
        <v>5644</v>
      </c>
      <c r="B4645" s="1">
        <v>45888</v>
      </c>
      <c r="C4645" s="4">
        <f>MONTH(datos_ventas[[#This Row],[Fecha]])</f>
        <v>8</v>
      </c>
      <c r="D4645" s="4">
        <f>WEEKNUM(datos_ventas[[#This Row],[Fecha]],2)</f>
        <v>34</v>
      </c>
      <c r="E4645" t="s">
        <v>29</v>
      </c>
      <c r="F4645" t="s">
        <v>30</v>
      </c>
      <c r="G4645">
        <v>2</v>
      </c>
      <c r="H4645">
        <v>57156</v>
      </c>
      <c r="I4645">
        <v>635</v>
      </c>
      <c r="J4645" t="s">
        <v>32</v>
      </c>
      <c r="K4645" t="str">
        <f>_xlfn.XLOOKUP(datos_ventas[[#This Row],[Ciudad]],Tabla2[Ciudades],Tabla2[Provincias],"no se encuentra")</f>
        <v>Barcelona</v>
      </c>
      <c r="L4645" t="str">
        <f>_xlfn.XLOOKUP(datos_ventas[[#This Row],[Provincia]],Tabla2[Provincias],Tabla2[Comunidades],"no se encuentra")</f>
        <v>Cataluña</v>
      </c>
      <c r="M4645" t="s">
        <v>28</v>
      </c>
      <c r="N4645">
        <v>2</v>
      </c>
    </row>
    <row r="4646" spans="1:14" x14ac:dyDescent="0.25">
      <c r="A4646">
        <v>5645</v>
      </c>
      <c r="B4646" s="1">
        <v>45929</v>
      </c>
      <c r="C4646" s="4">
        <f>MONTH(datos_ventas[[#This Row],[Fecha]])</f>
        <v>9</v>
      </c>
      <c r="D4646" s="4">
        <f>WEEKNUM(datos_ventas[[#This Row],[Fecha]],2)</f>
        <v>40</v>
      </c>
      <c r="E4646" t="s">
        <v>17</v>
      </c>
      <c r="F4646" t="s">
        <v>18</v>
      </c>
      <c r="G4646">
        <v>4</v>
      </c>
      <c r="H4646">
        <v>59195</v>
      </c>
      <c r="I4646">
        <v>904</v>
      </c>
      <c r="J4646" t="s">
        <v>12</v>
      </c>
      <c r="K4646" t="str">
        <f>_xlfn.XLOOKUP(datos_ventas[[#This Row],[Ciudad]],Tabla2[Ciudades],Tabla2[Provincias],"no se encuentra")</f>
        <v>Málaga</v>
      </c>
      <c r="L4646" t="str">
        <f>_xlfn.XLOOKUP(datos_ventas[[#This Row],[Provincia]],Tabla2[Provincias],Tabla2[Comunidades],"no se encuentra")</f>
        <v>Andalucía</v>
      </c>
      <c r="M4646" t="s">
        <v>19</v>
      </c>
      <c r="N4646">
        <v>3</v>
      </c>
    </row>
    <row r="4647" spans="1:14" x14ac:dyDescent="0.25">
      <c r="A4647">
        <v>5646</v>
      </c>
      <c r="B4647" s="1">
        <v>45975</v>
      </c>
      <c r="C4647" s="4">
        <f>MONTH(datos_ventas[[#This Row],[Fecha]])</f>
        <v>11</v>
      </c>
      <c r="D4647" s="4">
        <f>WEEKNUM(datos_ventas[[#This Row],[Fecha]],2)</f>
        <v>46</v>
      </c>
      <c r="E4647" t="s">
        <v>26</v>
      </c>
      <c r="F4647" t="s">
        <v>18</v>
      </c>
      <c r="G4647">
        <v>1</v>
      </c>
      <c r="H4647">
        <v>96743</v>
      </c>
      <c r="I4647">
        <v>2783</v>
      </c>
      <c r="J4647" t="s">
        <v>32</v>
      </c>
      <c r="K4647" t="str">
        <f>_xlfn.XLOOKUP(datos_ventas[[#This Row],[Ciudad]],Tabla2[Ciudades],Tabla2[Provincias],"no se encuentra")</f>
        <v>Barcelona</v>
      </c>
      <c r="L4647" t="str">
        <f>_xlfn.XLOOKUP(datos_ventas[[#This Row],[Provincia]],Tabla2[Provincias],Tabla2[Comunidades],"no se encuentra")</f>
        <v>Cataluña</v>
      </c>
      <c r="M4647" t="s">
        <v>19</v>
      </c>
      <c r="N4647">
        <v>4</v>
      </c>
    </row>
    <row r="4648" spans="1:14" x14ac:dyDescent="0.25">
      <c r="A4648">
        <v>5647</v>
      </c>
      <c r="B4648" s="1">
        <v>45661</v>
      </c>
      <c r="C4648" s="4">
        <f>MONTH(datos_ventas[[#This Row],[Fecha]])</f>
        <v>1</v>
      </c>
      <c r="D4648" s="4">
        <f>WEEKNUM(datos_ventas[[#This Row],[Fecha]],2)</f>
        <v>1</v>
      </c>
      <c r="E4648" t="s">
        <v>26</v>
      </c>
      <c r="F4648" t="s">
        <v>18</v>
      </c>
      <c r="G4648">
        <v>5</v>
      </c>
      <c r="H4648">
        <v>11688</v>
      </c>
      <c r="I4648">
        <v>3375</v>
      </c>
      <c r="J4648" t="s">
        <v>12</v>
      </c>
      <c r="K4648" t="str">
        <f>_xlfn.XLOOKUP(datos_ventas[[#This Row],[Ciudad]],Tabla2[Ciudades],Tabla2[Provincias],"no se encuentra")</f>
        <v>Málaga</v>
      </c>
      <c r="L4648" t="str">
        <f>_xlfn.XLOOKUP(datos_ventas[[#This Row],[Provincia]],Tabla2[Provincias],Tabla2[Comunidades],"no se encuentra")</f>
        <v>Andalucía</v>
      </c>
      <c r="M4648" t="s">
        <v>13</v>
      </c>
      <c r="N4648">
        <v>2</v>
      </c>
    </row>
    <row r="4649" spans="1:14" x14ac:dyDescent="0.25">
      <c r="A4649">
        <v>5648</v>
      </c>
      <c r="B4649" s="1">
        <v>45894</v>
      </c>
      <c r="C4649" s="4">
        <f>MONTH(datos_ventas[[#This Row],[Fecha]])</f>
        <v>8</v>
      </c>
      <c r="D4649" s="4">
        <f>WEEKNUM(datos_ventas[[#This Row],[Fecha]],2)</f>
        <v>35</v>
      </c>
      <c r="E4649" t="s">
        <v>29</v>
      </c>
      <c r="F4649" t="s">
        <v>30</v>
      </c>
      <c r="G4649">
        <v>2</v>
      </c>
      <c r="H4649">
        <v>5307</v>
      </c>
      <c r="I4649">
        <v>1636</v>
      </c>
      <c r="J4649" t="s">
        <v>31</v>
      </c>
      <c r="K4649" t="str">
        <f>_xlfn.XLOOKUP(datos_ventas[[#This Row],[Ciudad]],Tabla2[Ciudades],Tabla2[Provincias],"no se encuentra")</f>
        <v>Vizcaya</v>
      </c>
      <c r="L4649" t="str">
        <f>_xlfn.XLOOKUP(datos_ventas[[#This Row],[Provincia]],Tabla2[Provincias],Tabla2[Comunidades],"no se encuentra")</f>
        <v>País Vasco</v>
      </c>
      <c r="M4649" t="s">
        <v>15</v>
      </c>
      <c r="N4649">
        <v>4</v>
      </c>
    </row>
    <row r="4650" spans="1:14" x14ac:dyDescent="0.25">
      <c r="A4650">
        <v>5649</v>
      </c>
      <c r="B4650" s="1">
        <v>46012</v>
      </c>
      <c r="C4650" s="4">
        <f>MONTH(datos_ventas[[#This Row],[Fecha]])</f>
        <v>12</v>
      </c>
      <c r="D4650" s="4">
        <f>WEEKNUM(datos_ventas[[#This Row],[Fecha]],2)</f>
        <v>51</v>
      </c>
      <c r="E4650" t="s">
        <v>16</v>
      </c>
      <c r="F4650" t="s">
        <v>11</v>
      </c>
      <c r="G4650">
        <v>4</v>
      </c>
      <c r="H4650">
        <v>89867</v>
      </c>
      <c r="I4650">
        <v>3298</v>
      </c>
      <c r="J4650" t="s">
        <v>31</v>
      </c>
      <c r="K4650" t="str">
        <f>_xlfn.XLOOKUP(datos_ventas[[#This Row],[Ciudad]],Tabla2[Ciudades],Tabla2[Provincias],"no se encuentra")</f>
        <v>Vizcaya</v>
      </c>
      <c r="L4650" t="str">
        <f>_xlfn.XLOOKUP(datos_ventas[[#This Row],[Provincia]],Tabla2[Provincias],Tabla2[Comunidades],"no se encuentra")</f>
        <v>País Vasco</v>
      </c>
      <c r="M4650" t="s">
        <v>28</v>
      </c>
      <c r="N4650">
        <v>3</v>
      </c>
    </row>
    <row r="4651" spans="1:14" x14ac:dyDescent="0.25">
      <c r="A4651">
        <v>5650</v>
      </c>
      <c r="B4651" s="1">
        <v>45955</v>
      </c>
      <c r="C4651" s="4">
        <f>MONTH(datos_ventas[[#This Row],[Fecha]])</f>
        <v>10</v>
      </c>
      <c r="D4651" s="4">
        <f>WEEKNUM(datos_ventas[[#This Row],[Fecha]],2)</f>
        <v>43</v>
      </c>
      <c r="E4651" t="s">
        <v>17</v>
      </c>
      <c r="F4651" t="s">
        <v>18</v>
      </c>
      <c r="G4651">
        <v>2</v>
      </c>
      <c r="H4651">
        <v>75167</v>
      </c>
      <c r="I4651">
        <v>3013</v>
      </c>
      <c r="J4651" t="s">
        <v>31</v>
      </c>
      <c r="K4651" t="str">
        <f>_xlfn.XLOOKUP(datos_ventas[[#This Row],[Ciudad]],Tabla2[Ciudades],Tabla2[Provincias],"no se encuentra")</f>
        <v>Vizcaya</v>
      </c>
      <c r="L4651" t="str">
        <f>_xlfn.XLOOKUP(datos_ventas[[#This Row],[Provincia]],Tabla2[Provincias],Tabla2[Comunidades],"no se encuentra")</f>
        <v>País Vasco</v>
      </c>
      <c r="M4651" t="s">
        <v>19</v>
      </c>
      <c r="N4651">
        <v>5</v>
      </c>
    </row>
    <row r="4652" spans="1:14" x14ac:dyDescent="0.25">
      <c r="A4652">
        <v>5651</v>
      </c>
      <c r="B4652" s="1">
        <v>45667</v>
      </c>
      <c r="C4652" s="4">
        <f>MONTH(datos_ventas[[#This Row],[Fecha]])</f>
        <v>1</v>
      </c>
      <c r="D4652" s="4">
        <f>WEEKNUM(datos_ventas[[#This Row],[Fecha]],2)</f>
        <v>2</v>
      </c>
      <c r="E4652" t="s">
        <v>17</v>
      </c>
      <c r="F4652" t="s">
        <v>18</v>
      </c>
      <c r="G4652">
        <v>3</v>
      </c>
      <c r="H4652">
        <v>22327</v>
      </c>
      <c r="I4652">
        <v>3805</v>
      </c>
      <c r="J4652" t="s">
        <v>22</v>
      </c>
      <c r="K4652" t="str">
        <f>_xlfn.XLOOKUP(datos_ventas[[#This Row],[Ciudad]],Tabla2[Ciudades],Tabla2[Provincias],"no se encuentra")</f>
        <v>Valencia</v>
      </c>
      <c r="L4652" t="str">
        <f>_xlfn.XLOOKUP(datos_ventas[[#This Row],[Provincia]],Tabla2[Provincias],Tabla2[Comunidades],"no se encuentra")</f>
        <v>Comunidad Valenciana</v>
      </c>
      <c r="M4652" t="s">
        <v>19</v>
      </c>
      <c r="N4652">
        <v>4</v>
      </c>
    </row>
    <row r="4653" spans="1:14" x14ac:dyDescent="0.25">
      <c r="A4653">
        <v>5652</v>
      </c>
      <c r="B4653" s="1">
        <v>45982</v>
      </c>
      <c r="C4653" s="4">
        <f>MONTH(datos_ventas[[#This Row],[Fecha]])</f>
        <v>11</v>
      </c>
      <c r="D4653" s="4">
        <f>WEEKNUM(datos_ventas[[#This Row],[Fecha]],2)</f>
        <v>47</v>
      </c>
      <c r="E4653" t="s">
        <v>24</v>
      </c>
      <c r="F4653" t="s">
        <v>25</v>
      </c>
      <c r="G4653">
        <v>1</v>
      </c>
      <c r="H4653">
        <v>3819</v>
      </c>
      <c r="I4653">
        <v>1652</v>
      </c>
      <c r="J4653" t="s">
        <v>27</v>
      </c>
      <c r="K4653" t="str">
        <f>_xlfn.XLOOKUP(datos_ventas[[#This Row],[Ciudad]],Tabla2[Ciudades],Tabla2[Provincias],"no se encuentra")</f>
        <v>Sevilla</v>
      </c>
      <c r="L4653" t="str">
        <f>_xlfn.XLOOKUP(datos_ventas[[#This Row],[Provincia]],Tabla2[Provincias],Tabla2[Comunidades],"no se encuentra")</f>
        <v>Andalucía</v>
      </c>
      <c r="M4653" t="s">
        <v>19</v>
      </c>
      <c r="N4653">
        <v>3</v>
      </c>
    </row>
    <row r="4654" spans="1:14" x14ac:dyDescent="0.25">
      <c r="A4654">
        <v>5653</v>
      </c>
      <c r="B4654" s="1">
        <v>45909</v>
      </c>
      <c r="C4654" s="4">
        <f>MONTH(datos_ventas[[#This Row],[Fecha]])</f>
        <v>9</v>
      </c>
      <c r="D4654" s="4">
        <f>WEEKNUM(datos_ventas[[#This Row],[Fecha]],2)</f>
        <v>37</v>
      </c>
      <c r="E4654" t="s">
        <v>26</v>
      </c>
      <c r="F4654" t="s">
        <v>18</v>
      </c>
      <c r="G4654">
        <v>5</v>
      </c>
      <c r="H4654">
        <v>47656</v>
      </c>
      <c r="I4654">
        <v>3239</v>
      </c>
      <c r="J4654" t="s">
        <v>22</v>
      </c>
      <c r="K4654" t="str">
        <f>_xlfn.XLOOKUP(datos_ventas[[#This Row],[Ciudad]],Tabla2[Ciudades],Tabla2[Provincias],"no se encuentra")</f>
        <v>Valencia</v>
      </c>
      <c r="L4654" t="str">
        <f>_xlfn.XLOOKUP(datos_ventas[[#This Row],[Provincia]],Tabla2[Provincias],Tabla2[Comunidades],"no se encuentra")</f>
        <v>Comunidad Valenciana</v>
      </c>
      <c r="M4654" t="s">
        <v>13</v>
      </c>
      <c r="N4654">
        <v>5</v>
      </c>
    </row>
    <row r="4655" spans="1:14" x14ac:dyDescent="0.25">
      <c r="A4655">
        <v>5654</v>
      </c>
      <c r="B4655" s="1">
        <v>45694</v>
      </c>
      <c r="C4655" s="4">
        <f>MONTH(datos_ventas[[#This Row],[Fecha]])</f>
        <v>2</v>
      </c>
      <c r="D4655" s="4">
        <f>WEEKNUM(datos_ventas[[#This Row],[Fecha]],2)</f>
        <v>6</v>
      </c>
      <c r="E4655" t="s">
        <v>16</v>
      </c>
      <c r="F4655" t="s">
        <v>11</v>
      </c>
      <c r="G4655">
        <v>1</v>
      </c>
      <c r="H4655">
        <v>36401</v>
      </c>
      <c r="I4655">
        <v>4192</v>
      </c>
      <c r="J4655" t="s">
        <v>31</v>
      </c>
      <c r="K4655" t="str">
        <f>_xlfn.XLOOKUP(datos_ventas[[#This Row],[Ciudad]],Tabla2[Ciudades],Tabla2[Provincias],"no se encuentra")</f>
        <v>Vizcaya</v>
      </c>
      <c r="L4655" t="str">
        <f>_xlfn.XLOOKUP(datos_ventas[[#This Row],[Provincia]],Tabla2[Provincias],Tabla2[Comunidades],"no se encuentra")</f>
        <v>País Vasco</v>
      </c>
      <c r="M4655" t="s">
        <v>28</v>
      </c>
      <c r="N4655">
        <v>4</v>
      </c>
    </row>
    <row r="4656" spans="1:14" x14ac:dyDescent="0.25">
      <c r="A4656">
        <v>5655</v>
      </c>
      <c r="B4656" s="1">
        <v>45828</v>
      </c>
      <c r="C4656" s="4">
        <f>MONTH(datos_ventas[[#This Row],[Fecha]])</f>
        <v>6</v>
      </c>
      <c r="D4656" s="4">
        <f>WEEKNUM(datos_ventas[[#This Row],[Fecha]],2)</f>
        <v>25</v>
      </c>
      <c r="E4656" t="s">
        <v>26</v>
      </c>
      <c r="F4656" t="s">
        <v>18</v>
      </c>
      <c r="G4656">
        <v>5</v>
      </c>
      <c r="H4656">
        <v>20859</v>
      </c>
      <c r="I4656">
        <v>2612</v>
      </c>
      <c r="J4656" t="s">
        <v>14</v>
      </c>
      <c r="K4656" t="str">
        <f>_xlfn.XLOOKUP(datos_ventas[[#This Row],[Ciudad]],Tabla2[Ciudades],Tabla2[Provincias],"no se encuentra")</f>
        <v>Madrid</v>
      </c>
      <c r="L4656" t="str">
        <f>_xlfn.XLOOKUP(datos_ventas[[#This Row],[Provincia]],Tabla2[Provincias],Tabla2[Comunidades],"no se encuentra")</f>
        <v>Comunidad de Madrid</v>
      </c>
      <c r="M4656" t="s">
        <v>15</v>
      </c>
      <c r="N4656">
        <v>1</v>
      </c>
    </row>
    <row r="4657" spans="1:14" x14ac:dyDescent="0.25">
      <c r="A4657">
        <v>5656</v>
      </c>
      <c r="B4657" s="1">
        <v>45757</v>
      </c>
      <c r="C4657" s="4">
        <f>MONTH(datos_ventas[[#This Row],[Fecha]])</f>
        <v>4</v>
      </c>
      <c r="D4657" s="4">
        <f>WEEKNUM(datos_ventas[[#This Row],[Fecha]],2)</f>
        <v>15</v>
      </c>
      <c r="E4657" t="s">
        <v>23</v>
      </c>
      <c r="F4657" t="s">
        <v>18</v>
      </c>
      <c r="G4657">
        <v>2</v>
      </c>
      <c r="H4657">
        <v>21912</v>
      </c>
      <c r="I4657">
        <v>338</v>
      </c>
      <c r="J4657" t="s">
        <v>14</v>
      </c>
      <c r="K4657" t="str">
        <f>_xlfn.XLOOKUP(datos_ventas[[#This Row],[Ciudad]],Tabla2[Ciudades],Tabla2[Provincias],"no se encuentra")</f>
        <v>Madrid</v>
      </c>
      <c r="L4657" t="str">
        <f>_xlfn.XLOOKUP(datos_ventas[[#This Row],[Provincia]],Tabla2[Provincias],Tabla2[Comunidades],"no se encuentra")</f>
        <v>Comunidad de Madrid</v>
      </c>
      <c r="M4657" t="s">
        <v>15</v>
      </c>
      <c r="N4657">
        <v>5</v>
      </c>
    </row>
    <row r="4658" spans="1:14" x14ac:dyDescent="0.25">
      <c r="A4658">
        <v>5657</v>
      </c>
      <c r="B4658" s="1">
        <v>45849</v>
      </c>
      <c r="C4658" s="4">
        <f>MONTH(datos_ventas[[#This Row],[Fecha]])</f>
        <v>7</v>
      </c>
      <c r="D4658" s="4">
        <f>WEEKNUM(datos_ventas[[#This Row],[Fecha]],2)</f>
        <v>28</v>
      </c>
      <c r="E4658" t="s">
        <v>17</v>
      </c>
      <c r="F4658" t="s">
        <v>18</v>
      </c>
      <c r="G4658">
        <v>3</v>
      </c>
      <c r="H4658">
        <v>79043</v>
      </c>
      <c r="I4658">
        <v>4163</v>
      </c>
      <c r="J4658" t="s">
        <v>12</v>
      </c>
      <c r="K4658" t="str">
        <f>_xlfn.XLOOKUP(datos_ventas[[#This Row],[Ciudad]],Tabla2[Ciudades],Tabla2[Provincias],"no se encuentra")</f>
        <v>Málaga</v>
      </c>
      <c r="L4658" t="str">
        <f>_xlfn.XLOOKUP(datos_ventas[[#This Row],[Provincia]],Tabla2[Provincias],Tabla2[Comunidades],"no se encuentra")</f>
        <v>Andalucía</v>
      </c>
      <c r="M4658" t="s">
        <v>13</v>
      </c>
      <c r="N4658">
        <v>4</v>
      </c>
    </row>
    <row r="4659" spans="1:14" x14ac:dyDescent="0.25">
      <c r="A4659">
        <v>5658</v>
      </c>
      <c r="B4659" s="1">
        <v>45714</v>
      </c>
      <c r="C4659" s="4">
        <f>MONTH(datos_ventas[[#This Row],[Fecha]])</f>
        <v>2</v>
      </c>
      <c r="D4659" s="4">
        <f>WEEKNUM(datos_ventas[[#This Row],[Fecha]],2)</f>
        <v>9</v>
      </c>
      <c r="E4659" t="s">
        <v>17</v>
      </c>
      <c r="F4659" t="s">
        <v>18</v>
      </c>
      <c r="G4659">
        <v>4</v>
      </c>
      <c r="H4659">
        <v>110327</v>
      </c>
      <c r="I4659">
        <v>3196</v>
      </c>
      <c r="J4659" t="s">
        <v>14</v>
      </c>
      <c r="K4659" t="str">
        <f>_xlfn.XLOOKUP(datos_ventas[[#This Row],[Ciudad]],Tabla2[Ciudades],Tabla2[Provincias],"no se encuentra")</f>
        <v>Madrid</v>
      </c>
      <c r="L4659" t="str">
        <f>_xlfn.XLOOKUP(datos_ventas[[#This Row],[Provincia]],Tabla2[Provincias],Tabla2[Comunidades],"no se encuentra")</f>
        <v>Comunidad de Madrid</v>
      </c>
      <c r="M4659" t="s">
        <v>15</v>
      </c>
      <c r="N4659">
        <v>3</v>
      </c>
    </row>
    <row r="4660" spans="1:14" x14ac:dyDescent="0.25">
      <c r="A4660">
        <v>5659</v>
      </c>
      <c r="B4660" s="1">
        <v>45805</v>
      </c>
      <c r="C4660" s="4">
        <f>MONTH(datos_ventas[[#This Row],[Fecha]])</f>
        <v>5</v>
      </c>
      <c r="D4660" s="4">
        <f>WEEKNUM(datos_ventas[[#This Row],[Fecha]],2)</f>
        <v>22</v>
      </c>
      <c r="E4660" t="s">
        <v>24</v>
      </c>
      <c r="F4660" t="s">
        <v>25</v>
      </c>
      <c r="G4660">
        <v>5</v>
      </c>
      <c r="H4660">
        <v>42037</v>
      </c>
      <c r="I4660">
        <v>2151</v>
      </c>
      <c r="J4660" t="s">
        <v>27</v>
      </c>
      <c r="K4660" t="str">
        <f>_xlfn.XLOOKUP(datos_ventas[[#This Row],[Ciudad]],Tabla2[Ciudades],Tabla2[Provincias],"no se encuentra")</f>
        <v>Sevilla</v>
      </c>
      <c r="L4660" t="str">
        <f>_xlfn.XLOOKUP(datos_ventas[[#This Row],[Provincia]],Tabla2[Provincias],Tabla2[Comunidades],"no se encuentra")</f>
        <v>Andalucía</v>
      </c>
      <c r="M4660" t="s">
        <v>28</v>
      </c>
      <c r="N4660">
        <v>4</v>
      </c>
    </row>
    <row r="4661" spans="1:14" x14ac:dyDescent="0.25">
      <c r="A4661">
        <v>5660</v>
      </c>
      <c r="B4661" s="1">
        <v>45887</v>
      </c>
      <c r="C4661" s="4">
        <f>MONTH(datos_ventas[[#This Row],[Fecha]])</f>
        <v>8</v>
      </c>
      <c r="D4661" s="4">
        <f>WEEKNUM(datos_ventas[[#This Row],[Fecha]],2)</f>
        <v>34</v>
      </c>
      <c r="E4661" t="s">
        <v>10</v>
      </c>
      <c r="F4661" t="s">
        <v>11</v>
      </c>
      <c r="G4661">
        <v>3</v>
      </c>
      <c r="H4661">
        <v>77007</v>
      </c>
      <c r="I4661">
        <v>1386</v>
      </c>
      <c r="J4661" t="s">
        <v>22</v>
      </c>
      <c r="K4661" t="str">
        <f>_xlfn.XLOOKUP(datos_ventas[[#This Row],[Ciudad]],Tabla2[Ciudades],Tabla2[Provincias],"no se encuentra")</f>
        <v>Valencia</v>
      </c>
      <c r="L4661" t="str">
        <f>_xlfn.XLOOKUP(datos_ventas[[#This Row],[Provincia]],Tabla2[Provincias],Tabla2[Comunidades],"no se encuentra")</f>
        <v>Comunidad Valenciana</v>
      </c>
      <c r="M4661" t="s">
        <v>28</v>
      </c>
      <c r="N4661">
        <v>1</v>
      </c>
    </row>
    <row r="4662" spans="1:14" x14ac:dyDescent="0.25">
      <c r="A4662">
        <v>5661</v>
      </c>
      <c r="B4662" s="1">
        <v>45922</v>
      </c>
      <c r="C4662" s="4">
        <f>MONTH(datos_ventas[[#This Row],[Fecha]])</f>
        <v>9</v>
      </c>
      <c r="D4662" s="4">
        <f>WEEKNUM(datos_ventas[[#This Row],[Fecha]],2)</f>
        <v>39</v>
      </c>
      <c r="E4662" t="s">
        <v>29</v>
      </c>
      <c r="F4662" t="s">
        <v>30</v>
      </c>
      <c r="G4662">
        <v>4</v>
      </c>
      <c r="H4662">
        <v>93381</v>
      </c>
      <c r="I4662">
        <v>3078</v>
      </c>
      <c r="J4662" t="s">
        <v>32</v>
      </c>
      <c r="K4662" t="str">
        <f>_xlfn.XLOOKUP(datos_ventas[[#This Row],[Ciudad]],Tabla2[Ciudades],Tabla2[Provincias],"no se encuentra")</f>
        <v>Barcelona</v>
      </c>
      <c r="L4662" t="str">
        <f>_xlfn.XLOOKUP(datos_ventas[[#This Row],[Provincia]],Tabla2[Provincias],Tabla2[Comunidades],"no se encuentra")</f>
        <v>Cataluña</v>
      </c>
      <c r="M4662" t="s">
        <v>15</v>
      </c>
      <c r="N4662">
        <v>1</v>
      </c>
    </row>
    <row r="4663" spans="1:14" x14ac:dyDescent="0.25">
      <c r="A4663">
        <v>5662</v>
      </c>
      <c r="B4663" s="1">
        <v>45752</v>
      </c>
      <c r="C4663" s="4">
        <f>MONTH(datos_ventas[[#This Row],[Fecha]])</f>
        <v>4</v>
      </c>
      <c r="D4663" s="4">
        <f>WEEKNUM(datos_ventas[[#This Row],[Fecha]],2)</f>
        <v>14</v>
      </c>
      <c r="E4663" t="s">
        <v>26</v>
      </c>
      <c r="F4663" t="s">
        <v>18</v>
      </c>
      <c r="G4663">
        <v>3</v>
      </c>
      <c r="H4663">
        <v>7557</v>
      </c>
      <c r="I4663">
        <v>4026</v>
      </c>
      <c r="J4663" t="s">
        <v>32</v>
      </c>
      <c r="K4663" t="str">
        <f>_xlfn.XLOOKUP(datos_ventas[[#This Row],[Ciudad]],Tabla2[Ciudades],Tabla2[Provincias],"no se encuentra")</f>
        <v>Barcelona</v>
      </c>
      <c r="L4663" t="str">
        <f>_xlfn.XLOOKUP(datos_ventas[[#This Row],[Provincia]],Tabla2[Provincias],Tabla2[Comunidades],"no se encuentra")</f>
        <v>Cataluña</v>
      </c>
      <c r="M4663" t="s">
        <v>28</v>
      </c>
      <c r="N4663">
        <v>5</v>
      </c>
    </row>
    <row r="4664" spans="1:14" x14ac:dyDescent="0.25">
      <c r="A4664">
        <v>5663</v>
      </c>
      <c r="B4664" s="1">
        <v>45703</v>
      </c>
      <c r="C4664" s="4">
        <f>MONTH(datos_ventas[[#This Row],[Fecha]])</f>
        <v>2</v>
      </c>
      <c r="D4664" s="4">
        <f>WEEKNUM(datos_ventas[[#This Row],[Fecha]],2)</f>
        <v>7</v>
      </c>
      <c r="E4664" t="s">
        <v>24</v>
      </c>
      <c r="F4664" t="s">
        <v>25</v>
      </c>
      <c r="G4664">
        <v>4</v>
      </c>
      <c r="H4664">
        <v>39767</v>
      </c>
      <c r="I4664">
        <v>4977</v>
      </c>
      <c r="J4664" t="s">
        <v>12</v>
      </c>
      <c r="K4664" t="str">
        <f>_xlfn.XLOOKUP(datos_ventas[[#This Row],[Ciudad]],Tabla2[Ciudades],Tabla2[Provincias],"no se encuentra")</f>
        <v>Málaga</v>
      </c>
      <c r="L4664" t="str">
        <f>_xlfn.XLOOKUP(datos_ventas[[#This Row],[Provincia]],Tabla2[Provincias],Tabla2[Comunidades],"no se encuentra")</f>
        <v>Andalucía</v>
      </c>
      <c r="M4664" t="s">
        <v>13</v>
      </c>
      <c r="N4664">
        <v>1</v>
      </c>
    </row>
    <row r="4665" spans="1:14" x14ac:dyDescent="0.25">
      <c r="A4665">
        <v>5664</v>
      </c>
      <c r="B4665" s="1">
        <v>45781</v>
      </c>
      <c r="C4665" s="4">
        <f>MONTH(datos_ventas[[#This Row],[Fecha]])</f>
        <v>5</v>
      </c>
      <c r="D4665" s="4">
        <f>WEEKNUM(datos_ventas[[#This Row],[Fecha]],2)</f>
        <v>18</v>
      </c>
      <c r="E4665" t="s">
        <v>17</v>
      </c>
      <c r="F4665" t="s">
        <v>18</v>
      </c>
      <c r="G4665">
        <v>1</v>
      </c>
      <c r="H4665">
        <v>11309</v>
      </c>
      <c r="I4665">
        <v>874</v>
      </c>
      <c r="J4665" t="s">
        <v>32</v>
      </c>
      <c r="K4665" t="str">
        <f>_xlfn.XLOOKUP(datos_ventas[[#This Row],[Ciudad]],Tabla2[Ciudades],Tabla2[Provincias],"no se encuentra")</f>
        <v>Barcelona</v>
      </c>
      <c r="L4665" t="str">
        <f>_xlfn.XLOOKUP(datos_ventas[[#This Row],[Provincia]],Tabla2[Provincias],Tabla2[Comunidades],"no se encuentra")</f>
        <v>Cataluña</v>
      </c>
      <c r="M4665" t="s">
        <v>19</v>
      </c>
      <c r="N4665">
        <v>4</v>
      </c>
    </row>
    <row r="4666" spans="1:14" x14ac:dyDescent="0.25">
      <c r="A4666">
        <v>5665</v>
      </c>
      <c r="B4666" s="1">
        <v>45835</v>
      </c>
      <c r="C4666" s="4">
        <f>MONTH(datos_ventas[[#This Row],[Fecha]])</f>
        <v>6</v>
      </c>
      <c r="D4666" s="4">
        <f>WEEKNUM(datos_ventas[[#This Row],[Fecha]],2)</f>
        <v>26</v>
      </c>
      <c r="E4666" t="s">
        <v>24</v>
      </c>
      <c r="F4666" t="s">
        <v>25</v>
      </c>
      <c r="G4666">
        <v>3</v>
      </c>
      <c r="H4666">
        <v>21795</v>
      </c>
      <c r="I4666">
        <v>2948</v>
      </c>
      <c r="J4666" t="s">
        <v>22</v>
      </c>
      <c r="K4666" t="str">
        <f>_xlfn.XLOOKUP(datos_ventas[[#This Row],[Ciudad]],Tabla2[Ciudades],Tabla2[Provincias],"no se encuentra")</f>
        <v>Valencia</v>
      </c>
      <c r="L4666" t="str">
        <f>_xlfn.XLOOKUP(datos_ventas[[#This Row],[Provincia]],Tabla2[Provincias],Tabla2[Comunidades],"no se encuentra")</f>
        <v>Comunidad Valenciana</v>
      </c>
      <c r="M4666" t="s">
        <v>19</v>
      </c>
      <c r="N4666">
        <v>2</v>
      </c>
    </row>
    <row r="4667" spans="1:14" x14ac:dyDescent="0.25">
      <c r="A4667">
        <v>5666</v>
      </c>
      <c r="B4667" s="1">
        <v>45738</v>
      </c>
      <c r="C4667" s="4">
        <f>MONTH(datos_ventas[[#This Row],[Fecha]])</f>
        <v>3</v>
      </c>
      <c r="D4667" s="4">
        <f>WEEKNUM(datos_ventas[[#This Row],[Fecha]],2)</f>
        <v>12</v>
      </c>
      <c r="E4667" t="s">
        <v>23</v>
      </c>
      <c r="F4667" t="s">
        <v>18</v>
      </c>
      <c r="G4667">
        <v>4</v>
      </c>
      <c r="H4667">
        <v>59912</v>
      </c>
      <c r="I4667">
        <v>1175</v>
      </c>
      <c r="J4667" t="s">
        <v>27</v>
      </c>
      <c r="K4667" t="str">
        <f>_xlfn.XLOOKUP(datos_ventas[[#This Row],[Ciudad]],Tabla2[Ciudades],Tabla2[Provincias],"no se encuentra")</f>
        <v>Sevilla</v>
      </c>
      <c r="L4667" t="str">
        <f>_xlfn.XLOOKUP(datos_ventas[[#This Row],[Provincia]],Tabla2[Provincias],Tabla2[Comunidades],"no se encuentra")</f>
        <v>Andalucía</v>
      </c>
      <c r="M4667" t="s">
        <v>19</v>
      </c>
      <c r="N4667">
        <v>4</v>
      </c>
    </row>
    <row r="4668" spans="1:14" x14ac:dyDescent="0.25">
      <c r="A4668">
        <v>5667</v>
      </c>
      <c r="B4668" s="1">
        <v>45936</v>
      </c>
      <c r="C4668" s="4">
        <f>MONTH(datos_ventas[[#This Row],[Fecha]])</f>
        <v>10</v>
      </c>
      <c r="D4668" s="4">
        <f>WEEKNUM(datos_ventas[[#This Row],[Fecha]],2)</f>
        <v>41</v>
      </c>
      <c r="E4668" t="s">
        <v>17</v>
      </c>
      <c r="F4668" t="s">
        <v>18</v>
      </c>
      <c r="G4668">
        <v>1</v>
      </c>
      <c r="H4668">
        <v>2306</v>
      </c>
      <c r="I4668">
        <v>1027</v>
      </c>
      <c r="J4668" t="s">
        <v>12</v>
      </c>
      <c r="K4668" t="str">
        <f>_xlfn.XLOOKUP(datos_ventas[[#This Row],[Ciudad]],Tabla2[Ciudades],Tabla2[Provincias],"no se encuentra")</f>
        <v>Málaga</v>
      </c>
      <c r="L4668" t="str">
        <f>_xlfn.XLOOKUP(datos_ventas[[#This Row],[Provincia]],Tabla2[Provincias],Tabla2[Comunidades],"no se encuentra")</f>
        <v>Andalucía</v>
      </c>
      <c r="M4668" t="s">
        <v>28</v>
      </c>
      <c r="N4668">
        <v>4</v>
      </c>
    </row>
    <row r="4669" spans="1:14" x14ac:dyDescent="0.25">
      <c r="A4669">
        <v>5668</v>
      </c>
      <c r="B4669" s="1">
        <v>45831</v>
      </c>
      <c r="C4669" s="4">
        <f>MONTH(datos_ventas[[#This Row],[Fecha]])</f>
        <v>6</v>
      </c>
      <c r="D4669" s="4">
        <f>WEEKNUM(datos_ventas[[#This Row],[Fecha]],2)</f>
        <v>26</v>
      </c>
      <c r="E4669" t="s">
        <v>16</v>
      </c>
      <c r="F4669" t="s">
        <v>11</v>
      </c>
      <c r="G4669">
        <v>3</v>
      </c>
      <c r="H4669">
        <v>71448</v>
      </c>
      <c r="I4669">
        <v>1114</v>
      </c>
      <c r="J4669" t="s">
        <v>14</v>
      </c>
      <c r="K4669" t="str">
        <f>_xlfn.XLOOKUP(datos_ventas[[#This Row],[Ciudad]],Tabla2[Ciudades],Tabla2[Provincias],"no se encuentra")</f>
        <v>Madrid</v>
      </c>
      <c r="L4669" t="str">
        <f>_xlfn.XLOOKUP(datos_ventas[[#This Row],[Provincia]],Tabla2[Provincias],Tabla2[Comunidades],"no se encuentra")</f>
        <v>Comunidad de Madrid</v>
      </c>
      <c r="M4669" t="s">
        <v>19</v>
      </c>
      <c r="N4669">
        <v>4</v>
      </c>
    </row>
    <row r="4670" spans="1:14" x14ac:dyDescent="0.25">
      <c r="A4670">
        <v>5669</v>
      </c>
      <c r="B4670" s="1">
        <v>45819</v>
      </c>
      <c r="C4670" s="4">
        <f>MONTH(datos_ventas[[#This Row],[Fecha]])</f>
        <v>6</v>
      </c>
      <c r="D4670" s="4">
        <f>WEEKNUM(datos_ventas[[#This Row],[Fecha]],2)</f>
        <v>24</v>
      </c>
      <c r="E4670" t="s">
        <v>29</v>
      </c>
      <c r="F4670" t="s">
        <v>30</v>
      </c>
      <c r="G4670">
        <v>5</v>
      </c>
      <c r="H4670">
        <v>34413</v>
      </c>
      <c r="I4670">
        <v>4852</v>
      </c>
      <c r="J4670" t="s">
        <v>12</v>
      </c>
      <c r="K4670" t="str">
        <f>_xlfn.XLOOKUP(datos_ventas[[#This Row],[Ciudad]],Tabla2[Ciudades],Tabla2[Provincias],"no se encuentra")</f>
        <v>Málaga</v>
      </c>
      <c r="L4670" t="str">
        <f>_xlfn.XLOOKUP(datos_ventas[[#This Row],[Provincia]],Tabla2[Provincias],Tabla2[Comunidades],"no se encuentra")</f>
        <v>Andalucía</v>
      </c>
      <c r="M4670" t="s">
        <v>28</v>
      </c>
      <c r="N4670">
        <v>3</v>
      </c>
    </row>
    <row r="4671" spans="1:14" x14ac:dyDescent="0.25">
      <c r="A4671">
        <v>5670</v>
      </c>
      <c r="B4671" s="1">
        <v>45779</v>
      </c>
      <c r="C4671" s="4">
        <f>MONTH(datos_ventas[[#This Row],[Fecha]])</f>
        <v>5</v>
      </c>
      <c r="D4671" s="4">
        <f>WEEKNUM(datos_ventas[[#This Row],[Fecha]],2)</f>
        <v>18</v>
      </c>
      <c r="E4671" t="s">
        <v>26</v>
      </c>
      <c r="F4671" t="s">
        <v>18</v>
      </c>
      <c r="G4671">
        <v>3</v>
      </c>
      <c r="H4671">
        <v>3900</v>
      </c>
      <c r="I4671">
        <v>1767</v>
      </c>
      <c r="J4671" t="s">
        <v>32</v>
      </c>
      <c r="K4671" t="str">
        <f>_xlfn.XLOOKUP(datos_ventas[[#This Row],[Ciudad]],Tabla2[Ciudades],Tabla2[Provincias],"no se encuentra")</f>
        <v>Barcelona</v>
      </c>
      <c r="L4671" t="str">
        <f>_xlfn.XLOOKUP(datos_ventas[[#This Row],[Provincia]],Tabla2[Provincias],Tabla2[Comunidades],"no se encuentra")</f>
        <v>Cataluña</v>
      </c>
      <c r="M4671" t="s">
        <v>19</v>
      </c>
      <c r="N4671">
        <v>3</v>
      </c>
    </row>
    <row r="4672" spans="1:14" x14ac:dyDescent="0.25">
      <c r="A4672">
        <v>5671</v>
      </c>
      <c r="B4672" s="1">
        <v>45689</v>
      </c>
      <c r="C4672" s="4">
        <f>MONTH(datos_ventas[[#This Row],[Fecha]])</f>
        <v>2</v>
      </c>
      <c r="D4672" s="4">
        <f>WEEKNUM(datos_ventas[[#This Row],[Fecha]],2)</f>
        <v>5</v>
      </c>
      <c r="E4672" t="s">
        <v>16</v>
      </c>
      <c r="F4672" t="s">
        <v>11</v>
      </c>
      <c r="G4672">
        <v>3</v>
      </c>
      <c r="H4672">
        <v>95942</v>
      </c>
      <c r="I4672">
        <v>1169</v>
      </c>
      <c r="J4672" t="s">
        <v>31</v>
      </c>
      <c r="K4672" t="str">
        <f>_xlfn.XLOOKUP(datos_ventas[[#This Row],[Ciudad]],Tabla2[Ciudades],Tabla2[Provincias],"no se encuentra")</f>
        <v>Vizcaya</v>
      </c>
      <c r="L4672" t="str">
        <f>_xlfn.XLOOKUP(datos_ventas[[#This Row],[Provincia]],Tabla2[Provincias],Tabla2[Comunidades],"no se encuentra")</f>
        <v>País Vasco</v>
      </c>
      <c r="M4672" t="s">
        <v>13</v>
      </c>
      <c r="N4672">
        <v>2</v>
      </c>
    </row>
    <row r="4673" spans="1:14" x14ac:dyDescent="0.25">
      <c r="A4673">
        <v>5672</v>
      </c>
      <c r="B4673" s="1">
        <v>45913</v>
      </c>
      <c r="C4673" s="4">
        <f>MONTH(datos_ventas[[#This Row],[Fecha]])</f>
        <v>9</v>
      </c>
      <c r="D4673" s="4">
        <f>WEEKNUM(datos_ventas[[#This Row],[Fecha]],2)</f>
        <v>37</v>
      </c>
      <c r="E4673" t="s">
        <v>20</v>
      </c>
      <c r="F4673" t="s">
        <v>21</v>
      </c>
      <c r="G4673">
        <v>5</v>
      </c>
      <c r="H4673">
        <v>101113</v>
      </c>
      <c r="I4673">
        <v>1635</v>
      </c>
      <c r="J4673" t="s">
        <v>27</v>
      </c>
      <c r="K4673" t="str">
        <f>_xlfn.XLOOKUP(datos_ventas[[#This Row],[Ciudad]],Tabla2[Ciudades],Tabla2[Provincias],"no se encuentra")</f>
        <v>Sevilla</v>
      </c>
      <c r="L4673" t="str">
        <f>_xlfn.XLOOKUP(datos_ventas[[#This Row],[Provincia]],Tabla2[Provincias],Tabla2[Comunidades],"no se encuentra")</f>
        <v>Andalucía</v>
      </c>
      <c r="M4673" t="s">
        <v>13</v>
      </c>
      <c r="N4673">
        <v>5</v>
      </c>
    </row>
    <row r="4674" spans="1:14" x14ac:dyDescent="0.25">
      <c r="A4674">
        <v>5673</v>
      </c>
      <c r="B4674" s="1">
        <v>46015</v>
      </c>
      <c r="C4674" s="4">
        <f>MONTH(datos_ventas[[#This Row],[Fecha]])</f>
        <v>12</v>
      </c>
      <c r="D4674" s="4">
        <f>WEEKNUM(datos_ventas[[#This Row],[Fecha]],2)</f>
        <v>52</v>
      </c>
      <c r="E4674" t="s">
        <v>20</v>
      </c>
      <c r="F4674" t="s">
        <v>21</v>
      </c>
      <c r="G4674">
        <v>4</v>
      </c>
      <c r="H4674">
        <v>80824</v>
      </c>
      <c r="I4674">
        <v>2119</v>
      </c>
      <c r="J4674" t="s">
        <v>22</v>
      </c>
      <c r="K4674" t="str">
        <f>_xlfn.XLOOKUP(datos_ventas[[#This Row],[Ciudad]],Tabla2[Ciudades],Tabla2[Provincias],"no se encuentra")</f>
        <v>Valencia</v>
      </c>
      <c r="L4674" t="str">
        <f>_xlfn.XLOOKUP(datos_ventas[[#This Row],[Provincia]],Tabla2[Provincias],Tabla2[Comunidades],"no se encuentra")</f>
        <v>Comunidad Valenciana</v>
      </c>
      <c r="M4674" t="s">
        <v>13</v>
      </c>
      <c r="N4674">
        <v>5</v>
      </c>
    </row>
    <row r="4675" spans="1:14" x14ac:dyDescent="0.25">
      <c r="A4675">
        <v>5674</v>
      </c>
      <c r="B4675" s="1">
        <v>45929</v>
      </c>
      <c r="C4675" s="4">
        <f>MONTH(datos_ventas[[#This Row],[Fecha]])</f>
        <v>9</v>
      </c>
      <c r="D4675" s="4">
        <f>WEEKNUM(datos_ventas[[#This Row],[Fecha]],2)</f>
        <v>40</v>
      </c>
      <c r="E4675" t="s">
        <v>29</v>
      </c>
      <c r="F4675" t="s">
        <v>30</v>
      </c>
      <c r="G4675">
        <v>3</v>
      </c>
      <c r="H4675">
        <v>15911</v>
      </c>
      <c r="I4675">
        <v>4764</v>
      </c>
      <c r="J4675" t="s">
        <v>12</v>
      </c>
      <c r="K4675" t="str">
        <f>_xlfn.XLOOKUP(datos_ventas[[#This Row],[Ciudad]],Tabla2[Ciudades],Tabla2[Provincias],"no se encuentra")</f>
        <v>Málaga</v>
      </c>
      <c r="L4675" t="str">
        <f>_xlfn.XLOOKUP(datos_ventas[[#This Row],[Provincia]],Tabla2[Provincias],Tabla2[Comunidades],"no se encuentra")</f>
        <v>Andalucía</v>
      </c>
      <c r="M4675" t="s">
        <v>28</v>
      </c>
      <c r="N4675">
        <v>4</v>
      </c>
    </row>
    <row r="4676" spans="1:14" x14ac:dyDescent="0.25">
      <c r="A4676">
        <v>5675</v>
      </c>
      <c r="B4676" s="1">
        <v>45698</v>
      </c>
      <c r="C4676" s="4">
        <f>MONTH(datos_ventas[[#This Row],[Fecha]])</f>
        <v>2</v>
      </c>
      <c r="D4676" s="4">
        <f>WEEKNUM(datos_ventas[[#This Row],[Fecha]],2)</f>
        <v>7</v>
      </c>
      <c r="E4676" t="s">
        <v>17</v>
      </c>
      <c r="F4676" t="s">
        <v>18</v>
      </c>
      <c r="G4676">
        <v>1</v>
      </c>
      <c r="H4676">
        <v>104378</v>
      </c>
      <c r="I4676">
        <v>4555</v>
      </c>
      <c r="J4676" t="s">
        <v>12</v>
      </c>
      <c r="K4676" t="str">
        <f>_xlfn.XLOOKUP(datos_ventas[[#This Row],[Ciudad]],Tabla2[Ciudades],Tabla2[Provincias],"no se encuentra")</f>
        <v>Málaga</v>
      </c>
      <c r="L4676" t="str">
        <f>_xlfn.XLOOKUP(datos_ventas[[#This Row],[Provincia]],Tabla2[Provincias],Tabla2[Comunidades],"no se encuentra")</f>
        <v>Andalucía</v>
      </c>
      <c r="M4676" t="s">
        <v>13</v>
      </c>
      <c r="N4676">
        <v>3</v>
      </c>
    </row>
    <row r="4677" spans="1:14" x14ac:dyDescent="0.25">
      <c r="A4677">
        <v>5676</v>
      </c>
      <c r="B4677" s="1">
        <v>45918</v>
      </c>
      <c r="C4677" s="4">
        <f>MONTH(datos_ventas[[#This Row],[Fecha]])</f>
        <v>9</v>
      </c>
      <c r="D4677" s="4">
        <f>WEEKNUM(datos_ventas[[#This Row],[Fecha]],2)</f>
        <v>38</v>
      </c>
      <c r="E4677" t="s">
        <v>26</v>
      </c>
      <c r="F4677" t="s">
        <v>18</v>
      </c>
      <c r="G4677">
        <v>2</v>
      </c>
      <c r="H4677">
        <v>76781</v>
      </c>
      <c r="I4677">
        <v>3937</v>
      </c>
      <c r="J4677" t="s">
        <v>14</v>
      </c>
      <c r="K4677" t="str">
        <f>_xlfn.XLOOKUP(datos_ventas[[#This Row],[Ciudad]],Tabla2[Ciudades],Tabla2[Provincias],"no se encuentra")</f>
        <v>Madrid</v>
      </c>
      <c r="L4677" t="str">
        <f>_xlfn.XLOOKUP(datos_ventas[[#This Row],[Provincia]],Tabla2[Provincias],Tabla2[Comunidades],"no se encuentra")</f>
        <v>Comunidad de Madrid</v>
      </c>
      <c r="M4677" t="s">
        <v>19</v>
      </c>
      <c r="N4677">
        <v>1</v>
      </c>
    </row>
    <row r="4678" spans="1:14" x14ac:dyDescent="0.25">
      <c r="A4678">
        <v>5677</v>
      </c>
      <c r="B4678" s="1">
        <v>45813</v>
      </c>
      <c r="C4678" s="4">
        <f>MONTH(datos_ventas[[#This Row],[Fecha]])</f>
        <v>6</v>
      </c>
      <c r="D4678" s="4">
        <f>WEEKNUM(datos_ventas[[#This Row],[Fecha]],2)</f>
        <v>23</v>
      </c>
      <c r="E4678" t="s">
        <v>26</v>
      </c>
      <c r="F4678" t="s">
        <v>18</v>
      </c>
      <c r="G4678">
        <v>1</v>
      </c>
      <c r="H4678">
        <v>43467</v>
      </c>
      <c r="I4678">
        <v>3397</v>
      </c>
      <c r="J4678" t="s">
        <v>27</v>
      </c>
      <c r="K4678" t="str">
        <f>_xlfn.XLOOKUP(datos_ventas[[#This Row],[Ciudad]],Tabla2[Ciudades],Tabla2[Provincias],"no se encuentra")</f>
        <v>Sevilla</v>
      </c>
      <c r="L4678" t="str">
        <f>_xlfn.XLOOKUP(datos_ventas[[#This Row],[Provincia]],Tabla2[Provincias],Tabla2[Comunidades],"no se encuentra")</f>
        <v>Andalucía</v>
      </c>
      <c r="M4678" t="s">
        <v>28</v>
      </c>
      <c r="N4678">
        <v>4</v>
      </c>
    </row>
    <row r="4679" spans="1:14" x14ac:dyDescent="0.25">
      <c r="A4679">
        <v>5678</v>
      </c>
      <c r="B4679" s="1">
        <v>45736</v>
      </c>
      <c r="C4679" s="4">
        <f>MONTH(datos_ventas[[#This Row],[Fecha]])</f>
        <v>3</v>
      </c>
      <c r="D4679" s="4">
        <f>WEEKNUM(datos_ventas[[#This Row],[Fecha]],2)</f>
        <v>12</v>
      </c>
      <c r="E4679" t="s">
        <v>23</v>
      </c>
      <c r="F4679" t="s">
        <v>18</v>
      </c>
      <c r="G4679">
        <v>1</v>
      </c>
      <c r="H4679">
        <v>92249</v>
      </c>
      <c r="I4679">
        <v>3864</v>
      </c>
      <c r="J4679" t="s">
        <v>22</v>
      </c>
      <c r="K4679" t="str">
        <f>_xlfn.XLOOKUP(datos_ventas[[#This Row],[Ciudad]],Tabla2[Ciudades],Tabla2[Provincias],"no se encuentra")</f>
        <v>Valencia</v>
      </c>
      <c r="L4679" t="str">
        <f>_xlfn.XLOOKUP(datos_ventas[[#This Row],[Provincia]],Tabla2[Provincias],Tabla2[Comunidades],"no se encuentra")</f>
        <v>Comunidad Valenciana</v>
      </c>
      <c r="M4679" t="s">
        <v>19</v>
      </c>
      <c r="N4679">
        <v>2</v>
      </c>
    </row>
    <row r="4680" spans="1:14" x14ac:dyDescent="0.25">
      <c r="A4680">
        <v>5679</v>
      </c>
      <c r="B4680" s="1">
        <v>45776</v>
      </c>
      <c r="C4680" s="4">
        <f>MONTH(datos_ventas[[#This Row],[Fecha]])</f>
        <v>4</v>
      </c>
      <c r="D4680" s="4">
        <f>WEEKNUM(datos_ventas[[#This Row],[Fecha]],2)</f>
        <v>18</v>
      </c>
      <c r="E4680" t="s">
        <v>24</v>
      </c>
      <c r="F4680" t="s">
        <v>25</v>
      </c>
      <c r="G4680">
        <v>4</v>
      </c>
      <c r="H4680">
        <v>36996</v>
      </c>
      <c r="I4680">
        <v>2513</v>
      </c>
      <c r="J4680" t="s">
        <v>12</v>
      </c>
      <c r="K4680" t="str">
        <f>_xlfn.XLOOKUP(datos_ventas[[#This Row],[Ciudad]],Tabla2[Ciudades],Tabla2[Provincias],"no se encuentra")</f>
        <v>Málaga</v>
      </c>
      <c r="L4680" t="str">
        <f>_xlfn.XLOOKUP(datos_ventas[[#This Row],[Provincia]],Tabla2[Provincias],Tabla2[Comunidades],"no se encuentra")</f>
        <v>Andalucía</v>
      </c>
      <c r="M4680" t="s">
        <v>15</v>
      </c>
      <c r="N4680">
        <v>2</v>
      </c>
    </row>
    <row r="4681" spans="1:14" x14ac:dyDescent="0.25">
      <c r="A4681">
        <v>5680</v>
      </c>
      <c r="B4681" s="1">
        <v>45747</v>
      </c>
      <c r="C4681" s="4">
        <f>MONTH(datos_ventas[[#This Row],[Fecha]])</f>
        <v>3</v>
      </c>
      <c r="D4681" s="4">
        <f>WEEKNUM(datos_ventas[[#This Row],[Fecha]],2)</f>
        <v>14</v>
      </c>
      <c r="E4681" t="s">
        <v>10</v>
      </c>
      <c r="F4681" t="s">
        <v>11</v>
      </c>
      <c r="G4681">
        <v>1</v>
      </c>
      <c r="H4681">
        <v>50817</v>
      </c>
      <c r="I4681">
        <v>3876</v>
      </c>
      <c r="J4681" t="s">
        <v>27</v>
      </c>
      <c r="K4681" t="str">
        <f>_xlfn.XLOOKUP(datos_ventas[[#This Row],[Ciudad]],Tabla2[Ciudades],Tabla2[Provincias],"no se encuentra")</f>
        <v>Sevilla</v>
      </c>
      <c r="L4681" t="str">
        <f>_xlfn.XLOOKUP(datos_ventas[[#This Row],[Provincia]],Tabla2[Provincias],Tabla2[Comunidades],"no se encuentra")</f>
        <v>Andalucía</v>
      </c>
      <c r="M4681" t="s">
        <v>19</v>
      </c>
      <c r="N4681">
        <v>1</v>
      </c>
    </row>
    <row r="4682" spans="1:14" x14ac:dyDescent="0.25">
      <c r="A4682">
        <v>5681</v>
      </c>
      <c r="B4682" s="1">
        <v>45733</v>
      </c>
      <c r="C4682" s="4">
        <f>MONTH(datos_ventas[[#This Row],[Fecha]])</f>
        <v>3</v>
      </c>
      <c r="D4682" s="4">
        <f>WEEKNUM(datos_ventas[[#This Row],[Fecha]],2)</f>
        <v>12</v>
      </c>
      <c r="E4682" t="s">
        <v>24</v>
      </c>
      <c r="F4682" t="s">
        <v>25</v>
      </c>
      <c r="G4682">
        <v>3</v>
      </c>
      <c r="H4682">
        <v>94828</v>
      </c>
      <c r="I4682">
        <v>1306</v>
      </c>
      <c r="J4682" t="s">
        <v>31</v>
      </c>
      <c r="K4682" t="str">
        <f>_xlfn.XLOOKUP(datos_ventas[[#This Row],[Ciudad]],Tabla2[Ciudades],Tabla2[Provincias],"no se encuentra")</f>
        <v>Vizcaya</v>
      </c>
      <c r="L4682" t="str">
        <f>_xlfn.XLOOKUP(datos_ventas[[#This Row],[Provincia]],Tabla2[Provincias],Tabla2[Comunidades],"no se encuentra")</f>
        <v>País Vasco</v>
      </c>
      <c r="M4682" t="s">
        <v>19</v>
      </c>
      <c r="N4682">
        <v>4</v>
      </c>
    </row>
    <row r="4683" spans="1:14" x14ac:dyDescent="0.25">
      <c r="A4683">
        <v>5682</v>
      </c>
      <c r="B4683" s="1">
        <v>45911</v>
      </c>
      <c r="C4683" s="4">
        <f>MONTH(datos_ventas[[#This Row],[Fecha]])</f>
        <v>9</v>
      </c>
      <c r="D4683" s="4">
        <f>WEEKNUM(datos_ventas[[#This Row],[Fecha]],2)</f>
        <v>37</v>
      </c>
      <c r="E4683" t="s">
        <v>26</v>
      </c>
      <c r="F4683" t="s">
        <v>18</v>
      </c>
      <c r="G4683">
        <v>2</v>
      </c>
      <c r="H4683">
        <v>48881</v>
      </c>
      <c r="I4683">
        <v>3084</v>
      </c>
      <c r="J4683" t="s">
        <v>12</v>
      </c>
      <c r="K4683" t="str">
        <f>_xlfn.XLOOKUP(datos_ventas[[#This Row],[Ciudad]],Tabla2[Ciudades],Tabla2[Provincias],"no se encuentra")</f>
        <v>Málaga</v>
      </c>
      <c r="L4683" t="str">
        <f>_xlfn.XLOOKUP(datos_ventas[[#This Row],[Provincia]],Tabla2[Provincias],Tabla2[Comunidades],"no se encuentra")</f>
        <v>Andalucía</v>
      </c>
      <c r="M4683" t="s">
        <v>19</v>
      </c>
      <c r="N4683">
        <v>5</v>
      </c>
    </row>
    <row r="4684" spans="1:14" x14ac:dyDescent="0.25">
      <c r="A4684">
        <v>5683</v>
      </c>
      <c r="B4684" s="1">
        <v>45763</v>
      </c>
      <c r="C4684" s="4">
        <f>MONTH(datos_ventas[[#This Row],[Fecha]])</f>
        <v>4</v>
      </c>
      <c r="D4684" s="4">
        <f>WEEKNUM(datos_ventas[[#This Row],[Fecha]],2)</f>
        <v>16</v>
      </c>
      <c r="E4684" t="s">
        <v>20</v>
      </c>
      <c r="F4684" t="s">
        <v>21</v>
      </c>
      <c r="G4684">
        <v>4</v>
      </c>
      <c r="H4684">
        <v>61447</v>
      </c>
      <c r="I4684">
        <v>4228</v>
      </c>
      <c r="J4684" t="s">
        <v>31</v>
      </c>
      <c r="K4684" t="str">
        <f>_xlfn.XLOOKUP(datos_ventas[[#This Row],[Ciudad]],Tabla2[Ciudades],Tabla2[Provincias],"no se encuentra")</f>
        <v>Vizcaya</v>
      </c>
      <c r="L4684" t="str">
        <f>_xlfn.XLOOKUP(datos_ventas[[#This Row],[Provincia]],Tabla2[Provincias],Tabla2[Comunidades],"no se encuentra")</f>
        <v>País Vasco</v>
      </c>
      <c r="M4684" t="s">
        <v>13</v>
      </c>
      <c r="N4684">
        <v>3</v>
      </c>
    </row>
    <row r="4685" spans="1:14" x14ac:dyDescent="0.25">
      <c r="A4685">
        <v>5684</v>
      </c>
      <c r="B4685" s="1">
        <v>45951</v>
      </c>
      <c r="C4685" s="4">
        <f>MONTH(datos_ventas[[#This Row],[Fecha]])</f>
        <v>10</v>
      </c>
      <c r="D4685" s="4">
        <f>WEEKNUM(datos_ventas[[#This Row],[Fecha]],2)</f>
        <v>43</v>
      </c>
      <c r="E4685" t="s">
        <v>17</v>
      </c>
      <c r="F4685" t="s">
        <v>18</v>
      </c>
      <c r="G4685">
        <v>5</v>
      </c>
      <c r="H4685">
        <v>88526</v>
      </c>
      <c r="I4685">
        <v>3386</v>
      </c>
      <c r="J4685" t="s">
        <v>22</v>
      </c>
      <c r="K4685" t="str">
        <f>_xlfn.XLOOKUP(datos_ventas[[#This Row],[Ciudad]],Tabla2[Ciudades],Tabla2[Provincias],"no se encuentra")</f>
        <v>Valencia</v>
      </c>
      <c r="L4685" t="str">
        <f>_xlfn.XLOOKUP(datos_ventas[[#This Row],[Provincia]],Tabla2[Provincias],Tabla2[Comunidades],"no se encuentra")</f>
        <v>Comunidad Valenciana</v>
      </c>
      <c r="M4685" t="s">
        <v>15</v>
      </c>
      <c r="N4685">
        <v>3</v>
      </c>
    </row>
    <row r="4686" spans="1:14" x14ac:dyDescent="0.25">
      <c r="A4686">
        <v>5685</v>
      </c>
      <c r="B4686" s="1">
        <v>45846</v>
      </c>
      <c r="C4686" s="4">
        <f>MONTH(datos_ventas[[#This Row],[Fecha]])</f>
        <v>7</v>
      </c>
      <c r="D4686" s="4">
        <f>WEEKNUM(datos_ventas[[#This Row],[Fecha]],2)</f>
        <v>28</v>
      </c>
      <c r="E4686" t="s">
        <v>29</v>
      </c>
      <c r="F4686" t="s">
        <v>30</v>
      </c>
      <c r="G4686">
        <v>2</v>
      </c>
      <c r="H4686">
        <v>68205</v>
      </c>
      <c r="I4686">
        <v>973</v>
      </c>
      <c r="J4686" t="s">
        <v>12</v>
      </c>
      <c r="K4686" t="str">
        <f>_xlfn.XLOOKUP(datos_ventas[[#This Row],[Ciudad]],Tabla2[Ciudades],Tabla2[Provincias],"no se encuentra")</f>
        <v>Málaga</v>
      </c>
      <c r="L4686" t="str">
        <f>_xlfn.XLOOKUP(datos_ventas[[#This Row],[Provincia]],Tabla2[Provincias],Tabla2[Comunidades],"no se encuentra")</f>
        <v>Andalucía</v>
      </c>
      <c r="M4686" t="s">
        <v>28</v>
      </c>
      <c r="N4686">
        <v>1</v>
      </c>
    </row>
    <row r="4687" spans="1:14" x14ac:dyDescent="0.25">
      <c r="A4687">
        <v>5686</v>
      </c>
      <c r="B4687" s="1">
        <v>45796</v>
      </c>
      <c r="C4687" s="4">
        <f>MONTH(datos_ventas[[#This Row],[Fecha]])</f>
        <v>5</v>
      </c>
      <c r="D4687" s="4">
        <f>WEEKNUM(datos_ventas[[#This Row],[Fecha]],2)</f>
        <v>21</v>
      </c>
      <c r="E4687" t="s">
        <v>17</v>
      </c>
      <c r="F4687" t="s">
        <v>18</v>
      </c>
      <c r="G4687">
        <v>3</v>
      </c>
      <c r="H4687">
        <v>111664</v>
      </c>
      <c r="I4687">
        <v>2904</v>
      </c>
      <c r="J4687" t="s">
        <v>31</v>
      </c>
      <c r="K4687" t="str">
        <f>_xlfn.XLOOKUP(datos_ventas[[#This Row],[Ciudad]],Tabla2[Ciudades],Tabla2[Provincias],"no se encuentra")</f>
        <v>Vizcaya</v>
      </c>
      <c r="L4687" t="str">
        <f>_xlfn.XLOOKUP(datos_ventas[[#This Row],[Provincia]],Tabla2[Provincias],Tabla2[Comunidades],"no se encuentra")</f>
        <v>País Vasco</v>
      </c>
      <c r="M4687" t="s">
        <v>15</v>
      </c>
      <c r="N4687">
        <v>3</v>
      </c>
    </row>
    <row r="4688" spans="1:14" x14ac:dyDescent="0.25">
      <c r="A4688">
        <v>5687</v>
      </c>
      <c r="B4688" s="1">
        <v>45786</v>
      </c>
      <c r="C4688" s="4">
        <f>MONTH(datos_ventas[[#This Row],[Fecha]])</f>
        <v>5</v>
      </c>
      <c r="D4688" s="4">
        <f>WEEKNUM(datos_ventas[[#This Row],[Fecha]],2)</f>
        <v>19</v>
      </c>
      <c r="E4688" t="s">
        <v>10</v>
      </c>
      <c r="F4688" t="s">
        <v>11</v>
      </c>
      <c r="G4688">
        <v>4</v>
      </c>
      <c r="H4688">
        <v>39649</v>
      </c>
      <c r="I4688">
        <v>852</v>
      </c>
      <c r="J4688" t="s">
        <v>32</v>
      </c>
      <c r="K4688" t="str">
        <f>_xlfn.XLOOKUP(datos_ventas[[#This Row],[Ciudad]],Tabla2[Ciudades],Tabla2[Provincias],"no se encuentra")</f>
        <v>Barcelona</v>
      </c>
      <c r="L4688" t="str">
        <f>_xlfn.XLOOKUP(datos_ventas[[#This Row],[Provincia]],Tabla2[Provincias],Tabla2[Comunidades],"no se encuentra")</f>
        <v>Cataluña</v>
      </c>
      <c r="M4688" t="s">
        <v>28</v>
      </c>
      <c r="N4688">
        <v>5</v>
      </c>
    </row>
    <row r="4689" spans="1:14" x14ac:dyDescent="0.25">
      <c r="A4689">
        <v>5688</v>
      </c>
      <c r="B4689" s="1">
        <v>45759</v>
      </c>
      <c r="C4689" s="4">
        <f>MONTH(datos_ventas[[#This Row],[Fecha]])</f>
        <v>4</v>
      </c>
      <c r="D4689" s="4">
        <f>WEEKNUM(datos_ventas[[#This Row],[Fecha]],2)</f>
        <v>15</v>
      </c>
      <c r="E4689" t="s">
        <v>26</v>
      </c>
      <c r="F4689" t="s">
        <v>18</v>
      </c>
      <c r="G4689">
        <v>5</v>
      </c>
      <c r="H4689">
        <v>44303</v>
      </c>
      <c r="I4689">
        <v>1343</v>
      </c>
      <c r="J4689" t="s">
        <v>32</v>
      </c>
      <c r="K4689" t="str">
        <f>_xlfn.XLOOKUP(datos_ventas[[#This Row],[Ciudad]],Tabla2[Ciudades],Tabla2[Provincias],"no se encuentra")</f>
        <v>Barcelona</v>
      </c>
      <c r="L4689" t="str">
        <f>_xlfn.XLOOKUP(datos_ventas[[#This Row],[Provincia]],Tabla2[Provincias],Tabla2[Comunidades],"no se encuentra")</f>
        <v>Cataluña</v>
      </c>
      <c r="M4689" t="s">
        <v>13</v>
      </c>
      <c r="N4689">
        <v>3</v>
      </c>
    </row>
    <row r="4690" spans="1:14" x14ac:dyDescent="0.25">
      <c r="A4690">
        <v>5689</v>
      </c>
      <c r="B4690" s="1">
        <v>45988</v>
      </c>
      <c r="C4690" s="4">
        <f>MONTH(datos_ventas[[#This Row],[Fecha]])</f>
        <v>11</v>
      </c>
      <c r="D4690" s="4">
        <f>WEEKNUM(datos_ventas[[#This Row],[Fecha]],2)</f>
        <v>48</v>
      </c>
      <c r="E4690" t="s">
        <v>17</v>
      </c>
      <c r="F4690" t="s">
        <v>18</v>
      </c>
      <c r="G4690">
        <v>1</v>
      </c>
      <c r="H4690">
        <v>105911</v>
      </c>
      <c r="I4690">
        <v>4412</v>
      </c>
      <c r="J4690" t="s">
        <v>27</v>
      </c>
      <c r="K4690" t="str">
        <f>_xlfn.XLOOKUP(datos_ventas[[#This Row],[Ciudad]],Tabla2[Ciudades],Tabla2[Provincias],"no se encuentra")</f>
        <v>Sevilla</v>
      </c>
      <c r="L4690" t="str">
        <f>_xlfn.XLOOKUP(datos_ventas[[#This Row],[Provincia]],Tabla2[Provincias],Tabla2[Comunidades],"no se encuentra")</f>
        <v>Andalucía</v>
      </c>
      <c r="M4690" t="s">
        <v>15</v>
      </c>
      <c r="N4690">
        <v>1</v>
      </c>
    </row>
    <row r="4691" spans="1:14" x14ac:dyDescent="0.25">
      <c r="A4691">
        <v>5690</v>
      </c>
      <c r="B4691" s="1">
        <v>45823</v>
      </c>
      <c r="C4691" s="4">
        <f>MONTH(datos_ventas[[#This Row],[Fecha]])</f>
        <v>6</v>
      </c>
      <c r="D4691" s="4">
        <f>WEEKNUM(datos_ventas[[#This Row],[Fecha]],2)</f>
        <v>24</v>
      </c>
      <c r="E4691" t="s">
        <v>29</v>
      </c>
      <c r="F4691" t="s">
        <v>30</v>
      </c>
      <c r="G4691">
        <v>1</v>
      </c>
      <c r="H4691">
        <v>11708</v>
      </c>
      <c r="I4691">
        <v>1229</v>
      </c>
      <c r="J4691" t="s">
        <v>27</v>
      </c>
      <c r="K4691" t="str">
        <f>_xlfn.XLOOKUP(datos_ventas[[#This Row],[Ciudad]],Tabla2[Ciudades],Tabla2[Provincias],"no se encuentra")</f>
        <v>Sevilla</v>
      </c>
      <c r="L4691" t="str">
        <f>_xlfn.XLOOKUP(datos_ventas[[#This Row],[Provincia]],Tabla2[Provincias],Tabla2[Comunidades],"no se encuentra")</f>
        <v>Andalucía</v>
      </c>
      <c r="M4691" t="s">
        <v>15</v>
      </c>
      <c r="N4691">
        <v>1</v>
      </c>
    </row>
    <row r="4692" spans="1:14" x14ac:dyDescent="0.25">
      <c r="A4692">
        <v>5691</v>
      </c>
      <c r="B4692" s="1">
        <v>45945</v>
      </c>
      <c r="C4692" s="4">
        <f>MONTH(datos_ventas[[#This Row],[Fecha]])</f>
        <v>10</v>
      </c>
      <c r="D4692" s="4">
        <f>WEEKNUM(datos_ventas[[#This Row],[Fecha]],2)</f>
        <v>42</v>
      </c>
      <c r="E4692" t="s">
        <v>10</v>
      </c>
      <c r="F4692" t="s">
        <v>11</v>
      </c>
      <c r="G4692">
        <v>3</v>
      </c>
      <c r="H4692">
        <v>69128</v>
      </c>
      <c r="I4692">
        <v>3709</v>
      </c>
      <c r="J4692" t="s">
        <v>22</v>
      </c>
      <c r="K4692" t="str">
        <f>_xlfn.XLOOKUP(datos_ventas[[#This Row],[Ciudad]],Tabla2[Ciudades],Tabla2[Provincias],"no se encuentra")</f>
        <v>Valencia</v>
      </c>
      <c r="L4692" t="str">
        <f>_xlfn.XLOOKUP(datos_ventas[[#This Row],[Provincia]],Tabla2[Provincias],Tabla2[Comunidades],"no se encuentra")</f>
        <v>Comunidad Valenciana</v>
      </c>
      <c r="M4692" t="s">
        <v>28</v>
      </c>
      <c r="N4692">
        <v>5</v>
      </c>
    </row>
    <row r="4693" spans="1:14" x14ac:dyDescent="0.25">
      <c r="A4693">
        <v>5692</v>
      </c>
      <c r="B4693" s="1">
        <v>45693</v>
      </c>
      <c r="C4693" s="4">
        <f>MONTH(datos_ventas[[#This Row],[Fecha]])</f>
        <v>2</v>
      </c>
      <c r="D4693" s="4">
        <f>WEEKNUM(datos_ventas[[#This Row],[Fecha]],2)</f>
        <v>6</v>
      </c>
      <c r="E4693" t="s">
        <v>23</v>
      </c>
      <c r="F4693" t="s">
        <v>18</v>
      </c>
      <c r="G4693">
        <v>4</v>
      </c>
      <c r="H4693">
        <v>67288</v>
      </c>
      <c r="I4693">
        <v>307</v>
      </c>
      <c r="J4693" t="s">
        <v>32</v>
      </c>
      <c r="K4693" t="str">
        <f>_xlfn.XLOOKUP(datos_ventas[[#This Row],[Ciudad]],Tabla2[Ciudades],Tabla2[Provincias],"no se encuentra")</f>
        <v>Barcelona</v>
      </c>
      <c r="L4693" t="str">
        <f>_xlfn.XLOOKUP(datos_ventas[[#This Row],[Provincia]],Tabla2[Provincias],Tabla2[Comunidades],"no se encuentra")</f>
        <v>Cataluña</v>
      </c>
      <c r="M4693" t="s">
        <v>13</v>
      </c>
      <c r="N4693">
        <v>2</v>
      </c>
    </row>
    <row r="4694" spans="1:14" x14ac:dyDescent="0.25">
      <c r="A4694">
        <v>5693</v>
      </c>
      <c r="B4694" s="1">
        <v>45707</v>
      </c>
      <c r="C4694" s="4">
        <f>MONTH(datos_ventas[[#This Row],[Fecha]])</f>
        <v>2</v>
      </c>
      <c r="D4694" s="4">
        <f>WEEKNUM(datos_ventas[[#This Row],[Fecha]],2)</f>
        <v>8</v>
      </c>
      <c r="E4694" t="s">
        <v>16</v>
      </c>
      <c r="F4694" t="s">
        <v>11</v>
      </c>
      <c r="G4694">
        <v>2</v>
      </c>
      <c r="H4694">
        <v>78926</v>
      </c>
      <c r="I4694">
        <v>1166</v>
      </c>
      <c r="J4694" t="s">
        <v>22</v>
      </c>
      <c r="K4694" t="str">
        <f>_xlfn.XLOOKUP(datos_ventas[[#This Row],[Ciudad]],Tabla2[Ciudades],Tabla2[Provincias],"no se encuentra")</f>
        <v>Valencia</v>
      </c>
      <c r="L4694" t="str">
        <f>_xlfn.XLOOKUP(datos_ventas[[#This Row],[Provincia]],Tabla2[Provincias],Tabla2[Comunidades],"no se encuentra")</f>
        <v>Comunidad Valenciana</v>
      </c>
      <c r="M4694" t="s">
        <v>28</v>
      </c>
      <c r="N4694">
        <v>2</v>
      </c>
    </row>
    <row r="4695" spans="1:14" x14ac:dyDescent="0.25">
      <c r="A4695">
        <v>5694</v>
      </c>
      <c r="B4695" s="1">
        <v>45901</v>
      </c>
      <c r="C4695" s="4">
        <f>MONTH(datos_ventas[[#This Row],[Fecha]])</f>
        <v>9</v>
      </c>
      <c r="D4695" s="4">
        <f>WEEKNUM(datos_ventas[[#This Row],[Fecha]],2)</f>
        <v>36</v>
      </c>
      <c r="E4695" t="s">
        <v>16</v>
      </c>
      <c r="F4695" t="s">
        <v>11</v>
      </c>
      <c r="G4695">
        <v>4</v>
      </c>
      <c r="H4695">
        <v>34618</v>
      </c>
      <c r="I4695">
        <v>3218</v>
      </c>
      <c r="J4695" t="s">
        <v>31</v>
      </c>
      <c r="K4695" t="str">
        <f>_xlfn.XLOOKUP(datos_ventas[[#This Row],[Ciudad]],Tabla2[Ciudades],Tabla2[Provincias],"no se encuentra")</f>
        <v>Vizcaya</v>
      </c>
      <c r="L4695" t="str">
        <f>_xlfn.XLOOKUP(datos_ventas[[#This Row],[Provincia]],Tabla2[Provincias],Tabla2[Comunidades],"no se encuentra")</f>
        <v>País Vasco</v>
      </c>
      <c r="M4695" t="s">
        <v>28</v>
      </c>
      <c r="N4695">
        <v>4</v>
      </c>
    </row>
    <row r="4696" spans="1:14" x14ac:dyDescent="0.25">
      <c r="A4696">
        <v>5695</v>
      </c>
      <c r="B4696" s="1">
        <v>45932</v>
      </c>
      <c r="C4696" s="4">
        <f>MONTH(datos_ventas[[#This Row],[Fecha]])</f>
        <v>10</v>
      </c>
      <c r="D4696" s="4">
        <f>WEEKNUM(datos_ventas[[#This Row],[Fecha]],2)</f>
        <v>40</v>
      </c>
      <c r="E4696" t="s">
        <v>20</v>
      </c>
      <c r="F4696" t="s">
        <v>21</v>
      </c>
      <c r="G4696">
        <v>4</v>
      </c>
      <c r="H4696">
        <v>48554</v>
      </c>
      <c r="I4696">
        <v>108</v>
      </c>
      <c r="J4696" t="s">
        <v>31</v>
      </c>
      <c r="K4696" t="str">
        <f>_xlfn.XLOOKUP(datos_ventas[[#This Row],[Ciudad]],Tabla2[Ciudades],Tabla2[Provincias],"no se encuentra")</f>
        <v>Vizcaya</v>
      </c>
      <c r="L4696" t="str">
        <f>_xlfn.XLOOKUP(datos_ventas[[#This Row],[Provincia]],Tabla2[Provincias],Tabla2[Comunidades],"no se encuentra")</f>
        <v>País Vasco</v>
      </c>
      <c r="M4696" t="s">
        <v>28</v>
      </c>
      <c r="N4696">
        <v>2</v>
      </c>
    </row>
    <row r="4697" spans="1:14" x14ac:dyDescent="0.25">
      <c r="A4697">
        <v>5696</v>
      </c>
      <c r="B4697" s="1">
        <v>46016</v>
      </c>
      <c r="C4697" s="4">
        <f>MONTH(datos_ventas[[#This Row],[Fecha]])</f>
        <v>12</v>
      </c>
      <c r="D4697" s="4">
        <f>WEEKNUM(datos_ventas[[#This Row],[Fecha]],2)</f>
        <v>52</v>
      </c>
      <c r="E4697" t="s">
        <v>17</v>
      </c>
      <c r="F4697" t="s">
        <v>18</v>
      </c>
      <c r="G4697">
        <v>5</v>
      </c>
      <c r="H4697">
        <v>87973</v>
      </c>
      <c r="I4697">
        <v>1246</v>
      </c>
      <c r="J4697" t="s">
        <v>14</v>
      </c>
      <c r="K4697" t="str">
        <f>_xlfn.XLOOKUP(datos_ventas[[#This Row],[Ciudad]],Tabla2[Ciudades],Tabla2[Provincias],"no se encuentra")</f>
        <v>Madrid</v>
      </c>
      <c r="L4697" t="str">
        <f>_xlfn.XLOOKUP(datos_ventas[[#This Row],[Provincia]],Tabla2[Provincias],Tabla2[Comunidades],"no se encuentra")</f>
        <v>Comunidad de Madrid</v>
      </c>
      <c r="M4697" t="s">
        <v>19</v>
      </c>
      <c r="N4697">
        <v>2</v>
      </c>
    </row>
    <row r="4698" spans="1:14" x14ac:dyDescent="0.25">
      <c r="A4698">
        <v>5697</v>
      </c>
      <c r="B4698" s="1">
        <v>45941</v>
      </c>
      <c r="C4698" s="4">
        <f>MONTH(datos_ventas[[#This Row],[Fecha]])</f>
        <v>10</v>
      </c>
      <c r="D4698" s="4">
        <f>WEEKNUM(datos_ventas[[#This Row],[Fecha]],2)</f>
        <v>41</v>
      </c>
      <c r="E4698" t="s">
        <v>23</v>
      </c>
      <c r="F4698" t="s">
        <v>18</v>
      </c>
      <c r="G4698">
        <v>3</v>
      </c>
      <c r="H4698">
        <v>70949</v>
      </c>
      <c r="I4698">
        <v>4826</v>
      </c>
      <c r="J4698" t="s">
        <v>27</v>
      </c>
      <c r="K4698" t="str">
        <f>_xlfn.XLOOKUP(datos_ventas[[#This Row],[Ciudad]],Tabla2[Ciudades],Tabla2[Provincias],"no se encuentra")</f>
        <v>Sevilla</v>
      </c>
      <c r="L4698" t="str">
        <f>_xlfn.XLOOKUP(datos_ventas[[#This Row],[Provincia]],Tabla2[Provincias],Tabla2[Comunidades],"no se encuentra")</f>
        <v>Andalucía</v>
      </c>
      <c r="M4698" t="s">
        <v>19</v>
      </c>
      <c r="N4698">
        <v>4</v>
      </c>
    </row>
    <row r="4699" spans="1:14" x14ac:dyDescent="0.25">
      <c r="A4699">
        <v>5698</v>
      </c>
      <c r="B4699" s="1">
        <v>45750</v>
      </c>
      <c r="C4699" s="4">
        <f>MONTH(datos_ventas[[#This Row],[Fecha]])</f>
        <v>4</v>
      </c>
      <c r="D4699" s="4">
        <f>WEEKNUM(datos_ventas[[#This Row],[Fecha]],2)</f>
        <v>14</v>
      </c>
      <c r="E4699" t="s">
        <v>29</v>
      </c>
      <c r="F4699" t="s">
        <v>30</v>
      </c>
      <c r="G4699">
        <v>1</v>
      </c>
      <c r="H4699">
        <v>63896</v>
      </c>
      <c r="I4699">
        <v>4857</v>
      </c>
      <c r="J4699" t="s">
        <v>27</v>
      </c>
      <c r="K4699" t="str">
        <f>_xlfn.XLOOKUP(datos_ventas[[#This Row],[Ciudad]],Tabla2[Ciudades],Tabla2[Provincias],"no se encuentra")</f>
        <v>Sevilla</v>
      </c>
      <c r="L4699" t="str">
        <f>_xlfn.XLOOKUP(datos_ventas[[#This Row],[Provincia]],Tabla2[Provincias],Tabla2[Comunidades],"no se encuentra")</f>
        <v>Andalucía</v>
      </c>
      <c r="M4699" t="s">
        <v>19</v>
      </c>
      <c r="N4699">
        <v>1</v>
      </c>
    </row>
    <row r="4700" spans="1:14" x14ac:dyDescent="0.25">
      <c r="A4700">
        <v>5699</v>
      </c>
      <c r="B4700" s="1">
        <v>45955</v>
      </c>
      <c r="C4700" s="4">
        <f>MONTH(datos_ventas[[#This Row],[Fecha]])</f>
        <v>10</v>
      </c>
      <c r="D4700" s="4">
        <f>WEEKNUM(datos_ventas[[#This Row],[Fecha]],2)</f>
        <v>43</v>
      </c>
      <c r="E4700" t="s">
        <v>23</v>
      </c>
      <c r="F4700" t="s">
        <v>18</v>
      </c>
      <c r="G4700">
        <v>1</v>
      </c>
      <c r="H4700">
        <v>73871</v>
      </c>
      <c r="I4700">
        <v>2302</v>
      </c>
      <c r="J4700" t="s">
        <v>27</v>
      </c>
      <c r="K4700" t="str">
        <f>_xlfn.XLOOKUP(datos_ventas[[#This Row],[Ciudad]],Tabla2[Ciudades],Tabla2[Provincias],"no se encuentra")</f>
        <v>Sevilla</v>
      </c>
      <c r="L4700" t="str">
        <f>_xlfn.XLOOKUP(datos_ventas[[#This Row],[Provincia]],Tabla2[Provincias],Tabla2[Comunidades],"no se encuentra")</f>
        <v>Andalucía</v>
      </c>
      <c r="M4700" t="s">
        <v>19</v>
      </c>
      <c r="N4700">
        <v>2</v>
      </c>
    </row>
    <row r="4701" spans="1:14" x14ac:dyDescent="0.25">
      <c r="A4701">
        <v>5700</v>
      </c>
      <c r="B4701" s="1">
        <v>46006</v>
      </c>
      <c r="C4701" s="4">
        <f>MONTH(datos_ventas[[#This Row],[Fecha]])</f>
        <v>12</v>
      </c>
      <c r="D4701" s="4">
        <f>WEEKNUM(datos_ventas[[#This Row],[Fecha]],2)</f>
        <v>51</v>
      </c>
      <c r="E4701" t="s">
        <v>16</v>
      </c>
      <c r="F4701" t="s">
        <v>11</v>
      </c>
      <c r="G4701">
        <v>2</v>
      </c>
      <c r="H4701">
        <v>51274</v>
      </c>
      <c r="I4701">
        <v>4773</v>
      </c>
      <c r="J4701" t="s">
        <v>31</v>
      </c>
      <c r="K4701" t="str">
        <f>_xlfn.XLOOKUP(datos_ventas[[#This Row],[Ciudad]],Tabla2[Ciudades],Tabla2[Provincias],"no se encuentra")</f>
        <v>Vizcaya</v>
      </c>
      <c r="L4701" t="str">
        <f>_xlfn.XLOOKUP(datos_ventas[[#This Row],[Provincia]],Tabla2[Provincias],Tabla2[Comunidades],"no se encuentra")</f>
        <v>País Vasco</v>
      </c>
      <c r="M4701" t="s">
        <v>13</v>
      </c>
      <c r="N4701">
        <v>3</v>
      </c>
    </row>
    <row r="4702" spans="1:14" x14ac:dyDescent="0.25">
      <c r="A4702">
        <v>5701</v>
      </c>
      <c r="B4702" s="1">
        <v>45880</v>
      </c>
      <c r="C4702" s="4">
        <f>MONTH(datos_ventas[[#This Row],[Fecha]])</f>
        <v>8</v>
      </c>
      <c r="D4702" s="4">
        <f>WEEKNUM(datos_ventas[[#This Row],[Fecha]],2)</f>
        <v>33</v>
      </c>
      <c r="E4702" t="s">
        <v>20</v>
      </c>
      <c r="F4702" t="s">
        <v>21</v>
      </c>
      <c r="G4702">
        <v>2</v>
      </c>
      <c r="H4702">
        <v>69598</v>
      </c>
      <c r="I4702">
        <v>3988</v>
      </c>
      <c r="J4702" t="s">
        <v>14</v>
      </c>
      <c r="K4702" t="str">
        <f>_xlfn.XLOOKUP(datos_ventas[[#This Row],[Ciudad]],Tabla2[Ciudades],Tabla2[Provincias],"no se encuentra")</f>
        <v>Madrid</v>
      </c>
      <c r="L4702" t="str">
        <f>_xlfn.XLOOKUP(datos_ventas[[#This Row],[Provincia]],Tabla2[Provincias],Tabla2[Comunidades],"no se encuentra")</f>
        <v>Comunidad de Madrid</v>
      </c>
      <c r="M4702" t="s">
        <v>19</v>
      </c>
      <c r="N4702">
        <v>2</v>
      </c>
    </row>
    <row r="4703" spans="1:14" x14ac:dyDescent="0.25">
      <c r="A4703">
        <v>5702</v>
      </c>
      <c r="B4703" s="1">
        <v>45658</v>
      </c>
      <c r="C4703" s="4">
        <f>MONTH(datos_ventas[[#This Row],[Fecha]])</f>
        <v>1</v>
      </c>
      <c r="D4703" s="4">
        <f>WEEKNUM(datos_ventas[[#This Row],[Fecha]],2)</f>
        <v>1</v>
      </c>
      <c r="E4703" t="s">
        <v>26</v>
      </c>
      <c r="F4703" t="s">
        <v>18</v>
      </c>
      <c r="G4703">
        <v>1</v>
      </c>
      <c r="H4703">
        <v>3703</v>
      </c>
      <c r="I4703">
        <v>2881</v>
      </c>
      <c r="J4703" t="s">
        <v>31</v>
      </c>
      <c r="K4703" t="str">
        <f>_xlfn.XLOOKUP(datos_ventas[[#This Row],[Ciudad]],Tabla2[Ciudades],Tabla2[Provincias],"no se encuentra")</f>
        <v>Vizcaya</v>
      </c>
      <c r="L4703" t="str">
        <f>_xlfn.XLOOKUP(datos_ventas[[#This Row],[Provincia]],Tabla2[Provincias],Tabla2[Comunidades],"no se encuentra")</f>
        <v>País Vasco</v>
      </c>
      <c r="M4703" t="s">
        <v>19</v>
      </c>
      <c r="N4703">
        <v>1</v>
      </c>
    </row>
    <row r="4704" spans="1:14" x14ac:dyDescent="0.25">
      <c r="A4704">
        <v>5703</v>
      </c>
      <c r="B4704" s="1">
        <v>45785</v>
      </c>
      <c r="C4704" s="4">
        <f>MONTH(datos_ventas[[#This Row],[Fecha]])</f>
        <v>5</v>
      </c>
      <c r="D4704" s="4">
        <f>WEEKNUM(datos_ventas[[#This Row],[Fecha]],2)</f>
        <v>19</v>
      </c>
      <c r="E4704" t="s">
        <v>24</v>
      </c>
      <c r="F4704" t="s">
        <v>25</v>
      </c>
      <c r="G4704">
        <v>5</v>
      </c>
      <c r="H4704">
        <v>113184</v>
      </c>
      <c r="I4704">
        <v>1001</v>
      </c>
      <c r="J4704" t="s">
        <v>27</v>
      </c>
      <c r="K4704" t="str">
        <f>_xlfn.XLOOKUP(datos_ventas[[#This Row],[Ciudad]],Tabla2[Ciudades],Tabla2[Provincias],"no se encuentra")</f>
        <v>Sevilla</v>
      </c>
      <c r="L4704" t="str">
        <f>_xlfn.XLOOKUP(datos_ventas[[#This Row],[Provincia]],Tabla2[Provincias],Tabla2[Comunidades],"no se encuentra")</f>
        <v>Andalucía</v>
      </c>
      <c r="M4704" t="s">
        <v>19</v>
      </c>
      <c r="N4704">
        <v>1</v>
      </c>
    </row>
    <row r="4705" spans="1:14" x14ac:dyDescent="0.25">
      <c r="A4705">
        <v>5704</v>
      </c>
      <c r="B4705" s="1">
        <v>45762</v>
      </c>
      <c r="C4705" s="4">
        <f>MONTH(datos_ventas[[#This Row],[Fecha]])</f>
        <v>4</v>
      </c>
      <c r="D4705" s="4">
        <f>WEEKNUM(datos_ventas[[#This Row],[Fecha]],2)</f>
        <v>16</v>
      </c>
      <c r="E4705" t="s">
        <v>20</v>
      </c>
      <c r="F4705" t="s">
        <v>21</v>
      </c>
      <c r="G4705">
        <v>1</v>
      </c>
      <c r="H4705">
        <v>5400</v>
      </c>
      <c r="I4705">
        <v>2925</v>
      </c>
      <c r="J4705" t="s">
        <v>31</v>
      </c>
      <c r="K4705" t="str">
        <f>_xlfn.XLOOKUP(datos_ventas[[#This Row],[Ciudad]],Tabla2[Ciudades],Tabla2[Provincias],"no se encuentra")</f>
        <v>Vizcaya</v>
      </c>
      <c r="L4705" t="str">
        <f>_xlfn.XLOOKUP(datos_ventas[[#This Row],[Provincia]],Tabla2[Provincias],Tabla2[Comunidades],"no se encuentra")</f>
        <v>País Vasco</v>
      </c>
      <c r="M4705" t="s">
        <v>19</v>
      </c>
      <c r="N4705">
        <v>4</v>
      </c>
    </row>
    <row r="4706" spans="1:14" x14ac:dyDescent="0.25">
      <c r="A4706">
        <v>5705</v>
      </c>
      <c r="B4706" s="1">
        <v>45698</v>
      </c>
      <c r="C4706" s="4">
        <f>MONTH(datos_ventas[[#This Row],[Fecha]])</f>
        <v>2</v>
      </c>
      <c r="D4706" s="4">
        <f>WEEKNUM(datos_ventas[[#This Row],[Fecha]],2)</f>
        <v>7</v>
      </c>
      <c r="E4706" t="s">
        <v>29</v>
      </c>
      <c r="F4706" t="s">
        <v>30</v>
      </c>
      <c r="G4706">
        <v>2</v>
      </c>
      <c r="H4706">
        <v>72178</v>
      </c>
      <c r="I4706">
        <v>4533</v>
      </c>
      <c r="J4706" t="s">
        <v>22</v>
      </c>
      <c r="K4706" t="str">
        <f>_xlfn.XLOOKUP(datos_ventas[[#This Row],[Ciudad]],Tabla2[Ciudades],Tabla2[Provincias],"no se encuentra")</f>
        <v>Valencia</v>
      </c>
      <c r="L4706" t="str">
        <f>_xlfn.XLOOKUP(datos_ventas[[#This Row],[Provincia]],Tabla2[Provincias],Tabla2[Comunidades],"no se encuentra")</f>
        <v>Comunidad Valenciana</v>
      </c>
      <c r="M4706" t="s">
        <v>28</v>
      </c>
      <c r="N4706">
        <v>1</v>
      </c>
    </row>
    <row r="4707" spans="1:14" x14ac:dyDescent="0.25">
      <c r="A4707">
        <v>5706</v>
      </c>
      <c r="B4707" s="1">
        <v>45864</v>
      </c>
      <c r="C4707" s="4">
        <f>MONTH(datos_ventas[[#This Row],[Fecha]])</f>
        <v>7</v>
      </c>
      <c r="D4707" s="4">
        <f>WEEKNUM(datos_ventas[[#This Row],[Fecha]],2)</f>
        <v>30</v>
      </c>
      <c r="E4707" t="s">
        <v>24</v>
      </c>
      <c r="F4707" t="s">
        <v>25</v>
      </c>
      <c r="G4707">
        <v>2</v>
      </c>
      <c r="H4707">
        <v>107169</v>
      </c>
      <c r="I4707">
        <v>4192</v>
      </c>
      <c r="J4707" t="s">
        <v>12</v>
      </c>
      <c r="K4707" t="str">
        <f>_xlfn.XLOOKUP(datos_ventas[[#This Row],[Ciudad]],Tabla2[Ciudades],Tabla2[Provincias],"no se encuentra")</f>
        <v>Málaga</v>
      </c>
      <c r="L4707" t="str">
        <f>_xlfn.XLOOKUP(datos_ventas[[#This Row],[Provincia]],Tabla2[Provincias],Tabla2[Comunidades],"no se encuentra")</f>
        <v>Andalucía</v>
      </c>
      <c r="M4707" t="s">
        <v>13</v>
      </c>
      <c r="N4707">
        <v>4</v>
      </c>
    </row>
    <row r="4708" spans="1:14" x14ac:dyDescent="0.25">
      <c r="A4708">
        <v>5707</v>
      </c>
      <c r="B4708" s="1">
        <v>45936</v>
      </c>
      <c r="C4708" s="4">
        <f>MONTH(datos_ventas[[#This Row],[Fecha]])</f>
        <v>10</v>
      </c>
      <c r="D4708" s="4">
        <f>WEEKNUM(datos_ventas[[#This Row],[Fecha]],2)</f>
        <v>41</v>
      </c>
      <c r="E4708" t="s">
        <v>17</v>
      </c>
      <c r="F4708" t="s">
        <v>18</v>
      </c>
      <c r="G4708">
        <v>3</v>
      </c>
      <c r="H4708">
        <v>119877</v>
      </c>
      <c r="I4708">
        <v>994</v>
      </c>
      <c r="J4708" t="s">
        <v>31</v>
      </c>
      <c r="K4708" t="str">
        <f>_xlfn.XLOOKUP(datos_ventas[[#This Row],[Ciudad]],Tabla2[Ciudades],Tabla2[Provincias],"no se encuentra")</f>
        <v>Vizcaya</v>
      </c>
      <c r="L4708" t="str">
        <f>_xlfn.XLOOKUP(datos_ventas[[#This Row],[Provincia]],Tabla2[Provincias],Tabla2[Comunidades],"no se encuentra")</f>
        <v>País Vasco</v>
      </c>
      <c r="M4708" t="s">
        <v>15</v>
      </c>
      <c r="N4708">
        <v>1</v>
      </c>
    </row>
    <row r="4709" spans="1:14" x14ac:dyDescent="0.25">
      <c r="A4709">
        <v>5708</v>
      </c>
      <c r="B4709" s="1">
        <v>45909</v>
      </c>
      <c r="C4709" s="4">
        <f>MONTH(datos_ventas[[#This Row],[Fecha]])</f>
        <v>9</v>
      </c>
      <c r="D4709" s="4">
        <f>WEEKNUM(datos_ventas[[#This Row],[Fecha]],2)</f>
        <v>37</v>
      </c>
      <c r="E4709" t="s">
        <v>10</v>
      </c>
      <c r="F4709" t="s">
        <v>11</v>
      </c>
      <c r="G4709">
        <v>5</v>
      </c>
      <c r="H4709">
        <v>5842</v>
      </c>
      <c r="I4709">
        <v>336</v>
      </c>
      <c r="J4709" t="s">
        <v>31</v>
      </c>
      <c r="K4709" t="str">
        <f>_xlfn.XLOOKUP(datos_ventas[[#This Row],[Ciudad]],Tabla2[Ciudades],Tabla2[Provincias],"no se encuentra")</f>
        <v>Vizcaya</v>
      </c>
      <c r="L4709" t="str">
        <f>_xlfn.XLOOKUP(datos_ventas[[#This Row],[Provincia]],Tabla2[Provincias],Tabla2[Comunidades],"no se encuentra")</f>
        <v>País Vasco</v>
      </c>
      <c r="M4709" t="s">
        <v>19</v>
      </c>
      <c r="N4709">
        <v>2</v>
      </c>
    </row>
    <row r="4710" spans="1:14" x14ac:dyDescent="0.25">
      <c r="A4710">
        <v>5709</v>
      </c>
      <c r="B4710" s="1">
        <v>46022</v>
      </c>
      <c r="C4710" s="4">
        <f>MONTH(datos_ventas[[#This Row],[Fecha]])</f>
        <v>12</v>
      </c>
      <c r="D4710" s="4">
        <f>WEEKNUM(datos_ventas[[#This Row],[Fecha]],2)</f>
        <v>53</v>
      </c>
      <c r="E4710" t="s">
        <v>16</v>
      </c>
      <c r="F4710" t="s">
        <v>11</v>
      </c>
      <c r="G4710">
        <v>4</v>
      </c>
      <c r="H4710">
        <v>70819</v>
      </c>
      <c r="I4710">
        <v>3791</v>
      </c>
      <c r="J4710" t="s">
        <v>31</v>
      </c>
      <c r="K4710" t="str">
        <f>_xlfn.XLOOKUP(datos_ventas[[#This Row],[Ciudad]],Tabla2[Ciudades],Tabla2[Provincias],"no se encuentra")</f>
        <v>Vizcaya</v>
      </c>
      <c r="L4710" t="str">
        <f>_xlfn.XLOOKUP(datos_ventas[[#This Row],[Provincia]],Tabla2[Provincias],Tabla2[Comunidades],"no se encuentra")</f>
        <v>País Vasco</v>
      </c>
      <c r="M4710" t="s">
        <v>19</v>
      </c>
      <c r="N4710">
        <v>4</v>
      </c>
    </row>
    <row r="4711" spans="1:14" x14ac:dyDescent="0.25">
      <c r="A4711">
        <v>5710</v>
      </c>
      <c r="B4711" s="1">
        <v>45776</v>
      </c>
      <c r="C4711" s="4">
        <f>MONTH(datos_ventas[[#This Row],[Fecha]])</f>
        <v>4</v>
      </c>
      <c r="D4711" s="4">
        <f>WEEKNUM(datos_ventas[[#This Row],[Fecha]],2)</f>
        <v>18</v>
      </c>
      <c r="E4711" t="s">
        <v>26</v>
      </c>
      <c r="F4711" t="s">
        <v>18</v>
      </c>
      <c r="G4711">
        <v>3</v>
      </c>
      <c r="H4711">
        <v>4593</v>
      </c>
      <c r="I4711">
        <v>4209</v>
      </c>
      <c r="J4711" t="s">
        <v>32</v>
      </c>
      <c r="K4711" t="str">
        <f>_xlfn.XLOOKUP(datos_ventas[[#This Row],[Ciudad]],Tabla2[Ciudades],Tabla2[Provincias],"no se encuentra")</f>
        <v>Barcelona</v>
      </c>
      <c r="L4711" t="str">
        <f>_xlfn.XLOOKUP(datos_ventas[[#This Row],[Provincia]],Tabla2[Provincias],Tabla2[Comunidades],"no se encuentra")</f>
        <v>Cataluña</v>
      </c>
      <c r="M4711" t="s">
        <v>13</v>
      </c>
      <c r="N4711">
        <v>1</v>
      </c>
    </row>
    <row r="4712" spans="1:14" x14ac:dyDescent="0.25">
      <c r="A4712">
        <v>5711</v>
      </c>
      <c r="B4712" s="1">
        <v>45726</v>
      </c>
      <c r="C4712" s="4">
        <f>MONTH(datos_ventas[[#This Row],[Fecha]])</f>
        <v>3</v>
      </c>
      <c r="D4712" s="4">
        <f>WEEKNUM(datos_ventas[[#This Row],[Fecha]],2)</f>
        <v>11</v>
      </c>
      <c r="E4712" t="s">
        <v>24</v>
      </c>
      <c r="F4712" t="s">
        <v>25</v>
      </c>
      <c r="G4712">
        <v>5</v>
      </c>
      <c r="H4712">
        <v>6295</v>
      </c>
      <c r="I4712">
        <v>3867</v>
      </c>
      <c r="J4712" t="s">
        <v>14</v>
      </c>
      <c r="K4712" t="str">
        <f>_xlfn.XLOOKUP(datos_ventas[[#This Row],[Ciudad]],Tabla2[Ciudades],Tabla2[Provincias],"no se encuentra")</f>
        <v>Madrid</v>
      </c>
      <c r="L4712" t="str">
        <f>_xlfn.XLOOKUP(datos_ventas[[#This Row],[Provincia]],Tabla2[Provincias],Tabla2[Comunidades],"no se encuentra")</f>
        <v>Comunidad de Madrid</v>
      </c>
      <c r="M4712" t="s">
        <v>15</v>
      </c>
      <c r="N4712">
        <v>4</v>
      </c>
    </row>
    <row r="4713" spans="1:14" x14ac:dyDescent="0.25">
      <c r="A4713">
        <v>5712</v>
      </c>
      <c r="B4713" s="1">
        <v>45866</v>
      </c>
      <c r="C4713" s="4">
        <f>MONTH(datos_ventas[[#This Row],[Fecha]])</f>
        <v>7</v>
      </c>
      <c r="D4713" s="4">
        <f>WEEKNUM(datos_ventas[[#This Row],[Fecha]],2)</f>
        <v>31</v>
      </c>
      <c r="E4713" t="s">
        <v>26</v>
      </c>
      <c r="F4713" t="s">
        <v>18</v>
      </c>
      <c r="G4713">
        <v>2</v>
      </c>
      <c r="H4713">
        <v>7262</v>
      </c>
      <c r="I4713">
        <v>3147</v>
      </c>
      <c r="J4713" t="s">
        <v>31</v>
      </c>
      <c r="K4713" t="str">
        <f>_xlfn.XLOOKUP(datos_ventas[[#This Row],[Ciudad]],Tabla2[Ciudades],Tabla2[Provincias],"no se encuentra")</f>
        <v>Vizcaya</v>
      </c>
      <c r="L4713" t="str">
        <f>_xlfn.XLOOKUP(datos_ventas[[#This Row],[Provincia]],Tabla2[Provincias],Tabla2[Comunidades],"no se encuentra")</f>
        <v>País Vasco</v>
      </c>
      <c r="M4713" t="s">
        <v>19</v>
      </c>
      <c r="N4713">
        <v>2</v>
      </c>
    </row>
    <row r="4714" spans="1:14" x14ac:dyDescent="0.25">
      <c r="A4714">
        <v>5713</v>
      </c>
      <c r="B4714" s="1">
        <v>45707</v>
      </c>
      <c r="C4714" s="4">
        <f>MONTH(datos_ventas[[#This Row],[Fecha]])</f>
        <v>2</v>
      </c>
      <c r="D4714" s="4">
        <f>WEEKNUM(datos_ventas[[#This Row],[Fecha]],2)</f>
        <v>8</v>
      </c>
      <c r="E4714" t="s">
        <v>29</v>
      </c>
      <c r="F4714" t="s">
        <v>30</v>
      </c>
      <c r="G4714">
        <v>5</v>
      </c>
      <c r="H4714">
        <v>100485</v>
      </c>
      <c r="I4714">
        <v>4428</v>
      </c>
      <c r="J4714" t="s">
        <v>22</v>
      </c>
      <c r="K4714" t="str">
        <f>_xlfn.XLOOKUP(datos_ventas[[#This Row],[Ciudad]],Tabla2[Ciudades],Tabla2[Provincias],"no se encuentra")</f>
        <v>Valencia</v>
      </c>
      <c r="L4714" t="str">
        <f>_xlfn.XLOOKUP(datos_ventas[[#This Row],[Provincia]],Tabla2[Provincias],Tabla2[Comunidades],"no se encuentra")</f>
        <v>Comunidad Valenciana</v>
      </c>
      <c r="M4714" t="s">
        <v>28</v>
      </c>
      <c r="N4714">
        <v>2</v>
      </c>
    </row>
    <row r="4715" spans="1:14" x14ac:dyDescent="0.25">
      <c r="A4715">
        <v>5714</v>
      </c>
      <c r="B4715" s="1">
        <v>45844</v>
      </c>
      <c r="C4715" s="4">
        <f>MONTH(datos_ventas[[#This Row],[Fecha]])</f>
        <v>7</v>
      </c>
      <c r="D4715" s="4">
        <f>WEEKNUM(datos_ventas[[#This Row],[Fecha]],2)</f>
        <v>27</v>
      </c>
      <c r="E4715" t="s">
        <v>29</v>
      </c>
      <c r="F4715" t="s">
        <v>30</v>
      </c>
      <c r="G4715">
        <v>4</v>
      </c>
      <c r="H4715">
        <v>56299</v>
      </c>
      <c r="I4715">
        <v>1965</v>
      </c>
      <c r="J4715" t="s">
        <v>32</v>
      </c>
      <c r="K4715" t="str">
        <f>_xlfn.XLOOKUP(datos_ventas[[#This Row],[Ciudad]],Tabla2[Ciudades],Tabla2[Provincias],"no se encuentra")</f>
        <v>Barcelona</v>
      </c>
      <c r="L4715" t="str">
        <f>_xlfn.XLOOKUP(datos_ventas[[#This Row],[Provincia]],Tabla2[Provincias],Tabla2[Comunidades],"no se encuentra")</f>
        <v>Cataluña</v>
      </c>
      <c r="M4715" t="s">
        <v>19</v>
      </c>
      <c r="N4715">
        <v>2</v>
      </c>
    </row>
    <row r="4716" spans="1:14" x14ac:dyDescent="0.25">
      <c r="A4716">
        <v>5715</v>
      </c>
      <c r="B4716" s="1">
        <v>45961</v>
      </c>
      <c r="C4716" s="4">
        <f>MONTH(datos_ventas[[#This Row],[Fecha]])</f>
        <v>10</v>
      </c>
      <c r="D4716" s="4">
        <f>WEEKNUM(datos_ventas[[#This Row],[Fecha]],2)</f>
        <v>44</v>
      </c>
      <c r="E4716" t="s">
        <v>23</v>
      </c>
      <c r="F4716" t="s">
        <v>18</v>
      </c>
      <c r="G4716">
        <v>4</v>
      </c>
      <c r="H4716">
        <v>95119</v>
      </c>
      <c r="I4716">
        <v>519</v>
      </c>
      <c r="J4716" t="s">
        <v>31</v>
      </c>
      <c r="K4716" t="str">
        <f>_xlfn.XLOOKUP(datos_ventas[[#This Row],[Ciudad]],Tabla2[Ciudades],Tabla2[Provincias],"no se encuentra")</f>
        <v>Vizcaya</v>
      </c>
      <c r="L4716" t="str">
        <f>_xlfn.XLOOKUP(datos_ventas[[#This Row],[Provincia]],Tabla2[Provincias],Tabla2[Comunidades],"no se encuentra")</f>
        <v>País Vasco</v>
      </c>
      <c r="M4716" t="s">
        <v>19</v>
      </c>
      <c r="N4716">
        <v>2</v>
      </c>
    </row>
    <row r="4717" spans="1:14" x14ac:dyDescent="0.25">
      <c r="A4717">
        <v>5716</v>
      </c>
      <c r="B4717" s="1">
        <v>45810</v>
      </c>
      <c r="C4717" s="4">
        <f>MONTH(datos_ventas[[#This Row],[Fecha]])</f>
        <v>6</v>
      </c>
      <c r="D4717" s="4">
        <f>WEEKNUM(datos_ventas[[#This Row],[Fecha]],2)</f>
        <v>23</v>
      </c>
      <c r="E4717" t="s">
        <v>24</v>
      </c>
      <c r="F4717" t="s">
        <v>25</v>
      </c>
      <c r="G4717">
        <v>1</v>
      </c>
      <c r="H4717">
        <v>18612</v>
      </c>
      <c r="I4717">
        <v>4196</v>
      </c>
      <c r="J4717" t="s">
        <v>22</v>
      </c>
      <c r="K4717" t="str">
        <f>_xlfn.XLOOKUP(datos_ventas[[#This Row],[Ciudad]],Tabla2[Ciudades],Tabla2[Provincias],"no se encuentra")</f>
        <v>Valencia</v>
      </c>
      <c r="L4717" t="str">
        <f>_xlfn.XLOOKUP(datos_ventas[[#This Row],[Provincia]],Tabla2[Provincias],Tabla2[Comunidades],"no se encuentra")</f>
        <v>Comunidad Valenciana</v>
      </c>
      <c r="M4717" t="s">
        <v>15</v>
      </c>
      <c r="N4717">
        <v>1</v>
      </c>
    </row>
    <row r="4718" spans="1:14" x14ac:dyDescent="0.25">
      <c r="A4718">
        <v>5717</v>
      </c>
      <c r="B4718" s="1">
        <v>45722</v>
      </c>
      <c r="C4718" s="4">
        <f>MONTH(datos_ventas[[#This Row],[Fecha]])</f>
        <v>3</v>
      </c>
      <c r="D4718" s="4">
        <f>WEEKNUM(datos_ventas[[#This Row],[Fecha]],2)</f>
        <v>10</v>
      </c>
      <c r="E4718" t="s">
        <v>24</v>
      </c>
      <c r="F4718" t="s">
        <v>25</v>
      </c>
      <c r="G4718">
        <v>3</v>
      </c>
      <c r="H4718">
        <v>103785</v>
      </c>
      <c r="I4718">
        <v>279</v>
      </c>
      <c r="J4718" t="s">
        <v>22</v>
      </c>
      <c r="K4718" t="str">
        <f>_xlfn.XLOOKUP(datos_ventas[[#This Row],[Ciudad]],Tabla2[Ciudades],Tabla2[Provincias],"no se encuentra")</f>
        <v>Valencia</v>
      </c>
      <c r="L4718" t="str">
        <f>_xlfn.XLOOKUP(datos_ventas[[#This Row],[Provincia]],Tabla2[Provincias],Tabla2[Comunidades],"no se encuentra")</f>
        <v>Comunidad Valenciana</v>
      </c>
      <c r="M4718" t="s">
        <v>13</v>
      </c>
      <c r="N4718">
        <v>2</v>
      </c>
    </row>
    <row r="4719" spans="1:14" x14ac:dyDescent="0.25">
      <c r="A4719">
        <v>5718</v>
      </c>
      <c r="B4719" s="1">
        <v>45875</v>
      </c>
      <c r="C4719" s="4">
        <f>MONTH(datos_ventas[[#This Row],[Fecha]])</f>
        <v>8</v>
      </c>
      <c r="D4719" s="4">
        <f>WEEKNUM(datos_ventas[[#This Row],[Fecha]],2)</f>
        <v>32</v>
      </c>
      <c r="E4719" t="s">
        <v>16</v>
      </c>
      <c r="F4719" t="s">
        <v>11</v>
      </c>
      <c r="G4719">
        <v>3</v>
      </c>
      <c r="H4719">
        <v>94323</v>
      </c>
      <c r="I4719">
        <v>202</v>
      </c>
      <c r="J4719" t="s">
        <v>22</v>
      </c>
      <c r="K4719" t="str">
        <f>_xlfn.XLOOKUP(datos_ventas[[#This Row],[Ciudad]],Tabla2[Ciudades],Tabla2[Provincias],"no se encuentra")</f>
        <v>Valencia</v>
      </c>
      <c r="L4719" t="str">
        <f>_xlfn.XLOOKUP(datos_ventas[[#This Row],[Provincia]],Tabla2[Provincias],Tabla2[Comunidades],"no se encuentra")</f>
        <v>Comunidad Valenciana</v>
      </c>
      <c r="M4719" t="s">
        <v>28</v>
      </c>
      <c r="N4719">
        <v>1</v>
      </c>
    </row>
    <row r="4720" spans="1:14" x14ac:dyDescent="0.25">
      <c r="A4720">
        <v>5719</v>
      </c>
      <c r="B4720" s="1">
        <v>45841</v>
      </c>
      <c r="C4720" s="4">
        <f>MONTH(datos_ventas[[#This Row],[Fecha]])</f>
        <v>7</v>
      </c>
      <c r="D4720" s="4">
        <f>WEEKNUM(datos_ventas[[#This Row],[Fecha]],2)</f>
        <v>27</v>
      </c>
      <c r="E4720" t="s">
        <v>26</v>
      </c>
      <c r="F4720" t="s">
        <v>18</v>
      </c>
      <c r="G4720">
        <v>5</v>
      </c>
      <c r="H4720">
        <v>55381</v>
      </c>
      <c r="I4720">
        <v>563</v>
      </c>
      <c r="J4720" t="s">
        <v>32</v>
      </c>
      <c r="K4720" t="str">
        <f>_xlfn.XLOOKUP(datos_ventas[[#This Row],[Ciudad]],Tabla2[Ciudades],Tabla2[Provincias],"no se encuentra")</f>
        <v>Barcelona</v>
      </c>
      <c r="L4720" t="str">
        <f>_xlfn.XLOOKUP(datos_ventas[[#This Row],[Provincia]],Tabla2[Provincias],Tabla2[Comunidades],"no se encuentra")</f>
        <v>Cataluña</v>
      </c>
      <c r="M4720" t="s">
        <v>28</v>
      </c>
      <c r="N4720">
        <v>3</v>
      </c>
    </row>
    <row r="4721" spans="1:14" x14ac:dyDescent="0.25">
      <c r="A4721">
        <v>5720</v>
      </c>
      <c r="B4721" s="1">
        <v>45952</v>
      </c>
      <c r="C4721" s="4">
        <f>MONTH(datos_ventas[[#This Row],[Fecha]])</f>
        <v>10</v>
      </c>
      <c r="D4721" s="4">
        <f>WEEKNUM(datos_ventas[[#This Row],[Fecha]],2)</f>
        <v>43</v>
      </c>
      <c r="E4721" t="s">
        <v>26</v>
      </c>
      <c r="F4721" t="s">
        <v>18</v>
      </c>
      <c r="G4721">
        <v>5</v>
      </c>
      <c r="H4721">
        <v>6047</v>
      </c>
      <c r="I4721">
        <v>858</v>
      </c>
      <c r="J4721" t="s">
        <v>12</v>
      </c>
      <c r="K4721" t="str">
        <f>_xlfn.XLOOKUP(datos_ventas[[#This Row],[Ciudad]],Tabla2[Ciudades],Tabla2[Provincias],"no se encuentra")</f>
        <v>Málaga</v>
      </c>
      <c r="L4721" t="str">
        <f>_xlfn.XLOOKUP(datos_ventas[[#This Row],[Provincia]],Tabla2[Provincias],Tabla2[Comunidades],"no se encuentra")</f>
        <v>Andalucía</v>
      </c>
      <c r="M4721" t="s">
        <v>19</v>
      </c>
      <c r="N4721">
        <v>1</v>
      </c>
    </row>
    <row r="4722" spans="1:14" x14ac:dyDescent="0.25">
      <c r="A4722">
        <v>5721</v>
      </c>
      <c r="B4722" s="1">
        <v>45825</v>
      </c>
      <c r="C4722" s="4">
        <f>MONTH(datos_ventas[[#This Row],[Fecha]])</f>
        <v>6</v>
      </c>
      <c r="D4722" s="4">
        <f>WEEKNUM(datos_ventas[[#This Row],[Fecha]],2)</f>
        <v>25</v>
      </c>
      <c r="E4722" t="s">
        <v>24</v>
      </c>
      <c r="F4722" t="s">
        <v>25</v>
      </c>
      <c r="G4722">
        <v>5</v>
      </c>
      <c r="H4722">
        <v>7001</v>
      </c>
      <c r="I4722">
        <v>541</v>
      </c>
      <c r="J4722" t="s">
        <v>31</v>
      </c>
      <c r="K4722" t="str">
        <f>_xlfn.XLOOKUP(datos_ventas[[#This Row],[Ciudad]],Tabla2[Ciudades],Tabla2[Provincias],"no se encuentra")</f>
        <v>Vizcaya</v>
      </c>
      <c r="L4722" t="str">
        <f>_xlfn.XLOOKUP(datos_ventas[[#This Row],[Provincia]],Tabla2[Provincias],Tabla2[Comunidades],"no se encuentra")</f>
        <v>País Vasco</v>
      </c>
      <c r="M4722" t="s">
        <v>13</v>
      </c>
      <c r="N4722">
        <v>2</v>
      </c>
    </row>
    <row r="4723" spans="1:14" x14ac:dyDescent="0.25">
      <c r="A4723">
        <v>5722</v>
      </c>
      <c r="B4723" s="1">
        <v>45856</v>
      </c>
      <c r="C4723" s="4">
        <f>MONTH(datos_ventas[[#This Row],[Fecha]])</f>
        <v>7</v>
      </c>
      <c r="D4723" s="4">
        <f>WEEKNUM(datos_ventas[[#This Row],[Fecha]],2)</f>
        <v>29</v>
      </c>
      <c r="E4723" t="s">
        <v>29</v>
      </c>
      <c r="F4723" t="s">
        <v>30</v>
      </c>
      <c r="G4723">
        <v>4</v>
      </c>
      <c r="H4723">
        <v>35618</v>
      </c>
      <c r="I4723">
        <v>3245</v>
      </c>
      <c r="J4723" t="s">
        <v>14</v>
      </c>
      <c r="K4723" t="str">
        <f>_xlfn.XLOOKUP(datos_ventas[[#This Row],[Ciudad]],Tabla2[Ciudades],Tabla2[Provincias],"no se encuentra")</f>
        <v>Madrid</v>
      </c>
      <c r="L4723" t="str">
        <f>_xlfn.XLOOKUP(datos_ventas[[#This Row],[Provincia]],Tabla2[Provincias],Tabla2[Comunidades],"no se encuentra")</f>
        <v>Comunidad de Madrid</v>
      </c>
      <c r="M4723" t="s">
        <v>13</v>
      </c>
      <c r="N4723">
        <v>3</v>
      </c>
    </row>
    <row r="4724" spans="1:14" x14ac:dyDescent="0.25">
      <c r="A4724">
        <v>5723</v>
      </c>
      <c r="B4724" s="1">
        <v>45798</v>
      </c>
      <c r="C4724" s="4">
        <f>MONTH(datos_ventas[[#This Row],[Fecha]])</f>
        <v>5</v>
      </c>
      <c r="D4724" s="4">
        <f>WEEKNUM(datos_ventas[[#This Row],[Fecha]],2)</f>
        <v>21</v>
      </c>
      <c r="E4724" t="s">
        <v>20</v>
      </c>
      <c r="F4724" t="s">
        <v>21</v>
      </c>
      <c r="G4724">
        <v>4</v>
      </c>
      <c r="H4724">
        <v>80325</v>
      </c>
      <c r="I4724">
        <v>2805</v>
      </c>
      <c r="J4724" t="s">
        <v>22</v>
      </c>
      <c r="K4724" t="str">
        <f>_xlfn.XLOOKUP(datos_ventas[[#This Row],[Ciudad]],Tabla2[Ciudades],Tabla2[Provincias],"no se encuentra")</f>
        <v>Valencia</v>
      </c>
      <c r="L4724" t="str">
        <f>_xlfn.XLOOKUP(datos_ventas[[#This Row],[Provincia]],Tabla2[Provincias],Tabla2[Comunidades],"no se encuentra")</f>
        <v>Comunidad Valenciana</v>
      </c>
      <c r="M4724" t="s">
        <v>13</v>
      </c>
      <c r="N4724">
        <v>2</v>
      </c>
    </row>
    <row r="4725" spans="1:14" x14ac:dyDescent="0.25">
      <c r="A4725">
        <v>5724</v>
      </c>
      <c r="B4725" s="1">
        <v>45937</v>
      </c>
      <c r="C4725" s="4">
        <f>MONTH(datos_ventas[[#This Row],[Fecha]])</f>
        <v>10</v>
      </c>
      <c r="D4725" s="4">
        <f>WEEKNUM(datos_ventas[[#This Row],[Fecha]],2)</f>
        <v>41</v>
      </c>
      <c r="E4725" t="s">
        <v>10</v>
      </c>
      <c r="F4725" t="s">
        <v>11</v>
      </c>
      <c r="G4725">
        <v>4</v>
      </c>
      <c r="H4725">
        <v>113217</v>
      </c>
      <c r="I4725">
        <v>1455</v>
      </c>
      <c r="J4725" t="s">
        <v>27</v>
      </c>
      <c r="K4725" t="str">
        <f>_xlfn.XLOOKUP(datos_ventas[[#This Row],[Ciudad]],Tabla2[Ciudades],Tabla2[Provincias],"no se encuentra")</f>
        <v>Sevilla</v>
      </c>
      <c r="L4725" t="str">
        <f>_xlfn.XLOOKUP(datos_ventas[[#This Row],[Provincia]],Tabla2[Provincias],Tabla2[Comunidades],"no se encuentra")</f>
        <v>Andalucía</v>
      </c>
      <c r="M4725" t="s">
        <v>15</v>
      </c>
      <c r="N4725">
        <v>3</v>
      </c>
    </row>
    <row r="4726" spans="1:14" x14ac:dyDescent="0.25">
      <c r="A4726">
        <v>5725</v>
      </c>
      <c r="B4726" s="1">
        <v>45738</v>
      </c>
      <c r="C4726" s="4">
        <f>MONTH(datos_ventas[[#This Row],[Fecha]])</f>
        <v>3</v>
      </c>
      <c r="D4726" s="4">
        <f>WEEKNUM(datos_ventas[[#This Row],[Fecha]],2)</f>
        <v>12</v>
      </c>
      <c r="E4726" t="s">
        <v>17</v>
      </c>
      <c r="F4726" t="s">
        <v>18</v>
      </c>
      <c r="G4726">
        <v>2</v>
      </c>
      <c r="H4726">
        <v>64257</v>
      </c>
      <c r="I4726">
        <v>1683</v>
      </c>
      <c r="J4726" t="s">
        <v>14</v>
      </c>
      <c r="K4726" t="str">
        <f>_xlfn.XLOOKUP(datos_ventas[[#This Row],[Ciudad]],Tabla2[Ciudades],Tabla2[Provincias],"no se encuentra")</f>
        <v>Madrid</v>
      </c>
      <c r="L4726" t="str">
        <f>_xlfn.XLOOKUP(datos_ventas[[#This Row],[Provincia]],Tabla2[Provincias],Tabla2[Comunidades],"no se encuentra")</f>
        <v>Comunidad de Madrid</v>
      </c>
      <c r="M4726" t="s">
        <v>28</v>
      </c>
      <c r="N4726">
        <v>5</v>
      </c>
    </row>
    <row r="4727" spans="1:14" x14ac:dyDescent="0.25">
      <c r="A4727">
        <v>5726</v>
      </c>
      <c r="B4727" s="1">
        <v>45728</v>
      </c>
      <c r="C4727" s="4">
        <f>MONTH(datos_ventas[[#This Row],[Fecha]])</f>
        <v>3</v>
      </c>
      <c r="D4727" s="4">
        <f>WEEKNUM(datos_ventas[[#This Row],[Fecha]],2)</f>
        <v>11</v>
      </c>
      <c r="E4727" t="s">
        <v>17</v>
      </c>
      <c r="F4727" t="s">
        <v>18</v>
      </c>
      <c r="G4727">
        <v>3</v>
      </c>
      <c r="H4727">
        <v>86229</v>
      </c>
      <c r="I4727">
        <v>2999</v>
      </c>
      <c r="J4727" t="s">
        <v>27</v>
      </c>
      <c r="K4727" t="str">
        <f>_xlfn.XLOOKUP(datos_ventas[[#This Row],[Ciudad]],Tabla2[Ciudades],Tabla2[Provincias],"no se encuentra")</f>
        <v>Sevilla</v>
      </c>
      <c r="L4727" t="str">
        <f>_xlfn.XLOOKUP(datos_ventas[[#This Row],[Provincia]],Tabla2[Provincias],Tabla2[Comunidades],"no se encuentra")</f>
        <v>Andalucía</v>
      </c>
      <c r="M4727" t="s">
        <v>28</v>
      </c>
      <c r="N4727">
        <v>4</v>
      </c>
    </row>
    <row r="4728" spans="1:14" x14ac:dyDescent="0.25">
      <c r="A4728">
        <v>5727</v>
      </c>
      <c r="B4728" s="1">
        <v>45927</v>
      </c>
      <c r="C4728" s="4">
        <f>MONTH(datos_ventas[[#This Row],[Fecha]])</f>
        <v>9</v>
      </c>
      <c r="D4728" s="4">
        <f>WEEKNUM(datos_ventas[[#This Row],[Fecha]],2)</f>
        <v>39</v>
      </c>
      <c r="E4728" t="s">
        <v>20</v>
      </c>
      <c r="F4728" t="s">
        <v>21</v>
      </c>
      <c r="G4728">
        <v>5</v>
      </c>
      <c r="H4728">
        <v>79179</v>
      </c>
      <c r="I4728">
        <v>2374</v>
      </c>
      <c r="J4728" t="s">
        <v>32</v>
      </c>
      <c r="K4728" t="str">
        <f>_xlfn.XLOOKUP(datos_ventas[[#This Row],[Ciudad]],Tabla2[Ciudades],Tabla2[Provincias],"no se encuentra")</f>
        <v>Barcelona</v>
      </c>
      <c r="L4728" t="str">
        <f>_xlfn.XLOOKUP(datos_ventas[[#This Row],[Provincia]],Tabla2[Provincias],Tabla2[Comunidades],"no se encuentra")</f>
        <v>Cataluña</v>
      </c>
      <c r="M4728" t="s">
        <v>19</v>
      </c>
      <c r="N4728">
        <v>1</v>
      </c>
    </row>
    <row r="4729" spans="1:14" x14ac:dyDescent="0.25">
      <c r="A4729">
        <v>5728</v>
      </c>
      <c r="B4729" s="1">
        <v>45986</v>
      </c>
      <c r="C4729" s="4">
        <f>MONTH(datos_ventas[[#This Row],[Fecha]])</f>
        <v>11</v>
      </c>
      <c r="D4729" s="4">
        <f>WEEKNUM(datos_ventas[[#This Row],[Fecha]],2)</f>
        <v>48</v>
      </c>
      <c r="E4729" t="s">
        <v>29</v>
      </c>
      <c r="F4729" t="s">
        <v>30</v>
      </c>
      <c r="G4729">
        <v>5</v>
      </c>
      <c r="H4729">
        <v>16514</v>
      </c>
      <c r="I4729">
        <v>105</v>
      </c>
      <c r="J4729" t="s">
        <v>12</v>
      </c>
      <c r="K4729" t="str">
        <f>_xlfn.XLOOKUP(datos_ventas[[#This Row],[Ciudad]],Tabla2[Ciudades],Tabla2[Provincias],"no se encuentra")</f>
        <v>Málaga</v>
      </c>
      <c r="L4729" t="str">
        <f>_xlfn.XLOOKUP(datos_ventas[[#This Row],[Provincia]],Tabla2[Provincias],Tabla2[Comunidades],"no se encuentra")</f>
        <v>Andalucía</v>
      </c>
      <c r="M4729" t="s">
        <v>28</v>
      </c>
      <c r="N4729">
        <v>5</v>
      </c>
    </row>
    <row r="4730" spans="1:14" x14ac:dyDescent="0.25">
      <c r="A4730">
        <v>5729</v>
      </c>
      <c r="B4730" s="1">
        <v>46006</v>
      </c>
      <c r="C4730" s="4">
        <f>MONTH(datos_ventas[[#This Row],[Fecha]])</f>
        <v>12</v>
      </c>
      <c r="D4730" s="4">
        <f>WEEKNUM(datos_ventas[[#This Row],[Fecha]],2)</f>
        <v>51</v>
      </c>
      <c r="E4730" t="s">
        <v>23</v>
      </c>
      <c r="F4730" t="s">
        <v>18</v>
      </c>
      <c r="G4730">
        <v>3</v>
      </c>
      <c r="H4730">
        <v>4028</v>
      </c>
      <c r="I4730">
        <v>346</v>
      </c>
      <c r="J4730" t="s">
        <v>27</v>
      </c>
      <c r="K4730" t="str">
        <f>_xlfn.XLOOKUP(datos_ventas[[#This Row],[Ciudad]],Tabla2[Ciudades],Tabla2[Provincias],"no se encuentra")</f>
        <v>Sevilla</v>
      </c>
      <c r="L4730" t="str">
        <f>_xlfn.XLOOKUP(datos_ventas[[#This Row],[Provincia]],Tabla2[Provincias],Tabla2[Comunidades],"no se encuentra")</f>
        <v>Andalucía</v>
      </c>
      <c r="M4730" t="s">
        <v>28</v>
      </c>
      <c r="N4730">
        <v>1</v>
      </c>
    </row>
    <row r="4731" spans="1:14" x14ac:dyDescent="0.25">
      <c r="A4731">
        <v>5730</v>
      </c>
      <c r="B4731" s="1">
        <v>45934</v>
      </c>
      <c r="C4731" s="4">
        <f>MONTH(datos_ventas[[#This Row],[Fecha]])</f>
        <v>10</v>
      </c>
      <c r="D4731" s="4">
        <f>WEEKNUM(datos_ventas[[#This Row],[Fecha]],2)</f>
        <v>40</v>
      </c>
      <c r="E4731" t="s">
        <v>29</v>
      </c>
      <c r="F4731" t="s">
        <v>30</v>
      </c>
      <c r="G4731">
        <v>4</v>
      </c>
      <c r="H4731">
        <v>107088</v>
      </c>
      <c r="I4731">
        <v>4088</v>
      </c>
      <c r="J4731" t="s">
        <v>27</v>
      </c>
      <c r="K4731" t="str">
        <f>_xlfn.XLOOKUP(datos_ventas[[#This Row],[Ciudad]],Tabla2[Ciudades],Tabla2[Provincias],"no se encuentra")</f>
        <v>Sevilla</v>
      </c>
      <c r="L4731" t="str">
        <f>_xlfn.XLOOKUP(datos_ventas[[#This Row],[Provincia]],Tabla2[Provincias],Tabla2[Comunidades],"no se encuentra")</f>
        <v>Andalucía</v>
      </c>
      <c r="M4731" t="s">
        <v>13</v>
      </c>
      <c r="N4731">
        <v>4</v>
      </c>
    </row>
    <row r="4732" spans="1:14" x14ac:dyDescent="0.25">
      <c r="A4732">
        <v>5731</v>
      </c>
      <c r="B4732" s="1">
        <v>45928</v>
      </c>
      <c r="C4732" s="4">
        <f>MONTH(datos_ventas[[#This Row],[Fecha]])</f>
        <v>9</v>
      </c>
      <c r="D4732" s="4">
        <f>WEEKNUM(datos_ventas[[#This Row],[Fecha]],2)</f>
        <v>39</v>
      </c>
      <c r="E4732" t="s">
        <v>20</v>
      </c>
      <c r="F4732" t="s">
        <v>21</v>
      </c>
      <c r="G4732">
        <v>4</v>
      </c>
      <c r="H4732">
        <v>113549</v>
      </c>
      <c r="I4732">
        <v>3037</v>
      </c>
      <c r="J4732" t="s">
        <v>31</v>
      </c>
      <c r="K4732" t="str">
        <f>_xlfn.XLOOKUP(datos_ventas[[#This Row],[Ciudad]],Tabla2[Ciudades],Tabla2[Provincias],"no se encuentra")</f>
        <v>Vizcaya</v>
      </c>
      <c r="L4732" t="str">
        <f>_xlfn.XLOOKUP(datos_ventas[[#This Row],[Provincia]],Tabla2[Provincias],Tabla2[Comunidades],"no se encuentra")</f>
        <v>País Vasco</v>
      </c>
      <c r="M4732" t="s">
        <v>13</v>
      </c>
      <c r="N4732">
        <v>1</v>
      </c>
    </row>
    <row r="4733" spans="1:14" x14ac:dyDescent="0.25">
      <c r="A4733">
        <v>5732</v>
      </c>
      <c r="B4733" s="1">
        <v>45699</v>
      </c>
      <c r="C4733" s="4">
        <f>MONTH(datos_ventas[[#This Row],[Fecha]])</f>
        <v>2</v>
      </c>
      <c r="D4733" s="4">
        <f>WEEKNUM(datos_ventas[[#This Row],[Fecha]],2)</f>
        <v>7</v>
      </c>
      <c r="E4733" t="s">
        <v>29</v>
      </c>
      <c r="F4733" t="s">
        <v>30</v>
      </c>
      <c r="G4733">
        <v>4</v>
      </c>
      <c r="H4733">
        <v>17919</v>
      </c>
      <c r="I4733">
        <v>1873</v>
      </c>
      <c r="J4733" t="s">
        <v>27</v>
      </c>
      <c r="K4733" t="str">
        <f>_xlfn.XLOOKUP(datos_ventas[[#This Row],[Ciudad]],Tabla2[Ciudades],Tabla2[Provincias],"no se encuentra")</f>
        <v>Sevilla</v>
      </c>
      <c r="L4733" t="str">
        <f>_xlfn.XLOOKUP(datos_ventas[[#This Row],[Provincia]],Tabla2[Provincias],Tabla2[Comunidades],"no se encuentra")</f>
        <v>Andalucía</v>
      </c>
      <c r="M4733" t="s">
        <v>15</v>
      </c>
      <c r="N4733">
        <v>4</v>
      </c>
    </row>
    <row r="4734" spans="1:14" x14ac:dyDescent="0.25">
      <c r="A4734">
        <v>5733</v>
      </c>
      <c r="B4734" s="1">
        <v>45813</v>
      </c>
      <c r="C4734" s="4">
        <f>MONTH(datos_ventas[[#This Row],[Fecha]])</f>
        <v>6</v>
      </c>
      <c r="D4734" s="4">
        <f>WEEKNUM(datos_ventas[[#This Row],[Fecha]],2)</f>
        <v>23</v>
      </c>
      <c r="E4734" t="s">
        <v>23</v>
      </c>
      <c r="F4734" t="s">
        <v>18</v>
      </c>
      <c r="G4734">
        <v>4</v>
      </c>
      <c r="H4734">
        <v>66438</v>
      </c>
      <c r="I4734">
        <v>1546</v>
      </c>
      <c r="J4734" t="s">
        <v>31</v>
      </c>
      <c r="K4734" t="str">
        <f>_xlfn.XLOOKUP(datos_ventas[[#This Row],[Ciudad]],Tabla2[Ciudades],Tabla2[Provincias],"no se encuentra")</f>
        <v>Vizcaya</v>
      </c>
      <c r="L4734" t="str">
        <f>_xlfn.XLOOKUP(datos_ventas[[#This Row],[Provincia]],Tabla2[Provincias],Tabla2[Comunidades],"no se encuentra")</f>
        <v>País Vasco</v>
      </c>
      <c r="M4734" t="s">
        <v>13</v>
      </c>
      <c r="N4734">
        <v>4</v>
      </c>
    </row>
    <row r="4735" spans="1:14" x14ac:dyDescent="0.25">
      <c r="A4735">
        <v>5734</v>
      </c>
      <c r="B4735" s="1">
        <v>45734</v>
      </c>
      <c r="C4735" s="4">
        <f>MONTH(datos_ventas[[#This Row],[Fecha]])</f>
        <v>3</v>
      </c>
      <c r="D4735" s="4">
        <f>WEEKNUM(datos_ventas[[#This Row],[Fecha]],2)</f>
        <v>12</v>
      </c>
      <c r="E4735" t="s">
        <v>16</v>
      </c>
      <c r="F4735" t="s">
        <v>11</v>
      </c>
      <c r="G4735">
        <v>3</v>
      </c>
      <c r="H4735">
        <v>228</v>
      </c>
      <c r="I4735">
        <v>4241</v>
      </c>
      <c r="J4735" t="s">
        <v>14</v>
      </c>
      <c r="K4735" t="str">
        <f>_xlfn.XLOOKUP(datos_ventas[[#This Row],[Ciudad]],Tabla2[Ciudades],Tabla2[Provincias],"no se encuentra")</f>
        <v>Madrid</v>
      </c>
      <c r="L4735" t="str">
        <f>_xlfn.XLOOKUP(datos_ventas[[#This Row],[Provincia]],Tabla2[Provincias],Tabla2[Comunidades],"no se encuentra")</f>
        <v>Comunidad de Madrid</v>
      </c>
      <c r="M4735" t="s">
        <v>28</v>
      </c>
      <c r="N4735">
        <v>1</v>
      </c>
    </row>
    <row r="4736" spans="1:14" x14ac:dyDescent="0.25">
      <c r="A4736">
        <v>5735</v>
      </c>
      <c r="B4736" s="1">
        <v>45773</v>
      </c>
      <c r="C4736" s="4">
        <f>MONTH(datos_ventas[[#This Row],[Fecha]])</f>
        <v>4</v>
      </c>
      <c r="D4736" s="4">
        <f>WEEKNUM(datos_ventas[[#This Row],[Fecha]],2)</f>
        <v>17</v>
      </c>
      <c r="E4736" t="s">
        <v>23</v>
      </c>
      <c r="F4736" t="s">
        <v>18</v>
      </c>
      <c r="G4736">
        <v>3</v>
      </c>
      <c r="H4736">
        <v>91774</v>
      </c>
      <c r="I4736">
        <v>2598</v>
      </c>
      <c r="J4736" t="s">
        <v>12</v>
      </c>
      <c r="K4736" t="str">
        <f>_xlfn.XLOOKUP(datos_ventas[[#This Row],[Ciudad]],Tabla2[Ciudades],Tabla2[Provincias],"no se encuentra")</f>
        <v>Málaga</v>
      </c>
      <c r="L4736" t="str">
        <f>_xlfn.XLOOKUP(datos_ventas[[#This Row],[Provincia]],Tabla2[Provincias],Tabla2[Comunidades],"no se encuentra")</f>
        <v>Andalucía</v>
      </c>
      <c r="M4736" t="s">
        <v>15</v>
      </c>
      <c r="N4736">
        <v>2</v>
      </c>
    </row>
    <row r="4737" spans="1:14" x14ac:dyDescent="0.25">
      <c r="A4737">
        <v>5736</v>
      </c>
      <c r="B4737" s="1">
        <v>45971</v>
      </c>
      <c r="C4737" s="4">
        <f>MONTH(datos_ventas[[#This Row],[Fecha]])</f>
        <v>11</v>
      </c>
      <c r="D4737" s="4">
        <f>WEEKNUM(datos_ventas[[#This Row],[Fecha]],2)</f>
        <v>46</v>
      </c>
      <c r="E4737" t="s">
        <v>24</v>
      </c>
      <c r="F4737" t="s">
        <v>25</v>
      </c>
      <c r="G4737">
        <v>3</v>
      </c>
      <c r="H4737">
        <v>59294</v>
      </c>
      <c r="I4737">
        <v>2412</v>
      </c>
      <c r="J4737" t="s">
        <v>14</v>
      </c>
      <c r="K4737" t="str">
        <f>_xlfn.XLOOKUP(datos_ventas[[#This Row],[Ciudad]],Tabla2[Ciudades],Tabla2[Provincias],"no se encuentra")</f>
        <v>Madrid</v>
      </c>
      <c r="L4737" t="str">
        <f>_xlfn.XLOOKUP(datos_ventas[[#This Row],[Provincia]],Tabla2[Provincias],Tabla2[Comunidades],"no se encuentra")</f>
        <v>Comunidad de Madrid</v>
      </c>
      <c r="M4737" t="s">
        <v>19</v>
      </c>
      <c r="N4737">
        <v>3</v>
      </c>
    </row>
    <row r="4738" spans="1:14" x14ac:dyDescent="0.25">
      <c r="A4738">
        <v>5737</v>
      </c>
      <c r="B4738" s="1">
        <v>45776</v>
      </c>
      <c r="C4738" s="4">
        <f>MONTH(datos_ventas[[#This Row],[Fecha]])</f>
        <v>4</v>
      </c>
      <c r="D4738" s="4">
        <f>WEEKNUM(datos_ventas[[#This Row],[Fecha]],2)</f>
        <v>18</v>
      </c>
      <c r="E4738" t="s">
        <v>26</v>
      </c>
      <c r="F4738" t="s">
        <v>18</v>
      </c>
      <c r="G4738">
        <v>5</v>
      </c>
      <c r="H4738">
        <v>5405</v>
      </c>
      <c r="I4738">
        <v>4724</v>
      </c>
      <c r="J4738" t="s">
        <v>22</v>
      </c>
      <c r="K4738" t="str">
        <f>_xlfn.XLOOKUP(datos_ventas[[#This Row],[Ciudad]],Tabla2[Ciudades],Tabla2[Provincias],"no se encuentra")</f>
        <v>Valencia</v>
      </c>
      <c r="L4738" t="str">
        <f>_xlfn.XLOOKUP(datos_ventas[[#This Row],[Provincia]],Tabla2[Provincias],Tabla2[Comunidades],"no se encuentra")</f>
        <v>Comunidad Valenciana</v>
      </c>
      <c r="M4738" t="s">
        <v>15</v>
      </c>
      <c r="N4738">
        <v>5</v>
      </c>
    </row>
    <row r="4739" spans="1:14" x14ac:dyDescent="0.25">
      <c r="A4739">
        <v>5738</v>
      </c>
      <c r="B4739" s="1">
        <v>45979</v>
      </c>
      <c r="C4739" s="4">
        <f>MONTH(datos_ventas[[#This Row],[Fecha]])</f>
        <v>11</v>
      </c>
      <c r="D4739" s="4">
        <f>WEEKNUM(datos_ventas[[#This Row],[Fecha]],2)</f>
        <v>47</v>
      </c>
      <c r="E4739" t="s">
        <v>16</v>
      </c>
      <c r="F4739" t="s">
        <v>11</v>
      </c>
      <c r="G4739">
        <v>2</v>
      </c>
      <c r="H4739">
        <v>10312</v>
      </c>
      <c r="I4739">
        <v>1089</v>
      </c>
      <c r="J4739" t="s">
        <v>32</v>
      </c>
      <c r="K4739" t="str">
        <f>_xlfn.XLOOKUP(datos_ventas[[#This Row],[Ciudad]],Tabla2[Ciudades],Tabla2[Provincias],"no se encuentra")</f>
        <v>Barcelona</v>
      </c>
      <c r="L4739" t="str">
        <f>_xlfn.XLOOKUP(datos_ventas[[#This Row],[Provincia]],Tabla2[Provincias],Tabla2[Comunidades],"no se encuentra")</f>
        <v>Cataluña</v>
      </c>
      <c r="M4739" t="s">
        <v>15</v>
      </c>
      <c r="N4739">
        <v>1</v>
      </c>
    </row>
    <row r="4740" spans="1:14" x14ac:dyDescent="0.25">
      <c r="A4740">
        <v>5739</v>
      </c>
      <c r="B4740" s="1">
        <v>46012</v>
      </c>
      <c r="C4740" s="4">
        <f>MONTH(datos_ventas[[#This Row],[Fecha]])</f>
        <v>12</v>
      </c>
      <c r="D4740" s="4">
        <f>WEEKNUM(datos_ventas[[#This Row],[Fecha]],2)</f>
        <v>51</v>
      </c>
      <c r="E4740" t="s">
        <v>20</v>
      </c>
      <c r="F4740" t="s">
        <v>21</v>
      </c>
      <c r="G4740">
        <v>2</v>
      </c>
      <c r="H4740">
        <v>49746</v>
      </c>
      <c r="I4740">
        <v>2708</v>
      </c>
      <c r="J4740" t="s">
        <v>22</v>
      </c>
      <c r="K4740" t="str">
        <f>_xlfn.XLOOKUP(datos_ventas[[#This Row],[Ciudad]],Tabla2[Ciudades],Tabla2[Provincias],"no se encuentra")</f>
        <v>Valencia</v>
      </c>
      <c r="L4740" t="str">
        <f>_xlfn.XLOOKUP(datos_ventas[[#This Row],[Provincia]],Tabla2[Provincias],Tabla2[Comunidades],"no se encuentra")</f>
        <v>Comunidad Valenciana</v>
      </c>
      <c r="M4740" t="s">
        <v>15</v>
      </c>
      <c r="N4740">
        <v>1</v>
      </c>
    </row>
    <row r="4741" spans="1:14" x14ac:dyDescent="0.25">
      <c r="A4741">
        <v>5740</v>
      </c>
      <c r="B4741" s="1">
        <v>45933</v>
      </c>
      <c r="C4741" s="4">
        <f>MONTH(datos_ventas[[#This Row],[Fecha]])</f>
        <v>10</v>
      </c>
      <c r="D4741" s="4">
        <f>WEEKNUM(datos_ventas[[#This Row],[Fecha]],2)</f>
        <v>40</v>
      </c>
      <c r="E4741" t="s">
        <v>29</v>
      </c>
      <c r="F4741" t="s">
        <v>30</v>
      </c>
      <c r="G4741">
        <v>5</v>
      </c>
      <c r="H4741">
        <v>70627</v>
      </c>
      <c r="I4741">
        <v>4655</v>
      </c>
      <c r="J4741" t="s">
        <v>27</v>
      </c>
      <c r="K4741" t="str">
        <f>_xlfn.XLOOKUP(datos_ventas[[#This Row],[Ciudad]],Tabla2[Ciudades],Tabla2[Provincias],"no se encuentra")</f>
        <v>Sevilla</v>
      </c>
      <c r="L4741" t="str">
        <f>_xlfn.XLOOKUP(datos_ventas[[#This Row],[Provincia]],Tabla2[Provincias],Tabla2[Comunidades],"no se encuentra")</f>
        <v>Andalucía</v>
      </c>
      <c r="M4741" t="s">
        <v>15</v>
      </c>
      <c r="N4741">
        <v>2</v>
      </c>
    </row>
    <row r="4742" spans="1:14" x14ac:dyDescent="0.25">
      <c r="A4742">
        <v>5741</v>
      </c>
      <c r="B4742" s="1">
        <v>45870</v>
      </c>
      <c r="C4742" s="4">
        <f>MONTH(datos_ventas[[#This Row],[Fecha]])</f>
        <v>8</v>
      </c>
      <c r="D4742" s="4">
        <f>WEEKNUM(datos_ventas[[#This Row],[Fecha]],2)</f>
        <v>31</v>
      </c>
      <c r="E4742" t="s">
        <v>10</v>
      </c>
      <c r="F4742" t="s">
        <v>11</v>
      </c>
      <c r="G4742">
        <v>2</v>
      </c>
      <c r="H4742">
        <v>18532</v>
      </c>
      <c r="I4742">
        <v>3843</v>
      </c>
      <c r="J4742" t="s">
        <v>27</v>
      </c>
      <c r="K4742" t="str">
        <f>_xlfn.XLOOKUP(datos_ventas[[#This Row],[Ciudad]],Tabla2[Ciudades],Tabla2[Provincias],"no se encuentra")</f>
        <v>Sevilla</v>
      </c>
      <c r="L4742" t="str">
        <f>_xlfn.XLOOKUP(datos_ventas[[#This Row],[Provincia]],Tabla2[Provincias],Tabla2[Comunidades],"no se encuentra")</f>
        <v>Andalucía</v>
      </c>
      <c r="M4742" t="s">
        <v>28</v>
      </c>
      <c r="N4742">
        <v>3</v>
      </c>
    </row>
    <row r="4743" spans="1:14" x14ac:dyDescent="0.25">
      <c r="A4743">
        <v>5742</v>
      </c>
      <c r="B4743" s="1">
        <v>45878</v>
      </c>
      <c r="C4743" s="4">
        <f>MONTH(datos_ventas[[#This Row],[Fecha]])</f>
        <v>8</v>
      </c>
      <c r="D4743" s="4">
        <f>WEEKNUM(datos_ventas[[#This Row],[Fecha]],2)</f>
        <v>32</v>
      </c>
      <c r="E4743" t="s">
        <v>23</v>
      </c>
      <c r="F4743" t="s">
        <v>18</v>
      </c>
      <c r="G4743">
        <v>5</v>
      </c>
      <c r="H4743">
        <v>46159</v>
      </c>
      <c r="I4743">
        <v>3227</v>
      </c>
      <c r="J4743" t="s">
        <v>32</v>
      </c>
      <c r="K4743" t="str">
        <f>_xlfn.XLOOKUP(datos_ventas[[#This Row],[Ciudad]],Tabla2[Ciudades],Tabla2[Provincias],"no se encuentra")</f>
        <v>Barcelona</v>
      </c>
      <c r="L4743" t="str">
        <f>_xlfn.XLOOKUP(datos_ventas[[#This Row],[Provincia]],Tabla2[Provincias],Tabla2[Comunidades],"no se encuentra")</f>
        <v>Cataluña</v>
      </c>
      <c r="M4743" t="s">
        <v>15</v>
      </c>
      <c r="N4743">
        <v>5</v>
      </c>
    </row>
    <row r="4744" spans="1:14" x14ac:dyDescent="0.25">
      <c r="A4744">
        <v>5743</v>
      </c>
      <c r="B4744" s="1">
        <v>45754</v>
      </c>
      <c r="C4744" s="4">
        <f>MONTH(datos_ventas[[#This Row],[Fecha]])</f>
        <v>4</v>
      </c>
      <c r="D4744" s="4">
        <f>WEEKNUM(datos_ventas[[#This Row],[Fecha]],2)</f>
        <v>15</v>
      </c>
      <c r="E4744" t="s">
        <v>17</v>
      </c>
      <c r="F4744" t="s">
        <v>18</v>
      </c>
      <c r="G4744">
        <v>4</v>
      </c>
      <c r="H4744">
        <v>10605</v>
      </c>
      <c r="I4744">
        <v>3862</v>
      </c>
      <c r="J4744" t="s">
        <v>14</v>
      </c>
      <c r="K4744" t="str">
        <f>_xlfn.XLOOKUP(datos_ventas[[#This Row],[Ciudad]],Tabla2[Ciudades],Tabla2[Provincias],"no se encuentra")</f>
        <v>Madrid</v>
      </c>
      <c r="L4744" t="str">
        <f>_xlfn.XLOOKUP(datos_ventas[[#This Row],[Provincia]],Tabla2[Provincias],Tabla2[Comunidades],"no se encuentra")</f>
        <v>Comunidad de Madrid</v>
      </c>
      <c r="M4744" t="s">
        <v>13</v>
      </c>
      <c r="N4744">
        <v>2</v>
      </c>
    </row>
    <row r="4745" spans="1:14" x14ac:dyDescent="0.25">
      <c r="A4745">
        <v>5744</v>
      </c>
      <c r="B4745" s="1">
        <v>45752</v>
      </c>
      <c r="C4745" s="4">
        <f>MONTH(datos_ventas[[#This Row],[Fecha]])</f>
        <v>4</v>
      </c>
      <c r="D4745" s="4">
        <f>WEEKNUM(datos_ventas[[#This Row],[Fecha]],2)</f>
        <v>14</v>
      </c>
      <c r="E4745" t="s">
        <v>24</v>
      </c>
      <c r="F4745" t="s">
        <v>25</v>
      </c>
      <c r="G4745">
        <v>3</v>
      </c>
      <c r="H4745">
        <v>27989</v>
      </c>
      <c r="I4745">
        <v>4604</v>
      </c>
      <c r="J4745" t="s">
        <v>32</v>
      </c>
      <c r="K4745" t="str">
        <f>_xlfn.XLOOKUP(datos_ventas[[#This Row],[Ciudad]],Tabla2[Ciudades],Tabla2[Provincias],"no se encuentra")</f>
        <v>Barcelona</v>
      </c>
      <c r="L4745" t="str">
        <f>_xlfn.XLOOKUP(datos_ventas[[#This Row],[Provincia]],Tabla2[Provincias],Tabla2[Comunidades],"no se encuentra")</f>
        <v>Cataluña</v>
      </c>
      <c r="M4745" t="s">
        <v>19</v>
      </c>
      <c r="N4745">
        <v>5</v>
      </c>
    </row>
    <row r="4746" spans="1:14" x14ac:dyDescent="0.25">
      <c r="A4746">
        <v>5745</v>
      </c>
      <c r="B4746" s="1">
        <v>45912</v>
      </c>
      <c r="C4746" s="4">
        <f>MONTH(datos_ventas[[#This Row],[Fecha]])</f>
        <v>9</v>
      </c>
      <c r="D4746" s="4">
        <f>WEEKNUM(datos_ventas[[#This Row],[Fecha]],2)</f>
        <v>37</v>
      </c>
      <c r="E4746" t="s">
        <v>26</v>
      </c>
      <c r="F4746" t="s">
        <v>18</v>
      </c>
      <c r="G4746">
        <v>3</v>
      </c>
      <c r="H4746">
        <v>11516</v>
      </c>
      <c r="I4746">
        <v>3685</v>
      </c>
      <c r="J4746" t="s">
        <v>12</v>
      </c>
      <c r="K4746" t="str">
        <f>_xlfn.XLOOKUP(datos_ventas[[#This Row],[Ciudad]],Tabla2[Ciudades],Tabla2[Provincias],"no se encuentra")</f>
        <v>Málaga</v>
      </c>
      <c r="L4746" t="str">
        <f>_xlfn.XLOOKUP(datos_ventas[[#This Row],[Provincia]],Tabla2[Provincias],Tabla2[Comunidades],"no se encuentra")</f>
        <v>Andalucía</v>
      </c>
      <c r="M4746" t="s">
        <v>15</v>
      </c>
      <c r="N4746">
        <v>4</v>
      </c>
    </row>
    <row r="4747" spans="1:14" x14ac:dyDescent="0.25">
      <c r="A4747">
        <v>5746</v>
      </c>
      <c r="B4747" s="1">
        <v>45919</v>
      </c>
      <c r="C4747" s="4">
        <f>MONTH(datos_ventas[[#This Row],[Fecha]])</f>
        <v>9</v>
      </c>
      <c r="D4747" s="4">
        <f>WEEKNUM(datos_ventas[[#This Row],[Fecha]],2)</f>
        <v>38</v>
      </c>
      <c r="E4747" t="s">
        <v>24</v>
      </c>
      <c r="F4747" t="s">
        <v>25</v>
      </c>
      <c r="G4747">
        <v>5</v>
      </c>
      <c r="H4747">
        <v>108779</v>
      </c>
      <c r="I4747">
        <v>584</v>
      </c>
      <c r="J4747" t="s">
        <v>32</v>
      </c>
      <c r="K4747" t="str">
        <f>_xlfn.XLOOKUP(datos_ventas[[#This Row],[Ciudad]],Tabla2[Ciudades],Tabla2[Provincias],"no se encuentra")</f>
        <v>Barcelona</v>
      </c>
      <c r="L4747" t="str">
        <f>_xlfn.XLOOKUP(datos_ventas[[#This Row],[Provincia]],Tabla2[Provincias],Tabla2[Comunidades],"no se encuentra")</f>
        <v>Cataluña</v>
      </c>
      <c r="M4747" t="s">
        <v>15</v>
      </c>
      <c r="N4747">
        <v>5</v>
      </c>
    </row>
    <row r="4748" spans="1:14" x14ac:dyDescent="0.25">
      <c r="A4748">
        <v>5747</v>
      </c>
      <c r="B4748" s="1">
        <v>45807</v>
      </c>
      <c r="C4748" s="4">
        <f>MONTH(datos_ventas[[#This Row],[Fecha]])</f>
        <v>5</v>
      </c>
      <c r="D4748" s="4">
        <f>WEEKNUM(datos_ventas[[#This Row],[Fecha]],2)</f>
        <v>22</v>
      </c>
      <c r="E4748" t="s">
        <v>26</v>
      </c>
      <c r="F4748" t="s">
        <v>18</v>
      </c>
      <c r="G4748">
        <v>1</v>
      </c>
      <c r="H4748">
        <v>4722</v>
      </c>
      <c r="I4748">
        <v>1138</v>
      </c>
      <c r="J4748" t="s">
        <v>12</v>
      </c>
      <c r="K4748" t="str">
        <f>_xlfn.XLOOKUP(datos_ventas[[#This Row],[Ciudad]],Tabla2[Ciudades],Tabla2[Provincias],"no se encuentra")</f>
        <v>Málaga</v>
      </c>
      <c r="L4748" t="str">
        <f>_xlfn.XLOOKUP(datos_ventas[[#This Row],[Provincia]],Tabla2[Provincias],Tabla2[Comunidades],"no se encuentra")</f>
        <v>Andalucía</v>
      </c>
      <c r="M4748" t="s">
        <v>19</v>
      </c>
      <c r="N4748">
        <v>2</v>
      </c>
    </row>
    <row r="4749" spans="1:14" x14ac:dyDescent="0.25">
      <c r="A4749">
        <v>5748</v>
      </c>
      <c r="B4749" s="1">
        <v>46018</v>
      </c>
      <c r="C4749" s="4">
        <f>MONTH(datos_ventas[[#This Row],[Fecha]])</f>
        <v>12</v>
      </c>
      <c r="D4749" s="4">
        <f>WEEKNUM(datos_ventas[[#This Row],[Fecha]],2)</f>
        <v>52</v>
      </c>
      <c r="E4749" t="s">
        <v>10</v>
      </c>
      <c r="F4749" t="s">
        <v>11</v>
      </c>
      <c r="G4749">
        <v>4</v>
      </c>
      <c r="H4749">
        <v>10268</v>
      </c>
      <c r="I4749">
        <v>2539</v>
      </c>
      <c r="J4749" t="s">
        <v>31</v>
      </c>
      <c r="K4749" t="str">
        <f>_xlfn.XLOOKUP(datos_ventas[[#This Row],[Ciudad]],Tabla2[Ciudades],Tabla2[Provincias],"no se encuentra")</f>
        <v>Vizcaya</v>
      </c>
      <c r="L4749" t="str">
        <f>_xlfn.XLOOKUP(datos_ventas[[#This Row],[Provincia]],Tabla2[Provincias],Tabla2[Comunidades],"no se encuentra")</f>
        <v>País Vasco</v>
      </c>
      <c r="M4749" t="s">
        <v>28</v>
      </c>
      <c r="N4749">
        <v>3</v>
      </c>
    </row>
    <row r="4750" spans="1:14" x14ac:dyDescent="0.25">
      <c r="A4750">
        <v>5749</v>
      </c>
      <c r="B4750" s="1">
        <v>45732</v>
      </c>
      <c r="C4750" s="4">
        <f>MONTH(datos_ventas[[#This Row],[Fecha]])</f>
        <v>3</v>
      </c>
      <c r="D4750" s="4">
        <f>WEEKNUM(datos_ventas[[#This Row],[Fecha]],2)</f>
        <v>11</v>
      </c>
      <c r="E4750" t="s">
        <v>24</v>
      </c>
      <c r="F4750" t="s">
        <v>25</v>
      </c>
      <c r="G4750">
        <v>4</v>
      </c>
      <c r="H4750">
        <v>96693</v>
      </c>
      <c r="I4750">
        <v>3005</v>
      </c>
      <c r="J4750" t="s">
        <v>14</v>
      </c>
      <c r="K4750" t="str">
        <f>_xlfn.XLOOKUP(datos_ventas[[#This Row],[Ciudad]],Tabla2[Ciudades],Tabla2[Provincias],"no se encuentra")</f>
        <v>Madrid</v>
      </c>
      <c r="L4750" t="str">
        <f>_xlfn.XLOOKUP(datos_ventas[[#This Row],[Provincia]],Tabla2[Provincias],Tabla2[Comunidades],"no se encuentra")</f>
        <v>Comunidad de Madrid</v>
      </c>
      <c r="M4750" t="s">
        <v>15</v>
      </c>
      <c r="N4750">
        <v>4</v>
      </c>
    </row>
    <row r="4751" spans="1:14" x14ac:dyDescent="0.25">
      <c r="A4751">
        <v>5750</v>
      </c>
      <c r="B4751" s="1">
        <v>45938</v>
      </c>
      <c r="C4751" s="4">
        <f>MONTH(datos_ventas[[#This Row],[Fecha]])</f>
        <v>10</v>
      </c>
      <c r="D4751" s="4">
        <f>WEEKNUM(datos_ventas[[#This Row],[Fecha]],2)</f>
        <v>41</v>
      </c>
      <c r="E4751" t="s">
        <v>20</v>
      </c>
      <c r="F4751" t="s">
        <v>21</v>
      </c>
      <c r="G4751">
        <v>2</v>
      </c>
      <c r="H4751">
        <v>30472</v>
      </c>
      <c r="I4751">
        <v>1136</v>
      </c>
      <c r="J4751" t="s">
        <v>27</v>
      </c>
      <c r="K4751" t="str">
        <f>_xlfn.XLOOKUP(datos_ventas[[#This Row],[Ciudad]],Tabla2[Ciudades],Tabla2[Provincias],"no se encuentra")</f>
        <v>Sevilla</v>
      </c>
      <c r="L4751" t="str">
        <f>_xlfn.XLOOKUP(datos_ventas[[#This Row],[Provincia]],Tabla2[Provincias],Tabla2[Comunidades],"no se encuentra")</f>
        <v>Andalucía</v>
      </c>
      <c r="M4751" t="s">
        <v>13</v>
      </c>
      <c r="N4751">
        <v>1</v>
      </c>
    </row>
    <row r="4752" spans="1:14" x14ac:dyDescent="0.25">
      <c r="A4752">
        <v>5751</v>
      </c>
      <c r="B4752" s="1">
        <v>45920</v>
      </c>
      <c r="C4752" s="4">
        <f>MONTH(datos_ventas[[#This Row],[Fecha]])</f>
        <v>9</v>
      </c>
      <c r="D4752" s="4">
        <f>WEEKNUM(datos_ventas[[#This Row],[Fecha]],2)</f>
        <v>38</v>
      </c>
      <c r="E4752" t="s">
        <v>20</v>
      </c>
      <c r="F4752" t="s">
        <v>21</v>
      </c>
      <c r="G4752">
        <v>2</v>
      </c>
      <c r="H4752">
        <v>13543</v>
      </c>
      <c r="I4752">
        <v>3815</v>
      </c>
      <c r="J4752" t="s">
        <v>32</v>
      </c>
      <c r="K4752" t="str">
        <f>_xlfn.XLOOKUP(datos_ventas[[#This Row],[Ciudad]],Tabla2[Ciudades],Tabla2[Provincias],"no se encuentra")</f>
        <v>Barcelona</v>
      </c>
      <c r="L4752" t="str">
        <f>_xlfn.XLOOKUP(datos_ventas[[#This Row],[Provincia]],Tabla2[Provincias],Tabla2[Comunidades],"no se encuentra")</f>
        <v>Cataluña</v>
      </c>
      <c r="M4752" t="s">
        <v>19</v>
      </c>
      <c r="N4752">
        <v>1</v>
      </c>
    </row>
    <row r="4753" spans="1:14" x14ac:dyDescent="0.25">
      <c r="A4753">
        <v>5752</v>
      </c>
      <c r="B4753" s="1">
        <v>46018</v>
      </c>
      <c r="C4753" s="4">
        <f>MONTH(datos_ventas[[#This Row],[Fecha]])</f>
        <v>12</v>
      </c>
      <c r="D4753" s="4">
        <f>WEEKNUM(datos_ventas[[#This Row],[Fecha]],2)</f>
        <v>52</v>
      </c>
      <c r="E4753" t="s">
        <v>16</v>
      </c>
      <c r="F4753" t="s">
        <v>11</v>
      </c>
      <c r="G4753">
        <v>4</v>
      </c>
      <c r="H4753">
        <v>40203</v>
      </c>
      <c r="I4753">
        <v>3265</v>
      </c>
      <c r="J4753" t="s">
        <v>22</v>
      </c>
      <c r="K4753" t="str">
        <f>_xlfn.XLOOKUP(datos_ventas[[#This Row],[Ciudad]],Tabla2[Ciudades],Tabla2[Provincias],"no se encuentra")</f>
        <v>Valencia</v>
      </c>
      <c r="L4753" t="str">
        <f>_xlfn.XLOOKUP(datos_ventas[[#This Row],[Provincia]],Tabla2[Provincias],Tabla2[Comunidades],"no se encuentra")</f>
        <v>Comunidad Valenciana</v>
      </c>
      <c r="M4753" t="s">
        <v>28</v>
      </c>
      <c r="N4753">
        <v>4</v>
      </c>
    </row>
    <row r="4754" spans="1:14" x14ac:dyDescent="0.25">
      <c r="A4754">
        <v>5753</v>
      </c>
      <c r="B4754" s="1">
        <v>45784</v>
      </c>
      <c r="C4754" s="4">
        <f>MONTH(datos_ventas[[#This Row],[Fecha]])</f>
        <v>5</v>
      </c>
      <c r="D4754" s="4">
        <f>WEEKNUM(datos_ventas[[#This Row],[Fecha]],2)</f>
        <v>19</v>
      </c>
      <c r="E4754" t="s">
        <v>24</v>
      </c>
      <c r="F4754" t="s">
        <v>25</v>
      </c>
      <c r="G4754">
        <v>5</v>
      </c>
      <c r="H4754">
        <v>94603</v>
      </c>
      <c r="I4754">
        <v>4218</v>
      </c>
      <c r="J4754" t="s">
        <v>32</v>
      </c>
      <c r="K4754" t="str">
        <f>_xlfn.XLOOKUP(datos_ventas[[#This Row],[Ciudad]],Tabla2[Ciudades],Tabla2[Provincias],"no se encuentra")</f>
        <v>Barcelona</v>
      </c>
      <c r="L4754" t="str">
        <f>_xlfn.XLOOKUP(datos_ventas[[#This Row],[Provincia]],Tabla2[Provincias],Tabla2[Comunidades],"no se encuentra")</f>
        <v>Cataluña</v>
      </c>
      <c r="M4754" t="s">
        <v>28</v>
      </c>
      <c r="N4754">
        <v>1</v>
      </c>
    </row>
    <row r="4755" spans="1:14" x14ac:dyDescent="0.25">
      <c r="A4755">
        <v>5754</v>
      </c>
      <c r="B4755" s="1">
        <v>45931</v>
      </c>
      <c r="C4755" s="4">
        <f>MONTH(datos_ventas[[#This Row],[Fecha]])</f>
        <v>10</v>
      </c>
      <c r="D4755" s="4">
        <f>WEEKNUM(datos_ventas[[#This Row],[Fecha]],2)</f>
        <v>40</v>
      </c>
      <c r="E4755" t="s">
        <v>29</v>
      </c>
      <c r="F4755" t="s">
        <v>30</v>
      </c>
      <c r="G4755">
        <v>5</v>
      </c>
      <c r="H4755">
        <v>5169</v>
      </c>
      <c r="I4755">
        <v>3192</v>
      </c>
      <c r="J4755" t="s">
        <v>32</v>
      </c>
      <c r="K4755" t="str">
        <f>_xlfn.XLOOKUP(datos_ventas[[#This Row],[Ciudad]],Tabla2[Ciudades],Tabla2[Provincias],"no se encuentra")</f>
        <v>Barcelona</v>
      </c>
      <c r="L4755" t="str">
        <f>_xlfn.XLOOKUP(datos_ventas[[#This Row],[Provincia]],Tabla2[Provincias],Tabla2[Comunidades],"no se encuentra")</f>
        <v>Cataluña</v>
      </c>
      <c r="M4755" t="s">
        <v>13</v>
      </c>
      <c r="N4755">
        <v>5</v>
      </c>
    </row>
    <row r="4756" spans="1:14" x14ac:dyDescent="0.25">
      <c r="A4756">
        <v>5755</v>
      </c>
      <c r="B4756" s="1">
        <v>45819</v>
      </c>
      <c r="C4756" s="4">
        <f>MONTH(datos_ventas[[#This Row],[Fecha]])</f>
        <v>6</v>
      </c>
      <c r="D4756" s="4">
        <f>WEEKNUM(datos_ventas[[#This Row],[Fecha]],2)</f>
        <v>24</v>
      </c>
      <c r="E4756" t="s">
        <v>10</v>
      </c>
      <c r="F4756" t="s">
        <v>11</v>
      </c>
      <c r="G4756">
        <v>4</v>
      </c>
      <c r="H4756">
        <v>34537</v>
      </c>
      <c r="I4756">
        <v>51</v>
      </c>
      <c r="J4756" t="s">
        <v>14</v>
      </c>
      <c r="K4756" t="str">
        <f>_xlfn.XLOOKUP(datos_ventas[[#This Row],[Ciudad]],Tabla2[Ciudades],Tabla2[Provincias],"no se encuentra")</f>
        <v>Madrid</v>
      </c>
      <c r="L4756" t="str">
        <f>_xlfn.XLOOKUP(datos_ventas[[#This Row],[Provincia]],Tabla2[Provincias],Tabla2[Comunidades],"no se encuentra")</f>
        <v>Comunidad de Madrid</v>
      </c>
      <c r="M4756" t="s">
        <v>15</v>
      </c>
      <c r="N4756">
        <v>5</v>
      </c>
    </row>
    <row r="4757" spans="1:14" x14ac:dyDescent="0.25">
      <c r="A4757">
        <v>5756</v>
      </c>
      <c r="B4757" s="1">
        <v>45676</v>
      </c>
      <c r="C4757" s="4">
        <f>MONTH(datos_ventas[[#This Row],[Fecha]])</f>
        <v>1</v>
      </c>
      <c r="D4757" s="4">
        <f>WEEKNUM(datos_ventas[[#This Row],[Fecha]],2)</f>
        <v>3</v>
      </c>
      <c r="E4757" t="s">
        <v>10</v>
      </c>
      <c r="F4757" t="s">
        <v>11</v>
      </c>
      <c r="G4757">
        <v>3</v>
      </c>
      <c r="H4757">
        <v>11409</v>
      </c>
      <c r="I4757">
        <v>3569</v>
      </c>
      <c r="J4757" t="s">
        <v>32</v>
      </c>
      <c r="K4757" t="str">
        <f>_xlfn.XLOOKUP(datos_ventas[[#This Row],[Ciudad]],Tabla2[Ciudades],Tabla2[Provincias],"no se encuentra")</f>
        <v>Barcelona</v>
      </c>
      <c r="L4757" t="str">
        <f>_xlfn.XLOOKUP(datos_ventas[[#This Row],[Provincia]],Tabla2[Provincias],Tabla2[Comunidades],"no se encuentra")</f>
        <v>Cataluña</v>
      </c>
      <c r="M4757" t="s">
        <v>13</v>
      </c>
      <c r="N4757">
        <v>1</v>
      </c>
    </row>
    <row r="4758" spans="1:14" x14ac:dyDescent="0.25">
      <c r="A4758">
        <v>5757</v>
      </c>
      <c r="B4758" s="1">
        <v>45831</v>
      </c>
      <c r="C4758" s="4">
        <f>MONTH(datos_ventas[[#This Row],[Fecha]])</f>
        <v>6</v>
      </c>
      <c r="D4758" s="4">
        <f>WEEKNUM(datos_ventas[[#This Row],[Fecha]],2)</f>
        <v>26</v>
      </c>
      <c r="E4758" t="s">
        <v>20</v>
      </c>
      <c r="F4758" t="s">
        <v>21</v>
      </c>
      <c r="G4758">
        <v>4</v>
      </c>
      <c r="H4758">
        <v>115282</v>
      </c>
      <c r="I4758">
        <v>4861</v>
      </c>
      <c r="J4758" t="s">
        <v>14</v>
      </c>
      <c r="K4758" t="str">
        <f>_xlfn.XLOOKUP(datos_ventas[[#This Row],[Ciudad]],Tabla2[Ciudades],Tabla2[Provincias],"no se encuentra")</f>
        <v>Madrid</v>
      </c>
      <c r="L4758" t="str">
        <f>_xlfn.XLOOKUP(datos_ventas[[#This Row],[Provincia]],Tabla2[Provincias],Tabla2[Comunidades],"no se encuentra")</f>
        <v>Comunidad de Madrid</v>
      </c>
      <c r="M4758" t="s">
        <v>19</v>
      </c>
      <c r="N4758">
        <v>5</v>
      </c>
    </row>
    <row r="4759" spans="1:14" x14ac:dyDescent="0.25">
      <c r="A4759">
        <v>5758</v>
      </c>
      <c r="B4759" s="1">
        <v>45898</v>
      </c>
      <c r="C4759" s="4">
        <f>MONTH(datos_ventas[[#This Row],[Fecha]])</f>
        <v>8</v>
      </c>
      <c r="D4759" s="4">
        <f>WEEKNUM(datos_ventas[[#This Row],[Fecha]],2)</f>
        <v>35</v>
      </c>
      <c r="E4759" t="s">
        <v>24</v>
      </c>
      <c r="F4759" t="s">
        <v>25</v>
      </c>
      <c r="G4759">
        <v>4</v>
      </c>
      <c r="H4759">
        <v>89971</v>
      </c>
      <c r="I4759">
        <v>4258</v>
      </c>
      <c r="J4759" t="s">
        <v>32</v>
      </c>
      <c r="K4759" t="str">
        <f>_xlfn.XLOOKUP(datos_ventas[[#This Row],[Ciudad]],Tabla2[Ciudades],Tabla2[Provincias],"no se encuentra")</f>
        <v>Barcelona</v>
      </c>
      <c r="L4759" t="str">
        <f>_xlfn.XLOOKUP(datos_ventas[[#This Row],[Provincia]],Tabla2[Provincias],Tabla2[Comunidades],"no se encuentra")</f>
        <v>Cataluña</v>
      </c>
      <c r="M4759" t="s">
        <v>19</v>
      </c>
      <c r="N4759">
        <v>3</v>
      </c>
    </row>
    <row r="4760" spans="1:14" x14ac:dyDescent="0.25">
      <c r="A4760">
        <v>5759</v>
      </c>
      <c r="B4760" s="1">
        <v>45800</v>
      </c>
      <c r="C4760" s="4">
        <f>MONTH(datos_ventas[[#This Row],[Fecha]])</f>
        <v>5</v>
      </c>
      <c r="D4760" s="4">
        <f>WEEKNUM(datos_ventas[[#This Row],[Fecha]],2)</f>
        <v>21</v>
      </c>
      <c r="E4760" t="s">
        <v>23</v>
      </c>
      <c r="F4760" t="s">
        <v>18</v>
      </c>
      <c r="G4760">
        <v>2</v>
      </c>
      <c r="H4760">
        <v>84975</v>
      </c>
      <c r="I4760">
        <v>661</v>
      </c>
      <c r="J4760" t="s">
        <v>12</v>
      </c>
      <c r="K4760" t="str">
        <f>_xlfn.XLOOKUP(datos_ventas[[#This Row],[Ciudad]],Tabla2[Ciudades],Tabla2[Provincias],"no se encuentra")</f>
        <v>Málaga</v>
      </c>
      <c r="L4760" t="str">
        <f>_xlfn.XLOOKUP(datos_ventas[[#This Row],[Provincia]],Tabla2[Provincias],Tabla2[Comunidades],"no se encuentra")</f>
        <v>Andalucía</v>
      </c>
      <c r="M4760" t="s">
        <v>19</v>
      </c>
      <c r="N4760">
        <v>1</v>
      </c>
    </row>
    <row r="4761" spans="1:14" x14ac:dyDescent="0.25">
      <c r="A4761">
        <v>5760</v>
      </c>
      <c r="B4761" s="1">
        <v>45698</v>
      </c>
      <c r="C4761" s="4">
        <f>MONTH(datos_ventas[[#This Row],[Fecha]])</f>
        <v>2</v>
      </c>
      <c r="D4761" s="4">
        <f>WEEKNUM(datos_ventas[[#This Row],[Fecha]],2)</f>
        <v>7</v>
      </c>
      <c r="E4761" t="s">
        <v>10</v>
      </c>
      <c r="F4761" t="s">
        <v>11</v>
      </c>
      <c r="G4761">
        <v>2</v>
      </c>
      <c r="H4761">
        <v>115442</v>
      </c>
      <c r="I4761">
        <v>1706</v>
      </c>
      <c r="J4761" t="s">
        <v>31</v>
      </c>
      <c r="K4761" t="str">
        <f>_xlfn.XLOOKUP(datos_ventas[[#This Row],[Ciudad]],Tabla2[Ciudades],Tabla2[Provincias],"no se encuentra")</f>
        <v>Vizcaya</v>
      </c>
      <c r="L4761" t="str">
        <f>_xlfn.XLOOKUP(datos_ventas[[#This Row],[Provincia]],Tabla2[Provincias],Tabla2[Comunidades],"no se encuentra")</f>
        <v>País Vasco</v>
      </c>
      <c r="M4761" t="s">
        <v>13</v>
      </c>
      <c r="N4761">
        <v>1</v>
      </c>
    </row>
    <row r="4762" spans="1:14" x14ac:dyDescent="0.25">
      <c r="A4762">
        <v>5761</v>
      </c>
      <c r="B4762" s="1">
        <v>45873</v>
      </c>
      <c r="C4762" s="4">
        <f>MONTH(datos_ventas[[#This Row],[Fecha]])</f>
        <v>8</v>
      </c>
      <c r="D4762" s="4">
        <f>WEEKNUM(datos_ventas[[#This Row],[Fecha]],2)</f>
        <v>32</v>
      </c>
      <c r="E4762" t="s">
        <v>24</v>
      </c>
      <c r="F4762" t="s">
        <v>25</v>
      </c>
      <c r="G4762">
        <v>5</v>
      </c>
      <c r="H4762">
        <v>75162</v>
      </c>
      <c r="I4762">
        <v>4618</v>
      </c>
      <c r="J4762" t="s">
        <v>32</v>
      </c>
      <c r="K4762" t="str">
        <f>_xlfn.XLOOKUP(datos_ventas[[#This Row],[Ciudad]],Tabla2[Ciudades],Tabla2[Provincias],"no se encuentra")</f>
        <v>Barcelona</v>
      </c>
      <c r="L4762" t="str">
        <f>_xlfn.XLOOKUP(datos_ventas[[#This Row],[Provincia]],Tabla2[Provincias],Tabla2[Comunidades],"no se encuentra")</f>
        <v>Cataluña</v>
      </c>
      <c r="M4762" t="s">
        <v>28</v>
      </c>
      <c r="N4762">
        <v>2</v>
      </c>
    </row>
    <row r="4763" spans="1:14" x14ac:dyDescent="0.25">
      <c r="A4763">
        <v>5762</v>
      </c>
      <c r="B4763" s="1">
        <v>45914</v>
      </c>
      <c r="C4763" s="4">
        <f>MONTH(datos_ventas[[#This Row],[Fecha]])</f>
        <v>9</v>
      </c>
      <c r="D4763" s="4">
        <f>WEEKNUM(datos_ventas[[#This Row],[Fecha]],2)</f>
        <v>37</v>
      </c>
      <c r="E4763" t="s">
        <v>20</v>
      </c>
      <c r="F4763" t="s">
        <v>21</v>
      </c>
      <c r="G4763">
        <v>3</v>
      </c>
      <c r="H4763">
        <v>14531</v>
      </c>
      <c r="I4763">
        <v>2529</v>
      </c>
      <c r="J4763" t="s">
        <v>12</v>
      </c>
      <c r="K4763" t="str">
        <f>_xlfn.XLOOKUP(datos_ventas[[#This Row],[Ciudad]],Tabla2[Ciudades],Tabla2[Provincias],"no se encuentra")</f>
        <v>Málaga</v>
      </c>
      <c r="L4763" t="str">
        <f>_xlfn.XLOOKUP(datos_ventas[[#This Row],[Provincia]],Tabla2[Provincias],Tabla2[Comunidades],"no se encuentra")</f>
        <v>Andalucía</v>
      </c>
      <c r="M4763" t="s">
        <v>28</v>
      </c>
      <c r="N4763">
        <v>2</v>
      </c>
    </row>
    <row r="4764" spans="1:14" x14ac:dyDescent="0.25">
      <c r="A4764">
        <v>5763</v>
      </c>
      <c r="B4764" s="1">
        <v>45925</v>
      </c>
      <c r="C4764" s="4">
        <f>MONTH(datos_ventas[[#This Row],[Fecha]])</f>
        <v>9</v>
      </c>
      <c r="D4764" s="4">
        <f>WEEKNUM(datos_ventas[[#This Row],[Fecha]],2)</f>
        <v>39</v>
      </c>
      <c r="E4764" t="s">
        <v>16</v>
      </c>
      <c r="F4764" t="s">
        <v>11</v>
      </c>
      <c r="G4764">
        <v>5</v>
      </c>
      <c r="H4764">
        <v>11546</v>
      </c>
      <c r="I4764">
        <v>236</v>
      </c>
      <c r="J4764" t="s">
        <v>14</v>
      </c>
      <c r="K4764" t="str">
        <f>_xlfn.XLOOKUP(datos_ventas[[#This Row],[Ciudad]],Tabla2[Ciudades],Tabla2[Provincias],"no se encuentra")</f>
        <v>Madrid</v>
      </c>
      <c r="L4764" t="str">
        <f>_xlfn.XLOOKUP(datos_ventas[[#This Row],[Provincia]],Tabla2[Provincias],Tabla2[Comunidades],"no se encuentra")</f>
        <v>Comunidad de Madrid</v>
      </c>
      <c r="M4764" t="s">
        <v>15</v>
      </c>
      <c r="N4764">
        <v>4</v>
      </c>
    </row>
    <row r="4765" spans="1:14" x14ac:dyDescent="0.25">
      <c r="A4765">
        <v>5764</v>
      </c>
      <c r="B4765" s="1">
        <v>45710</v>
      </c>
      <c r="C4765" s="4">
        <f>MONTH(datos_ventas[[#This Row],[Fecha]])</f>
        <v>2</v>
      </c>
      <c r="D4765" s="4">
        <f>WEEKNUM(datos_ventas[[#This Row],[Fecha]],2)</f>
        <v>8</v>
      </c>
      <c r="E4765" t="s">
        <v>17</v>
      </c>
      <c r="F4765" t="s">
        <v>18</v>
      </c>
      <c r="G4765">
        <v>4</v>
      </c>
      <c r="H4765">
        <v>49879</v>
      </c>
      <c r="I4765">
        <v>3993</v>
      </c>
      <c r="J4765" t="s">
        <v>27</v>
      </c>
      <c r="K4765" t="str">
        <f>_xlfn.XLOOKUP(datos_ventas[[#This Row],[Ciudad]],Tabla2[Ciudades],Tabla2[Provincias],"no se encuentra")</f>
        <v>Sevilla</v>
      </c>
      <c r="L4765" t="str">
        <f>_xlfn.XLOOKUP(datos_ventas[[#This Row],[Provincia]],Tabla2[Provincias],Tabla2[Comunidades],"no se encuentra")</f>
        <v>Andalucía</v>
      </c>
      <c r="M4765" t="s">
        <v>15</v>
      </c>
      <c r="N4765">
        <v>3</v>
      </c>
    </row>
    <row r="4766" spans="1:14" x14ac:dyDescent="0.25">
      <c r="A4766">
        <v>5765</v>
      </c>
      <c r="B4766" s="1">
        <v>45814</v>
      </c>
      <c r="C4766" s="4">
        <f>MONTH(datos_ventas[[#This Row],[Fecha]])</f>
        <v>6</v>
      </c>
      <c r="D4766" s="4">
        <f>WEEKNUM(datos_ventas[[#This Row],[Fecha]],2)</f>
        <v>23</v>
      </c>
      <c r="E4766" t="s">
        <v>16</v>
      </c>
      <c r="F4766" t="s">
        <v>11</v>
      </c>
      <c r="G4766">
        <v>1</v>
      </c>
      <c r="H4766">
        <v>74649</v>
      </c>
      <c r="I4766">
        <v>3637</v>
      </c>
      <c r="J4766" t="s">
        <v>27</v>
      </c>
      <c r="K4766" t="str">
        <f>_xlfn.XLOOKUP(datos_ventas[[#This Row],[Ciudad]],Tabla2[Ciudades],Tabla2[Provincias],"no se encuentra")</f>
        <v>Sevilla</v>
      </c>
      <c r="L4766" t="str">
        <f>_xlfn.XLOOKUP(datos_ventas[[#This Row],[Provincia]],Tabla2[Provincias],Tabla2[Comunidades],"no se encuentra")</f>
        <v>Andalucía</v>
      </c>
      <c r="M4766" t="s">
        <v>13</v>
      </c>
      <c r="N4766">
        <v>5</v>
      </c>
    </row>
    <row r="4767" spans="1:14" x14ac:dyDescent="0.25">
      <c r="A4767">
        <v>5766</v>
      </c>
      <c r="B4767" s="1">
        <v>45917</v>
      </c>
      <c r="C4767" s="4">
        <f>MONTH(datos_ventas[[#This Row],[Fecha]])</f>
        <v>9</v>
      </c>
      <c r="D4767" s="4">
        <f>WEEKNUM(datos_ventas[[#This Row],[Fecha]],2)</f>
        <v>38</v>
      </c>
      <c r="E4767" t="s">
        <v>29</v>
      </c>
      <c r="F4767" t="s">
        <v>30</v>
      </c>
      <c r="G4767">
        <v>2</v>
      </c>
      <c r="H4767">
        <v>2573</v>
      </c>
      <c r="I4767">
        <v>4144</v>
      </c>
      <c r="J4767" t="s">
        <v>12</v>
      </c>
      <c r="K4767" t="str">
        <f>_xlfn.XLOOKUP(datos_ventas[[#This Row],[Ciudad]],Tabla2[Ciudades],Tabla2[Provincias],"no se encuentra")</f>
        <v>Málaga</v>
      </c>
      <c r="L4767" t="str">
        <f>_xlfn.XLOOKUP(datos_ventas[[#This Row],[Provincia]],Tabla2[Provincias],Tabla2[Comunidades],"no se encuentra")</f>
        <v>Andalucía</v>
      </c>
      <c r="M4767" t="s">
        <v>15</v>
      </c>
      <c r="N4767">
        <v>2</v>
      </c>
    </row>
    <row r="4768" spans="1:14" x14ac:dyDescent="0.25">
      <c r="A4768">
        <v>5767</v>
      </c>
      <c r="B4768" s="1">
        <v>45871</v>
      </c>
      <c r="C4768" s="4">
        <f>MONTH(datos_ventas[[#This Row],[Fecha]])</f>
        <v>8</v>
      </c>
      <c r="D4768" s="4">
        <f>WEEKNUM(datos_ventas[[#This Row],[Fecha]],2)</f>
        <v>31</v>
      </c>
      <c r="E4768" t="s">
        <v>16</v>
      </c>
      <c r="F4768" t="s">
        <v>11</v>
      </c>
      <c r="G4768">
        <v>3</v>
      </c>
      <c r="H4768">
        <v>31821</v>
      </c>
      <c r="I4768">
        <v>4495</v>
      </c>
      <c r="J4768" t="s">
        <v>14</v>
      </c>
      <c r="K4768" t="str">
        <f>_xlfn.XLOOKUP(datos_ventas[[#This Row],[Ciudad]],Tabla2[Ciudades],Tabla2[Provincias],"no se encuentra")</f>
        <v>Madrid</v>
      </c>
      <c r="L4768" t="str">
        <f>_xlfn.XLOOKUP(datos_ventas[[#This Row],[Provincia]],Tabla2[Provincias],Tabla2[Comunidades],"no se encuentra")</f>
        <v>Comunidad de Madrid</v>
      </c>
      <c r="M4768" t="s">
        <v>28</v>
      </c>
      <c r="N4768">
        <v>4</v>
      </c>
    </row>
    <row r="4769" spans="1:14" x14ac:dyDescent="0.25">
      <c r="A4769">
        <v>5768</v>
      </c>
      <c r="B4769" s="1">
        <v>45929</v>
      </c>
      <c r="C4769" s="4">
        <f>MONTH(datos_ventas[[#This Row],[Fecha]])</f>
        <v>9</v>
      </c>
      <c r="D4769" s="4">
        <f>WEEKNUM(datos_ventas[[#This Row],[Fecha]],2)</f>
        <v>40</v>
      </c>
      <c r="E4769" t="s">
        <v>20</v>
      </c>
      <c r="F4769" t="s">
        <v>21</v>
      </c>
      <c r="G4769">
        <v>2</v>
      </c>
      <c r="H4769">
        <v>118837</v>
      </c>
      <c r="I4769">
        <v>925</v>
      </c>
      <c r="J4769" t="s">
        <v>27</v>
      </c>
      <c r="K4769" t="str">
        <f>_xlfn.XLOOKUP(datos_ventas[[#This Row],[Ciudad]],Tabla2[Ciudades],Tabla2[Provincias],"no se encuentra")</f>
        <v>Sevilla</v>
      </c>
      <c r="L4769" t="str">
        <f>_xlfn.XLOOKUP(datos_ventas[[#This Row],[Provincia]],Tabla2[Provincias],Tabla2[Comunidades],"no se encuentra")</f>
        <v>Andalucía</v>
      </c>
      <c r="M4769" t="s">
        <v>19</v>
      </c>
      <c r="N4769">
        <v>3</v>
      </c>
    </row>
    <row r="4770" spans="1:14" x14ac:dyDescent="0.25">
      <c r="A4770">
        <v>5769</v>
      </c>
      <c r="B4770" s="1">
        <v>45792</v>
      </c>
      <c r="C4770" s="4">
        <f>MONTH(datos_ventas[[#This Row],[Fecha]])</f>
        <v>5</v>
      </c>
      <c r="D4770" s="4">
        <f>WEEKNUM(datos_ventas[[#This Row],[Fecha]],2)</f>
        <v>20</v>
      </c>
      <c r="E4770" t="s">
        <v>17</v>
      </c>
      <c r="F4770" t="s">
        <v>18</v>
      </c>
      <c r="G4770">
        <v>2</v>
      </c>
      <c r="H4770">
        <v>23929</v>
      </c>
      <c r="I4770">
        <v>4991</v>
      </c>
      <c r="J4770" t="s">
        <v>22</v>
      </c>
      <c r="K4770" t="str">
        <f>_xlfn.XLOOKUP(datos_ventas[[#This Row],[Ciudad]],Tabla2[Ciudades],Tabla2[Provincias],"no se encuentra")</f>
        <v>Valencia</v>
      </c>
      <c r="L4770" t="str">
        <f>_xlfn.XLOOKUP(datos_ventas[[#This Row],[Provincia]],Tabla2[Provincias],Tabla2[Comunidades],"no se encuentra")</f>
        <v>Comunidad Valenciana</v>
      </c>
      <c r="M4770" t="s">
        <v>19</v>
      </c>
      <c r="N4770">
        <v>3</v>
      </c>
    </row>
    <row r="4771" spans="1:14" x14ac:dyDescent="0.25">
      <c r="A4771">
        <v>5770</v>
      </c>
      <c r="B4771" s="1">
        <v>45773</v>
      </c>
      <c r="C4771" s="4">
        <f>MONTH(datos_ventas[[#This Row],[Fecha]])</f>
        <v>4</v>
      </c>
      <c r="D4771" s="4">
        <f>WEEKNUM(datos_ventas[[#This Row],[Fecha]],2)</f>
        <v>17</v>
      </c>
      <c r="E4771" t="s">
        <v>16</v>
      </c>
      <c r="F4771" t="s">
        <v>11</v>
      </c>
      <c r="G4771">
        <v>3</v>
      </c>
      <c r="H4771">
        <v>106631</v>
      </c>
      <c r="I4771">
        <v>4105</v>
      </c>
      <c r="J4771" t="s">
        <v>22</v>
      </c>
      <c r="K4771" t="str">
        <f>_xlfn.XLOOKUP(datos_ventas[[#This Row],[Ciudad]],Tabla2[Ciudades],Tabla2[Provincias],"no se encuentra")</f>
        <v>Valencia</v>
      </c>
      <c r="L4771" t="str">
        <f>_xlfn.XLOOKUP(datos_ventas[[#This Row],[Provincia]],Tabla2[Provincias],Tabla2[Comunidades],"no se encuentra")</f>
        <v>Comunidad Valenciana</v>
      </c>
      <c r="M4771" t="s">
        <v>15</v>
      </c>
      <c r="N4771">
        <v>3</v>
      </c>
    </row>
    <row r="4772" spans="1:14" x14ac:dyDescent="0.25">
      <c r="A4772">
        <v>5771</v>
      </c>
      <c r="B4772" s="1">
        <v>45816</v>
      </c>
      <c r="C4772" s="4">
        <f>MONTH(datos_ventas[[#This Row],[Fecha]])</f>
        <v>6</v>
      </c>
      <c r="D4772" s="4">
        <f>WEEKNUM(datos_ventas[[#This Row],[Fecha]],2)</f>
        <v>23</v>
      </c>
      <c r="E4772" t="s">
        <v>23</v>
      </c>
      <c r="F4772" t="s">
        <v>18</v>
      </c>
      <c r="G4772">
        <v>5</v>
      </c>
      <c r="H4772">
        <v>58479</v>
      </c>
      <c r="I4772">
        <v>105</v>
      </c>
      <c r="J4772" t="s">
        <v>31</v>
      </c>
      <c r="K4772" t="str">
        <f>_xlfn.XLOOKUP(datos_ventas[[#This Row],[Ciudad]],Tabla2[Ciudades],Tabla2[Provincias],"no se encuentra")</f>
        <v>Vizcaya</v>
      </c>
      <c r="L4772" t="str">
        <f>_xlfn.XLOOKUP(datos_ventas[[#This Row],[Provincia]],Tabla2[Provincias],Tabla2[Comunidades],"no se encuentra")</f>
        <v>País Vasco</v>
      </c>
      <c r="M4772" t="s">
        <v>19</v>
      </c>
      <c r="N4772">
        <v>5</v>
      </c>
    </row>
    <row r="4773" spans="1:14" x14ac:dyDescent="0.25">
      <c r="A4773">
        <v>5772</v>
      </c>
      <c r="B4773" s="1">
        <v>45951</v>
      </c>
      <c r="C4773" s="4">
        <f>MONTH(datos_ventas[[#This Row],[Fecha]])</f>
        <v>10</v>
      </c>
      <c r="D4773" s="4">
        <f>WEEKNUM(datos_ventas[[#This Row],[Fecha]],2)</f>
        <v>43</v>
      </c>
      <c r="E4773" t="s">
        <v>20</v>
      </c>
      <c r="F4773" t="s">
        <v>21</v>
      </c>
      <c r="G4773">
        <v>3</v>
      </c>
      <c r="H4773">
        <v>9626</v>
      </c>
      <c r="I4773">
        <v>537</v>
      </c>
      <c r="J4773" t="s">
        <v>14</v>
      </c>
      <c r="K4773" t="str">
        <f>_xlfn.XLOOKUP(datos_ventas[[#This Row],[Ciudad]],Tabla2[Ciudades],Tabla2[Provincias],"no se encuentra")</f>
        <v>Madrid</v>
      </c>
      <c r="L4773" t="str">
        <f>_xlfn.XLOOKUP(datos_ventas[[#This Row],[Provincia]],Tabla2[Provincias],Tabla2[Comunidades],"no se encuentra")</f>
        <v>Comunidad de Madrid</v>
      </c>
      <c r="M4773" t="s">
        <v>15</v>
      </c>
      <c r="N4773">
        <v>4</v>
      </c>
    </row>
    <row r="4774" spans="1:14" x14ac:dyDescent="0.25">
      <c r="A4774">
        <v>5773</v>
      </c>
      <c r="B4774" s="1">
        <v>45783</v>
      </c>
      <c r="C4774" s="4">
        <f>MONTH(datos_ventas[[#This Row],[Fecha]])</f>
        <v>5</v>
      </c>
      <c r="D4774" s="4">
        <f>WEEKNUM(datos_ventas[[#This Row],[Fecha]],2)</f>
        <v>19</v>
      </c>
      <c r="E4774" t="s">
        <v>23</v>
      </c>
      <c r="F4774" t="s">
        <v>18</v>
      </c>
      <c r="G4774">
        <v>4</v>
      </c>
      <c r="H4774">
        <v>119172</v>
      </c>
      <c r="I4774">
        <v>847</v>
      </c>
      <c r="J4774" t="s">
        <v>14</v>
      </c>
      <c r="K4774" t="str">
        <f>_xlfn.XLOOKUP(datos_ventas[[#This Row],[Ciudad]],Tabla2[Ciudades],Tabla2[Provincias],"no se encuentra")</f>
        <v>Madrid</v>
      </c>
      <c r="L4774" t="str">
        <f>_xlfn.XLOOKUP(datos_ventas[[#This Row],[Provincia]],Tabla2[Provincias],Tabla2[Comunidades],"no se encuentra")</f>
        <v>Comunidad de Madrid</v>
      </c>
      <c r="M4774" t="s">
        <v>28</v>
      </c>
      <c r="N4774">
        <v>2</v>
      </c>
    </row>
    <row r="4775" spans="1:14" x14ac:dyDescent="0.25">
      <c r="A4775">
        <v>5774</v>
      </c>
      <c r="B4775" s="1">
        <v>45804</v>
      </c>
      <c r="C4775" s="4">
        <f>MONTH(datos_ventas[[#This Row],[Fecha]])</f>
        <v>5</v>
      </c>
      <c r="D4775" s="4">
        <f>WEEKNUM(datos_ventas[[#This Row],[Fecha]],2)</f>
        <v>22</v>
      </c>
      <c r="E4775" t="s">
        <v>26</v>
      </c>
      <c r="F4775" t="s">
        <v>18</v>
      </c>
      <c r="G4775">
        <v>4</v>
      </c>
      <c r="H4775">
        <v>107176</v>
      </c>
      <c r="I4775">
        <v>534</v>
      </c>
      <c r="J4775" t="s">
        <v>14</v>
      </c>
      <c r="K4775" t="str">
        <f>_xlfn.XLOOKUP(datos_ventas[[#This Row],[Ciudad]],Tabla2[Ciudades],Tabla2[Provincias],"no se encuentra")</f>
        <v>Madrid</v>
      </c>
      <c r="L4775" t="str">
        <f>_xlfn.XLOOKUP(datos_ventas[[#This Row],[Provincia]],Tabla2[Provincias],Tabla2[Comunidades],"no se encuentra")</f>
        <v>Comunidad de Madrid</v>
      </c>
      <c r="M4775" t="s">
        <v>28</v>
      </c>
      <c r="N4775">
        <v>5</v>
      </c>
    </row>
    <row r="4776" spans="1:14" x14ac:dyDescent="0.25">
      <c r="A4776">
        <v>5775</v>
      </c>
      <c r="B4776" s="1">
        <v>45954</v>
      </c>
      <c r="C4776" s="4">
        <f>MONTH(datos_ventas[[#This Row],[Fecha]])</f>
        <v>10</v>
      </c>
      <c r="D4776" s="4">
        <f>WEEKNUM(datos_ventas[[#This Row],[Fecha]],2)</f>
        <v>43</v>
      </c>
      <c r="E4776" t="s">
        <v>16</v>
      </c>
      <c r="F4776" t="s">
        <v>11</v>
      </c>
      <c r="G4776">
        <v>4</v>
      </c>
      <c r="H4776">
        <v>80443</v>
      </c>
      <c r="I4776">
        <v>116</v>
      </c>
      <c r="J4776" t="s">
        <v>27</v>
      </c>
      <c r="K4776" t="str">
        <f>_xlfn.XLOOKUP(datos_ventas[[#This Row],[Ciudad]],Tabla2[Ciudades],Tabla2[Provincias],"no se encuentra")</f>
        <v>Sevilla</v>
      </c>
      <c r="L4776" t="str">
        <f>_xlfn.XLOOKUP(datos_ventas[[#This Row],[Provincia]],Tabla2[Provincias],Tabla2[Comunidades],"no se encuentra")</f>
        <v>Andalucía</v>
      </c>
      <c r="M4776" t="s">
        <v>13</v>
      </c>
      <c r="N4776">
        <v>1</v>
      </c>
    </row>
    <row r="4777" spans="1:14" x14ac:dyDescent="0.25">
      <c r="A4777">
        <v>5776</v>
      </c>
      <c r="B4777" s="1">
        <v>45828</v>
      </c>
      <c r="C4777" s="4">
        <f>MONTH(datos_ventas[[#This Row],[Fecha]])</f>
        <v>6</v>
      </c>
      <c r="D4777" s="4">
        <f>WEEKNUM(datos_ventas[[#This Row],[Fecha]],2)</f>
        <v>25</v>
      </c>
      <c r="E4777" t="s">
        <v>16</v>
      </c>
      <c r="F4777" t="s">
        <v>11</v>
      </c>
      <c r="G4777">
        <v>4</v>
      </c>
      <c r="H4777">
        <v>89595</v>
      </c>
      <c r="I4777">
        <v>603</v>
      </c>
      <c r="J4777" t="s">
        <v>32</v>
      </c>
      <c r="K4777" t="str">
        <f>_xlfn.XLOOKUP(datos_ventas[[#This Row],[Ciudad]],Tabla2[Ciudades],Tabla2[Provincias],"no se encuentra")</f>
        <v>Barcelona</v>
      </c>
      <c r="L4777" t="str">
        <f>_xlfn.XLOOKUP(datos_ventas[[#This Row],[Provincia]],Tabla2[Provincias],Tabla2[Comunidades],"no se encuentra")</f>
        <v>Cataluña</v>
      </c>
      <c r="M4777" t="s">
        <v>13</v>
      </c>
      <c r="N4777">
        <v>5</v>
      </c>
    </row>
    <row r="4778" spans="1:14" x14ac:dyDescent="0.25">
      <c r="A4778">
        <v>5777</v>
      </c>
      <c r="B4778" s="1">
        <v>45735</v>
      </c>
      <c r="C4778" s="4">
        <f>MONTH(datos_ventas[[#This Row],[Fecha]])</f>
        <v>3</v>
      </c>
      <c r="D4778" s="4">
        <f>WEEKNUM(datos_ventas[[#This Row],[Fecha]],2)</f>
        <v>12</v>
      </c>
      <c r="E4778" t="s">
        <v>20</v>
      </c>
      <c r="F4778" t="s">
        <v>21</v>
      </c>
      <c r="G4778">
        <v>3</v>
      </c>
      <c r="H4778">
        <v>18124</v>
      </c>
      <c r="I4778">
        <v>4801</v>
      </c>
      <c r="J4778" t="s">
        <v>31</v>
      </c>
      <c r="K4778" t="str">
        <f>_xlfn.XLOOKUP(datos_ventas[[#This Row],[Ciudad]],Tabla2[Ciudades],Tabla2[Provincias],"no se encuentra")</f>
        <v>Vizcaya</v>
      </c>
      <c r="L4778" t="str">
        <f>_xlfn.XLOOKUP(datos_ventas[[#This Row],[Provincia]],Tabla2[Provincias],Tabla2[Comunidades],"no se encuentra")</f>
        <v>País Vasco</v>
      </c>
      <c r="M4778" t="s">
        <v>15</v>
      </c>
      <c r="N4778">
        <v>4</v>
      </c>
    </row>
    <row r="4779" spans="1:14" x14ac:dyDescent="0.25">
      <c r="A4779">
        <v>5778</v>
      </c>
      <c r="B4779" s="1">
        <v>45995</v>
      </c>
      <c r="C4779" s="4">
        <f>MONTH(datos_ventas[[#This Row],[Fecha]])</f>
        <v>12</v>
      </c>
      <c r="D4779" s="4">
        <f>WEEKNUM(datos_ventas[[#This Row],[Fecha]],2)</f>
        <v>49</v>
      </c>
      <c r="E4779" t="s">
        <v>10</v>
      </c>
      <c r="F4779" t="s">
        <v>11</v>
      </c>
      <c r="G4779">
        <v>1</v>
      </c>
      <c r="H4779">
        <v>10435</v>
      </c>
      <c r="I4779">
        <v>3747</v>
      </c>
      <c r="J4779" t="s">
        <v>22</v>
      </c>
      <c r="K4779" t="str">
        <f>_xlfn.XLOOKUP(datos_ventas[[#This Row],[Ciudad]],Tabla2[Ciudades],Tabla2[Provincias],"no se encuentra")</f>
        <v>Valencia</v>
      </c>
      <c r="L4779" t="str">
        <f>_xlfn.XLOOKUP(datos_ventas[[#This Row],[Provincia]],Tabla2[Provincias],Tabla2[Comunidades],"no se encuentra")</f>
        <v>Comunidad Valenciana</v>
      </c>
      <c r="M4779" t="s">
        <v>13</v>
      </c>
      <c r="N4779">
        <v>2</v>
      </c>
    </row>
    <row r="4780" spans="1:14" x14ac:dyDescent="0.25">
      <c r="A4780">
        <v>5779</v>
      </c>
      <c r="B4780" s="1">
        <v>45956</v>
      </c>
      <c r="C4780" s="4">
        <f>MONTH(datos_ventas[[#This Row],[Fecha]])</f>
        <v>10</v>
      </c>
      <c r="D4780" s="4">
        <f>WEEKNUM(datos_ventas[[#This Row],[Fecha]],2)</f>
        <v>43</v>
      </c>
      <c r="E4780" t="s">
        <v>29</v>
      </c>
      <c r="F4780" t="s">
        <v>30</v>
      </c>
      <c r="G4780">
        <v>4</v>
      </c>
      <c r="H4780">
        <v>118406</v>
      </c>
      <c r="I4780">
        <v>139</v>
      </c>
      <c r="J4780" t="s">
        <v>14</v>
      </c>
      <c r="K4780" t="str">
        <f>_xlfn.XLOOKUP(datos_ventas[[#This Row],[Ciudad]],Tabla2[Ciudades],Tabla2[Provincias],"no se encuentra")</f>
        <v>Madrid</v>
      </c>
      <c r="L4780" t="str">
        <f>_xlfn.XLOOKUP(datos_ventas[[#This Row],[Provincia]],Tabla2[Provincias],Tabla2[Comunidades],"no se encuentra")</f>
        <v>Comunidad de Madrid</v>
      </c>
      <c r="M4780" t="s">
        <v>15</v>
      </c>
      <c r="N4780">
        <v>4</v>
      </c>
    </row>
    <row r="4781" spans="1:14" x14ac:dyDescent="0.25">
      <c r="A4781">
        <v>5780</v>
      </c>
      <c r="B4781" s="1">
        <v>45718</v>
      </c>
      <c r="C4781" s="4">
        <f>MONTH(datos_ventas[[#This Row],[Fecha]])</f>
        <v>3</v>
      </c>
      <c r="D4781" s="4">
        <f>WEEKNUM(datos_ventas[[#This Row],[Fecha]],2)</f>
        <v>9</v>
      </c>
      <c r="E4781" t="s">
        <v>23</v>
      </c>
      <c r="F4781" t="s">
        <v>18</v>
      </c>
      <c r="G4781">
        <v>5</v>
      </c>
      <c r="H4781">
        <v>29639</v>
      </c>
      <c r="I4781">
        <v>2243</v>
      </c>
      <c r="J4781" t="s">
        <v>14</v>
      </c>
      <c r="K4781" t="str">
        <f>_xlfn.XLOOKUP(datos_ventas[[#This Row],[Ciudad]],Tabla2[Ciudades],Tabla2[Provincias],"no se encuentra")</f>
        <v>Madrid</v>
      </c>
      <c r="L4781" t="str">
        <f>_xlfn.XLOOKUP(datos_ventas[[#This Row],[Provincia]],Tabla2[Provincias],Tabla2[Comunidades],"no se encuentra")</f>
        <v>Comunidad de Madrid</v>
      </c>
      <c r="M4781" t="s">
        <v>15</v>
      </c>
      <c r="N4781">
        <v>4</v>
      </c>
    </row>
    <row r="4782" spans="1:14" x14ac:dyDescent="0.25">
      <c r="A4782">
        <v>5781</v>
      </c>
      <c r="B4782" s="1">
        <v>45913</v>
      </c>
      <c r="C4782" s="4">
        <f>MONTH(datos_ventas[[#This Row],[Fecha]])</f>
        <v>9</v>
      </c>
      <c r="D4782" s="4">
        <f>WEEKNUM(datos_ventas[[#This Row],[Fecha]],2)</f>
        <v>37</v>
      </c>
      <c r="E4782" t="s">
        <v>29</v>
      </c>
      <c r="F4782" t="s">
        <v>30</v>
      </c>
      <c r="G4782">
        <v>2</v>
      </c>
      <c r="H4782">
        <v>42068</v>
      </c>
      <c r="I4782">
        <v>3154</v>
      </c>
      <c r="J4782" t="s">
        <v>27</v>
      </c>
      <c r="K4782" t="str">
        <f>_xlfn.XLOOKUP(datos_ventas[[#This Row],[Ciudad]],Tabla2[Ciudades],Tabla2[Provincias],"no se encuentra")</f>
        <v>Sevilla</v>
      </c>
      <c r="L4782" t="str">
        <f>_xlfn.XLOOKUP(datos_ventas[[#This Row],[Provincia]],Tabla2[Provincias],Tabla2[Comunidades],"no se encuentra")</f>
        <v>Andalucía</v>
      </c>
      <c r="M4782" t="s">
        <v>13</v>
      </c>
      <c r="N4782">
        <v>3</v>
      </c>
    </row>
    <row r="4783" spans="1:14" x14ac:dyDescent="0.25">
      <c r="A4783">
        <v>5782</v>
      </c>
      <c r="B4783" s="1">
        <v>45939</v>
      </c>
      <c r="C4783" s="4">
        <f>MONTH(datos_ventas[[#This Row],[Fecha]])</f>
        <v>10</v>
      </c>
      <c r="D4783" s="4">
        <f>WEEKNUM(datos_ventas[[#This Row],[Fecha]],2)</f>
        <v>41</v>
      </c>
      <c r="E4783" t="s">
        <v>29</v>
      </c>
      <c r="F4783" t="s">
        <v>30</v>
      </c>
      <c r="G4783">
        <v>4</v>
      </c>
      <c r="H4783">
        <v>99044</v>
      </c>
      <c r="I4783">
        <v>4105</v>
      </c>
      <c r="J4783" t="s">
        <v>22</v>
      </c>
      <c r="K4783" t="str">
        <f>_xlfn.XLOOKUP(datos_ventas[[#This Row],[Ciudad]],Tabla2[Ciudades],Tabla2[Provincias],"no se encuentra")</f>
        <v>Valencia</v>
      </c>
      <c r="L4783" t="str">
        <f>_xlfn.XLOOKUP(datos_ventas[[#This Row],[Provincia]],Tabla2[Provincias],Tabla2[Comunidades],"no se encuentra")</f>
        <v>Comunidad Valenciana</v>
      </c>
      <c r="M4783" t="s">
        <v>13</v>
      </c>
      <c r="N4783">
        <v>5</v>
      </c>
    </row>
    <row r="4784" spans="1:14" x14ac:dyDescent="0.25">
      <c r="A4784">
        <v>5783</v>
      </c>
      <c r="B4784" s="1">
        <v>45809</v>
      </c>
      <c r="C4784" s="4">
        <f>MONTH(datos_ventas[[#This Row],[Fecha]])</f>
        <v>6</v>
      </c>
      <c r="D4784" s="4">
        <f>WEEKNUM(datos_ventas[[#This Row],[Fecha]],2)</f>
        <v>22</v>
      </c>
      <c r="E4784" t="s">
        <v>24</v>
      </c>
      <c r="F4784" t="s">
        <v>25</v>
      </c>
      <c r="G4784">
        <v>4</v>
      </c>
      <c r="H4784">
        <v>114857</v>
      </c>
      <c r="I4784">
        <v>3367</v>
      </c>
      <c r="J4784" t="s">
        <v>14</v>
      </c>
      <c r="K4784" t="str">
        <f>_xlfn.XLOOKUP(datos_ventas[[#This Row],[Ciudad]],Tabla2[Ciudades],Tabla2[Provincias],"no se encuentra")</f>
        <v>Madrid</v>
      </c>
      <c r="L4784" t="str">
        <f>_xlfn.XLOOKUP(datos_ventas[[#This Row],[Provincia]],Tabla2[Provincias],Tabla2[Comunidades],"no se encuentra")</f>
        <v>Comunidad de Madrid</v>
      </c>
      <c r="M4784" t="s">
        <v>15</v>
      </c>
      <c r="N4784">
        <v>5</v>
      </c>
    </row>
    <row r="4785" spans="1:14" x14ac:dyDescent="0.25">
      <c r="A4785">
        <v>5784</v>
      </c>
      <c r="B4785" s="1">
        <v>45793</v>
      </c>
      <c r="C4785" s="4">
        <f>MONTH(datos_ventas[[#This Row],[Fecha]])</f>
        <v>5</v>
      </c>
      <c r="D4785" s="4">
        <f>WEEKNUM(datos_ventas[[#This Row],[Fecha]],2)</f>
        <v>20</v>
      </c>
      <c r="E4785" t="s">
        <v>20</v>
      </c>
      <c r="F4785" t="s">
        <v>21</v>
      </c>
      <c r="G4785">
        <v>5</v>
      </c>
      <c r="H4785">
        <v>20778</v>
      </c>
      <c r="I4785">
        <v>853</v>
      </c>
      <c r="J4785" t="s">
        <v>14</v>
      </c>
      <c r="K4785" t="str">
        <f>_xlfn.XLOOKUP(datos_ventas[[#This Row],[Ciudad]],Tabla2[Ciudades],Tabla2[Provincias],"no se encuentra")</f>
        <v>Madrid</v>
      </c>
      <c r="L4785" t="str">
        <f>_xlfn.XLOOKUP(datos_ventas[[#This Row],[Provincia]],Tabla2[Provincias],Tabla2[Comunidades],"no se encuentra")</f>
        <v>Comunidad de Madrid</v>
      </c>
      <c r="M4785" t="s">
        <v>15</v>
      </c>
      <c r="N4785">
        <v>4</v>
      </c>
    </row>
    <row r="4786" spans="1:14" x14ac:dyDescent="0.25">
      <c r="A4786">
        <v>5785</v>
      </c>
      <c r="B4786" s="1">
        <v>45896</v>
      </c>
      <c r="C4786" s="4">
        <f>MONTH(datos_ventas[[#This Row],[Fecha]])</f>
        <v>8</v>
      </c>
      <c r="D4786" s="4">
        <f>WEEKNUM(datos_ventas[[#This Row],[Fecha]],2)</f>
        <v>35</v>
      </c>
      <c r="E4786" t="s">
        <v>17</v>
      </c>
      <c r="F4786" t="s">
        <v>18</v>
      </c>
      <c r="G4786">
        <v>4</v>
      </c>
      <c r="H4786">
        <v>10605</v>
      </c>
      <c r="I4786">
        <v>2001</v>
      </c>
      <c r="J4786" t="s">
        <v>12</v>
      </c>
      <c r="K4786" t="str">
        <f>_xlfn.XLOOKUP(datos_ventas[[#This Row],[Ciudad]],Tabla2[Ciudades],Tabla2[Provincias],"no se encuentra")</f>
        <v>Málaga</v>
      </c>
      <c r="L4786" t="str">
        <f>_xlfn.XLOOKUP(datos_ventas[[#This Row],[Provincia]],Tabla2[Provincias],Tabla2[Comunidades],"no se encuentra")</f>
        <v>Andalucía</v>
      </c>
      <c r="M4786" t="s">
        <v>28</v>
      </c>
      <c r="N4786">
        <v>4</v>
      </c>
    </row>
    <row r="4787" spans="1:14" x14ac:dyDescent="0.25">
      <c r="A4787">
        <v>5786</v>
      </c>
      <c r="B4787" s="1">
        <v>45756</v>
      </c>
      <c r="C4787" s="4">
        <f>MONTH(datos_ventas[[#This Row],[Fecha]])</f>
        <v>4</v>
      </c>
      <c r="D4787" s="4">
        <f>WEEKNUM(datos_ventas[[#This Row],[Fecha]],2)</f>
        <v>15</v>
      </c>
      <c r="E4787" t="s">
        <v>10</v>
      </c>
      <c r="F4787" t="s">
        <v>11</v>
      </c>
      <c r="G4787">
        <v>4</v>
      </c>
      <c r="H4787">
        <v>71717</v>
      </c>
      <c r="I4787">
        <v>1053</v>
      </c>
      <c r="J4787" t="s">
        <v>31</v>
      </c>
      <c r="K4787" t="str">
        <f>_xlfn.XLOOKUP(datos_ventas[[#This Row],[Ciudad]],Tabla2[Ciudades],Tabla2[Provincias],"no se encuentra")</f>
        <v>Vizcaya</v>
      </c>
      <c r="L4787" t="str">
        <f>_xlfn.XLOOKUP(datos_ventas[[#This Row],[Provincia]],Tabla2[Provincias],Tabla2[Comunidades],"no se encuentra")</f>
        <v>País Vasco</v>
      </c>
      <c r="M4787" t="s">
        <v>15</v>
      </c>
      <c r="N4787">
        <v>1</v>
      </c>
    </row>
    <row r="4788" spans="1:14" x14ac:dyDescent="0.25">
      <c r="A4788">
        <v>5787</v>
      </c>
      <c r="B4788" s="1">
        <v>45864</v>
      </c>
      <c r="C4788" s="4">
        <f>MONTH(datos_ventas[[#This Row],[Fecha]])</f>
        <v>7</v>
      </c>
      <c r="D4788" s="4">
        <f>WEEKNUM(datos_ventas[[#This Row],[Fecha]],2)</f>
        <v>30</v>
      </c>
      <c r="E4788" t="s">
        <v>16</v>
      </c>
      <c r="F4788" t="s">
        <v>11</v>
      </c>
      <c r="G4788">
        <v>3</v>
      </c>
      <c r="H4788">
        <v>77116</v>
      </c>
      <c r="I4788">
        <v>2302</v>
      </c>
      <c r="J4788" t="s">
        <v>27</v>
      </c>
      <c r="K4788" t="str">
        <f>_xlfn.XLOOKUP(datos_ventas[[#This Row],[Ciudad]],Tabla2[Ciudades],Tabla2[Provincias],"no se encuentra")</f>
        <v>Sevilla</v>
      </c>
      <c r="L4788" t="str">
        <f>_xlfn.XLOOKUP(datos_ventas[[#This Row],[Provincia]],Tabla2[Provincias],Tabla2[Comunidades],"no se encuentra")</f>
        <v>Andalucía</v>
      </c>
      <c r="M4788" t="s">
        <v>15</v>
      </c>
      <c r="N4788">
        <v>4</v>
      </c>
    </row>
    <row r="4789" spans="1:14" x14ac:dyDescent="0.25">
      <c r="A4789">
        <v>5788</v>
      </c>
      <c r="B4789" s="1">
        <v>45877</v>
      </c>
      <c r="C4789" s="4">
        <f>MONTH(datos_ventas[[#This Row],[Fecha]])</f>
        <v>8</v>
      </c>
      <c r="D4789" s="4">
        <f>WEEKNUM(datos_ventas[[#This Row],[Fecha]],2)</f>
        <v>32</v>
      </c>
      <c r="E4789" t="s">
        <v>16</v>
      </c>
      <c r="F4789" t="s">
        <v>11</v>
      </c>
      <c r="G4789">
        <v>1</v>
      </c>
      <c r="H4789">
        <v>103892</v>
      </c>
      <c r="I4789">
        <v>2846</v>
      </c>
      <c r="J4789" t="s">
        <v>22</v>
      </c>
      <c r="K4789" t="str">
        <f>_xlfn.XLOOKUP(datos_ventas[[#This Row],[Ciudad]],Tabla2[Ciudades],Tabla2[Provincias],"no se encuentra")</f>
        <v>Valencia</v>
      </c>
      <c r="L4789" t="str">
        <f>_xlfn.XLOOKUP(datos_ventas[[#This Row],[Provincia]],Tabla2[Provincias],Tabla2[Comunidades],"no se encuentra")</f>
        <v>Comunidad Valenciana</v>
      </c>
      <c r="M4789" t="s">
        <v>13</v>
      </c>
      <c r="N4789">
        <v>5</v>
      </c>
    </row>
    <row r="4790" spans="1:14" x14ac:dyDescent="0.25">
      <c r="A4790">
        <v>5789</v>
      </c>
      <c r="B4790" s="1">
        <v>45931</v>
      </c>
      <c r="C4790" s="4">
        <f>MONTH(datos_ventas[[#This Row],[Fecha]])</f>
        <v>10</v>
      </c>
      <c r="D4790" s="4">
        <f>WEEKNUM(datos_ventas[[#This Row],[Fecha]],2)</f>
        <v>40</v>
      </c>
      <c r="E4790" t="s">
        <v>17</v>
      </c>
      <c r="F4790" t="s">
        <v>18</v>
      </c>
      <c r="G4790">
        <v>5</v>
      </c>
      <c r="H4790">
        <v>60656</v>
      </c>
      <c r="I4790">
        <v>2136</v>
      </c>
      <c r="J4790" t="s">
        <v>27</v>
      </c>
      <c r="K4790" t="str">
        <f>_xlfn.XLOOKUP(datos_ventas[[#This Row],[Ciudad]],Tabla2[Ciudades],Tabla2[Provincias],"no se encuentra")</f>
        <v>Sevilla</v>
      </c>
      <c r="L4790" t="str">
        <f>_xlfn.XLOOKUP(datos_ventas[[#This Row],[Provincia]],Tabla2[Provincias],Tabla2[Comunidades],"no se encuentra")</f>
        <v>Andalucía</v>
      </c>
      <c r="M4790" t="s">
        <v>15</v>
      </c>
      <c r="N4790">
        <v>2</v>
      </c>
    </row>
    <row r="4791" spans="1:14" x14ac:dyDescent="0.25">
      <c r="A4791">
        <v>5790</v>
      </c>
      <c r="B4791" s="1">
        <v>45865</v>
      </c>
      <c r="C4791" s="4">
        <f>MONTH(datos_ventas[[#This Row],[Fecha]])</f>
        <v>7</v>
      </c>
      <c r="D4791" s="4">
        <f>WEEKNUM(datos_ventas[[#This Row],[Fecha]],2)</f>
        <v>30</v>
      </c>
      <c r="E4791" t="s">
        <v>17</v>
      </c>
      <c r="F4791" t="s">
        <v>18</v>
      </c>
      <c r="G4791">
        <v>2</v>
      </c>
      <c r="H4791">
        <v>36095</v>
      </c>
      <c r="I4791">
        <v>575</v>
      </c>
      <c r="J4791" t="s">
        <v>22</v>
      </c>
      <c r="K4791" t="str">
        <f>_xlfn.XLOOKUP(datos_ventas[[#This Row],[Ciudad]],Tabla2[Ciudades],Tabla2[Provincias],"no se encuentra")</f>
        <v>Valencia</v>
      </c>
      <c r="L4791" t="str">
        <f>_xlfn.XLOOKUP(datos_ventas[[#This Row],[Provincia]],Tabla2[Provincias],Tabla2[Comunidades],"no se encuentra")</f>
        <v>Comunidad Valenciana</v>
      </c>
      <c r="M4791" t="s">
        <v>15</v>
      </c>
      <c r="N4791">
        <v>5</v>
      </c>
    </row>
    <row r="4792" spans="1:14" x14ac:dyDescent="0.25">
      <c r="A4792">
        <v>5791</v>
      </c>
      <c r="B4792" s="1">
        <v>45791</v>
      </c>
      <c r="C4792" s="4">
        <f>MONTH(datos_ventas[[#This Row],[Fecha]])</f>
        <v>5</v>
      </c>
      <c r="D4792" s="4">
        <f>WEEKNUM(datos_ventas[[#This Row],[Fecha]],2)</f>
        <v>20</v>
      </c>
      <c r="E4792" t="s">
        <v>16</v>
      </c>
      <c r="F4792" t="s">
        <v>11</v>
      </c>
      <c r="G4792">
        <v>1</v>
      </c>
      <c r="H4792">
        <v>39857</v>
      </c>
      <c r="I4792">
        <v>3685</v>
      </c>
      <c r="J4792" t="s">
        <v>31</v>
      </c>
      <c r="K4792" t="str">
        <f>_xlfn.XLOOKUP(datos_ventas[[#This Row],[Ciudad]],Tabla2[Ciudades],Tabla2[Provincias],"no se encuentra")</f>
        <v>Vizcaya</v>
      </c>
      <c r="L4792" t="str">
        <f>_xlfn.XLOOKUP(datos_ventas[[#This Row],[Provincia]],Tabla2[Provincias],Tabla2[Comunidades],"no se encuentra")</f>
        <v>País Vasco</v>
      </c>
      <c r="M4792" t="s">
        <v>15</v>
      </c>
      <c r="N4792">
        <v>3</v>
      </c>
    </row>
    <row r="4793" spans="1:14" x14ac:dyDescent="0.25">
      <c r="A4793">
        <v>5792</v>
      </c>
      <c r="B4793" s="1">
        <v>45853</v>
      </c>
      <c r="C4793" s="4">
        <f>MONTH(datos_ventas[[#This Row],[Fecha]])</f>
        <v>7</v>
      </c>
      <c r="D4793" s="4">
        <f>WEEKNUM(datos_ventas[[#This Row],[Fecha]],2)</f>
        <v>29</v>
      </c>
      <c r="E4793" t="s">
        <v>29</v>
      </c>
      <c r="F4793" t="s">
        <v>30</v>
      </c>
      <c r="G4793">
        <v>1</v>
      </c>
      <c r="H4793">
        <v>59549</v>
      </c>
      <c r="I4793">
        <v>2663</v>
      </c>
      <c r="J4793" t="s">
        <v>27</v>
      </c>
      <c r="K4793" t="str">
        <f>_xlfn.XLOOKUP(datos_ventas[[#This Row],[Ciudad]],Tabla2[Ciudades],Tabla2[Provincias],"no se encuentra")</f>
        <v>Sevilla</v>
      </c>
      <c r="L4793" t="str">
        <f>_xlfn.XLOOKUP(datos_ventas[[#This Row],[Provincia]],Tabla2[Provincias],Tabla2[Comunidades],"no se encuentra")</f>
        <v>Andalucía</v>
      </c>
      <c r="M4793" t="s">
        <v>19</v>
      </c>
      <c r="N4793">
        <v>3</v>
      </c>
    </row>
    <row r="4794" spans="1:14" x14ac:dyDescent="0.25">
      <c r="A4794">
        <v>5793</v>
      </c>
      <c r="B4794" s="1">
        <v>45870</v>
      </c>
      <c r="C4794" s="4">
        <f>MONTH(datos_ventas[[#This Row],[Fecha]])</f>
        <v>8</v>
      </c>
      <c r="D4794" s="4">
        <f>WEEKNUM(datos_ventas[[#This Row],[Fecha]],2)</f>
        <v>31</v>
      </c>
      <c r="E4794" t="s">
        <v>16</v>
      </c>
      <c r="F4794" t="s">
        <v>11</v>
      </c>
      <c r="G4794">
        <v>1</v>
      </c>
      <c r="H4794">
        <v>66682</v>
      </c>
      <c r="I4794">
        <v>669</v>
      </c>
      <c r="J4794" t="s">
        <v>31</v>
      </c>
      <c r="K4794" t="str">
        <f>_xlfn.XLOOKUP(datos_ventas[[#This Row],[Ciudad]],Tabla2[Ciudades],Tabla2[Provincias],"no se encuentra")</f>
        <v>Vizcaya</v>
      </c>
      <c r="L4794" t="str">
        <f>_xlfn.XLOOKUP(datos_ventas[[#This Row],[Provincia]],Tabla2[Provincias],Tabla2[Comunidades],"no se encuentra")</f>
        <v>País Vasco</v>
      </c>
      <c r="M4794" t="s">
        <v>19</v>
      </c>
      <c r="N4794">
        <v>3</v>
      </c>
    </row>
    <row r="4795" spans="1:14" x14ac:dyDescent="0.25">
      <c r="A4795">
        <v>5794</v>
      </c>
      <c r="B4795" s="1">
        <v>45718</v>
      </c>
      <c r="C4795" s="4">
        <f>MONTH(datos_ventas[[#This Row],[Fecha]])</f>
        <v>3</v>
      </c>
      <c r="D4795" s="4">
        <f>WEEKNUM(datos_ventas[[#This Row],[Fecha]],2)</f>
        <v>9</v>
      </c>
      <c r="E4795" t="s">
        <v>16</v>
      </c>
      <c r="F4795" t="s">
        <v>11</v>
      </c>
      <c r="G4795">
        <v>1</v>
      </c>
      <c r="H4795">
        <v>85678</v>
      </c>
      <c r="I4795">
        <v>643</v>
      </c>
      <c r="J4795" t="s">
        <v>22</v>
      </c>
      <c r="K4795" t="str">
        <f>_xlfn.XLOOKUP(datos_ventas[[#This Row],[Ciudad]],Tabla2[Ciudades],Tabla2[Provincias],"no se encuentra")</f>
        <v>Valencia</v>
      </c>
      <c r="L4795" t="str">
        <f>_xlfn.XLOOKUP(datos_ventas[[#This Row],[Provincia]],Tabla2[Provincias],Tabla2[Comunidades],"no se encuentra")</f>
        <v>Comunidad Valenciana</v>
      </c>
      <c r="M4795" t="s">
        <v>13</v>
      </c>
      <c r="N4795">
        <v>3</v>
      </c>
    </row>
    <row r="4796" spans="1:14" x14ac:dyDescent="0.25">
      <c r="A4796">
        <v>5795</v>
      </c>
      <c r="B4796" s="1">
        <v>45821</v>
      </c>
      <c r="C4796" s="4">
        <f>MONTH(datos_ventas[[#This Row],[Fecha]])</f>
        <v>6</v>
      </c>
      <c r="D4796" s="4">
        <f>WEEKNUM(datos_ventas[[#This Row],[Fecha]],2)</f>
        <v>24</v>
      </c>
      <c r="E4796" t="s">
        <v>20</v>
      </c>
      <c r="F4796" t="s">
        <v>21</v>
      </c>
      <c r="G4796">
        <v>1</v>
      </c>
      <c r="H4796">
        <v>31551</v>
      </c>
      <c r="I4796">
        <v>2507</v>
      </c>
      <c r="J4796" t="s">
        <v>27</v>
      </c>
      <c r="K4796" t="str">
        <f>_xlfn.XLOOKUP(datos_ventas[[#This Row],[Ciudad]],Tabla2[Ciudades],Tabla2[Provincias],"no se encuentra")</f>
        <v>Sevilla</v>
      </c>
      <c r="L4796" t="str">
        <f>_xlfn.XLOOKUP(datos_ventas[[#This Row],[Provincia]],Tabla2[Provincias],Tabla2[Comunidades],"no se encuentra")</f>
        <v>Andalucía</v>
      </c>
      <c r="M4796" t="s">
        <v>13</v>
      </c>
      <c r="N4796">
        <v>4</v>
      </c>
    </row>
    <row r="4797" spans="1:14" x14ac:dyDescent="0.25">
      <c r="A4797">
        <v>5796</v>
      </c>
      <c r="B4797" s="1">
        <v>45916</v>
      </c>
      <c r="C4797" s="4">
        <f>MONTH(datos_ventas[[#This Row],[Fecha]])</f>
        <v>9</v>
      </c>
      <c r="D4797" s="4">
        <f>WEEKNUM(datos_ventas[[#This Row],[Fecha]],2)</f>
        <v>38</v>
      </c>
      <c r="E4797" t="s">
        <v>24</v>
      </c>
      <c r="F4797" t="s">
        <v>25</v>
      </c>
      <c r="G4797">
        <v>3</v>
      </c>
      <c r="H4797">
        <v>102441</v>
      </c>
      <c r="I4797">
        <v>3698</v>
      </c>
      <c r="J4797" t="s">
        <v>12</v>
      </c>
      <c r="K4797" t="str">
        <f>_xlfn.XLOOKUP(datos_ventas[[#This Row],[Ciudad]],Tabla2[Ciudades],Tabla2[Provincias],"no se encuentra")</f>
        <v>Málaga</v>
      </c>
      <c r="L4797" t="str">
        <f>_xlfn.XLOOKUP(datos_ventas[[#This Row],[Provincia]],Tabla2[Provincias],Tabla2[Comunidades],"no se encuentra")</f>
        <v>Andalucía</v>
      </c>
      <c r="M4797" t="s">
        <v>19</v>
      </c>
      <c r="N4797">
        <v>4</v>
      </c>
    </row>
    <row r="4798" spans="1:14" x14ac:dyDescent="0.25">
      <c r="A4798">
        <v>5797</v>
      </c>
      <c r="B4798" s="1">
        <v>45724</v>
      </c>
      <c r="C4798" s="4">
        <f>MONTH(datos_ventas[[#This Row],[Fecha]])</f>
        <v>3</v>
      </c>
      <c r="D4798" s="4">
        <f>WEEKNUM(datos_ventas[[#This Row],[Fecha]],2)</f>
        <v>10</v>
      </c>
      <c r="E4798" t="s">
        <v>17</v>
      </c>
      <c r="F4798" t="s">
        <v>18</v>
      </c>
      <c r="G4798">
        <v>4</v>
      </c>
      <c r="H4798">
        <v>21804</v>
      </c>
      <c r="I4798">
        <v>3353</v>
      </c>
      <c r="J4798" t="s">
        <v>31</v>
      </c>
      <c r="K4798" t="str">
        <f>_xlfn.XLOOKUP(datos_ventas[[#This Row],[Ciudad]],Tabla2[Ciudades],Tabla2[Provincias],"no se encuentra")</f>
        <v>Vizcaya</v>
      </c>
      <c r="L4798" t="str">
        <f>_xlfn.XLOOKUP(datos_ventas[[#This Row],[Provincia]],Tabla2[Provincias],Tabla2[Comunidades],"no se encuentra")</f>
        <v>País Vasco</v>
      </c>
      <c r="M4798" t="s">
        <v>28</v>
      </c>
      <c r="N4798">
        <v>4</v>
      </c>
    </row>
    <row r="4799" spans="1:14" x14ac:dyDescent="0.25">
      <c r="A4799">
        <v>5798</v>
      </c>
      <c r="B4799" s="1">
        <v>45864</v>
      </c>
      <c r="C4799" s="4">
        <f>MONTH(datos_ventas[[#This Row],[Fecha]])</f>
        <v>7</v>
      </c>
      <c r="D4799" s="4">
        <f>WEEKNUM(datos_ventas[[#This Row],[Fecha]],2)</f>
        <v>30</v>
      </c>
      <c r="E4799" t="s">
        <v>17</v>
      </c>
      <c r="F4799" t="s">
        <v>18</v>
      </c>
      <c r="G4799">
        <v>4</v>
      </c>
      <c r="H4799">
        <v>23471</v>
      </c>
      <c r="I4799">
        <v>2271</v>
      </c>
      <c r="J4799" t="s">
        <v>27</v>
      </c>
      <c r="K4799" t="str">
        <f>_xlfn.XLOOKUP(datos_ventas[[#This Row],[Ciudad]],Tabla2[Ciudades],Tabla2[Provincias],"no se encuentra")</f>
        <v>Sevilla</v>
      </c>
      <c r="L4799" t="str">
        <f>_xlfn.XLOOKUP(datos_ventas[[#This Row],[Provincia]],Tabla2[Provincias],Tabla2[Comunidades],"no se encuentra")</f>
        <v>Andalucía</v>
      </c>
      <c r="M4799" t="s">
        <v>15</v>
      </c>
      <c r="N4799">
        <v>2</v>
      </c>
    </row>
    <row r="4800" spans="1:14" x14ac:dyDescent="0.25">
      <c r="A4800">
        <v>5799</v>
      </c>
      <c r="B4800" s="1">
        <v>45710</v>
      </c>
      <c r="C4800" s="4">
        <f>MONTH(datos_ventas[[#This Row],[Fecha]])</f>
        <v>2</v>
      </c>
      <c r="D4800" s="4">
        <f>WEEKNUM(datos_ventas[[#This Row],[Fecha]],2)</f>
        <v>8</v>
      </c>
      <c r="E4800" t="s">
        <v>16</v>
      </c>
      <c r="F4800" t="s">
        <v>11</v>
      </c>
      <c r="G4800">
        <v>1</v>
      </c>
      <c r="H4800">
        <v>88164</v>
      </c>
      <c r="I4800">
        <v>100</v>
      </c>
      <c r="J4800" t="s">
        <v>27</v>
      </c>
      <c r="K4800" t="str">
        <f>_xlfn.XLOOKUP(datos_ventas[[#This Row],[Ciudad]],Tabla2[Ciudades],Tabla2[Provincias],"no se encuentra")</f>
        <v>Sevilla</v>
      </c>
      <c r="L4800" t="str">
        <f>_xlfn.XLOOKUP(datos_ventas[[#This Row],[Provincia]],Tabla2[Provincias],Tabla2[Comunidades],"no se encuentra")</f>
        <v>Andalucía</v>
      </c>
      <c r="M4800" t="s">
        <v>13</v>
      </c>
      <c r="N4800">
        <v>2</v>
      </c>
    </row>
    <row r="4801" spans="1:14" x14ac:dyDescent="0.25">
      <c r="A4801">
        <v>5800</v>
      </c>
      <c r="B4801" s="1">
        <v>45700</v>
      </c>
      <c r="C4801" s="4">
        <f>MONTH(datos_ventas[[#This Row],[Fecha]])</f>
        <v>2</v>
      </c>
      <c r="D4801" s="4">
        <f>WEEKNUM(datos_ventas[[#This Row],[Fecha]],2)</f>
        <v>7</v>
      </c>
      <c r="E4801" t="s">
        <v>26</v>
      </c>
      <c r="F4801" t="s">
        <v>18</v>
      </c>
      <c r="G4801">
        <v>2</v>
      </c>
      <c r="H4801">
        <v>81646</v>
      </c>
      <c r="I4801">
        <v>3695</v>
      </c>
      <c r="J4801" t="s">
        <v>27</v>
      </c>
      <c r="K4801" t="str">
        <f>_xlfn.XLOOKUP(datos_ventas[[#This Row],[Ciudad]],Tabla2[Ciudades],Tabla2[Provincias],"no se encuentra")</f>
        <v>Sevilla</v>
      </c>
      <c r="L4801" t="str">
        <f>_xlfn.XLOOKUP(datos_ventas[[#This Row],[Provincia]],Tabla2[Provincias],Tabla2[Comunidades],"no se encuentra")</f>
        <v>Andalucía</v>
      </c>
      <c r="M4801" t="s">
        <v>15</v>
      </c>
      <c r="N4801">
        <v>5</v>
      </c>
    </row>
    <row r="4802" spans="1:14" x14ac:dyDescent="0.25">
      <c r="A4802">
        <v>5801</v>
      </c>
      <c r="B4802" s="1">
        <v>45787</v>
      </c>
      <c r="C4802" s="4">
        <f>MONTH(datos_ventas[[#This Row],[Fecha]])</f>
        <v>5</v>
      </c>
      <c r="D4802" s="4">
        <f>WEEKNUM(datos_ventas[[#This Row],[Fecha]],2)</f>
        <v>19</v>
      </c>
      <c r="E4802" t="s">
        <v>17</v>
      </c>
      <c r="F4802" t="s">
        <v>18</v>
      </c>
      <c r="G4802">
        <v>4</v>
      </c>
      <c r="H4802">
        <v>8209</v>
      </c>
      <c r="I4802">
        <v>3237</v>
      </c>
      <c r="J4802" t="s">
        <v>31</v>
      </c>
      <c r="K4802" t="str">
        <f>_xlfn.XLOOKUP(datos_ventas[[#This Row],[Ciudad]],Tabla2[Ciudades],Tabla2[Provincias],"no se encuentra")</f>
        <v>Vizcaya</v>
      </c>
      <c r="L4802" t="str">
        <f>_xlfn.XLOOKUP(datos_ventas[[#This Row],[Provincia]],Tabla2[Provincias],Tabla2[Comunidades],"no se encuentra")</f>
        <v>País Vasco</v>
      </c>
      <c r="M4802" t="s">
        <v>13</v>
      </c>
      <c r="N4802">
        <v>1</v>
      </c>
    </row>
    <row r="4803" spans="1:14" x14ac:dyDescent="0.25">
      <c r="A4803">
        <v>5802</v>
      </c>
      <c r="B4803" s="1">
        <v>45736</v>
      </c>
      <c r="C4803" s="4">
        <f>MONTH(datos_ventas[[#This Row],[Fecha]])</f>
        <v>3</v>
      </c>
      <c r="D4803" s="4">
        <f>WEEKNUM(datos_ventas[[#This Row],[Fecha]],2)</f>
        <v>12</v>
      </c>
      <c r="E4803" t="s">
        <v>23</v>
      </c>
      <c r="F4803" t="s">
        <v>18</v>
      </c>
      <c r="G4803">
        <v>3</v>
      </c>
      <c r="H4803">
        <v>9498</v>
      </c>
      <c r="I4803">
        <v>4273</v>
      </c>
      <c r="J4803" t="s">
        <v>14</v>
      </c>
      <c r="K4803" t="str">
        <f>_xlfn.XLOOKUP(datos_ventas[[#This Row],[Ciudad]],Tabla2[Ciudades],Tabla2[Provincias],"no se encuentra")</f>
        <v>Madrid</v>
      </c>
      <c r="L4803" t="str">
        <f>_xlfn.XLOOKUP(datos_ventas[[#This Row],[Provincia]],Tabla2[Provincias],Tabla2[Comunidades],"no se encuentra")</f>
        <v>Comunidad de Madrid</v>
      </c>
      <c r="M4803" t="s">
        <v>19</v>
      </c>
      <c r="N4803">
        <v>1</v>
      </c>
    </row>
    <row r="4804" spans="1:14" x14ac:dyDescent="0.25">
      <c r="A4804">
        <v>5803</v>
      </c>
      <c r="B4804" s="1">
        <v>45956</v>
      </c>
      <c r="C4804" s="4">
        <f>MONTH(datos_ventas[[#This Row],[Fecha]])</f>
        <v>10</v>
      </c>
      <c r="D4804" s="4">
        <f>WEEKNUM(datos_ventas[[#This Row],[Fecha]],2)</f>
        <v>43</v>
      </c>
      <c r="E4804" t="s">
        <v>20</v>
      </c>
      <c r="F4804" t="s">
        <v>21</v>
      </c>
      <c r="G4804">
        <v>5</v>
      </c>
      <c r="H4804">
        <v>61841</v>
      </c>
      <c r="I4804">
        <v>923</v>
      </c>
      <c r="J4804" t="s">
        <v>31</v>
      </c>
      <c r="K4804" t="str">
        <f>_xlfn.XLOOKUP(datos_ventas[[#This Row],[Ciudad]],Tabla2[Ciudades],Tabla2[Provincias],"no se encuentra")</f>
        <v>Vizcaya</v>
      </c>
      <c r="L4804" t="str">
        <f>_xlfn.XLOOKUP(datos_ventas[[#This Row],[Provincia]],Tabla2[Provincias],Tabla2[Comunidades],"no se encuentra")</f>
        <v>País Vasco</v>
      </c>
      <c r="M4804" t="s">
        <v>28</v>
      </c>
      <c r="N4804">
        <v>2</v>
      </c>
    </row>
    <row r="4805" spans="1:14" x14ac:dyDescent="0.25">
      <c r="A4805">
        <v>5804</v>
      </c>
      <c r="B4805" s="1">
        <v>45825</v>
      </c>
      <c r="C4805" s="4">
        <f>MONTH(datos_ventas[[#This Row],[Fecha]])</f>
        <v>6</v>
      </c>
      <c r="D4805" s="4">
        <f>WEEKNUM(datos_ventas[[#This Row],[Fecha]],2)</f>
        <v>25</v>
      </c>
      <c r="E4805" t="s">
        <v>23</v>
      </c>
      <c r="F4805" t="s">
        <v>18</v>
      </c>
      <c r="G4805">
        <v>2</v>
      </c>
      <c r="H4805">
        <v>31876</v>
      </c>
      <c r="I4805">
        <v>152</v>
      </c>
      <c r="J4805" t="s">
        <v>27</v>
      </c>
      <c r="K4805" t="str">
        <f>_xlfn.XLOOKUP(datos_ventas[[#This Row],[Ciudad]],Tabla2[Ciudades],Tabla2[Provincias],"no se encuentra")</f>
        <v>Sevilla</v>
      </c>
      <c r="L4805" t="str">
        <f>_xlfn.XLOOKUP(datos_ventas[[#This Row],[Provincia]],Tabla2[Provincias],Tabla2[Comunidades],"no se encuentra")</f>
        <v>Andalucía</v>
      </c>
      <c r="M4805" t="s">
        <v>19</v>
      </c>
      <c r="N4805">
        <v>4</v>
      </c>
    </row>
    <row r="4806" spans="1:14" x14ac:dyDescent="0.25">
      <c r="A4806">
        <v>5805</v>
      </c>
      <c r="B4806" s="1">
        <v>45868</v>
      </c>
      <c r="C4806" s="4">
        <f>MONTH(datos_ventas[[#This Row],[Fecha]])</f>
        <v>7</v>
      </c>
      <c r="D4806" s="4">
        <f>WEEKNUM(datos_ventas[[#This Row],[Fecha]],2)</f>
        <v>31</v>
      </c>
      <c r="E4806" t="s">
        <v>26</v>
      </c>
      <c r="F4806" t="s">
        <v>18</v>
      </c>
      <c r="G4806">
        <v>4</v>
      </c>
      <c r="H4806">
        <v>10067</v>
      </c>
      <c r="I4806">
        <v>2509</v>
      </c>
      <c r="J4806" t="s">
        <v>22</v>
      </c>
      <c r="K4806" t="str">
        <f>_xlfn.XLOOKUP(datos_ventas[[#This Row],[Ciudad]],Tabla2[Ciudades],Tabla2[Provincias],"no se encuentra")</f>
        <v>Valencia</v>
      </c>
      <c r="L4806" t="str">
        <f>_xlfn.XLOOKUP(datos_ventas[[#This Row],[Provincia]],Tabla2[Provincias],Tabla2[Comunidades],"no se encuentra")</f>
        <v>Comunidad Valenciana</v>
      </c>
      <c r="M4806" t="s">
        <v>28</v>
      </c>
      <c r="N4806">
        <v>2</v>
      </c>
    </row>
    <row r="4807" spans="1:14" x14ac:dyDescent="0.25">
      <c r="A4807">
        <v>5806</v>
      </c>
      <c r="B4807" s="1">
        <v>46021</v>
      </c>
      <c r="C4807" s="4">
        <f>MONTH(datos_ventas[[#This Row],[Fecha]])</f>
        <v>12</v>
      </c>
      <c r="D4807" s="4">
        <f>WEEKNUM(datos_ventas[[#This Row],[Fecha]],2)</f>
        <v>53</v>
      </c>
      <c r="E4807" t="s">
        <v>16</v>
      </c>
      <c r="F4807" t="s">
        <v>11</v>
      </c>
      <c r="G4807">
        <v>2</v>
      </c>
      <c r="H4807">
        <v>50222</v>
      </c>
      <c r="I4807">
        <v>3329</v>
      </c>
      <c r="J4807" t="s">
        <v>27</v>
      </c>
      <c r="K4807" t="str">
        <f>_xlfn.XLOOKUP(datos_ventas[[#This Row],[Ciudad]],Tabla2[Ciudades],Tabla2[Provincias],"no se encuentra")</f>
        <v>Sevilla</v>
      </c>
      <c r="L4807" t="str">
        <f>_xlfn.XLOOKUP(datos_ventas[[#This Row],[Provincia]],Tabla2[Provincias],Tabla2[Comunidades],"no se encuentra")</f>
        <v>Andalucía</v>
      </c>
      <c r="M4807" t="s">
        <v>28</v>
      </c>
      <c r="N4807">
        <v>4</v>
      </c>
    </row>
    <row r="4808" spans="1:14" x14ac:dyDescent="0.25">
      <c r="A4808">
        <v>5807</v>
      </c>
      <c r="B4808" s="1">
        <v>45751</v>
      </c>
      <c r="C4808" s="4">
        <f>MONTH(datos_ventas[[#This Row],[Fecha]])</f>
        <v>4</v>
      </c>
      <c r="D4808" s="4">
        <f>WEEKNUM(datos_ventas[[#This Row],[Fecha]],2)</f>
        <v>14</v>
      </c>
      <c r="E4808" t="s">
        <v>10</v>
      </c>
      <c r="F4808" t="s">
        <v>11</v>
      </c>
      <c r="G4808">
        <v>4</v>
      </c>
      <c r="H4808">
        <v>14353</v>
      </c>
      <c r="I4808">
        <v>1608</v>
      </c>
      <c r="J4808" t="s">
        <v>27</v>
      </c>
      <c r="K4808" t="str">
        <f>_xlfn.XLOOKUP(datos_ventas[[#This Row],[Ciudad]],Tabla2[Ciudades],Tabla2[Provincias],"no se encuentra")</f>
        <v>Sevilla</v>
      </c>
      <c r="L4808" t="str">
        <f>_xlfn.XLOOKUP(datos_ventas[[#This Row],[Provincia]],Tabla2[Provincias],Tabla2[Comunidades],"no se encuentra")</f>
        <v>Andalucía</v>
      </c>
      <c r="M4808" t="s">
        <v>28</v>
      </c>
      <c r="N4808">
        <v>4</v>
      </c>
    </row>
    <row r="4809" spans="1:14" x14ac:dyDescent="0.25">
      <c r="A4809">
        <v>5808</v>
      </c>
      <c r="B4809" s="1">
        <v>45720</v>
      </c>
      <c r="C4809" s="4">
        <f>MONTH(datos_ventas[[#This Row],[Fecha]])</f>
        <v>3</v>
      </c>
      <c r="D4809" s="4">
        <f>WEEKNUM(datos_ventas[[#This Row],[Fecha]],2)</f>
        <v>10</v>
      </c>
      <c r="E4809" t="s">
        <v>16</v>
      </c>
      <c r="F4809" t="s">
        <v>11</v>
      </c>
      <c r="G4809">
        <v>1</v>
      </c>
      <c r="H4809">
        <v>72054</v>
      </c>
      <c r="I4809">
        <v>2849</v>
      </c>
      <c r="J4809" t="s">
        <v>12</v>
      </c>
      <c r="K4809" t="str">
        <f>_xlfn.XLOOKUP(datos_ventas[[#This Row],[Ciudad]],Tabla2[Ciudades],Tabla2[Provincias],"no se encuentra")</f>
        <v>Málaga</v>
      </c>
      <c r="L4809" t="str">
        <f>_xlfn.XLOOKUP(datos_ventas[[#This Row],[Provincia]],Tabla2[Provincias],Tabla2[Comunidades],"no se encuentra")</f>
        <v>Andalucía</v>
      </c>
      <c r="M4809" t="s">
        <v>15</v>
      </c>
      <c r="N4809">
        <v>5</v>
      </c>
    </row>
    <row r="4810" spans="1:14" x14ac:dyDescent="0.25">
      <c r="A4810">
        <v>5809</v>
      </c>
      <c r="B4810" s="1">
        <v>45823</v>
      </c>
      <c r="C4810" s="4">
        <f>MONTH(datos_ventas[[#This Row],[Fecha]])</f>
        <v>6</v>
      </c>
      <c r="D4810" s="4">
        <f>WEEKNUM(datos_ventas[[#This Row],[Fecha]],2)</f>
        <v>24</v>
      </c>
      <c r="E4810" t="s">
        <v>17</v>
      </c>
      <c r="F4810" t="s">
        <v>18</v>
      </c>
      <c r="G4810">
        <v>3</v>
      </c>
      <c r="H4810">
        <v>53053</v>
      </c>
      <c r="I4810">
        <v>2166</v>
      </c>
      <c r="J4810" t="s">
        <v>12</v>
      </c>
      <c r="K4810" t="str">
        <f>_xlfn.XLOOKUP(datos_ventas[[#This Row],[Ciudad]],Tabla2[Ciudades],Tabla2[Provincias],"no se encuentra")</f>
        <v>Málaga</v>
      </c>
      <c r="L4810" t="str">
        <f>_xlfn.XLOOKUP(datos_ventas[[#This Row],[Provincia]],Tabla2[Provincias],Tabla2[Comunidades],"no se encuentra")</f>
        <v>Andalucía</v>
      </c>
      <c r="M4810" t="s">
        <v>13</v>
      </c>
      <c r="N4810">
        <v>1</v>
      </c>
    </row>
    <row r="4811" spans="1:14" x14ac:dyDescent="0.25">
      <c r="A4811">
        <v>5810</v>
      </c>
      <c r="B4811" s="1">
        <v>45992</v>
      </c>
      <c r="C4811" s="4">
        <f>MONTH(datos_ventas[[#This Row],[Fecha]])</f>
        <v>12</v>
      </c>
      <c r="D4811" s="4">
        <f>WEEKNUM(datos_ventas[[#This Row],[Fecha]],2)</f>
        <v>49</v>
      </c>
      <c r="E4811" t="s">
        <v>10</v>
      </c>
      <c r="F4811" t="s">
        <v>11</v>
      </c>
      <c r="G4811">
        <v>3</v>
      </c>
      <c r="H4811">
        <v>84942</v>
      </c>
      <c r="I4811">
        <v>288</v>
      </c>
      <c r="J4811" t="s">
        <v>12</v>
      </c>
      <c r="K4811" t="str">
        <f>_xlfn.XLOOKUP(datos_ventas[[#This Row],[Ciudad]],Tabla2[Ciudades],Tabla2[Provincias],"no se encuentra")</f>
        <v>Málaga</v>
      </c>
      <c r="L4811" t="str">
        <f>_xlfn.XLOOKUP(datos_ventas[[#This Row],[Provincia]],Tabla2[Provincias],Tabla2[Comunidades],"no se encuentra")</f>
        <v>Andalucía</v>
      </c>
      <c r="M4811" t="s">
        <v>13</v>
      </c>
      <c r="N4811">
        <v>2</v>
      </c>
    </row>
    <row r="4812" spans="1:14" x14ac:dyDescent="0.25">
      <c r="A4812">
        <v>5811</v>
      </c>
      <c r="B4812" s="1">
        <v>45670</v>
      </c>
      <c r="C4812" s="4">
        <f>MONTH(datos_ventas[[#This Row],[Fecha]])</f>
        <v>1</v>
      </c>
      <c r="D4812" s="4">
        <f>WEEKNUM(datos_ventas[[#This Row],[Fecha]],2)</f>
        <v>3</v>
      </c>
      <c r="E4812" t="s">
        <v>17</v>
      </c>
      <c r="F4812" t="s">
        <v>18</v>
      </c>
      <c r="G4812">
        <v>5</v>
      </c>
      <c r="H4812">
        <v>58956</v>
      </c>
      <c r="I4812">
        <v>636</v>
      </c>
      <c r="J4812" t="s">
        <v>14</v>
      </c>
      <c r="K4812" t="str">
        <f>_xlfn.XLOOKUP(datos_ventas[[#This Row],[Ciudad]],Tabla2[Ciudades],Tabla2[Provincias],"no se encuentra")</f>
        <v>Madrid</v>
      </c>
      <c r="L4812" t="str">
        <f>_xlfn.XLOOKUP(datos_ventas[[#This Row],[Provincia]],Tabla2[Provincias],Tabla2[Comunidades],"no se encuentra")</f>
        <v>Comunidad de Madrid</v>
      </c>
      <c r="M4812" t="s">
        <v>19</v>
      </c>
      <c r="N4812">
        <v>1</v>
      </c>
    </row>
    <row r="4813" spans="1:14" x14ac:dyDescent="0.25">
      <c r="A4813">
        <v>5812</v>
      </c>
      <c r="B4813" s="1">
        <v>45681</v>
      </c>
      <c r="C4813" s="4">
        <f>MONTH(datos_ventas[[#This Row],[Fecha]])</f>
        <v>1</v>
      </c>
      <c r="D4813" s="4">
        <f>WEEKNUM(datos_ventas[[#This Row],[Fecha]],2)</f>
        <v>4</v>
      </c>
      <c r="E4813" t="s">
        <v>16</v>
      </c>
      <c r="F4813" t="s">
        <v>11</v>
      </c>
      <c r="G4813">
        <v>4</v>
      </c>
      <c r="H4813">
        <v>39185</v>
      </c>
      <c r="I4813">
        <v>2987</v>
      </c>
      <c r="J4813" t="s">
        <v>14</v>
      </c>
      <c r="K4813" t="str">
        <f>_xlfn.XLOOKUP(datos_ventas[[#This Row],[Ciudad]],Tabla2[Ciudades],Tabla2[Provincias],"no se encuentra")</f>
        <v>Madrid</v>
      </c>
      <c r="L4813" t="str">
        <f>_xlfn.XLOOKUP(datos_ventas[[#This Row],[Provincia]],Tabla2[Provincias],Tabla2[Comunidades],"no se encuentra")</f>
        <v>Comunidad de Madrid</v>
      </c>
      <c r="M4813" t="s">
        <v>13</v>
      </c>
      <c r="N4813">
        <v>2</v>
      </c>
    </row>
    <row r="4814" spans="1:14" x14ac:dyDescent="0.25">
      <c r="A4814">
        <v>5813</v>
      </c>
      <c r="B4814" s="1">
        <v>45920</v>
      </c>
      <c r="C4814" s="4">
        <f>MONTH(datos_ventas[[#This Row],[Fecha]])</f>
        <v>9</v>
      </c>
      <c r="D4814" s="4">
        <f>WEEKNUM(datos_ventas[[#This Row],[Fecha]],2)</f>
        <v>38</v>
      </c>
      <c r="E4814" t="s">
        <v>16</v>
      </c>
      <c r="F4814" t="s">
        <v>11</v>
      </c>
      <c r="G4814">
        <v>4</v>
      </c>
      <c r="H4814">
        <v>76832</v>
      </c>
      <c r="I4814">
        <v>480</v>
      </c>
      <c r="J4814" t="s">
        <v>14</v>
      </c>
      <c r="K4814" t="str">
        <f>_xlfn.XLOOKUP(datos_ventas[[#This Row],[Ciudad]],Tabla2[Ciudades],Tabla2[Provincias],"no se encuentra")</f>
        <v>Madrid</v>
      </c>
      <c r="L4814" t="str">
        <f>_xlfn.XLOOKUP(datos_ventas[[#This Row],[Provincia]],Tabla2[Provincias],Tabla2[Comunidades],"no se encuentra")</f>
        <v>Comunidad de Madrid</v>
      </c>
      <c r="M4814" t="s">
        <v>19</v>
      </c>
      <c r="N4814">
        <v>5</v>
      </c>
    </row>
    <row r="4815" spans="1:14" x14ac:dyDescent="0.25">
      <c r="A4815">
        <v>5814</v>
      </c>
      <c r="B4815" s="1">
        <v>45754</v>
      </c>
      <c r="C4815" s="4">
        <f>MONTH(datos_ventas[[#This Row],[Fecha]])</f>
        <v>4</v>
      </c>
      <c r="D4815" s="4">
        <f>WEEKNUM(datos_ventas[[#This Row],[Fecha]],2)</f>
        <v>15</v>
      </c>
      <c r="E4815" t="s">
        <v>24</v>
      </c>
      <c r="F4815" t="s">
        <v>25</v>
      </c>
      <c r="G4815">
        <v>3</v>
      </c>
      <c r="H4815">
        <v>43766</v>
      </c>
      <c r="I4815">
        <v>3444</v>
      </c>
      <c r="J4815" t="s">
        <v>12</v>
      </c>
      <c r="K4815" t="str">
        <f>_xlfn.XLOOKUP(datos_ventas[[#This Row],[Ciudad]],Tabla2[Ciudades],Tabla2[Provincias],"no se encuentra")</f>
        <v>Málaga</v>
      </c>
      <c r="L4815" t="str">
        <f>_xlfn.XLOOKUP(datos_ventas[[#This Row],[Provincia]],Tabla2[Provincias],Tabla2[Comunidades],"no se encuentra")</f>
        <v>Andalucía</v>
      </c>
      <c r="M4815" t="s">
        <v>15</v>
      </c>
      <c r="N4815">
        <v>2</v>
      </c>
    </row>
    <row r="4816" spans="1:14" x14ac:dyDescent="0.25">
      <c r="A4816">
        <v>5815</v>
      </c>
      <c r="B4816" s="1">
        <v>45736</v>
      </c>
      <c r="C4816" s="4">
        <f>MONTH(datos_ventas[[#This Row],[Fecha]])</f>
        <v>3</v>
      </c>
      <c r="D4816" s="4">
        <f>WEEKNUM(datos_ventas[[#This Row],[Fecha]],2)</f>
        <v>12</v>
      </c>
      <c r="E4816" t="s">
        <v>20</v>
      </c>
      <c r="F4816" t="s">
        <v>21</v>
      </c>
      <c r="G4816">
        <v>5</v>
      </c>
      <c r="H4816">
        <v>39253</v>
      </c>
      <c r="I4816">
        <v>3135</v>
      </c>
      <c r="J4816" t="s">
        <v>22</v>
      </c>
      <c r="K4816" t="str">
        <f>_xlfn.XLOOKUP(datos_ventas[[#This Row],[Ciudad]],Tabla2[Ciudades],Tabla2[Provincias],"no se encuentra")</f>
        <v>Valencia</v>
      </c>
      <c r="L4816" t="str">
        <f>_xlfn.XLOOKUP(datos_ventas[[#This Row],[Provincia]],Tabla2[Provincias],Tabla2[Comunidades],"no se encuentra")</f>
        <v>Comunidad Valenciana</v>
      </c>
      <c r="M4816" t="s">
        <v>19</v>
      </c>
      <c r="N4816">
        <v>5</v>
      </c>
    </row>
    <row r="4817" spans="1:14" x14ac:dyDescent="0.25">
      <c r="A4817">
        <v>5816</v>
      </c>
      <c r="B4817" s="1">
        <v>45681</v>
      </c>
      <c r="C4817" s="4">
        <f>MONTH(datos_ventas[[#This Row],[Fecha]])</f>
        <v>1</v>
      </c>
      <c r="D4817" s="4">
        <f>WEEKNUM(datos_ventas[[#This Row],[Fecha]],2)</f>
        <v>4</v>
      </c>
      <c r="E4817" t="s">
        <v>23</v>
      </c>
      <c r="F4817" t="s">
        <v>18</v>
      </c>
      <c r="G4817">
        <v>1</v>
      </c>
      <c r="H4817">
        <v>63339</v>
      </c>
      <c r="I4817">
        <v>4709</v>
      </c>
      <c r="J4817" t="s">
        <v>12</v>
      </c>
      <c r="K4817" t="str">
        <f>_xlfn.XLOOKUP(datos_ventas[[#This Row],[Ciudad]],Tabla2[Ciudades],Tabla2[Provincias],"no se encuentra")</f>
        <v>Málaga</v>
      </c>
      <c r="L4817" t="str">
        <f>_xlfn.XLOOKUP(datos_ventas[[#This Row],[Provincia]],Tabla2[Provincias],Tabla2[Comunidades],"no se encuentra")</f>
        <v>Andalucía</v>
      </c>
      <c r="M4817" t="s">
        <v>19</v>
      </c>
      <c r="N4817">
        <v>2</v>
      </c>
    </row>
    <row r="4818" spans="1:14" x14ac:dyDescent="0.25">
      <c r="A4818">
        <v>5817</v>
      </c>
      <c r="B4818" s="1">
        <v>45881</v>
      </c>
      <c r="C4818" s="4">
        <f>MONTH(datos_ventas[[#This Row],[Fecha]])</f>
        <v>8</v>
      </c>
      <c r="D4818" s="4">
        <f>WEEKNUM(datos_ventas[[#This Row],[Fecha]],2)</f>
        <v>33</v>
      </c>
      <c r="E4818" t="s">
        <v>23</v>
      </c>
      <c r="F4818" t="s">
        <v>18</v>
      </c>
      <c r="G4818">
        <v>1</v>
      </c>
      <c r="H4818">
        <v>34141</v>
      </c>
      <c r="I4818">
        <v>878</v>
      </c>
      <c r="J4818" t="s">
        <v>14</v>
      </c>
      <c r="K4818" t="str">
        <f>_xlfn.XLOOKUP(datos_ventas[[#This Row],[Ciudad]],Tabla2[Ciudades],Tabla2[Provincias],"no se encuentra")</f>
        <v>Madrid</v>
      </c>
      <c r="L4818" t="str">
        <f>_xlfn.XLOOKUP(datos_ventas[[#This Row],[Provincia]],Tabla2[Provincias],Tabla2[Comunidades],"no se encuentra")</f>
        <v>Comunidad de Madrid</v>
      </c>
      <c r="M4818" t="s">
        <v>28</v>
      </c>
      <c r="N4818">
        <v>2</v>
      </c>
    </row>
    <row r="4819" spans="1:14" x14ac:dyDescent="0.25">
      <c r="A4819">
        <v>5818</v>
      </c>
      <c r="B4819" s="1">
        <v>45934</v>
      </c>
      <c r="C4819" s="4">
        <f>MONTH(datos_ventas[[#This Row],[Fecha]])</f>
        <v>10</v>
      </c>
      <c r="D4819" s="4">
        <f>WEEKNUM(datos_ventas[[#This Row],[Fecha]],2)</f>
        <v>40</v>
      </c>
      <c r="E4819" t="s">
        <v>29</v>
      </c>
      <c r="F4819" t="s">
        <v>30</v>
      </c>
      <c r="G4819">
        <v>5</v>
      </c>
      <c r="H4819">
        <v>76783</v>
      </c>
      <c r="I4819">
        <v>2425</v>
      </c>
      <c r="J4819" t="s">
        <v>22</v>
      </c>
      <c r="K4819" t="str">
        <f>_xlfn.XLOOKUP(datos_ventas[[#This Row],[Ciudad]],Tabla2[Ciudades],Tabla2[Provincias],"no se encuentra")</f>
        <v>Valencia</v>
      </c>
      <c r="L4819" t="str">
        <f>_xlfn.XLOOKUP(datos_ventas[[#This Row],[Provincia]],Tabla2[Provincias],Tabla2[Comunidades],"no se encuentra")</f>
        <v>Comunidad Valenciana</v>
      </c>
      <c r="M4819" t="s">
        <v>15</v>
      </c>
      <c r="N4819">
        <v>4</v>
      </c>
    </row>
    <row r="4820" spans="1:14" x14ac:dyDescent="0.25">
      <c r="A4820">
        <v>5819</v>
      </c>
      <c r="B4820" s="1">
        <v>45961</v>
      </c>
      <c r="C4820" s="4">
        <f>MONTH(datos_ventas[[#This Row],[Fecha]])</f>
        <v>10</v>
      </c>
      <c r="D4820" s="4">
        <f>WEEKNUM(datos_ventas[[#This Row],[Fecha]],2)</f>
        <v>44</v>
      </c>
      <c r="E4820" t="s">
        <v>17</v>
      </c>
      <c r="F4820" t="s">
        <v>18</v>
      </c>
      <c r="G4820">
        <v>5</v>
      </c>
      <c r="H4820">
        <v>9778</v>
      </c>
      <c r="I4820">
        <v>568</v>
      </c>
      <c r="J4820" t="s">
        <v>14</v>
      </c>
      <c r="K4820" t="str">
        <f>_xlfn.XLOOKUP(datos_ventas[[#This Row],[Ciudad]],Tabla2[Ciudades],Tabla2[Provincias],"no se encuentra")</f>
        <v>Madrid</v>
      </c>
      <c r="L4820" t="str">
        <f>_xlfn.XLOOKUP(datos_ventas[[#This Row],[Provincia]],Tabla2[Provincias],Tabla2[Comunidades],"no se encuentra")</f>
        <v>Comunidad de Madrid</v>
      </c>
      <c r="M4820" t="s">
        <v>19</v>
      </c>
      <c r="N4820">
        <v>1</v>
      </c>
    </row>
    <row r="4821" spans="1:14" x14ac:dyDescent="0.25">
      <c r="A4821">
        <v>5820</v>
      </c>
      <c r="B4821" s="1">
        <v>45928</v>
      </c>
      <c r="C4821" s="4">
        <f>MONTH(datos_ventas[[#This Row],[Fecha]])</f>
        <v>9</v>
      </c>
      <c r="D4821" s="4">
        <f>WEEKNUM(datos_ventas[[#This Row],[Fecha]],2)</f>
        <v>39</v>
      </c>
      <c r="E4821" t="s">
        <v>16</v>
      </c>
      <c r="F4821" t="s">
        <v>11</v>
      </c>
      <c r="G4821">
        <v>1</v>
      </c>
      <c r="H4821">
        <v>20834</v>
      </c>
      <c r="I4821">
        <v>3305</v>
      </c>
      <c r="J4821" t="s">
        <v>22</v>
      </c>
      <c r="K4821" t="str">
        <f>_xlfn.XLOOKUP(datos_ventas[[#This Row],[Ciudad]],Tabla2[Ciudades],Tabla2[Provincias],"no se encuentra")</f>
        <v>Valencia</v>
      </c>
      <c r="L4821" t="str">
        <f>_xlfn.XLOOKUP(datos_ventas[[#This Row],[Provincia]],Tabla2[Provincias],Tabla2[Comunidades],"no se encuentra")</f>
        <v>Comunidad Valenciana</v>
      </c>
      <c r="M4821" t="s">
        <v>13</v>
      </c>
      <c r="N4821">
        <v>4</v>
      </c>
    </row>
    <row r="4822" spans="1:14" x14ac:dyDescent="0.25">
      <c r="A4822">
        <v>5821</v>
      </c>
      <c r="B4822" s="1">
        <v>45803</v>
      </c>
      <c r="C4822" s="4">
        <f>MONTH(datos_ventas[[#This Row],[Fecha]])</f>
        <v>5</v>
      </c>
      <c r="D4822" s="4">
        <f>WEEKNUM(datos_ventas[[#This Row],[Fecha]],2)</f>
        <v>22</v>
      </c>
      <c r="E4822" t="s">
        <v>10</v>
      </c>
      <c r="F4822" t="s">
        <v>11</v>
      </c>
      <c r="G4822">
        <v>2</v>
      </c>
      <c r="H4822">
        <v>81889</v>
      </c>
      <c r="I4822">
        <v>3711</v>
      </c>
      <c r="J4822" t="s">
        <v>22</v>
      </c>
      <c r="K4822" t="str">
        <f>_xlfn.XLOOKUP(datos_ventas[[#This Row],[Ciudad]],Tabla2[Ciudades],Tabla2[Provincias],"no se encuentra")</f>
        <v>Valencia</v>
      </c>
      <c r="L4822" t="str">
        <f>_xlfn.XLOOKUP(datos_ventas[[#This Row],[Provincia]],Tabla2[Provincias],Tabla2[Comunidades],"no se encuentra")</f>
        <v>Comunidad Valenciana</v>
      </c>
      <c r="M4822" t="s">
        <v>15</v>
      </c>
      <c r="N4822">
        <v>2</v>
      </c>
    </row>
    <row r="4823" spans="1:14" x14ac:dyDescent="0.25">
      <c r="A4823">
        <v>5822</v>
      </c>
      <c r="B4823" s="1">
        <v>45801</v>
      </c>
      <c r="C4823" s="4">
        <f>MONTH(datos_ventas[[#This Row],[Fecha]])</f>
        <v>5</v>
      </c>
      <c r="D4823" s="4">
        <f>WEEKNUM(datos_ventas[[#This Row],[Fecha]],2)</f>
        <v>21</v>
      </c>
      <c r="E4823" t="s">
        <v>20</v>
      </c>
      <c r="F4823" t="s">
        <v>21</v>
      </c>
      <c r="G4823">
        <v>3</v>
      </c>
      <c r="H4823">
        <v>27871</v>
      </c>
      <c r="I4823">
        <v>3368</v>
      </c>
      <c r="J4823" t="s">
        <v>14</v>
      </c>
      <c r="K4823" t="str">
        <f>_xlfn.XLOOKUP(datos_ventas[[#This Row],[Ciudad]],Tabla2[Ciudades],Tabla2[Provincias],"no se encuentra")</f>
        <v>Madrid</v>
      </c>
      <c r="L4823" t="str">
        <f>_xlfn.XLOOKUP(datos_ventas[[#This Row],[Provincia]],Tabla2[Provincias],Tabla2[Comunidades],"no se encuentra")</f>
        <v>Comunidad de Madrid</v>
      </c>
      <c r="M4823" t="s">
        <v>28</v>
      </c>
      <c r="N4823">
        <v>1</v>
      </c>
    </row>
    <row r="4824" spans="1:14" x14ac:dyDescent="0.25">
      <c r="A4824">
        <v>5823</v>
      </c>
      <c r="B4824" s="1">
        <v>45857</v>
      </c>
      <c r="C4824" s="4">
        <f>MONTH(datos_ventas[[#This Row],[Fecha]])</f>
        <v>7</v>
      </c>
      <c r="D4824" s="4">
        <f>WEEKNUM(datos_ventas[[#This Row],[Fecha]],2)</f>
        <v>29</v>
      </c>
      <c r="E4824" t="s">
        <v>16</v>
      </c>
      <c r="F4824" t="s">
        <v>11</v>
      </c>
      <c r="G4824">
        <v>3</v>
      </c>
      <c r="H4824">
        <v>4865</v>
      </c>
      <c r="I4824">
        <v>1526</v>
      </c>
      <c r="J4824" t="s">
        <v>14</v>
      </c>
      <c r="K4824" t="str">
        <f>_xlfn.XLOOKUP(datos_ventas[[#This Row],[Ciudad]],Tabla2[Ciudades],Tabla2[Provincias],"no se encuentra")</f>
        <v>Madrid</v>
      </c>
      <c r="L4824" t="str">
        <f>_xlfn.XLOOKUP(datos_ventas[[#This Row],[Provincia]],Tabla2[Provincias],Tabla2[Comunidades],"no se encuentra")</f>
        <v>Comunidad de Madrid</v>
      </c>
      <c r="M4824" t="s">
        <v>15</v>
      </c>
      <c r="N4824">
        <v>4</v>
      </c>
    </row>
    <row r="4825" spans="1:14" x14ac:dyDescent="0.25">
      <c r="A4825">
        <v>5824</v>
      </c>
      <c r="B4825" s="1">
        <v>45758</v>
      </c>
      <c r="C4825" s="4">
        <f>MONTH(datos_ventas[[#This Row],[Fecha]])</f>
        <v>4</v>
      </c>
      <c r="D4825" s="4">
        <f>WEEKNUM(datos_ventas[[#This Row],[Fecha]],2)</f>
        <v>15</v>
      </c>
      <c r="E4825" t="s">
        <v>20</v>
      </c>
      <c r="F4825" t="s">
        <v>21</v>
      </c>
      <c r="G4825">
        <v>3</v>
      </c>
      <c r="H4825">
        <v>92873</v>
      </c>
      <c r="I4825">
        <v>1284</v>
      </c>
      <c r="J4825" t="s">
        <v>31</v>
      </c>
      <c r="K4825" t="str">
        <f>_xlfn.XLOOKUP(datos_ventas[[#This Row],[Ciudad]],Tabla2[Ciudades],Tabla2[Provincias],"no se encuentra")</f>
        <v>Vizcaya</v>
      </c>
      <c r="L4825" t="str">
        <f>_xlfn.XLOOKUP(datos_ventas[[#This Row],[Provincia]],Tabla2[Provincias],Tabla2[Comunidades],"no se encuentra")</f>
        <v>País Vasco</v>
      </c>
      <c r="M4825" t="s">
        <v>19</v>
      </c>
      <c r="N4825">
        <v>3</v>
      </c>
    </row>
    <row r="4826" spans="1:14" x14ac:dyDescent="0.25">
      <c r="A4826">
        <v>5825</v>
      </c>
      <c r="B4826" s="1">
        <v>45858</v>
      </c>
      <c r="C4826" s="4">
        <f>MONTH(datos_ventas[[#This Row],[Fecha]])</f>
        <v>7</v>
      </c>
      <c r="D4826" s="4">
        <f>WEEKNUM(datos_ventas[[#This Row],[Fecha]],2)</f>
        <v>29</v>
      </c>
      <c r="E4826" t="s">
        <v>16</v>
      </c>
      <c r="F4826" t="s">
        <v>11</v>
      </c>
      <c r="G4826">
        <v>1</v>
      </c>
      <c r="H4826">
        <v>106662</v>
      </c>
      <c r="I4826">
        <v>641</v>
      </c>
      <c r="J4826" t="s">
        <v>12</v>
      </c>
      <c r="K4826" t="str">
        <f>_xlfn.XLOOKUP(datos_ventas[[#This Row],[Ciudad]],Tabla2[Ciudades],Tabla2[Provincias],"no se encuentra")</f>
        <v>Málaga</v>
      </c>
      <c r="L4826" t="str">
        <f>_xlfn.XLOOKUP(datos_ventas[[#This Row],[Provincia]],Tabla2[Provincias],Tabla2[Comunidades],"no se encuentra")</f>
        <v>Andalucía</v>
      </c>
      <c r="M4826" t="s">
        <v>19</v>
      </c>
      <c r="N4826">
        <v>2</v>
      </c>
    </row>
    <row r="4827" spans="1:14" x14ac:dyDescent="0.25">
      <c r="A4827">
        <v>5826</v>
      </c>
      <c r="B4827" s="1">
        <v>45888</v>
      </c>
      <c r="C4827" s="4">
        <f>MONTH(datos_ventas[[#This Row],[Fecha]])</f>
        <v>8</v>
      </c>
      <c r="D4827" s="4">
        <f>WEEKNUM(datos_ventas[[#This Row],[Fecha]],2)</f>
        <v>34</v>
      </c>
      <c r="E4827" t="s">
        <v>26</v>
      </c>
      <c r="F4827" t="s">
        <v>18</v>
      </c>
      <c r="G4827">
        <v>1</v>
      </c>
      <c r="H4827">
        <v>33211</v>
      </c>
      <c r="I4827">
        <v>1652</v>
      </c>
      <c r="J4827" t="s">
        <v>12</v>
      </c>
      <c r="K4827" t="str">
        <f>_xlfn.XLOOKUP(datos_ventas[[#This Row],[Ciudad]],Tabla2[Ciudades],Tabla2[Provincias],"no se encuentra")</f>
        <v>Málaga</v>
      </c>
      <c r="L4827" t="str">
        <f>_xlfn.XLOOKUP(datos_ventas[[#This Row],[Provincia]],Tabla2[Provincias],Tabla2[Comunidades],"no se encuentra")</f>
        <v>Andalucía</v>
      </c>
      <c r="M4827" t="s">
        <v>13</v>
      </c>
      <c r="N4827">
        <v>3</v>
      </c>
    </row>
    <row r="4828" spans="1:14" x14ac:dyDescent="0.25">
      <c r="A4828">
        <v>5827</v>
      </c>
      <c r="B4828" s="1">
        <v>45947</v>
      </c>
      <c r="C4828" s="4">
        <f>MONTH(datos_ventas[[#This Row],[Fecha]])</f>
        <v>10</v>
      </c>
      <c r="D4828" s="4">
        <f>WEEKNUM(datos_ventas[[#This Row],[Fecha]],2)</f>
        <v>42</v>
      </c>
      <c r="E4828" t="s">
        <v>24</v>
      </c>
      <c r="F4828" t="s">
        <v>25</v>
      </c>
      <c r="G4828">
        <v>2</v>
      </c>
      <c r="H4828">
        <v>65324</v>
      </c>
      <c r="I4828">
        <v>4509</v>
      </c>
      <c r="J4828" t="s">
        <v>22</v>
      </c>
      <c r="K4828" t="str">
        <f>_xlfn.XLOOKUP(datos_ventas[[#This Row],[Ciudad]],Tabla2[Ciudades],Tabla2[Provincias],"no se encuentra")</f>
        <v>Valencia</v>
      </c>
      <c r="L4828" t="str">
        <f>_xlfn.XLOOKUP(datos_ventas[[#This Row],[Provincia]],Tabla2[Provincias],Tabla2[Comunidades],"no se encuentra")</f>
        <v>Comunidad Valenciana</v>
      </c>
      <c r="M4828" t="s">
        <v>15</v>
      </c>
      <c r="N4828">
        <v>3</v>
      </c>
    </row>
    <row r="4829" spans="1:14" x14ac:dyDescent="0.25">
      <c r="A4829">
        <v>5828</v>
      </c>
      <c r="B4829" s="1">
        <v>45711</v>
      </c>
      <c r="C4829" s="4">
        <f>MONTH(datos_ventas[[#This Row],[Fecha]])</f>
        <v>2</v>
      </c>
      <c r="D4829" s="4">
        <f>WEEKNUM(datos_ventas[[#This Row],[Fecha]],2)</f>
        <v>8</v>
      </c>
      <c r="E4829" t="s">
        <v>24</v>
      </c>
      <c r="F4829" t="s">
        <v>25</v>
      </c>
      <c r="G4829">
        <v>5</v>
      </c>
      <c r="H4829">
        <v>94015</v>
      </c>
      <c r="I4829">
        <v>4156</v>
      </c>
      <c r="J4829" t="s">
        <v>14</v>
      </c>
      <c r="K4829" t="str">
        <f>_xlfn.XLOOKUP(datos_ventas[[#This Row],[Ciudad]],Tabla2[Ciudades],Tabla2[Provincias],"no se encuentra")</f>
        <v>Madrid</v>
      </c>
      <c r="L4829" t="str">
        <f>_xlfn.XLOOKUP(datos_ventas[[#This Row],[Provincia]],Tabla2[Provincias],Tabla2[Comunidades],"no se encuentra")</f>
        <v>Comunidad de Madrid</v>
      </c>
      <c r="M4829" t="s">
        <v>19</v>
      </c>
      <c r="N4829">
        <v>5</v>
      </c>
    </row>
    <row r="4830" spans="1:14" x14ac:dyDescent="0.25">
      <c r="A4830">
        <v>5829</v>
      </c>
      <c r="B4830" s="1">
        <v>45761</v>
      </c>
      <c r="C4830" s="4">
        <f>MONTH(datos_ventas[[#This Row],[Fecha]])</f>
        <v>4</v>
      </c>
      <c r="D4830" s="4">
        <f>WEEKNUM(datos_ventas[[#This Row],[Fecha]],2)</f>
        <v>16</v>
      </c>
      <c r="E4830" t="s">
        <v>23</v>
      </c>
      <c r="F4830" t="s">
        <v>18</v>
      </c>
      <c r="G4830">
        <v>5</v>
      </c>
      <c r="H4830">
        <v>77644</v>
      </c>
      <c r="I4830">
        <v>2113</v>
      </c>
      <c r="J4830" t="s">
        <v>32</v>
      </c>
      <c r="K4830" t="str">
        <f>_xlfn.XLOOKUP(datos_ventas[[#This Row],[Ciudad]],Tabla2[Ciudades],Tabla2[Provincias],"no se encuentra")</f>
        <v>Barcelona</v>
      </c>
      <c r="L4830" t="str">
        <f>_xlfn.XLOOKUP(datos_ventas[[#This Row],[Provincia]],Tabla2[Provincias],Tabla2[Comunidades],"no se encuentra")</f>
        <v>Cataluña</v>
      </c>
      <c r="M4830" t="s">
        <v>15</v>
      </c>
      <c r="N4830">
        <v>4</v>
      </c>
    </row>
    <row r="4831" spans="1:14" x14ac:dyDescent="0.25">
      <c r="A4831">
        <v>5830</v>
      </c>
      <c r="B4831" s="1">
        <v>45679</v>
      </c>
      <c r="C4831" s="4">
        <f>MONTH(datos_ventas[[#This Row],[Fecha]])</f>
        <v>1</v>
      </c>
      <c r="D4831" s="4">
        <f>WEEKNUM(datos_ventas[[#This Row],[Fecha]],2)</f>
        <v>4</v>
      </c>
      <c r="E4831" t="s">
        <v>26</v>
      </c>
      <c r="F4831" t="s">
        <v>18</v>
      </c>
      <c r="G4831">
        <v>3</v>
      </c>
      <c r="H4831">
        <v>112676</v>
      </c>
      <c r="I4831">
        <v>2313</v>
      </c>
      <c r="J4831" t="s">
        <v>27</v>
      </c>
      <c r="K4831" t="str">
        <f>_xlfn.XLOOKUP(datos_ventas[[#This Row],[Ciudad]],Tabla2[Ciudades],Tabla2[Provincias],"no se encuentra")</f>
        <v>Sevilla</v>
      </c>
      <c r="L4831" t="str">
        <f>_xlfn.XLOOKUP(datos_ventas[[#This Row],[Provincia]],Tabla2[Provincias],Tabla2[Comunidades],"no se encuentra")</f>
        <v>Andalucía</v>
      </c>
      <c r="M4831" t="s">
        <v>19</v>
      </c>
      <c r="N4831">
        <v>1</v>
      </c>
    </row>
    <row r="4832" spans="1:14" x14ac:dyDescent="0.25">
      <c r="A4832">
        <v>5831</v>
      </c>
      <c r="B4832" s="1">
        <v>45999</v>
      </c>
      <c r="C4832" s="4">
        <f>MONTH(datos_ventas[[#This Row],[Fecha]])</f>
        <v>12</v>
      </c>
      <c r="D4832" s="4">
        <f>WEEKNUM(datos_ventas[[#This Row],[Fecha]],2)</f>
        <v>50</v>
      </c>
      <c r="E4832" t="s">
        <v>20</v>
      </c>
      <c r="F4832" t="s">
        <v>21</v>
      </c>
      <c r="G4832">
        <v>1</v>
      </c>
      <c r="H4832">
        <v>22077</v>
      </c>
      <c r="I4832">
        <v>4475</v>
      </c>
      <c r="J4832" t="s">
        <v>22</v>
      </c>
      <c r="K4832" t="str">
        <f>_xlfn.XLOOKUP(datos_ventas[[#This Row],[Ciudad]],Tabla2[Ciudades],Tabla2[Provincias],"no se encuentra")</f>
        <v>Valencia</v>
      </c>
      <c r="L4832" t="str">
        <f>_xlfn.XLOOKUP(datos_ventas[[#This Row],[Provincia]],Tabla2[Provincias],Tabla2[Comunidades],"no se encuentra")</f>
        <v>Comunidad Valenciana</v>
      </c>
      <c r="M4832" t="s">
        <v>15</v>
      </c>
      <c r="N4832">
        <v>2</v>
      </c>
    </row>
    <row r="4833" spans="1:14" x14ac:dyDescent="0.25">
      <c r="A4833">
        <v>5832</v>
      </c>
      <c r="B4833" s="1">
        <v>45995</v>
      </c>
      <c r="C4833" s="4">
        <f>MONTH(datos_ventas[[#This Row],[Fecha]])</f>
        <v>12</v>
      </c>
      <c r="D4833" s="4">
        <f>WEEKNUM(datos_ventas[[#This Row],[Fecha]],2)</f>
        <v>49</v>
      </c>
      <c r="E4833" t="s">
        <v>16</v>
      </c>
      <c r="F4833" t="s">
        <v>11</v>
      </c>
      <c r="G4833">
        <v>2</v>
      </c>
      <c r="H4833">
        <v>20495</v>
      </c>
      <c r="I4833">
        <v>4821</v>
      </c>
      <c r="J4833" t="s">
        <v>12</v>
      </c>
      <c r="K4833" t="str">
        <f>_xlfn.XLOOKUP(datos_ventas[[#This Row],[Ciudad]],Tabla2[Ciudades],Tabla2[Provincias],"no se encuentra")</f>
        <v>Málaga</v>
      </c>
      <c r="L4833" t="str">
        <f>_xlfn.XLOOKUP(datos_ventas[[#This Row],[Provincia]],Tabla2[Provincias],Tabla2[Comunidades],"no se encuentra")</f>
        <v>Andalucía</v>
      </c>
      <c r="M4833" t="s">
        <v>13</v>
      </c>
      <c r="N4833">
        <v>2</v>
      </c>
    </row>
    <row r="4834" spans="1:14" x14ac:dyDescent="0.25">
      <c r="A4834">
        <v>5833</v>
      </c>
      <c r="B4834" s="1">
        <v>45822</v>
      </c>
      <c r="C4834" s="4">
        <f>MONTH(datos_ventas[[#This Row],[Fecha]])</f>
        <v>6</v>
      </c>
      <c r="D4834" s="4">
        <f>WEEKNUM(datos_ventas[[#This Row],[Fecha]],2)</f>
        <v>24</v>
      </c>
      <c r="E4834" t="s">
        <v>10</v>
      </c>
      <c r="F4834" t="s">
        <v>11</v>
      </c>
      <c r="G4834">
        <v>3</v>
      </c>
      <c r="H4834">
        <v>94622</v>
      </c>
      <c r="I4834">
        <v>3473</v>
      </c>
      <c r="J4834" t="s">
        <v>22</v>
      </c>
      <c r="K4834" t="str">
        <f>_xlfn.XLOOKUP(datos_ventas[[#This Row],[Ciudad]],Tabla2[Ciudades],Tabla2[Provincias],"no se encuentra")</f>
        <v>Valencia</v>
      </c>
      <c r="L4834" t="str">
        <f>_xlfn.XLOOKUP(datos_ventas[[#This Row],[Provincia]],Tabla2[Provincias],Tabla2[Comunidades],"no se encuentra")</f>
        <v>Comunidad Valenciana</v>
      </c>
      <c r="M4834" t="s">
        <v>19</v>
      </c>
      <c r="N4834">
        <v>3</v>
      </c>
    </row>
    <row r="4835" spans="1:14" x14ac:dyDescent="0.25">
      <c r="A4835">
        <v>5834</v>
      </c>
      <c r="B4835" s="1">
        <v>45844</v>
      </c>
      <c r="C4835" s="4">
        <f>MONTH(datos_ventas[[#This Row],[Fecha]])</f>
        <v>7</v>
      </c>
      <c r="D4835" s="4">
        <f>WEEKNUM(datos_ventas[[#This Row],[Fecha]],2)</f>
        <v>27</v>
      </c>
      <c r="E4835" t="s">
        <v>24</v>
      </c>
      <c r="F4835" t="s">
        <v>25</v>
      </c>
      <c r="G4835">
        <v>5</v>
      </c>
      <c r="H4835">
        <v>41154</v>
      </c>
      <c r="I4835">
        <v>2082</v>
      </c>
      <c r="J4835" t="s">
        <v>31</v>
      </c>
      <c r="K4835" t="str">
        <f>_xlfn.XLOOKUP(datos_ventas[[#This Row],[Ciudad]],Tabla2[Ciudades],Tabla2[Provincias],"no se encuentra")</f>
        <v>Vizcaya</v>
      </c>
      <c r="L4835" t="str">
        <f>_xlfn.XLOOKUP(datos_ventas[[#This Row],[Provincia]],Tabla2[Provincias],Tabla2[Comunidades],"no se encuentra")</f>
        <v>País Vasco</v>
      </c>
      <c r="M4835" t="s">
        <v>28</v>
      </c>
      <c r="N4835">
        <v>4</v>
      </c>
    </row>
    <row r="4836" spans="1:14" x14ac:dyDescent="0.25">
      <c r="A4836">
        <v>5835</v>
      </c>
      <c r="B4836" s="1">
        <v>46022</v>
      </c>
      <c r="C4836" s="4">
        <f>MONTH(datos_ventas[[#This Row],[Fecha]])</f>
        <v>12</v>
      </c>
      <c r="D4836" s="4">
        <f>WEEKNUM(datos_ventas[[#This Row],[Fecha]],2)</f>
        <v>53</v>
      </c>
      <c r="E4836" t="s">
        <v>16</v>
      </c>
      <c r="F4836" t="s">
        <v>11</v>
      </c>
      <c r="G4836">
        <v>3</v>
      </c>
      <c r="H4836">
        <v>52921</v>
      </c>
      <c r="I4836">
        <v>2204</v>
      </c>
      <c r="J4836" t="s">
        <v>31</v>
      </c>
      <c r="K4836" t="str">
        <f>_xlfn.XLOOKUP(datos_ventas[[#This Row],[Ciudad]],Tabla2[Ciudades],Tabla2[Provincias],"no se encuentra")</f>
        <v>Vizcaya</v>
      </c>
      <c r="L4836" t="str">
        <f>_xlfn.XLOOKUP(datos_ventas[[#This Row],[Provincia]],Tabla2[Provincias],Tabla2[Comunidades],"no se encuentra")</f>
        <v>País Vasco</v>
      </c>
      <c r="M4836" t="s">
        <v>28</v>
      </c>
      <c r="N4836">
        <v>2</v>
      </c>
    </row>
    <row r="4837" spans="1:14" x14ac:dyDescent="0.25">
      <c r="A4837">
        <v>5836</v>
      </c>
      <c r="B4837" s="1">
        <v>45871</v>
      </c>
      <c r="C4837" s="4">
        <f>MONTH(datos_ventas[[#This Row],[Fecha]])</f>
        <v>8</v>
      </c>
      <c r="D4837" s="4">
        <f>WEEKNUM(datos_ventas[[#This Row],[Fecha]],2)</f>
        <v>31</v>
      </c>
      <c r="E4837" t="s">
        <v>24</v>
      </c>
      <c r="F4837" t="s">
        <v>25</v>
      </c>
      <c r="G4837">
        <v>3</v>
      </c>
      <c r="H4837">
        <v>112316</v>
      </c>
      <c r="I4837">
        <v>4914</v>
      </c>
      <c r="J4837" t="s">
        <v>22</v>
      </c>
      <c r="K4837" t="str">
        <f>_xlfn.XLOOKUP(datos_ventas[[#This Row],[Ciudad]],Tabla2[Ciudades],Tabla2[Provincias],"no se encuentra")</f>
        <v>Valencia</v>
      </c>
      <c r="L4837" t="str">
        <f>_xlfn.XLOOKUP(datos_ventas[[#This Row],[Provincia]],Tabla2[Provincias],Tabla2[Comunidades],"no se encuentra")</f>
        <v>Comunidad Valenciana</v>
      </c>
      <c r="M4837" t="s">
        <v>28</v>
      </c>
      <c r="N4837">
        <v>3</v>
      </c>
    </row>
    <row r="4838" spans="1:14" x14ac:dyDescent="0.25">
      <c r="A4838">
        <v>5837</v>
      </c>
      <c r="B4838" s="1">
        <v>45829</v>
      </c>
      <c r="C4838" s="4">
        <f>MONTH(datos_ventas[[#This Row],[Fecha]])</f>
        <v>6</v>
      </c>
      <c r="D4838" s="4">
        <f>WEEKNUM(datos_ventas[[#This Row],[Fecha]],2)</f>
        <v>25</v>
      </c>
      <c r="E4838" t="s">
        <v>20</v>
      </c>
      <c r="F4838" t="s">
        <v>21</v>
      </c>
      <c r="G4838">
        <v>3</v>
      </c>
      <c r="H4838">
        <v>100284</v>
      </c>
      <c r="I4838">
        <v>2767</v>
      </c>
      <c r="J4838" t="s">
        <v>22</v>
      </c>
      <c r="K4838" t="str">
        <f>_xlfn.XLOOKUP(datos_ventas[[#This Row],[Ciudad]],Tabla2[Ciudades],Tabla2[Provincias],"no se encuentra")</f>
        <v>Valencia</v>
      </c>
      <c r="L4838" t="str">
        <f>_xlfn.XLOOKUP(datos_ventas[[#This Row],[Provincia]],Tabla2[Provincias],Tabla2[Comunidades],"no se encuentra")</f>
        <v>Comunidad Valenciana</v>
      </c>
      <c r="M4838" t="s">
        <v>19</v>
      </c>
      <c r="N4838">
        <v>5</v>
      </c>
    </row>
    <row r="4839" spans="1:14" x14ac:dyDescent="0.25">
      <c r="A4839">
        <v>5838</v>
      </c>
      <c r="B4839" s="1">
        <v>45864</v>
      </c>
      <c r="C4839" s="4">
        <f>MONTH(datos_ventas[[#This Row],[Fecha]])</f>
        <v>7</v>
      </c>
      <c r="D4839" s="4">
        <f>WEEKNUM(datos_ventas[[#This Row],[Fecha]],2)</f>
        <v>30</v>
      </c>
      <c r="E4839" t="s">
        <v>20</v>
      </c>
      <c r="F4839" t="s">
        <v>21</v>
      </c>
      <c r="G4839">
        <v>3</v>
      </c>
      <c r="H4839">
        <v>82236</v>
      </c>
      <c r="I4839">
        <v>3868</v>
      </c>
      <c r="J4839" t="s">
        <v>14</v>
      </c>
      <c r="K4839" t="str">
        <f>_xlfn.XLOOKUP(datos_ventas[[#This Row],[Ciudad]],Tabla2[Ciudades],Tabla2[Provincias],"no se encuentra")</f>
        <v>Madrid</v>
      </c>
      <c r="L4839" t="str">
        <f>_xlfn.XLOOKUP(datos_ventas[[#This Row],[Provincia]],Tabla2[Provincias],Tabla2[Comunidades],"no se encuentra")</f>
        <v>Comunidad de Madrid</v>
      </c>
      <c r="M4839" t="s">
        <v>19</v>
      </c>
      <c r="N4839">
        <v>5</v>
      </c>
    </row>
    <row r="4840" spans="1:14" x14ac:dyDescent="0.25">
      <c r="A4840">
        <v>5839</v>
      </c>
      <c r="B4840" s="1">
        <v>45670</v>
      </c>
      <c r="C4840" s="4">
        <f>MONTH(datos_ventas[[#This Row],[Fecha]])</f>
        <v>1</v>
      </c>
      <c r="D4840" s="4">
        <f>WEEKNUM(datos_ventas[[#This Row],[Fecha]],2)</f>
        <v>3</v>
      </c>
      <c r="E4840" t="s">
        <v>16</v>
      </c>
      <c r="F4840" t="s">
        <v>11</v>
      </c>
      <c r="G4840">
        <v>2</v>
      </c>
      <c r="H4840">
        <v>96723</v>
      </c>
      <c r="I4840">
        <v>2662</v>
      </c>
      <c r="J4840" t="s">
        <v>14</v>
      </c>
      <c r="K4840" t="str">
        <f>_xlfn.XLOOKUP(datos_ventas[[#This Row],[Ciudad]],Tabla2[Ciudades],Tabla2[Provincias],"no se encuentra")</f>
        <v>Madrid</v>
      </c>
      <c r="L4840" t="str">
        <f>_xlfn.XLOOKUP(datos_ventas[[#This Row],[Provincia]],Tabla2[Provincias],Tabla2[Comunidades],"no se encuentra")</f>
        <v>Comunidad de Madrid</v>
      </c>
      <c r="M4840" t="s">
        <v>15</v>
      </c>
      <c r="N4840">
        <v>2</v>
      </c>
    </row>
    <row r="4841" spans="1:14" x14ac:dyDescent="0.25">
      <c r="A4841">
        <v>5840</v>
      </c>
      <c r="B4841" s="1">
        <v>45766</v>
      </c>
      <c r="C4841" s="4">
        <f>MONTH(datos_ventas[[#This Row],[Fecha]])</f>
        <v>4</v>
      </c>
      <c r="D4841" s="4">
        <f>WEEKNUM(datos_ventas[[#This Row],[Fecha]],2)</f>
        <v>16</v>
      </c>
      <c r="E4841" t="s">
        <v>24</v>
      </c>
      <c r="F4841" t="s">
        <v>25</v>
      </c>
      <c r="G4841">
        <v>3</v>
      </c>
      <c r="H4841">
        <v>29086</v>
      </c>
      <c r="I4841">
        <v>1185</v>
      </c>
      <c r="J4841" t="s">
        <v>31</v>
      </c>
      <c r="K4841" t="str">
        <f>_xlfn.XLOOKUP(datos_ventas[[#This Row],[Ciudad]],Tabla2[Ciudades],Tabla2[Provincias],"no se encuentra")</f>
        <v>Vizcaya</v>
      </c>
      <c r="L4841" t="str">
        <f>_xlfn.XLOOKUP(datos_ventas[[#This Row],[Provincia]],Tabla2[Provincias],Tabla2[Comunidades],"no se encuentra")</f>
        <v>País Vasco</v>
      </c>
      <c r="M4841" t="s">
        <v>15</v>
      </c>
      <c r="N4841">
        <v>5</v>
      </c>
    </row>
    <row r="4842" spans="1:14" x14ac:dyDescent="0.25">
      <c r="A4842">
        <v>5841</v>
      </c>
      <c r="B4842" s="1">
        <v>45847</v>
      </c>
      <c r="C4842" s="4">
        <f>MONTH(datos_ventas[[#This Row],[Fecha]])</f>
        <v>7</v>
      </c>
      <c r="D4842" s="4">
        <f>WEEKNUM(datos_ventas[[#This Row],[Fecha]],2)</f>
        <v>28</v>
      </c>
      <c r="E4842" t="s">
        <v>10</v>
      </c>
      <c r="F4842" t="s">
        <v>11</v>
      </c>
      <c r="G4842">
        <v>4</v>
      </c>
      <c r="H4842">
        <v>39033</v>
      </c>
      <c r="I4842">
        <v>3972</v>
      </c>
      <c r="J4842" t="s">
        <v>14</v>
      </c>
      <c r="K4842" t="str">
        <f>_xlfn.XLOOKUP(datos_ventas[[#This Row],[Ciudad]],Tabla2[Ciudades],Tabla2[Provincias],"no se encuentra")</f>
        <v>Madrid</v>
      </c>
      <c r="L4842" t="str">
        <f>_xlfn.XLOOKUP(datos_ventas[[#This Row],[Provincia]],Tabla2[Provincias],Tabla2[Comunidades],"no se encuentra")</f>
        <v>Comunidad de Madrid</v>
      </c>
      <c r="M4842" t="s">
        <v>15</v>
      </c>
      <c r="N4842">
        <v>1</v>
      </c>
    </row>
    <row r="4843" spans="1:14" x14ac:dyDescent="0.25">
      <c r="A4843">
        <v>5842</v>
      </c>
      <c r="B4843" s="1">
        <v>45877</v>
      </c>
      <c r="C4843" s="4">
        <f>MONTH(datos_ventas[[#This Row],[Fecha]])</f>
        <v>8</v>
      </c>
      <c r="D4843" s="4">
        <f>WEEKNUM(datos_ventas[[#This Row],[Fecha]],2)</f>
        <v>32</v>
      </c>
      <c r="E4843" t="s">
        <v>23</v>
      </c>
      <c r="F4843" t="s">
        <v>18</v>
      </c>
      <c r="G4843">
        <v>3</v>
      </c>
      <c r="H4843">
        <v>11329</v>
      </c>
      <c r="I4843">
        <v>812</v>
      </c>
      <c r="J4843" t="s">
        <v>14</v>
      </c>
      <c r="K4843" t="str">
        <f>_xlfn.XLOOKUP(datos_ventas[[#This Row],[Ciudad]],Tabla2[Ciudades],Tabla2[Provincias],"no se encuentra")</f>
        <v>Madrid</v>
      </c>
      <c r="L4843" t="str">
        <f>_xlfn.XLOOKUP(datos_ventas[[#This Row],[Provincia]],Tabla2[Provincias],Tabla2[Comunidades],"no se encuentra")</f>
        <v>Comunidad de Madrid</v>
      </c>
      <c r="M4843" t="s">
        <v>13</v>
      </c>
      <c r="N4843">
        <v>1</v>
      </c>
    </row>
    <row r="4844" spans="1:14" x14ac:dyDescent="0.25">
      <c r="A4844">
        <v>5843</v>
      </c>
      <c r="B4844" s="1">
        <v>45976</v>
      </c>
      <c r="C4844" s="4">
        <f>MONTH(datos_ventas[[#This Row],[Fecha]])</f>
        <v>11</v>
      </c>
      <c r="D4844" s="4">
        <f>WEEKNUM(datos_ventas[[#This Row],[Fecha]],2)</f>
        <v>46</v>
      </c>
      <c r="E4844" t="s">
        <v>24</v>
      </c>
      <c r="F4844" t="s">
        <v>25</v>
      </c>
      <c r="G4844">
        <v>3</v>
      </c>
      <c r="H4844">
        <v>92822</v>
      </c>
      <c r="I4844">
        <v>3208</v>
      </c>
      <c r="J4844" t="s">
        <v>32</v>
      </c>
      <c r="K4844" t="str">
        <f>_xlfn.XLOOKUP(datos_ventas[[#This Row],[Ciudad]],Tabla2[Ciudades],Tabla2[Provincias],"no se encuentra")</f>
        <v>Barcelona</v>
      </c>
      <c r="L4844" t="str">
        <f>_xlfn.XLOOKUP(datos_ventas[[#This Row],[Provincia]],Tabla2[Provincias],Tabla2[Comunidades],"no se encuentra")</f>
        <v>Cataluña</v>
      </c>
      <c r="M4844" t="s">
        <v>28</v>
      </c>
      <c r="N4844">
        <v>2</v>
      </c>
    </row>
    <row r="4845" spans="1:14" x14ac:dyDescent="0.25">
      <c r="A4845">
        <v>5844</v>
      </c>
      <c r="B4845" s="1">
        <v>45773</v>
      </c>
      <c r="C4845" s="4">
        <f>MONTH(datos_ventas[[#This Row],[Fecha]])</f>
        <v>4</v>
      </c>
      <c r="D4845" s="4">
        <f>WEEKNUM(datos_ventas[[#This Row],[Fecha]],2)</f>
        <v>17</v>
      </c>
      <c r="E4845" t="s">
        <v>16</v>
      </c>
      <c r="F4845" t="s">
        <v>11</v>
      </c>
      <c r="G4845">
        <v>1</v>
      </c>
      <c r="H4845">
        <v>29075</v>
      </c>
      <c r="I4845">
        <v>1947</v>
      </c>
      <c r="J4845" t="s">
        <v>12</v>
      </c>
      <c r="K4845" t="str">
        <f>_xlfn.XLOOKUP(datos_ventas[[#This Row],[Ciudad]],Tabla2[Ciudades],Tabla2[Provincias],"no se encuentra")</f>
        <v>Málaga</v>
      </c>
      <c r="L4845" t="str">
        <f>_xlfn.XLOOKUP(datos_ventas[[#This Row],[Provincia]],Tabla2[Provincias],Tabla2[Comunidades],"no se encuentra")</f>
        <v>Andalucía</v>
      </c>
      <c r="M4845" t="s">
        <v>13</v>
      </c>
      <c r="N4845">
        <v>5</v>
      </c>
    </row>
    <row r="4846" spans="1:14" x14ac:dyDescent="0.25">
      <c r="A4846">
        <v>5845</v>
      </c>
      <c r="B4846" s="1">
        <v>45938</v>
      </c>
      <c r="C4846" s="4">
        <f>MONTH(datos_ventas[[#This Row],[Fecha]])</f>
        <v>10</v>
      </c>
      <c r="D4846" s="4">
        <f>WEEKNUM(datos_ventas[[#This Row],[Fecha]],2)</f>
        <v>41</v>
      </c>
      <c r="E4846" t="s">
        <v>24</v>
      </c>
      <c r="F4846" t="s">
        <v>25</v>
      </c>
      <c r="G4846">
        <v>3</v>
      </c>
      <c r="H4846">
        <v>30207</v>
      </c>
      <c r="I4846">
        <v>273</v>
      </c>
      <c r="J4846" t="s">
        <v>14</v>
      </c>
      <c r="K4846" t="str">
        <f>_xlfn.XLOOKUP(datos_ventas[[#This Row],[Ciudad]],Tabla2[Ciudades],Tabla2[Provincias],"no se encuentra")</f>
        <v>Madrid</v>
      </c>
      <c r="L4846" t="str">
        <f>_xlfn.XLOOKUP(datos_ventas[[#This Row],[Provincia]],Tabla2[Provincias],Tabla2[Comunidades],"no se encuentra")</f>
        <v>Comunidad de Madrid</v>
      </c>
      <c r="M4846" t="s">
        <v>15</v>
      </c>
      <c r="N4846">
        <v>2</v>
      </c>
    </row>
    <row r="4847" spans="1:14" x14ac:dyDescent="0.25">
      <c r="A4847">
        <v>5846</v>
      </c>
      <c r="B4847" s="1">
        <v>45972</v>
      </c>
      <c r="C4847" s="4">
        <f>MONTH(datos_ventas[[#This Row],[Fecha]])</f>
        <v>11</v>
      </c>
      <c r="D4847" s="4">
        <f>WEEKNUM(datos_ventas[[#This Row],[Fecha]],2)</f>
        <v>46</v>
      </c>
      <c r="E4847" t="s">
        <v>16</v>
      </c>
      <c r="F4847" t="s">
        <v>11</v>
      </c>
      <c r="G4847">
        <v>4</v>
      </c>
      <c r="H4847">
        <v>45288</v>
      </c>
      <c r="I4847">
        <v>4754</v>
      </c>
      <c r="J4847" t="s">
        <v>32</v>
      </c>
      <c r="K4847" t="str">
        <f>_xlfn.XLOOKUP(datos_ventas[[#This Row],[Ciudad]],Tabla2[Ciudades],Tabla2[Provincias],"no se encuentra")</f>
        <v>Barcelona</v>
      </c>
      <c r="L4847" t="str">
        <f>_xlfn.XLOOKUP(datos_ventas[[#This Row],[Provincia]],Tabla2[Provincias],Tabla2[Comunidades],"no se encuentra")</f>
        <v>Cataluña</v>
      </c>
      <c r="M4847" t="s">
        <v>13</v>
      </c>
      <c r="N4847">
        <v>1</v>
      </c>
    </row>
    <row r="4848" spans="1:14" x14ac:dyDescent="0.25">
      <c r="A4848">
        <v>5847</v>
      </c>
      <c r="B4848" s="1">
        <v>45959</v>
      </c>
      <c r="C4848" s="4">
        <f>MONTH(datos_ventas[[#This Row],[Fecha]])</f>
        <v>10</v>
      </c>
      <c r="D4848" s="4">
        <f>WEEKNUM(datos_ventas[[#This Row],[Fecha]],2)</f>
        <v>44</v>
      </c>
      <c r="E4848" t="s">
        <v>17</v>
      </c>
      <c r="F4848" t="s">
        <v>18</v>
      </c>
      <c r="G4848">
        <v>3</v>
      </c>
      <c r="H4848">
        <v>81535</v>
      </c>
      <c r="I4848">
        <v>2572</v>
      </c>
      <c r="J4848" t="s">
        <v>12</v>
      </c>
      <c r="K4848" t="str">
        <f>_xlfn.XLOOKUP(datos_ventas[[#This Row],[Ciudad]],Tabla2[Ciudades],Tabla2[Provincias],"no se encuentra")</f>
        <v>Málaga</v>
      </c>
      <c r="L4848" t="str">
        <f>_xlfn.XLOOKUP(datos_ventas[[#This Row],[Provincia]],Tabla2[Provincias],Tabla2[Comunidades],"no se encuentra")</f>
        <v>Andalucía</v>
      </c>
      <c r="M4848" t="s">
        <v>15</v>
      </c>
      <c r="N4848">
        <v>3</v>
      </c>
    </row>
    <row r="4849" spans="1:14" x14ac:dyDescent="0.25">
      <c r="A4849">
        <v>5848</v>
      </c>
      <c r="B4849" s="1">
        <v>45967</v>
      </c>
      <c r="C4849" s="4">
        <f>MONTH(datos_ventas[[#This Row],[Fecha]])</f>
        <v>11</v>
      </c>
      <c r="D4849" s="4">
        <f>WEEKNUM(datos_ventas[[#This Row],[Fecha]],2)</f>
        <v>45</v>
      </c>
      <c r="E4849" t="s">
        <v>17</v>
      </c>
      <c r="F4849" t="s">
        <v>18</v>
      </c>
      <c r="G4849">
        <v>3</v>
      </c>
      <c r="H4849">
        <v>11214</v>
      </c>
      <c r="I4849">
        <v>3995</v>
      </c>
      <c r="J4849" t="s">
        <v>12</v>
      </c>
      <c r="K4849" t="str">
        <f>_xlfn.XLOOKUP(datos_ventas[[#This Row],[Ciudad]],Tabla2[Ciudades],Tabla2[Provincias],"no se encuentra")</f>
        <v>Málaga</v>
      </c>
      <c r="L4849" t="str">
        <f>_xlfn.XLOOKUP(datos_ventas[[#This Row],[Provincia]],Tabla2[Provincias],Tabla2[Comunidades],"no se encuentra")</f>
        <v>Andalucía</v>
      </c>
      <c r="M4849" t="s">
        <v>15</v>
      </c>
      <c r="N4849">
        <v>5</v>
      </c>
    </row>
    <row r="4850" spans="1:14" x14ac:dyDescent="0.25">
      <c r="A4850">
        <v>5849</v>
      </c>
      <c r="B4850" s="1">
        <v>45995</v>
      </c>
      <c r="C4850" s="4">
        <f>MONTH(datos_ventas[[#This Row],[Fecha]])</f>
        <v>12</v>
      </c>
      <c r="D4850" s="4">
        <f>WEEKNUM(datos_ventas[[#This Row],[Fecha]],2)</f>
        <v>49</v>
      </c>
      <c r="E4850" t="s">
        <v>17</v>
      </c>
      <c r="F4850" t="s">
        <v>18</v>
      </c>
      <c r="G4850">
        <v>5</v>
      </c>
      <c r="H4850">
        <v>45432</v>
      </c>
      <c r="I4850">
        <v>2258</v>
      </c>
      <c r="J4850" t="s">
        <v>12</v>
      </c>
      <c r="K4850" t="str">
        <f>_xlfn.XLOOKUP(datos_ventas[[#This Row],[Ciudad]],Tabla2[Ciudades],Tabla2[Provincias],"no se encuentra")</f>
        <v>Málaga</v>
      </c>
      <c r="L4850" t="str">
        <f>_xlfn.XLOOKUP(datos_ventas[[#This Row],[Provincia]],Tabla2[Provincias],Tabla2[Comunidades],"no se encuentra")</f>
        <v>Andalucía</v>
      </c>
      <c r="M4850" t="s">
        <v>19</v>
      </c>
      <c r="N4850">
        <v>2</v>
      </c>
    </row>
    <row r="4851" spans="1:14" x14ac:dyDescent="0.25">
      <c r="A4851">
        <v>5850</v>
      </c>
      <c r="B4851" s="1">
        <v>45995</v>
      </c>
      <c r="C4851" s="4">
        <f>MONTH(datos_ventas[[#This Row],[Fecha]])</f>
        <v>12</v>
      </c>
      <c r="D4851" s="4">
        <f>WEEKNUM(datos_ventas[[#This Row],[Fecha]],2)</f>
        <v>49</v>
      </c>
      <c r="E4851" t="s">
        <v>24</v>
      </c>
      <c r="F4851" t="s">
        <v>25</v>
      </c>
      <c r="G4851">
        <v>3</v>
      </c>
      <c r="H4851">
        <v>241</v>
      </c>
      <c r="I4851">
        <v>929</v>
      </c>
      <c r="J4851" t="s">
        <v>27</v>
      </c>
      <c r="K4851" t="str">
        <f>_xlfn.XLOOKUP(datos_ventas[[#This Row],[Ciudad]],Tabla2[Ciudades],Tabla2[Provincias],"no se encuentra")</f>
        <v>Sevilla</v>
      </c>
      <c r="L4851" t="str">
        <f>_xlfn.XLOOKUP(datos_ventas[[#This Row],[Provincia]],Tabla2[Provincias],Tabla2[Comunidades],"no se encuentra")</f>
        <v>Andalucía</v>
      </c>
      <c r="M4851" t="s">
        <v>15</v>
      </c>
      <c r="N4851">
        <v>5</v>
      </c>
    </row>
    <row r="4852" spans="1:14" x14ac:dyDescent="0.25">
      <c r="A4852">
        <v>5851</v>
      </c>
      <c r="B4852" s="1">
        <v>45731</v>
      </c>
      <c r="C4852" s="4">
        <f>MONTH(datos_ventas[[#This Row],[Fecha]])</f>
        <v>3</v>
      </c>
      <c r="D4852" s="4">
        <f>WEEKNUM(datos_ventas[[#This Row],[Fecha]],2)</f>
        <v>11</v>
      </c>
      <c r="E4852" t="s">
        <v>10</v>
      </c>
      <c r="F4852" t="s">
        <v>11</v>
      </c>
      <c r="G4852">
        <v>4</v>
      </c>
      <c r="H4852">
        <v>29891</v>
      </c>
      <c r="I4852">
        <v>2632</v>
      </c>
      <c r="J4852" t="s">
        <v>14</v>
      </c>
      <c r="K4852" t="str">
        <f>_xlfn.XLOOKUP(datos_ventas[[#This Row],[Ciudad]],Tabla2[Ciudades],Tabla2[Provincias],"no se encuentra")</f>
        <v>Madrid</v>
      </c>
      <c r="L4852" t="str">
        <f>_xlfn.XLOOKUP(datos_ventas[[#This Row],[Provincia]],Tabla2[Provincias],Tabla2[Comunidades],"no se encuentra")</f>
        <v>Comunidad de Madrid</v>
      </c>
      <c r="M4852" t="s">
        <v>28</v>
      </c>
      <c r="N4852">
        <v>2</v>
      </c>
    </row>
    <row r="4853" spans="1:14" x14ac:dyDescent="0.25">
      <c r="A4853">
        <v>5852</v>
      </c>
      <c r="B4853" s="1">
        <v>45887</v>
      </c>
      <c r="C4853" s="4">
        <f>MONTH(datos_ventas[[#This Row],[Fecha]])</f>
        <v>8</v>
      </c>
      <c r="D4853" s="4">
        <f>WEEKNUM(datos_ventas[[#This Row],[Fecha]],2)</f>
        <v>34</v>
      </c>
      <c r="E4853" t="s">
        <v>10</v>
      </c>
      <c r="F4853" t="s">
        <v>11</v>
      </c>
      <c r="G4853">
        <v>1</v>
      </c>
      <c r="H4853">
        <v>27051</v>
      </c>
      <c r="I4853">
        <v>855</v>
      </c>
      <c r="J4853" t="s">
        <v>12</v>
      </c>
      <c r="K4853" t="str">
        <f>_xlfn.XLOOKUP(datos_ventas[[#This Row],[Ciudad]],Tabla2[Ciudades],Tabla2[Provincias],"no se encuentra")</f>
        <v>Málaga</v>
      </c>
      <c r="L4853" t="str">
        <f>_xlfn.XLOOKUP(datos_ventas[[#This Row],[Provincia]],Tabla2[Provincias],Tabla2[Comunidades],"no se encuentra")</f>
        <v>Andalucía</v>
      </c>
      <c r="M4853" t="s">
        <v>15</v>
      </c>
      <c r="N4853">
        <v>3</v>
      </c>
    </row>
    <row r="4854" spans="1:14" x14ac:dyDescent="0.25">
      <c r="A4854">
        <v>5853</v>
      </c>
      <c r="B4854" s="1">
        <v>45859</v>
      </c>
      <c r="C4854" s="4">
        <f>MONTH(datos_ventas[[#This Row],[Fecha]])</f>
        <v>7</v>
      </c>
      <c r="D4854" s="4">
        <f>WEEKNUM(datos_ventas[[#This Row],[Fecha]],2)</f>
        <v>30</v>
      </c>
      <c r="E4854" t="s">
        <v>20</v>
      </c>
      <c r="F4854" t="s">
        <v>21</v>
      </c>
      <c r="G4854">
        <v>5</v>
      </c>
      <c r="H4854">
        <v>93005</v>
      </c>
      <c r="I4854">
        <v>1942</v>
      </c>
      <c r="J4854" t="s">
        <v>32</v>
      </c>
      <c r="K4854" t="str">
        <f>_xlfn.XLOOKUP(datos_ventas[[#This Row],[Ciudad]],Tabla2[Ciudades],Tabla2[Provincias],"no se encuentra")</f>
        <v>Barcelona</v>
      </c>
      <c r="L4854" t="str">
        <f>_xlfn.XLOOKUP(datos_ventas[[#This Row],[Provincia]],Tabla2[Provincias],Tabla2[Comunidades],"no se encuentra")</f>
        <v>Cataluña</v>
      </c>
      <c r="M4854" t="s">
        <v>15</v>
      </c>
      <c r="N4854">
        <v>3</v>
      </c>
    </row>
    <row r="4855" spans="1:14" x14ac:dyDescent="0.25">
      <c r="A4855">
        <v>5854</v>
      </c>
      <c r="B4855" s="1">
        <v>45764</v>
      </c>
      <c r="C4855" s="4">
        <f>MONTH(datos_ventas[[#This Row],[Fecha]])</f>
        <v>4</v>
      </c>
      <c r="D4855" s="4">
        <f>WEEKNUM(datos_ventas[[#This Row],[Fecha]],2)</f>
        <v>16</v>
      </c>
      <c r="E4855" t="s">
        <v>10</v>
      </c>
      <c r="F4855" t="s">
        <v>11</v>
      </c>
      <c r="G4855">
        <v>5</v>
      </c>
      <c r="H4855">
        <v>5368</v>
      </c>
      <c r="I4855">
        <v>4739</v>
      </c>
      <c r="J4855" t="s">
        <v>27</v>
      </c>
      <c r="K4855" t="str">
        <f>_xlfn.XLOOKUP(datos_ventas[[#This Row],[Ciudad]],Tabla2[Ciudades],Tabla2[Provincias],"no se encuentra")</f>
        <v>Sevilla</v>
      </c>
      <c r="L4855" t="str">
        <f>_xlfn.XLOOKUP(datos_ventas[[#This Row],[Provincia]],Tabla2[Provincias],Tabla2[Comunidades],"no se encuentra")</f>
        <v>Andalucía</v>
      </c>
      <c r="M4855" t="s">
        <v>15</v>
      </c>
      <c r="N4855">
        <v>4</v>
      </c>
    </row>
    <row r="4856" spans="1:14" x14ac:dyDescent="0.25">
      <c r="A4856">
        <v>5855</v>
      </c>
      <c r="B4856" s="1">
        <v>45880</v>
      </c>
      <c r="C4856" s="4">
        <f>MONTH(datos_ventas[[#This Row],[Fecha]])</f>
        <v>8</v>
      </c>
      <c r="D4856" s="4">
        <f>WEEKNUM(datos_ventas[[#This Row],[Fecha]],2)</f>
        <v>33</v>
      </c>
      <c r="E4856" t="s">
        <v>20</v>
      </c>
      <c r="F4856" t="s">
        <v>21</v>
      </c>
      <c r="G4856">
        <v>4</v>
      </c>
      <c r="H4856">
        <v>35149</v>
      </c>
      <c r="I4856">
        <v>4852</v>
      </c>
      <c r="J4856" t="s">
        <v>22</v>
      </c>
      <c r="K4856" t="str">
        <f>_xlfn.XLOOKUP(datos_ventas[[#This Row],[Ciudad]],Tabla2[Ciudades],Tabla2[Provincias],"no se encuentra")</f>
        <v>Valencia</v>
      </c>
      <c r="L4856" t="str">
        <f>_xlfn.XLOOKUP(datos_ventas[[#This Row],[Provincia]],Tabla2[Provincias],Tabla2[Comunidades],"no se encuentra")</f>
        <v>Comunidad Valenciana</v>
      </c>
      <c r="M4856" t="s">
        <v>19</v>
      </c>
      <c r="N4856">
        <v>2</v>
      </c>
    </row>
    <row r="4857" spans="1:14" x14ac:dyDescent="0.25">
      <c r="A4857">
        <v>5856</v>
      </c>
      <c r="B4857" s="1">
        <v>45952</v>
      </c>
      <c r="C4857" s="4">
        <f>MONTH(datos_ventas[[#This Row],[Fecha]])</f>
        <v>10</v>
      </c>
      <c r="D4857" s="4">
        <f>WEEKNUM(datos_ventas[[#This Row],[Fecha]],2)</f>
        <v>43</v>
      </c>
      <c r="E4857" t="s">
        <v>26</v>
      </c>
      <c r="F4857" t="s">
        <v>18</v>
      </c>
      <c r="G4857">
        <v>3</v>
      </c>
      <c r="H4857">
        <v>91558</v>
      </c>
      <c r="I4857">
        <v>3046</v>
      </c>
      <c r="J4857" t="s">
        <v>22</v>
      </c>
      <c r="K4857" t="str">
        <f>_xlfn.XLOOKUP(datos_ventas[[#This Row],[Ciudad]],Tabla2[Ciudades],Tabla2[Provincias],"no se encuentra")</f>
        <v>Valencia</v>
      </c>
      <c r="L4857" t="str">
        <f>_xlfn.XLOOKUP(datos_ventas[[#This Row],[Provincia]],Tabla2[Provincias],Tabla2[Comunidades],"no se encuentra")</f>
        <v>Comunidad Valenciana</v>
      </c>
      <c r="M4857" t="s">
        <v>15</v>
      </c>
      <c r="N4857">
        <v>5</v>
      </c>
    </row>
    <row r="4858" spans="1:14" x14ac:dyDescent="0.25">
      <c r="A4858">
        <v>5857</v>
      </c>
      <c r="B4858" s="1">
        <v>45923</v>
      </c>
      <c r="C4858" s="4">
        <f>MONTH(datos_ventas[[#This Row],[Fecha]])</f>
        <v>9</v>
      </c>
      <c r="D4858" s="4">
        <f>WEEKNUM(datos_ventas[[#This Row],[Fecha]],2)</f>
        <v>39</v>
      </c>
      <c r="E4858" t="s">
        <v>10</v>
      </c>
      <c r="F4858" t="s">
        <v>11</v>
      </c>
      <c r="G4858">
        <v>3</v>
      </c>
      <c r="H4858">
        <v>98867</v>
      </c>
      <c r="I4858">
        <v>2908</v>
      </c>
      <c r="J4858" t="s">
        <v>12</v>
      </c>
      <c r="K4858" t="str">
        <f>_xlfn.XLOOKUP(datos_ventas[[#This Row],[Ciudad]],Tabla2[Ciudades],Tabla2[Provincias],"no se encuentra")</f>
        <v>Málaga</v>
      </c>
      <c r="L4858" t="str">
        <f>_xlfn.XLOOKUP(datos_ventas[[#This Row],[Provincia]],Tabla2[Provincias],Tabla2[Comunidades],"no se encuentra")</f>
        <v>Andalucía</v>
      </c>
      <c r="M4858" t="s">
        <v>19</v>
      </c>
      <c r="N4858">
        <v>2</v>
      </c>
    </row>
    <row r="4859" spans="1:14" x14ac:dyDescent="0.25">
      <c r="A4859">
        <v>5858</v>
      </c>
      <c r="B4859" s="1">
        <v>46014</v>
      </c>
      <c r="C4859" s="4">
        <f>MONTH(datos_ventas[[#This Row],[Fecha]])</f>
        <v>12</v>
      </c>
      <c r="D4859" s="4">
        <f>WEEKNUM(datos_ventas[[#This Row],[Fecha]],2)</f>
        <v>52</v>
      </c>
      <c r="E4859" t="s">
        <v>26</v>
      </c>
      <c r="F4859" t="s">
        <v>18</v>
      </c>
      <c r="G4859">
        <v>1</v>
      </c>
      <c r="H4859">
        <v>70305</v>
      </c>
      <c r="I4859">
        <v>2606</v>
      </c>
      <c r="J4859" t="s">
        <v>12</v>
      </c>
      <c r="K4859" t="str">
        <f>_xlfn.XLOOKUP(datos_ventas[[#This Row],[Ciudad]],Tabla2[Ciudades],Tabla2[Provincias],"no se encuentra")</f>
        <v>Málaga</v>
      </c>
      <c r="L4859" t="str">
        <f>_xlfn.XLOOKUP(datos_ventas[[#This Row],[Provincia]],Tabla2[Provincias],Tabla2[Comunidades],"no se encuentra")</f>
        <v>Andalucía</v>
      </c>
      <c r="M4859" t="s">
        <v>13</v>
      </c>
      <c r="N4859">
        <v>4</v>
      </c>
    </row>
    <row r="4860" spans="1:14" x14ac:dyDescent="0.25">
      <c r="A4860">
        <v>5859</v>
      </c>
      <c r="B4860" s="1">
        <v>45709</v>
      </c>
      <c r="C4860" s="4">
        <f>MONTH(datos_ventas[[#This Row],[Fecha]])</f>
        <v>2</v>
      </c>
      <c r="D4860" s="4">
        <f>WEEKNUM(datos_ventas[[#This Row],[Fecha]],2)</f>
        <v>8</v>
      </c>
      <c r="E4860" t="s">
        <v>26</v>
      </c>
      <c r="F4860" t="s">
        <v>18</v>
      </c>
      <c r="G4860">
        <v>5</v>
      </c>
      <c r="H4860">
        <v>114278</v>
      </c>
      <c r="I4860">
        <v>4178</v>
      </c>
      <c r="J4860" t="s">
        <v>12</v>
      </c>
      <c r="K4860" t="str">
        <f>_xlfn.XLOOKUP(datos_ventas[[#This Row],[Ciudad]],Tabla2[Ciudades],Tabla2[Provincias],"no se encuentra")</f>
        <v>Málaga</v>
      </c>
      <c r="L4860" t="str">
        <f>_xlfn.XLOOKUP(datos_ventas[[#This Row],[Provincia]],Tabla2[Provincias],Tabla2[Comunidades],"no se encuentra")</f>
        <v>Andalucía</v>
      </c>
      <c r="M4860" t="s">
        <v>19</v>
      </c>
      <c r="N4860">
        <v>1</v>
      </c>
    </row>
    <row r="4861" spans="1:14" x14ac:dyDescent="0.25">
      <c r="A4861">
        <v>5860</v>
      </c>
      <c r="B4861" s="1">
        <v>45732</v>
      </c>
      <c r="C4861" s="4">
        <f>MONTH(datos_ventas[[#This Row],[Fecha]])</f>
        <v>3</v>
      </c>
      <c r="D4861" s="4">
        <f>WEEKNUM(datos_ventas[[#This Row],[Fecha]],2)</f>
        <v>11</v>
      </c>
      <c r="E4861" t="s">
        <v>29</v>
      </c>
      <c r="F4861" t="s">
        <v>30</v>
      </c>
      <c r="G4861">
        <v>2</v>
      </c>
      <c r="H4861">
        <v>92807</v>
      </c>
      <c r="I4861">
        <v>4921</v>
      </c>
      <c r="J4861" t="s">
        <v>32</v>
      </c>
      <c r="K4861" t="str">
        <f>_xlfn.XLOOKUP(datos_ventas[[#This Row],[Ciudad]],Tabla2[Ciudades],Tabla2[Provincias],"no se encuentra")</f>
        <v>Barcelona</v>
      </c>
      <c r="L4861" t="str">
        <f>_xlfn.XLOOKUP(datos_ventas[[#This Row],[Provincia]],Tabla2[Provincias],Tabla2[Comunidades],"no se encuentra")</f>
        <v>Cataluña</v>
      </c>
      <c r="M4861" t="s">
        <v>15</v>
      </c>
      <c r="N4861">
        <v>1</v>
      </c>
    </row>
    <row r="4862" spans="1:14" x14ac:dyDescent="0.25">
      <c r="A4862">
        <v>5861</v>
      </c>
      <c r="B4862" s="1">
        <v>45736</v>
      </c>
      <c r="C4862" s="4">
        <f>MONTH(datos_ventas[[#This Row],[Fecha]])</f>
        <v>3</v>
      </c>
      <c r="D4862" s="4">
        <f>WEEKNUM(datos_ventas[[#This Row],[Fecha]],2)</f>
        <v>12</v>
      </c>
      <c r="E4862" t="s">
        <v>16</v>
      </c>
      <c r="F4862" t="s">
        <v>11</v>
      </c>
      <c r="G4862">
        <v>3</v>
      </c>
      <c r="H4862">
        <v>106803</v>
      </c>
      <c r="I4862">
        <v>3415</v>
      </c>
      <c r="J4862" t="s">
        <v>32</v>
      </c>
      <c r="K4862" t="str">
        <f>_xlfn.XLOOKUP(datos_ventas[[#This Row],[Ciudad]],Tabla2[Ciudades],Tabla2[Provincias],"no se encuentra")</f>
        <v>Barcelona</v>
      </c>
      <c r="L4862" t="str">
        <f>_xlfn.XLOOKUP(datos_ventas[[#This Row],[Provincia]],Tabla2[Provincias],Tabla2[Comunidades],"no se encuentra")</f>
        <v>Cataluña</v>
      </c>
      <c r="M4862" t="s">
        <v>19</v>
      </c>
      <c r="N4862">
        <v>1</v>
      </c>
    </row>
    <row r="4863" spans="1:14" x14ac:dyDescent="0.25">
      <c r="A4863">
        <v>5862</v>
      </c>
      <c r="B4863" s="1">
        <v>45843</v>
      </c>
      <c r="C4863" s="4">
        <f>MONTH(datos_ventas[[#This Row],[Fecha]])</f>
        <v>7</v>
      </c>
      <c r="D4863" s="4">
        <f>WEEKNUM(datos_ventas[[#This Row],[Fecha]],2)</f>
        <v>27</v>
      </c>
      <c r="E4863" t="s">
        <v>23</v>
      </c>
      <c r="F4863" t="s">
        <v>18</v>
      </c>
      <c r="G4863">
        <v>3</v>
      </c>
      <c r="H4863">
        <v>36657</v>
      </c>
      <c r="I4863">
        <v>3309</v>
      </c>
      <c r="J4863" t="s">
        <v>14</v>
      </c>
      <c r="K4863" t="str">
        <f>_xlfn.XLOOKUP(datos_ventas[[#This Row],[Ciudad]],Tabla2[Ciudades],Tabla2[Provincias],"no se encuentra")</f>
        <v>Madrid</v>
      </c>
      <c r="L4863" t="str">
        <f>_xlfn.XLOOKUP(datos_ventas[[#This Row],[Provincia]],Tabla2[Provincias],Tabla2[Comunidades],"no se encuentra")</f>
        <v>Comunidad de Madrid</v>
      </c>
      <c r="M4863" t="s">
        <v>28</v>
      </c>
      <c r="N4863">
        <v>4</v>
      </c>
    </row>
    <row r="4864" spans="1:14" x14ac:dyDescent="0.25">
      <c r="A4864">
        <v>5863</v>
      </c>
      <c r="B4864" s="1">
        <v>46017</v>
      </c>
      <c r="C4864" s="4">
        <f>MONTH(datos_ventas[[#This Row],[Fecha]])</f>
        <v>12</v>
      </c>
      <c r="D4864" s="4">
        <f>WEEKNUM(datos_ventas[[#This Row],[Fecha]],2)</f>
        <v>52</v>
      </c>
      <c r="E4864" t="s">
        <v>10</v>
      </c>
      <c r="F4864" t="s">
        <v>11</v>
      </c>
      <c r="G4864">
        <v>4</v>
      </c>
      <c r="H4864">
        <v>1139</v>
      </c>
      <c r="I4864">
        <v>2423</v>
      </c>
      <c r="J4864" t="s">
        <v>31</v>
      </c>
      <c r="K4864" t="str">
        <f>_xlfn.XLOOKUP(datos_ventas[[#This Row],[Ciudad]],Tabla2[Ciudades],Tabla2[Provincias],"no se encuentra")</f>
        <v>Vizcaya</v>
      </c>
      <c r="L4864" t="str">
        <f>_xlfn.XLOOKUP(datos_ventas[[#This Row],[Provincia]],Tabla2[Provincias],Tabla2[Comunidades],"no se encuentra")</f>
        <v>País Vasco</v>
      </c>
      <c r="M4864" t="s">
        <v>28</v>
      </c>
      <c r="N4864">
        <v>1</v>
      </c>
    </row>
    <row r="4865" spans="1:14" x14ac:dyDescent="0.25">
      <c r="A4865">
        <v>5864</v>
      </c>
      <c r="B4865" s="1">
        <v>45735</v>
      </c>
      <c r="C4865" s="4">
        <f>MONTH(datos_ventas[[#This Row],[Fecha]])</f>
        <v>3</v>
      </c>
      <c r="D4865" s="4">
        <f>WEEKNUM(datos_ventas[[#This Row],[Fecha]],2)</f>
        <v>12</v>
      </c>
      <c r="E4865" t="s">
        <v>20</v>
      </c>
      <c r="F4865" t="s">
        <v>21</v>
      </c>
      <c r="G4865">
        <v>3</v>
      </c>
      <c r="H4865">
        <v>119918</v>
      </c>
      <c r="I4865">
        <v>1781</v>
      </c>
      <c r="J4865" t="s">
        <v>27</v>
      </c>
      <c r="K4865" t="str">
        <f>_xlfn.XLOOKUP(datos_ventas[[#This Row],[Ciudad]],Tabla2[Ciudades],Tabla2[Provincias],"no se encuentra")</f>
        <v>Sevilla</v>
      </c>
      <c r="L4865" t="str">
        <f>_xlfn.XLOOKUP(datos_ventas[[#This Row],[Provincia]],Tabla2[Provincias],Tabla2[Comunidades],"no se encuentra")</f>
        <v>Andalucía</v>
      </c>
      <c r="M4865" t="s">
        <v>19</v>
      </c>
      <c r="N4865">
        <v>3</v>
      </c>
    </row>
    <row r="4866" spans="1:14" x14ac:dyDescent="0.25">
      <c r="A4866">
        <v>5865</v>
      </c>
      <c r="B4866" s="1">
        <v>45665</v>
      </c>
      <c r="C4866" s="4">
        <f>MONTH(datos_ventas[[#This Row],[Fecha]])</f>
        <v>1</v>
      </c>
      <c r="D4866" s="4">
        <f>WEEKNUM(datos_ventas[[#This Row],[Fecha]],2)</f>
        <v>2</v>
      </c>
      <c r="E4866" t="s">
        <v>17</v>
      </c>
      <c r="F4866" t="s">
        <v>18</v>
      </c>
      <c r="G4866">
        <v>1</v>
      </c>
      <c r="H4866">
        <v>25684</v>
      </c>
      <c r="I4866">
        <v>3116</v>
      </c>
      <c r="J4866" t="s">
        <v>22</v>
      </c>
      <c r="K4866" t="str">
        <f>_xlfn.XLOOKUP(datos_ventas[[#This Row],[Ciudad]],Tabla2[Ciudades],Tabla2[Provincias],"no se encuentra")</f>
        <v>Valencia</v>
      </c>
      <c r="L4866" t="str">
        <f>_xlfn.XLOOKUP(datos_ventas[[#This Row],[Provincia]],Tabla2[Provincias],Tabla2[Comunidades],"no se encuentra")</f>
        <v>Comunidad Valenciana</v>
      </c>
      <c r="M4866" t="s">
        <v>13</v>
      </c>
      <c r="N4866">
        <v>3</v>
      </c>
    </row>
    <row r="4867" spans="1:14" x14ac:dyDescent="0.25">
      <c r="A4867">
        <v>5866</v>
      </c>
      <c r="B4867" s="1">
        <v>45797</v>
      </c>
      <c r="C4867" s="4">
        <f>MONTH(datos_ventas[[#This Row],[Fecha]])</f>
        <v>5</v>
      </c>
      <c r="D4867" s="4">
        <f>WEEKNUM(datos_ventas[[#This Row],[Fecha]],2)</f>
        <v>21</v>
      </c>
      <c r="E4867" t="s">
        <v>16</v>
      </c>
      <c r="F4867" t="s">
        <v>11</v>
      </c>
      <c r="G4867">
        <v>1</v>
      </c>
      <c r="H4867">
        <v>34337</v>
      </c>
      <c r="I4867">
        <v>437</v>
      </c>
      <c r="J4867" t="s">
        <v>22</v>
      </c>
      <c r="K4867" t="str">
        <f>_xlfn.XLOOKUP(datos_ventas[[#This Row],[Ciudad]],Tabla2[Ciudades],Tabla2[Provincias],"no se encuentra")</f>
        <v>Valencia</v>
      </c>
      <c r="L4867" t="str">
        <f>_xlfn.XLOOKUP(datos_ventas[[#This Row],[Provincia]],Tabla2[Provincias],Tabla2[Comunidades],"no se encuentra")</f>
        <v>Comunidad Valenciana</v>
      </c>
      <c r="M4867" t="s">
        <v>19</v>
      </c>
      <c r="N4867">
        <v>3</v>
      </c>
    </row>
    <row r="4868" spans="1:14" x14ac:dyDescent="0.25">
      <c r="A4868">
        <v>5867</v>
      </c>
      <c r="B4868" s="1">
        <v>45921</v>
      </c>
      <c r="C4868" s="4">
        <f>MONTH(datos_ventas[[#This Row],[Fecha]])</f>
        <v>9</v>
      </c>
      <c r="D4868" s="4">
        <f>WEEKNUM(datos_ventas[[#This Row],[Fecha]],2)</f>
        <v>38</v>
      </c>
      <c r="E4868" t="s">
        <v>29</v>
      </c>
      <c r="F4868" t="s">
        <v>30</v>
      </c>
      <c r="G4868">
        <v>5</v>
      </c>
      <c r="H4868">
        <v>32357</v>
      </c>
      <c r="I4868">
        <v>2328</v>
      </c>
      <c r="J4868" t="s">
        <v>12</v>
      </c>
      <c r="K4868" t="str">
        <f>_xlfn.XLOOKUP(datos_ventas[[#This Row],[Ciudad]],Tabla2[Ciudades],Tabla2[Provincias],"no se encuentra")</f>
        <v>Málaga</v>
      </c>
      <c r="L4868" t="str">
        <f>_xlfn.XLOOKUP(datos_ventas[[#This Row],[Provincia]],Tabla2[Provincias],Tabla2[Comunidades],"no se encuentra")</f>
        <v>Andalucía</v>
      </c>
      <c r="M4868" t="s">
        <v>13</v>
      </c>
      <c r="N4868">
        <v>2</v>
      </c>
    </row>
    <row r="4869" spans="1:14" x14ac:dyDescent="0.25">
      <c r="A4869">
        <v>5868</v>
      </c>
      <c r="B4869" s="1">
        <v>45808</v>
      </c>
      <c r="C4869" s="4">
        <f>MONTH(datos_ventas[[#This Row],[Fecha]])</f>
        <v>5</v>
      </c>
      <c r="D4869" s="4">
        <f>WEEKNUM(datos_ventas[[#This Row],[Fecha]],2)</f>
        <v>22</v>
      </c>
      <c r="E4869" t="s">
        <v>24</v>
      </c>
      <c r="F4869" t="s">
        <v>25</v>
      </c>
      <c r="G4869">
        <v>5</v>
      </c>
      <c r="H4869">
        <v>83788</v>
      </c>
      <c r="I4869">
        <v>2149</v>
      </c>
      <c r="J4869" t="s">
        <v>27</v>
      </c>
      <c r="K4869" t="str">
        <f>_xlfn.XLOOKUP(datos_ventas[[#This Row],[Ciudad]],Tabla2[Ciudades],Tabla2[Provincias],"no se encuentra")</f>
        <v>Sevilla</v>
      </c>
      <c r="L4869" t="str">
        <f>_xlfn.XLOOKUP(datos_ventas[[#This Row],[Provincia]],Tabla2[Provincias],Tabla2[Comunidades],"no se encuentra")</f>
        <v>Andalucía</v>
      </c>
      <c r="M4869" t="s">
        <v>28</v>
      </c>
      <c r="N4869">
        <v>1</v>
      </c>
    </row>
    <row r="4870" spans="1:14" x14ac:dyDescent="0.25">
      <c r="A4870">
        <v>5869</v>
      </c>
      <c r="B4870" s="1">
        <v>46013</v>
      </c>
      <c r="C4870" s="4">
        <f>MONTH(datos_ventas[[#This Row],[Fecha]])</f>
        <v>12</v>
      </c>
      <c r="D4870" s="4">
        <f>WEEKNUM(datos_ventas[[#This Row],[Fecha]],2)</f>
        <v>52</v>
      </c>
      <c r="E4870" t="s">
        <v>24</v>
      </c>
      <c r="F4870" t="s">
        <v>25</v>
      </c>
      <c r="G4870">
        <v>5</v>
      </c>
      <c r="H4870">
        <v>89629</v>
      </c>
      <c r="I4870">
        <v>2813</v>
      </c>
      <c r="J4870" t="s">
        <v>31</v>
      </c>
      <c r="K4870" t="str">
        <f>_xlfn.XLOOKUP(datos_ventas[[#This Row],[Ciudad]],Tabla2[Ciudades],Tabla2[Provincias],"no se encuentra")</f>
        <v>Vizcaya</v>
      </c>
      <c r="L4870" t="str">
        <f>_xlfn.XLOOKUP(datos_ventas[[#This Row],[Provincia]],Tabla2[Provincias],Tabla2[Comunidades],"no se encuentra")</f>
        <v>País Vasco</v>
      </c>
      <c r="M4870" t="s">
        <v>13</v>
      </c>
      <c r="N4870">
        <v>5</v>
      </c>
    </row>
    <row r="4871" spans="1:14" x14ac:dyDescent="0.25">
      <c r="A4871">
        <v>5870</v>
      </c>
      <c r="B4871" s="1">
        <v>45948</v>
      </c>
      <c r="C4871" s="4">
        <f>MONTH(datos_ventas[[#This Row],[Fecha]])</f>
        <v>10</v>
      </c>
      <c r="D4871" s="4">
        <f>WEEKNUM(datos_ventas[[#This Row],[Fecha]],2)</f>
        <v>42</v>
      </c>
      <c r="E4871" t="s">
        <v>20</v>
      </c>
      <c r="F4871" t="s">
        <v>21</v>
      </c>
      <c r="G4871">
        <v>2</v>
      </c>
      <c r="H4871">
        <v>10324</v>
      </c>
      <c r="I4871">
        <v>987</v>
      </c>
      <c r="J4871" t="s">
        <v>14</v>
      </c>
      <c r="K4871" t="str">
        <f>_xlfn.XLOOKUP(datos_ventas[[#This Row],[Ciudad]],Tabla2[Ciudades],Tabla2[Provincias],"no se encuentra")</f>
        <v>Madrid</v>
      </c>
      <c r="L4871" t="str">
        <f>_xlfn.XLOOKUP(datos_ventas[[#This Row],[Provincia]],Tabla2[Provincias],Tabla2[Comunidades],"no se encuentra")</f>
        <v>Comunidad de Madrid</v>
      </c>
      <c r="M4871" t="s">
        <v>13</v>
      </c>
      <c r="N4871">
        <v>2</v>
      </c>
    </row>
    <row r="4872" spans="1:14" x14ac:dyDescent="0.25">
      <c r="A4872">
        <v>5871</v>
      </c>
      <c r="B4872" s="1">
        <v>45931</v>
      </c>
      <c r="C4872" s="4">
        <f>MONTH(datos_ventas[[#This Row],[Fecha]])</f>
        <v>10</v>
      </c>
      <c r="D4872" s="4">
        <f>WEEKNUM(datos_ventas[[#This Row],[Fecha]],2)</f>
        <v>40</v>
      </c>
      <c r="E4872" t="s">
        <v>10</v>
      </c>
      <c r="F4872" t="s">
        <v>11</v>
      </c>
      <c r="G4872">
        <v>2</v>
      </c>
      <c r="H4872">
        <v>50527</v>
      </c>
      <c r="I4872">
        <v>1347</v>
      </c>
      <c r="J4872" t="s">
        <v>27</v>
      </c>
      <c r="K4872" t="str">
        <f>_xlfn.XLOOKUP(datos_ventas[[#This Row],[Ciudad]],Tabla2[Ciudades],Tabla2[Provincias],"no se encuentra")</f>
        <v>Sevilla</v>
      </c>
      <c r="L4872" t="str">
        <f>_xlfn.XLOOKUP(datos_ventas[[#This Row],[Provincia]],Tabla2[Provincias],Tabla2[Comunidades],"no se encuentra")</f>
        <v>Andalucía</v>
      </c>
      <c r="M4872" t="s">
        <v>28</v>
      </c>
      <c r="N4872">
        <v>3</v>
      </c>
    </row>
    <row r="4873" spans="1:14" x14ac:dyDescent="0.25">
      <c r="A4873">
        <v>5872</v>
      </c>
      <c r="B4873" s="1">
        <v>45919</v>
      </c>
      <c r="C4873" s="4">
        <f>MONTH(datos_ventas[[#This Row],[Fecha]])</f>
        <v>9</v>
      </c>
      <c r="D4873" s="4">
        <f>WEEKNUM(datos_ventas[[#This Row],[Fecha]],2)</f>
        <v>38</v>
      </c>
      <c r="E4873" t="s">
        <v>20</v>
      </c>
      <c r="F4873" t="s">
        <v>21</v>
      </c>
      <c r="G4873">
        <v>2</v>
      </c>
      <c r="H4873">
        <v>11597</v>
      </c>
      <c r="I4873">
        <v>3336</v>
      </c>
      <c r="J4873" t="s">
        <v>31</v>
      </c>
      <c r="K4873" t="str">
        <f>_xlfn.XLOOKUP(datos_ventas[[#This Row],[Ciudad]],Tabla2[Ciudades],Tabla2[Provincias],"no se encuentra")</f>
        <v>Vizcaya</v>
      </c>
      <c r="L4873" t="str">
        <f>_xlfn.XLOOKUP(datos_ventas[[#This Row],[Provincia]],Tabla2[Provincias],Tabla2[Comunidades],"no se encuentra")</f>
        <v>País Vasco</v>
      </c>
      <c r="M4873" t="s">
        <v>28</v>
      </c>
      <c r="N4873">
        <v>1</v>
      </c>
    </row>
    <row r="4874" spans="1:14" x14ac:dyDescent="0.25">
      <c r="A4874">
        <v>5873</v>
      </c>
      <c r="B4874" s="1">
        <v>45824</v>
      </c>
      <c r="C4874" s="4">
        <f>MONTH(datos_ventas[[#This Row],[Fecha]])</f>
        <v>6</v>
      </c>
      <c r="D4874" s="4">
        <f>WEEKNUM(datos_ventas[[#This Row],[Fecha]],2)</f>
        <v>25</v>
      </c>
      <c r="E4874" t="s">
        <v>16</v>
      </c>
      <c r="F4874" t="s">
        <v>11</v>
      </c>
      <c r="G4874">
        <v>1</v>
      </c>
      <c r="H4874">
        <v>67556</v>
      </c>
      <c r="I4874">
        <v>1475</v>
      </c>
      <c r="J4874" t="s">
        <v>27</v>
      </c>
      <c r="K4874" t="str">
        <f>_xlfn.XLOOKUP(datos_ventas[[#This Row],[Ciudad]],Tabla2[Ciudades],Tabla2[Provincias],"no se encuentra")</f>
        <v>Sevilla</v>
      </c>
      <c r="L4874" t="str">
        <f>_xlfn.XLOOKUP(datos_ventas[[#This Row],[Provincia]],Tabla2[Provincias],Tabla2[Comunidades],"no se encuentra")</f>
        <v>Andalucía</v>
      </c>
      <c r="M4874" t="s">
        <v>19</v>
      </c>
      <c r="N4874">
        <v>3</v>
      </c>
    </row>
    <row r="4875" spans="1:14" x14ac:dyDescent="0.25">
      <c r="A4875">
        <v>5874</v>
      </c>
      <c r="B4875" s="1">
        <v>45726</v>
      </c>
      <c r="C4875" s="4">
        <f>MONTH(datos_ventas[[#This Row],[Fecha]])</f>
        <v>3</v>
      </c>
      <c r="D4875" s="4">
        <f>WEEKNUM(datos_ventas[[#This Row],[Fecha]],2)</f>
        <v>11</v>
      </c>
      <c r="E4875" t="s">
        <v>20</v>
      </c>
      <c r="F4875" t="s">
        <v>21</v>
      </c>
      <c r="G4875">
        <v>1</v>
      </c>
      <c r="H4875">
        <v>115206</v>
      </c>
      <c r="I4875">
        <v>3106</v>
      </c>
      <c r="J4875" t="s">
        <v>32</v>
      </c>
      <c r="K4875" t="str">
        <f>_xlfn.XLOOKUP(datos_ventas[[#This Row],[Ciudad]],Tabla2[Ciudades],Tabla2[Provincias],"no se encuentra")</f>
        <v>Barcelona</v>
      </c>
      <c r="L4875" t="str">
        <f>_xlfn.XLOOKUP(datos_ventas[[#This Row],[Provincia]],Tabla2[Provincias],Tabla2[Comunidades],"no se encuentra")</f>
        <v>Cataluña</v>
      </c>
      <c r="M4875" t="s">
        <v>15</v>
      </c>
      <c r="N4875">
        <v>2</v>
      </c>
    </row>
    <row r="4876" spans="1:14" x14ac:dyDescent="0.25">
      <c r="A4876">
        <v>5875</v>
      </c>
      <c r="B4876" s="1">
        <v>46011</v>
      </c>
      <c r="C4876" s="4">
        <f>MONTH(datos_ventas[[#This Row],[Fecha]])</f>
        <v>12</v>
      </c>
      <c r="D4876" s="4">
        <f>WEEKNUM(datos_ventas[[#This Row],[Fecha]],2)</f>
        <v>51</v>
      </c>
      <c r="E4876" t="s">
        <v>16</v>
      </c>
      <c r="F4876" t="s">
        <v>11</v>
      </c>
      <c r="G4876">
        <v>5</v>
      </c>
      <c r="H4876">
        <v>35872</v>
      </c>
      <c r="I4876">
        <v>2882</v>
      </c>
      <c r="J4876" t="s">
        <v>27</v>
      </c>
      <c r="K4876" t="str">
        <f>_xlfn.XLOOKUP(datos_ventas[[#This Row],[Ciudad]],Tabla2[Ciudades],Tabla2[Provincias],"no se encuentra")</f>
        <v>Sevilla</v>
      </c>
      <c r="L4876" t="str">
        <f>_xlfn.XLOOKUP(datos_ventas[[#This Row],[Provincia]],Tabla2[Provincias],Tabla2[Comunidades],"no se encuentra")</f>
        <v>Andalucía</v>
      </c>
      <c r="M4876" t="s">
        <v>19</v>
      </c>
      <c r="N4876">
        <v>1</v>
      </c>
    </row>
    <row r="4877" spans="1:14" x14ac:dyDescent="0.25">
      <c r="A4877">
        <v>5876</v>
      </c>
      <c r="B4877" s="1">
        <v>45830</v>
      </c>
      <c r="C4877" s="4">
        <f>MONTH(datos_ventas[[#This Row],[Fecha]])</f>
        <v>6</v>
      </c>
      <c r="D4877" s="4">
        <f>WEEKNUM(datos_ventas[[#This Row],[Fecha]],2)</f>
        <v>25</v>
      </c>
      <c r="E4877" t="s">
        <v>16</v>
      </c>
      <c r="F4877" t="s">
        <v>11</v>
      </c>
      <c r="G4877">
        <v>5</v>
      </c>
      <c r="H4877">
        <v>56464</v>
      </c>
      <c r="I4877">
        <v>4043</v>
      </c>
      <c r="J4877" t="s">
        <v>14</v>
      </c>
      <c r="K4877" t="str">
        <f>_xlfn.XLOOKUP(datos_ventas[[#This Row],[Ciudad]],Tabla2[Ciudades],Tabla2[Provincias],"no se encuentra")</f>
        <v>Madrid</v>
      </c>
      <c r="L4877" t="str">
        <f>_xlfn.XLOOKUP(datos_ventas[[#This Row],[Provincia]],Tabla2[Provincias],Tabla2[Comunidades],"no se encuentra")</f>
        <v>Comunidad de Madrid</v>
      </c>
      <c r="M4877" t="s">
        <v>19</v>
      </c>
      <c r="N4877">
        <v>2</v>
      </c>
    </row>
    <row r="4878" spans="1:14" x14ac:dyDescent="0.25">
      <c r="A4878">
        <v>5877</v>
      </c>
      <c r="B4878" s="1">
        <v>45961</v>
      </c>
      <c r="C4878" s="4">
        <f>MONTH(datos_ventas[[#This Row],[Fecha]])</f>
        <v>10</v>
      </c>
      <c r="D4878" s="4">
        <f>WEEKNUM(datos_ventas[[#This Row],[Fecha]],2)</f>
        <v>44</v>
      </c>
      <c r="E4878" t="s">
        <v>29</v>
      </c>
      <c r="F4878" t="s">
        <v>30</v>
      </c>
      <c r="G4878">
        <v>4</v>
      </c>
      <c r="H4878">
        <v>37512</v>
      </c>
      <c r="I4878">
        <v>360</v>
      </c>
      <c r="J4878" t="s">
        <v>32</v>
      </c>
      <c r="K4878" t="str">
        <f>_xlfn.XLOOKUP(datos_ventas[[#This Row],[Ciudad]],Tabla2[Ciudades],Tabla2[Provincias],"no se encuentra")</f>
        <v>Barcelona</v>
      </c>
      <c r="L4878" t="str">
        <f>_xlfn.XLOOKUP(datos_ventas[[#This Row],[Provincia]],Tabla2[Provincias],Tabla2[Comunidades],"no se encuentra")</f>
        <v>Cataluña</v>
      </c>
      <c r="M4878" t="s">
        <v>15</v>
      </c>
      <c r="N4878">
        <v>4</v>
      </c>
    </row>
    <row r="4879" spans="1:14" x14ac:dyDescent="0.25">
      <c r="A4879">
        <v>5878</v>
      </c>
      <c r="B4879" s="1">
        <v>45802</v>
      </c>
      <c r="C4879" s="4">
        <f>MONTH(datos_ventas[[#This Row],[Fecha]])</f>
        <v>5</v>
      </c>
      <c r="D4879" s="4">
        <f>WEEKNUM(datos_ventas[[#This Row],[Fecha]],2)</f>
        <v>21</v>
      </c>
      <c r="E4879" t="s">
        <v>20</v>
      </c>
      <c r="F4879" t="s">
        <v>21</v>
      </c>
      <c r="G4879">
        <v>5</v>
      </c>
      <c r="H4879">
        <v>59833</v>
      </c>
      <c r="I4879">
        <v>604</v>
      </c>
      <c r="J4879" t="s">
        <v>27</v>
      </c>
      <c r="K4879" t="str">
        <f>_xlfn.XLOOKUP(datos_ventas[[#This Row],[Ciudad]],Tabla2[Ciudades],Tabla2[Provincias],"no se encuentra")</f>
        <v>Sevilla</v>
      </c>
      <c r="L4879" t="str">
        <f>_xlfn.XLOOKUP(datos_ventas[[#This Row],[Provincia]],Tabla2[Provincias],Tabla2[Comunidades],"no se encuentra")</f>
        <v>Andalucía</v>
      </c>
      <c r="M4879" t="s">
        <v>15</v>
      </c>
      <c r="N4879">
        <v>2</v>
      </c>
    </row>
    <row r="4880" spans="1:14" x14ac:dyDescent="0.25">
      <c r="A4880">
        <v>5879</v>
      </c>
      <c r="B4880" s="1">
        <v>45982</v>
      </c>
      <c r="C4880" s="4">
        <f>MONTH(datos_ventas[[#This Row],[Fecha]])</f>
        <v>11</v>
      </c>
      <c r="D4880" s="4">
        <f>WEEKNUM(datos_ventas[[#This Row],[Fecha]],2)</f>
        <v>47</v>
      </c>
      <c r="E4880" t="s">
        <v>26</v>
      </c>
      <c r="F4880" t="s">
        <v>18</v>
      </c>
      <c r="G4880">
        <v>3</v>
      </c>
      <c r="H4880">
        <v>72645</v>
      </c>
      <c r="I4880">
        <v>56</v>
      </c>
      <c r="J4880" t="s">
        <v>22</v>
      </c>
      <c r="K4880" t="str">
        <f>_xlfn.XLOOKUP(datos_ventas[[#This Row],[Ciudad]],Tabla2[Ciudades],Tabla2[Provincias],"no se encuentra")</f>
        <v>Valencia</v>
      </c>
      <c r="L4880" t="str">
        <f>_xlfn.XLOOKUP(datos_ventas[[#This Row],[Provincia]],Tabla2[Provincias],Tabla2[Comunidades],"no se encuentra")</f>
        <v>Comunidad Valenciana</v>
      </c>
      <c r="M4880" t="s">
        <v>13</v>
      </c>
      <c r="N4880">
        <v>3</v>
      </c>
    </row>
    <row r="4881" spans="1:14" x14ac:dyDescent="0.25">
      <c r="A4881">
        <v>5880</v>
      </c>
      <c r="B4881" s="1">
        <v>45844</v>
      </c>
      <c r="C4881" s="4">
        <f>MONTH(datos_ventas[[#This Row],[Fecha]])</f>
        <v>7</v>
      </c>
      <c r="D4881" s="4">
        <f>WEEKNUM(datos_ventas[[#This Row],[Fecha]],2)</f>
        <v>27</v>
      </c>
      <c r="E4881" t="s">
        <v>17</v>
      </c>
      <c r="F4881" t="s">
        <v>18</v>
      </c>
      <c r="G4881">
        <v>2</v>
      </c>
      <c r="H4881">
        <v>96572</v>
      </c>
      <c r="I4881">
        <v>1347</v>
      </c>
      <c r="J4881" t="s">
        <v>22</v>
      </c>
      <c r="K4881" t="str">
        <f>_xlfn.XLOOKUP(datos_ventas[[#This Row],[Ciudad]],Tabla2[Ciudades],Tabla2[Provincias],"no se encuentra")</f>
        <v>Valencia</v>
      </c>
      <c r="L4881" t="str">
        <f>_xlfn.XLOOKUP(datos_ventas[[#This Row],[Provincia]],Tabla2[Provincias],Tabla2[Comunidades],"no se encuentra")</f>
        <v>Comunidad Valenciana</v>
      </c>
      <c r="M4881" t="s">
        <v>13</v>
      </c>
      <c r="N4881">
        <v>1</v>
      </c>
    </row>
    <row r="4882" spans="1:14" x14ac:dyDescent="0.25">
      <c r="A4882">
        <v>5881</v>
      </c>
      <c r="B4882" s="1">
        <v>45947</v>
      </c>
      <c r="C4882" s="4">
        <f>MONTH(datos_ventas[[#This Row],[Fecha]])</f>
        <v>10</v>
      </c>
      <c r="D4882" s="4">
        <f>WEEKNUM(datos_ventas[[#This Row],[Fecha]],2)</f>
        <v>42</v>
      </c>
      <c r="E4882" t="s">
        <v>29</v>
      </c>
      <c r="F4882" t="s">
        <v>30</v>
      </c>
      <c r="G4882">
        <v>2</v>
      </c>
      <c r="H4882">
        <v>59044</v>
      </c>
      <c r="I4882">
        <v>3138</v>
      </c>
      <c r="J4882" t="s">
        <v>22</v>
      </c>
      <c r="K4882" t="str">
        <f>_xlfn.XLOOKUP(datos_ventas[[#This Row],[Ciudad]],Tabla2[Ciudades],Tabla2[Provincias],"no se encuentra")</f>
        <v>Valencia</v>
      </c>
      <c r="L4882" t="str">
        <f>_xlfn.XLOOKUP(datos_ventas[[#This Row],[Provincia]],Tabla2[Provincias],Tabla2[Comunidades],"no se encuentra")</f>
        <v>Comunidad Valenciana</v>
      </c>
      <c r="M4882" t="s">
        <v>19</v>
      </c>
      <c r="N4882">
        <v>5</v>
      </c>
    </row>
    <row r="4883" spans="1:14" x14ac:dyDescent="0.25">
      <c r="A4883">
        <v>5882</v>
      </c>
      <c r="B4883" s="1">
        <v>45784</v>
      </c>
      <c r="C4883" s="4">
        <f>MONTH(datos_ventas[[#This Row],[Fecha]])</f>
        <v>5</v>
      </c>
      <c r="D4883" s="4">
        <f>WEEKNUM(datos_ventas[[#This Row],[Fecha]],2)</f>
        <v>19</v>
      </c>
      <c r="E4883" t="s">
        <v>29</v>
      </c>
      <c r="F4883" t="s">
        <v>30</v>
      </c>
      <c r="G4883">
        <v>3</v>
      </c>
      <c r="H4883">
        <v>39811</v>
      </c>
      <c r="I4883">
        <v>3206</v>
      </c>
      <c r="J4883" t="s">
        <v>14</v>
      </c>
      <c r="K4883" t="str">
        <f>_xlfn.XLOOKUP(datos_ventas[[#This Row],[Ciudad]],Tabla2[Ciudades],Tabla2[Provincias],"no se encuentra")</f>
        <v>Madrid</v>
      </c>
      <c r="L4883" t="str">
        <f>_xlfn.XLOOKUP(datos_ventas[[#This Row],[Provincia]],Tabla2[Provincias],Tabla2[Comunidades],"no se encuentra")</f>
        <v>Comunidad de Madrid</v>
      </c>
      <c r="M4883" t="s">
        <v>28</v>
      </c>
      <c r="N4883">
        <v>1</v>
      </c>
    </row>
    <row r="4884" spans="1:14" x14ac:dyDescent="0.25">
      <c r="A4884">
        <v>5883</v>
      </c>
      <c r="B4884" s="1">
        <v>45883</v>
      </c>
      <c r="C4884" s="4">
        <f>MONTH(datos_ventas[[#This Row],[Fecha]])</f>
        <v>8</v>
      </c>
      <c r="D4884" s="4">
        <f>WEEKNUM(datos_ventas[[#This Row],[Fecha]],2)</f>
        <v>33</v>
      </c>
      <c r="E4884" t="s">
        <v>16</v>
      </c>
      <c r="F4884" t="s">
        <v>11</v>
      </c>
      <c r="G4884">
        <v>1</v>
      </c>
      <c r="H4884">
        <v>23759</v>
      </c>
      <c r="I4884">
        <v>4061</v>
      </c>
      <c r="J4884" t="s">
        <v>22</v>
      </c>
      <c r="K4884" t="str">
        <f>_xlfn.XLOOKUP(datos_ventas[[#This Row],[Ciudad]],Tabla2[Ciudades],Tabla2[Provincias],"no se encuentra")</f>
        <v>Valencia</v>
      </c>
      <c r="L4884" t="str">
        <f>_xlfn.XLOOKUP(datos_ventas[[#This Row],[Provincia]],Tabla2[Provincias],Tabla2[Comunidades],"no se encuentra")</f>
        <v>Comunidad Valenciana</v>
      </c>
      <c r="M4884" t="s">
        <v>28</v>
      </c>
      <c r="N4884">
        <v>5</v>
      </c>
    </row>
    <row r="4885" spans="1:14" x14ac:dyDescent="0.25">
      <c r="A4885">
        <v>5884</v>
      </c>
      <c r="B4885" s="1">
        <v>45658</v>
      </c>
      <c r="C4885" s="4">
        <f>MONTH(datos_ventas[[#This Row],[Fecha]])</f>
        <v>1</v>
      </c>
      <c r="D4885" s="4">
        <f>WEEKNUM(datos_ventas[[#This Row],[Fecha]],2)</f>
        <v>1</v>
      </c>
      <c r="E4885" t="s">
        <v>24</v>
      </c>
      <c r="F4885" t="s">
        <v>25</v>
      </c>
      <c r="G4885">
        <v>4</v>
      </c>
      <c r="H4885">
        <v>53388</v>
      </c>
      <c r="I4885">
        <v>3315</v>
      </c>
      <c r="J4885" t="s">
        <v>32</v>
      </c>
      <c r="K4885" t="str">
        <f>_xlfn.XLOOKUP(datos_ventas[[#This Row],[Ciudad]],Tabla2[Ciudades],Tabla2[Provincias],"no se encuentra")</f>
        <v>Barcelona</v>
      </c>
      <c r="L4885" t="str">
        <f>_xlfn.XLOOKUP(datos_ventas[[#This Row],[Provincia]],Tabla2[Provincias],Tabla2[Comunidades],"no se encuentra")</f>
        <v>Cataluña</v>
      </c>
      <c r="M4885" t="s">
        <v>28</v>
      </c>
      <c r="N4885">
        <v>2</v>
      </c>
    </row>
    <row r="4886" spans="1:14" x14ac:dyDescent="0.25">
      <c r="A4886">
        <v>5885</v>
      </c>
      <c r="B4886" s="1">
        <v>45887</v>
      </c>
      <c r="C4886" s="4">
        <f>MONTH(datos_ventas[[#This Row],[Fecha]])</f>
        <v>8</v>
      </c>
      <c r="D4886" s="4">
        <f>WEEKNUM(datos_ventas[[#This Row],[Fecha]],2)</f>
        <v>34</v>
      </c>
      <c r="E4886" t="s">
        <v>26</v>
      </c>
      <c r="F4886" t="s">
        <v>18</v>
      </c>
      <c r="G4886">
        <v>1</v>
      </c>
      <c r="H4886">
        <v>82298</v>
      </c>
      <c r="I4886">
        <v>3448</v>
      </c>
      <c r="J4886" t="s">
        <v>14</v>
      </c>
      <c r="K4886" t="str">
        <f>_xlfn.XLOOKUP(datos_ventas[[#This Row],[Ciudad]],Tabla2[Ciudades],Tabla2[Provincias],"no se encuentra")</f>
        <v>Madrid</v>
      </c>
      <c r="L4886" t="str">
        <f>_xlfn.XLOOKUP(datos_ventas[[#This Row],[Provincia]],Tabla2[Provincias],Tabla2[Comunidades],"no se encuentra")</f>
        <v>Comunidad de Madrid</v>
      </c>
      <c r="M4886" t="s">
        <v>15</v>
      </c>
      <c r="N4886">
        <v>1</v>
      </c>
    </row>
    <row r="4887" spans="1:14" x14ac:dyDescent="0.25">
      <c r="A4887">
        <v>5886</v>
      </c>
      <c r="B4887" s="1">
        <v>45878</v>
      </c>
      <c r="C4887" s="4">
        <f>MONTH(datos_ventas[[#This Row],[Fecha]])</f>
        <v>8</v>
      </c>
      <c r="D4887" s="4">
        <f>WEEKNUM(datos_ventas[[#This Row],[Fecha]],2)</f>
        <v>32</v>
      </c>
      <c r="E4887" t="s">
        <v>10</v>
      </c>
      <c r="F4887" t="s">
        <v>11</v>
      </c>
      <c r="G4887">
        <v>3</v>
      </c>
      <c r="H4887">
        <v>7957</v>
      </c>
      <c r="I4887">
        <v>1912</v>
      </c>
      <c r="J4887" t="s">
        <v>27</v>
      </c>
      <c r="K4887" t="str">
        <f>_xlfn.XLOOKUP(datos_ventas[[#This Row],[Ciudad]],Tabla2[Ciudades],Tabla2[Provincias],"no se encuentra")</f>
        <v>Sevilla</v>
      </c>
      <c r="L4887" t="str">
        <f>_xlfn.XLOOKUP(datos_ventas[[#This Row],[Provincia]],Tabla2[Provincias],Tabla2[Comunidades],"no se encuentra")</f>
        <v>Andalucía</v>
      </c>
      <c r="M4887" t="s">
        <v>28</v>
      </c>
      <c r="N4887">
        <v>3</v>
      </c>
    </row>
    <row r="4888" spans="1:14" x14ac:dyDescent="0.25">
      <c r="A4888">
        <v>5887</v>
      </c>
      <c r="B4888" s="1">
        <v>45718</v>
      </c>
      <c r="C4888" s="4">
        <f>MONTH(datos_ventas[[#This Row],[Fecha]])</f>
        <v>3</v>
      </c>
      <c r="D4888" s="4">
        <f>WEEKNUM(datos_ventas[[#This Row],[Fecha]],2)</f>
        <v>9</v>
      </c>
      <c r="E4888" t="s">
        <v>20</v>
      </c>
      <c r="F4888" t="s">
        <v>21</v>
      </c>
      <c r="G4888">
        <v>3</v>
      </c>
      <c r="H4888">
        <v>27563</v>
      </c>
      <c r="I4888">
        <v>330</v>
      </c>
      <c r="J4888" t="s">
        <v>14</v>
      </c>
      <c r="K4888" t="str">
        <f>_xlfn.XLOOKUP(datos_ventas[[#This Row],[Ciudad]],Tabla2[Ciudades],Tabla2[Provincias],"no se encuentra")</f>
        <v>Madrid</v>
      </c>
      <c r="L4888" t="str">
        <f>_xlfn.XLOOKUP(datos_ventas[[#This Row],[Provincia]],Tabla2[Provincias],Tabla2[Comunidades],"no se encuentra")</f>
        <v>Comunidad de Madrid</v>
      </c>
      <c r="M4888" t="s">
        <v>19</v>
      </c>
      <c r="N4888">
        <v>5</v>
      </c>
    </row>
    <row r="4889" spans="1:14" x14ac:dyDescent="0.25">
      <c r="A4889">
        <v>5888</v>
      </c>
      <c r="B4889" s="1">
        <v>45935</v>
      </c>
      <c r="C4889" s="4">
        <f>MONTH(datos_ventas[[#This Row],[Fecha]])</f>
        <v>10</v>
      </c>
      <c r="D4889" s="4">
        <f>WEEKNUM(datos_ventas[[#This Row],[Fecha]],2)</f>
        <v>40</v>
      </c>
      <c r="E4889" t="s">
        <v>17</v>
      </c>
      <c r="F4889" t="s">
        <v>18</v>
      </c>
      <c r="G4889">
        <v>1</v>
      </c>
      <c r="H4889">
        <v>110281</v>
      </c>
      <c r="I4889">
        <v>3939</v>
      </c>
      <c r="J4889" t="s">
        <v>27</v>
      </c>
      <c r="K4889" t="str">
        <f>_xlfn.XLOOKUP(datos_ventas[[#This Row],[Ciudad]],Tabla2[Ciudades],Tabla2[Provincias],"no se encuentra")</f>
        <v>Sevilla</v>
      </c>
      <c r="L4889" t="str">
        <f>_xlfn.XLOOKUP(datos_ventas[[#This Row],[Provincia]],Tabla2[Provincias],Tabla2[Comunidades],"no se encuentra")</f>
        <v>Andalucía</v>
      </c>
      <c r="M4889" t="s">
        <v>13</v>
      </c>
      <c r="N4889">
        <v>5</v>
      </c>
    </row>
    <row r="4890" spans="1:14" x14ac:dyDescent="0.25">
      <c r="A4890">
        <v>5889</v>
      </c>
      <c r="B4890" s="1">
        <v>45714</v>
      </c>
      <c r="C4890" s="4">
        <f>MONTH(datos_ventas[[#This Row],[Fecha]])</f>
        <v>2</v>
      </c>
      <c r="D4890" s="4">
        <f>WEEKNUM(datos_ventas[[#This Row],[Fecha]],2)</f>
        <v>9</v>
      </c>
      <c r="E4890" t="s">
        <v>29</v>
      </c>
      <c r="F4890" t="s">
        <v>30</v>
      </c>
      <c r="G4890">
        <v>3</v>
      </c>
      <c r="H4890">
        <v>43174</v>
      </c>
      <c r="I4890">
        <v>3725</v>
      </c>
      <c r="J4890" t="s">
        <v>32</v>
      </c>
      <c r="K4890" t="str">
        <f>_xlfn.XLOOKUP(datos_ventas[[#This Row],[Ciudad]],Tabla2[Ciudades],Tabla2[Provincias],"no se encuentra")</f>
        <v>Barcelona</v>
      </c>
      <c r="L4890" t="str">
        <f>_xlfn.XLOOKUP(datos_ventas[[#This Row],[Provincia]],Tabla2[Provincias],Tabla2[Comunidades],"no se encuentra")</f>
        <v>Cataluña</v>
      </c>
      <c r="M4890" t="s">
        <v>19</v>
      </c>
      <c r="N4890">
        <v>5</v>
      </c>
    </row>
    <row r="4891" spans="1:14" x14ac:dyDescent="0.25">
      <c r="A4891">
        <v>5890</v>
      </c>
      <c r="B4891" s="1">
        <v>45870</v>
      </c>
      <c r="C4891" s="4">
        <f>MONTH(datos_ventas[[#This Row],[Fecha]])</f>
        <v>8</v>
      </c>
      <c r="D4891" s="4">
        <f>WEEKNUM(datos_ventas[[#This Row],[Fecha]],2)</f>
        <v>31</v>
      </c>
      <c r="E4891" t="s">
        <v>24</v>
      </c>
      <c r="F4891" t="s">
        <v>25</v>
      </c>
      <c r="G4891">
        <v>4</v>
      </c>
      <c r="H4891">
        <v>26781</v>
      </c>
      <c r="I4891">
        <v>4895</v>
      </c>
      <c r="J4891" t="s">
        <v>14</v>
      </c>
      <c r="K4891" t="str">
        <f>_xlfn.XLOOKUP(datos_ventas[[#This Row],[Ciudad]],Tabla2[Ciudades],Tabla2[Provincias],"no se encuentra")</f>
        <v>Madrid</v>
      </c>
      <c r="L4891" t="str">
        <f>_xlfn.XLOOKUP(datos_ventas[[#This Row],[Provincia]],Tabla2[Provincias],Tabla2[Comunidades],"no se encuentra")</f>
        <v>Comunidad de Madrid</v>
      </c>
      <c r="M4891" t="s">
        <v>13</v>
      </c>
      <c r="N4891">
        <v>1</v>
      </c>
    </row>
    <row r="4892" spans="1:14" x14ac:dyDescent="0.25">
      <c r="A4892">
        <v>5891</v>
      </c>
      <c r="B4892" s="1">
        <v>45937</v>
      </c>
      <c r="C4892" s="4">
        <f>MONTH(datos_ventas[[#This Row],[Fecha]])</f>
        <v>10</v>
      </c>
      <c r="D4892" s="4">
        <f>WEEKNUM(datos_ventas[[#This Row],[Fecha]],2)</f>
        <v>41</v>
      </c>
      <c r="E4892" t="s">
        <v>10</v>
      </c>
      <c r="F4892" t="s">
        <v>11</v>
      </c>
      <c r="G4892">
        <v>1</v>
      </c>
      <c r="H4892">
        <v>67727</v>
      </c>
      <c r="I4892">
        <v>3599</v>
      </c>
      <c r="J4892" t="s">
        <v>12</v>
      </c>
      <c r="K4892" t="str">
        <f>_xlfn.XLOOKUP(datos_ventas[[#This Row],[Ciudad]],Tabla2[Ciudades],Tabla2[Provincias],"no se encuentra")</f>
        <v>Málaga</v>
      </c>
      <c r="L4892" t="str">
        <f>_xlfn.XLOOKUP(datos_ventas[[#This Row],[Provincia]],Tabla2[Provincias],Tabla2[Comunidades],"no se encuentra")</f>
        <v>Andalucía</v>
      </c>
      <c r="M4892" t="s">
        <v>15</v>
      </c>
      <c r="N4892">
        <v>3</v>
      </c>
    </row>
    <row r="4893" spans="1:14" x14ac:dyDescent="0.25">
      <c r="A4893">
        <v>5892</v>
      </c>
      <c r="B4893" s="1">
        <v>45833</v>
      </c>
      <c r="C4893" s="4">
        <f>MONTH(datos_ventas[[#This Row],[Fecha]])</f>
        <v>6</v>
      </c>
      <c r="D4893" s="4">
        <f>WEEKNUM(datos_ventas[[#This Row],[Fecha]],2)</f>
        <v>26</v>
      </c>
      <c r="E4893" t="s">
        <v>29</v>
      </c>
      <c r="F4893" t="s">
        <v>30</v>
      </c>
      <c r="G4893">
        <v>2</v>
      </c>
      <c r="H4893">
        <v>107479</v>
      </c>
      <c r="I4893">
        <v>4743</v>
      </c>
      <c r="J4893" t="s">
        <v>14</v>
      </c>
      <c r="K4893" t="str">
        <f>_xlfn.XLOOKUP(datos_ventas[[#This Row],[Ciudad]],Tabla2[Ciudades],Tabla2[Provincias],"no se encuentra")</f>
        <v>Madrid</v>
      </c>
      <c r="L4893" t="str">
        <f>_xlfn.XLOOKUP(datos_ventas[[#This Row],[Provincia]],Tabla2[Provincias],Tabla2[Comunidades],"no se encuentra")</f>
        <v>Comunidad de Madrid</v>
      </c>
      <c r="M4893" t="s">
        <v>13</v>
      </c>
      <c r="N4893">
        <v>3</v>
      </c>
    </row>
    <row r="4894" spans="1:14" x14ac:dyDescent="0.25">
      <c r="A4894">
        <v>5893</v>
      </c>
      <c r="B4894" s="1">
        <v>45776</v>
      </c>
      <c r="C4894" s="4">
        <f>MONTH(datos_ventas[[#This Row],[Fecha]])</f>
        <v>4</v>
      </c>
      <c r="D4894" s="4">
        <f>WEEKNUM(datos_ventas[[#This Row],[Fecha]],2)</f>
        <v>18</v>
      </c>
      <c r="E4894" t="s">
        <v>24</v>
      </c>
      <c r="F4894" t="s">
        <v>25</v>
      </c>
      <c r="G4894">
        <v>4</v>
      </c>
      <c r="H4894">
        <v>24895</v>
      </c>
      <c r="I4894">
        <v>4842</v>
      </c>
      <c r="J4894" t="s">
        <v>31</v>
      </c>
      <c r="K4894" t="str">
        <f>_xlfn.XLOOKUP(datos_ventas[[#This Row],[Ciudad]],Tabla2[Ciudades],Tabla2[Provincias],"no se encuentra")</f>
        <v>Vizcaya</v>
      </c>
      <c r="L4894" t="str">
        <f>_xlfn.XLOOKUP(datos_ventas[[#This Row],[Provincia]],Tabla2[Provincias],Tabla2[Comunidades],"no se encuentra")</f>
        <v>País Vasco</v>
      </c>
      <c r="M4894" t="s">
        <v>28</v>
      </c>
      <c r="N4894">
        <v>1</v>
      </c>
    </row>
    <row r="4895" spans="1:14" x14ac:dyDescent="0.25">
      <c r="A4895">
        <v>5894</v>
      </c>
      <c r="B4895" s="1">
        <v>45917</v>
      </c>
      <c r="C4895" s="4">
        <f>MONTH(datos_ventas[[#This Row],[Fecha]])</f>
        <v>9</v>
      </c>
      <c r="D4895" s="4">
        <f>WEEKNUM(datos_ventas[[#This Row],[Fecha]],2)</f>
        <v>38</v>
      </c>
      <c r="E4895" t="s">
        <v>10</v>
      </c>
      <c r="F4895" t="s">
        <v>11</v>
      </c>
      <c r="G4895">
        <v>2</v>
      </c>
      <c r="H4895">
        <v>84508</v>
      </c>
      <c r="I4895">
        <v>3524</v>
      </c>
      <c r="J4895" t="s">
        <v>32</v>
      </c>
      <c r="K4895" t="str">
        <f>_xlfn.XLOOKUP(datos_ventas[[#This Row],[Ciudad]],Tabla2[Ciudades],Tabla2[Provincias],"no se encuentra")</f>
        <v>Barcelona</v>
      </c>
      <c r="L4895" t="str">
        <f>_xlfn.XLOOKUP(datos_ventas[[#This Row],[Provincia]],Tabla2[Provincias],Tabla2[Comunidades],"no se encuentra")</f>
        <v>Cataluña</v>
      </c>
      <c r="M4895" t="s">
        <v>13</v>
      </c>
      <c r="N4895">
        <v>2</v>
      </c>
    </row>
    <row r="4896" spans="1:14" x14ac:dyDescent="0.25">
      <c r="A4896">
        <v>5895</v>
      </c>
      <c r="B4896" s="1">
        <v>45734</v>
      </c>
      <c r="C4896" s="4">
        <f>MONTH(datos_ventas[[#This Row],[Fecha]])</f>
        <v>3</v>
      </c>
      <c r="D4896" s="4">
        <f>WEEKNUM(datos_ventas[[#This Row],[Fecha]],2)</f>
        <v>12</v>
      </c>
      <c r="E4896" t="s">
        <v>10</v>
      </c>
      <c r="F4896" t="s">
        <v>11</v>
      </c>
      <c r="G4896">
        <v>2</v>
      </c>
      <c r="H4896">
        <v>37024</v>
      </c>
      <c r="I4896">
        <v>759</v>
      </c>
      <c r="J4896" t="s">
        <v>12</v>
      </c>
      <c r="K4896" t="str">
        <f>_xlfn.XLOOKUP(datos_ventas[[#This Row],[Ciudad]],Tabla2[Ciudades],Tabla2[Provincias],"no se encuentra")</f>
        <v>Málaga</v>
      </c>
      <c r="L4896" t="str">
        <f>_xlfn.XLOOKUP(datos_ventas[[#This Row],[Provincia]],Tabla2[Provincias],Tabla2[Comunidades],"no se encuentra")</f>
        <v>Andalucía</v>
      </c>
      <c r="M4896" t="s">
        <v>28</v>
      </c>
      <c r="N4896">
        <v>5</v>
      </c>
    </row>
    <row r="4897" spans="1:14" x14ac:dyDescent="0.25">
      <c r="A4897">
        <v>5896</v>
      </c>
      <c r="B4897" s="1">
        <v>45908</v>
      </c>
      <c r="C4897" s="4">
        <f>MONTH(datos_ventas[[#This Row],[Fecha]])</f>
        <v>9</v>
      </c>
      <c r="D4897" s="4">
        <f>WEEKNUM(datos_ventas[[#This Row],[Fecha]],2)</f>
        <v>37</v>
      </c>
      <c r="E4897" t="s">
        <v>10</v>
      </c>
      <c r="F4897" t="s">
        <v>11</v>
      </c>
      <c r="G4897">
        <v>1</v>
      </c>
      <c r="H4897">
        <v>5836</v>
      </c>
      <c r="I4897">
        <v>3979</v>
      </c>
      <c r="J4897" t="s">
        <v>22</v>
      </c>
      <c r="K4897" t="str">
        <f>_xlfn.XLOOKUP(datos_ventas[[#This Row],[Ciudad]],Tabla2[Ciudades],Tabla2[Provincias],"no se encuentra")</f>
        <v>Valencia</v>
      </c>
      <c r="L4897" t="str">
        <f>_xlfn.XLOOKUP(datos_ventas[[#This Row],[Provincia]],Tabla2[Provincias],Tabla2[Comunidades],"no se encuentra")</f>
        <v>Comunidad Valenciana</v>
      </c>
      <c r="M4897" t="s">
        <v>19</v>
      </c>
      <c r="N4897">
        <v>2</v>
      </c>
    </row>
    <row r="4898" spans="1:14" x14ac:dyDescent="0.25">
      <c r="A4898">
        <v>5897</v>
      </c>
      <c r="B4898" s="1">
        <v>46007</v>
      </c>
      <c r="C4898" s="4">
        <f>MONTH(datos_ventas[[#This Row],[Fecha]])</f>
        <v>12</v>
      </c>
      <c r="D4898" s="4">
        <f>WEEKNUM(datos_ventas[[#This Row],[Fecha]],2)</f>
        <v>51</v>
      </c>
      <c r="E4898" t="s">
        <v>10</v>
      </c>
      <c r="F4898" t="s">
        <v>11</v>
      </c>
      <c r="G4898">
        <v>4</v>
      </c>
      <c r="H4898">
        <v>66166</v>
      </c>
      <c r="I4898">
        <v>3724</v>
      </c>
      <c r="J4898" t="s">
        <v>32</v>
      </c>
      <c r="K4898" t="str">
        <f>_xlfn.XLOOKUP(datos_ventas[[#This Row],[Ciudad]],Tabla2[Ciudades],Tabla2[Provincias],"no se encuentra")</f>
        <v>Barcelona</v>
      </c>
      <c r="L4898" t="str">
        <f>_xlfn.XLOOKUP(datos_ventas[[#This Row],[Provincia]],Tabla2[Provincias],Tabla2[Comunidades],"no se encuentra")</f>
        <v>Cataluña</v>
      </c>
      <c r="M4898" t="s">
        <v>15</v>
      </c>
      <c r="N4898">
        <v>1</v>
      </c>
    </row>
    <row r="4899" spans="1:14" x14ac:dyDescent="0.25">
      <c r="A4899">
        <v>5898</v>
      </c>
      <c r="B4899" s="1">
        <v>45783</v>
      </c>
      <c r="C4899" s="4">
        <f>MONTH(datos_ventas[[#This Row],[Fecha]])</f>
        <v>5</v>
      </c>
      <c r="D4899" s="4">
        <f>WEEKNUM(datos_ventas[[#This Row],[Fecha]],2)</f>
        <v>19</v>
      </c>
      <c r="E4899" t="s">
        <v>24</v>
      </c>
      <c r="F4899" t="s">
        <v>25</v>
      </c>
      <c r="G4899">
        <v>3</v>
      </c>
      <c r="H4899">
        <v>100078</v>
      </c>
      <c r="I4899">
        <v>375</v>
      </c>
      <c r="J4899" t="s">
        <v>32</v>
      </c>
      <c r="K4899" t="str">
        <f>_xlfn.XLOOKUP(datos_ventas[[#This Row],[Ciudad]],Tabla2[Ciudades],Tabla2[Provincias],"no se encuentra")</f>
        <v>Barcelona</v>
      </c>
      <c r="L4899" t="str">
        <f>_xlfn.XLOOKUP(datos_ventas[[#This Row],[Provincia]],Tabla2[Provincias],Tabla2[Comunidades],"no se encuentra")</f>
        <v>Cataluña</v>
      </c>
      <c r="M4899" t="s">
        <v>28</v>
      </c>
      <c r="N4899">
        <v>1</v>
      </c>
    </row>
    <row r="4900" spans="1:14" x14ac:dyDescent="0.25">
      <c r="A4900">
        <v>5899</v>
      </c>
      <c r="B4900" s="1">
        <v>45942</v>
      </c>
      <c r="C4900" s="4">
        <f>MONTH(datos_ventas[[#This Row],[Fecha]])</f>
        <v>10</v>
      </c>
      <c r="D4900" s="4">
        <f>WEEKNUM(datos_ventas[[#This Row],[Fecha]],2)</f>
        <v>41</v>
      </c>
      <c r="E4900" t="s">
        <v>16</v>
      </c>
      <c r="F4900" t="s">
        <v>11</v>
      </c>
      <c r="G4900">
        <v>5</v>
      </c>
      <c r="H4900">
        <v>115995</v>
      </c>
      <c r="I4900">
        <v>408</v>
      </c>
      <c r="J4900" t="s">
        <v>12</v>
      </c>
      <c r="K4900" t="str">
        <f>_xlfn.XLOOKUP(datos_ventas[[#This Row],[Ciudad]],Tabla2[Ciudades],Tabla2[Provincias],"no se encuentra")</f>
        <v>Málaga</v>
      </c>
      <c r="L4900" t="str">
        <f>_xlfn.XLOOKUP(datos_ventas[[#This Row],[Provincia]],Tabla2[Provincias],Tabla2[Comunidades],"no se encuentra")</f>
        <v>Andalucía</v>
      </c>
      <c r="M4900" t="s">
        <v>15</v>
      </c>
      <c r="N4900">
        <v>5</v>
      </c>
    </row>
    <row r="4901" spans="1:14" x14ac:dyDescent="0.25">
      <c r="A4901">
        <v>5900</v>
      </c>
      <c r="B4901" s="1">
        <v>45958</v>
      </c>
      <c r="C4901" s="4">
        <f>MONTH(datos_ventas[[#This Row],[Fecha]])</f>
        <v>10</v>
      </c>
      <c r="D4901" s="4">
        <f>WEEKNUM(datos_ventas[[#This Row],[Fecha]],2)</f>
        <v>44</v>
      </c>
      <c r="E4901" t="s">
        <v>16</v>
      </c>
      <c r="F4901" t="s">
        <v>11</v>
      </c>
      <c r="G4901">
        <v>5</v>
      </c>
      <c r="H4901">
        <v>112188</v>
      </c>
      <c r="I4901">
        <v>1094</v>
      </c>
      <c r="J4901" t="s">
        <v>12</v>
      </c>
      <c r="K4901" t="str">
        <f>_xlfn.XLOOKUP(datos_ventas[[#This Row],[Ciudad]],Tabla2[Ciudades],Tabla2[Provincias],"no se encuentra")</f>
        <v>Málaga</v>
      </c>
      <c r="L4901" t="str">
        <f>_xlfn.XLOOKUP(datos_ventas[[#This Row],[Provincia]],Tabla2[Provincias],Tabla2[Comunidades],"no se encuentra")</f>
        <v>Andalucía</v>
      </c>
      <c r="M4901" t="s">
        <v>28</v>
      </c>
      <c r="N4901">
        <v>5</v>
      </c>
    </row>
    <row r="4902" spans="1:14" x14ac:dyDescent="0.25">
      <c r="A4902">
        <v>5901</v>
      </c>
      <c r="B4902" s="1">
        <v>45786</v>
      </c>
      <c r="C4902" s="4">
        <f>MONTH(datos_ventas[[#This Row],[Fecha]])</f>
        <v>5</v>
      </c>
      <c r="D4902" s="4">
        <f>WEEKNUM(datos_ventas[[#This Row],[Fecha]],2)</f>
        <v>19</v>
      </c>
      <c r="E4902" t="s">
        <v>10</v>
      </c>
      <c r="F4902" t="s">
        <v>11</v>
      </c>
      <c r="G4902">
        <v>4</v>
      </c>
      <c r="H4902">
        <v>38007</v>
      </c>
      <c r="I4902">
        <v>4332</v>
      </c>
      <c r="J4902" t="s">
        <v>12</v>
      </c>
      <c r="K4902" t="str">
        <f>_xlfn.XLOOKUP(datos_ventas[[#This Row],[Ciudad]],Tabla2[Ciudades],Tabla2[Provincias],"no se encuentra")</f>
        <v>Málaga</v>
      </c>
      <c r="L4902" t="str">
        <f>_xlfn.XLOOKUP(datos_ventas[[#This Row],[Provincia]],Tabla2[Provincias],Tabla2[Comunidades],"no se encuentra")</f>
        <v>Andalucía</v>
      </c>
      <c r="M4902" t="s">
        <v>13</v>
      </c>
      <c r="N4902">
        <v>2</v>
      </c>
    </row>
    <row r="4903" spans="1:14" x14ac:dyDescent="0.25">
      <c r="A4903">
        <v>5902</v>
      </c>
      <c r="B4903" s="1">
        <v>45746</v>
      </c>
      <c r="C4903" s="4">
        <f>MONTH(datos_ventas[[#This Row],[Fecha]])</f>
        <v>3</v>
      </c>
      <c r="D4903" s="4">
        <f>WEEKNUM(datos_ventas[[#This Row],[Fecha]],2)</f>
        <v>13</v>
      </c>
      <c r="E4903" t="s">
        <v>10</v>
      </c>
      <c r="F4903" t="s">
        <v>11</v>
      </c>
      <c r="G4903">
        <v>3</v>
      </c>
      <c r="H4903">
        <v>82915</v>
      </c>
      <c r="I4903">
        <v>4033</v>
      </c>
      <c r="J4903" t="s">
        <v>31</v>
      </c>
      <c r="K4903" t="str">
        <f>_xlfn.XLOOKUP(datos_ventas[[#This Row],[Ciudad]],Tabla2[Ciudades],Tabla2[Provincias],"no se encuentra")</f>
        <v>Vizcaya</v>
      </c>
      <c r="L4903" t="str">
        <f>_xlfn.XLOOKUP(datos_ventas[[#This Row],[Provincia]],Tabla2[Provincias],Tabla2[Comunidades],"no se encuentra")</f>
        <v>País Vasco</v>
      </c>
      <c r="M4903" t="s">
        <v>19</v>
      </c>
      <c r="N4903">
        <v>2</v>
      </c>
    </row>
    <row r="4904" spans="1:14" x14ac:dyDescent="0.25">
      <c r="A4904">
        <v>5903</v>
      </c>
      <c r="B4904" s="1">
        <v>45696</v>
      </c>
      <c r="C4904" s="4">
        <f>MONTH(datos_ventas[[#This Row],[Fecha]])</f>
        <v>2</v>
      </c>
      <c r="D4904" s="4">
        <f>WEEKNUM(datos_ventas[[#This Row],[Fecha]],2)</f>
        <v>6</v>
      </c>
      <c r="E4904" t="s">
        <v>17</v>
      </c>
      <c r="F4904" t="s">
        <v>18</v>
      </c>
      <c r="G4904">
        <v>2</v>
      </c>
      <c r="H4904">
        <v>62139</v>
      </c>
      <c r="I4904">
        <v>1213</v>
      </c>
      <c r="J4904" t="s">
        <v>32</v>
      </c>
      <c r="K4904" t="str">
        <f>_xlfn.XLOOKUP(datos_ventas[[#This Row],[Ciudad]],Tabla2[Ciudades],Tabla2[Provincias],"no se encuentra")</f>
        <v>Barcelona</v>
      </c>
      <c r="L4904" t="str">
        <f>_xlfn.XLOOKUP(datos_ventas[[#This Row],[Provincia]],Tabla2[Provincias],Tabla2[Comunidades],"no se encuentra")</f>
        <v>Cataluña</v>
      </c>
      <c r="M4904" t="s">
        <v>13</v>
      </c>
      <c r="N4904">
        <v>1</v>
      </c>
    </row>
    <row r="4905" spans="1:14" x14ac:dyDescent="0.25">
      <c r="A4905">
        <v>5904</v>
      </c>
      <c r="B4905" s="1">
        <v>45755</v>
      </c>
      <c r="C4905" s="4">
        <f>MONTH(datos_ventas[[#This Row],[Fecha]])</f>
        <v>4</v>
      </c>
      <c r="D4905" s="4">
        <f>WEEKNUM(datos_ventas[[#This Row],[Fecha]],2)</f>
        <v>15</v>
      </c>
      <c r="E4905" t="s">
        <v>17</v>
      </c>
      <c r="F4905" t="s">
        <v>18</v>
      </c>
      <c r="G4905">
        <v>1</v>
      </c>
      <c r="H4905">
        <v>29829</v>
      </c>
      <c r="I4905">
        <v>1376</v>
      </c>
      <c r="J4905" t="s">
        <v>22</v>
      </c>
      <c r="K4905" t="str">
        <f>_xlfn.XLOOKUP(datos_ventas[[#This Row],[Ciudad]],Tabla2[Ciudades],Tabla2[Provincias],"no se encuentra")</f>
        <v>Valencia</v>
      </c>
      <c r="L4905" t="str">
        <f>_xlfn.XLOOKUP(datos_ventas[[#This Row],[Provincia]],Tabla2[Provincias],Tabla2[Comunidades],"no se encuentra")</f>
        <v>Comunidad Valenciana</v>
      </c>
      <c r="M4905" t="s">
        <v>19</v>
      </c>
      <c r="N4905">
        <v>5</v>
      </c>
    </row>
    <row r="4906" spans="1:14" x14ac:dyDescent="0.25">
      <c r="A4906">
        <v>5905</v>
      </c>
      <c r="B4906" s="1">
        <v>45959</v>
      </c>
      <c r="C4906" s="4">
        <f>MONTH(datos_ventas[[#This Row],[Fecha]])</f>
        <v>10</v>
      </c>
      <c r="D4906" s="4">
        <f>WEEKNUM(datos_ventas[[#This Row],[Fecha]],2)</f>
        <v>44</v>
      </c>
      <c r="E4906" t="s">
        <v>26</v>
      </c>
      <c r="F4906" t="s">
        <v>18</v>
      </c>
      <c r="G4906">
        <v>2</v>
      </c>
      <c r="H4906">
        <v>37462</v>
      </c>
      <c r="I4906">
        <v>963</v>
      </c>
      <c r="J4906" t="s">
        <v>27</v>
      </c>
      <c r="K4906" t="str">
        <f>_xlfn.XLOOKUP(datos_ventas[[#This Row],[Ciudad]],Tabla2[Ciudades],Tabla2[Provincias],"no se encuentra")</f>
        <v>Sevilla</v>
      </c>
      <c r="L4906" t="str">
        <f>_xlfn.XLOOKUP(datos_ventas[[#This Row],[Provincia]],Tabla2[Provincias],Tabla2[Comunidades],"no se encuentra")</f>
        <v>Andalucía</v>
      </c>
      <c r="M4906" t="s">
        <v>19</v>
      </c>
      <c r="N4906">
        <v>1</v>
      </c>
    </row>
    <row r="4907" spans="1:14" x14ac:dyDescent="0.25">
      <c r="A4907">
        <v>5906</v>
      </c>
      <c r="B4907" s="1">
        <v>45985</v>
      </c>
      <c r="C4907" s="4">
        <f>MONTH(datos_ventas[[#This Row],[Fecha]])</f>
        <v>11</v>
      </c>
      <c r="D4907" s="4">
        <f>WEEKNUM(datos_ventas[[#This Row],[Fecha]],2)</f>
        <v>48</v>
      </c>
      <c r="E4907" t="s">
        <v>10</v>
      </c>
      <c r="F4907" t="s">
        <v>11</v>
      </c>
      <c r="G4907">
        <v>2</v>
      </c>
      <c r="H4907">
        <v>2785</v>
      </c>
      <c r="I4907">
        <v>216</v>
      </c>
      <c r="J4907" t="s">
        <v>31</v>
      </c>
      <c r="K4907" t="str">
        <f>_xlfn.XLOOKUP(datos_ventas[[#This Row],[Ciudad]],Tabla2[Ciudades],Tabla2[Provincias],"no se encuentra")</f>
        <v>Vizcaya</v>
      </c>
      <c r="L4907" t="str">
        <f>_xlfn.XLOOKUP(datos_ventas[[#This Row],[Provincia]],Tabla2[Provincias],Tabla2[Comunidades],"no se encuentra")</f>
        <v>País Vasco</v>
      </c>
      <c r="M4907" t="s">
        <v>13</v>
      </c>
      <c r="N4907">
        <v>1</v>
      </c>
    </row>
    <row r="4908" spans="1:14" x14ac:dyDescent="0.25">
      <c r="A4908">
        <v>5907</v>
      </c>
      <c r="B4908" s="1">
        <v>45923</v>
      </c>
      <c r="C4908" s="4">
        <f>MONTH(datos_ventas[[#This Row],[Fecha]])</f>
        <v>9</v>
      </c>
      <c r="D4908" s="4">
        <f>WEEKNUM(datos_ventas[[#This Row],[Fecha]],2)</f>
        <v>39</v>
      </c>
      <c r="E4908" t="s">
        <v>23</v>
      </c>
      <c r="F4908" t="s">
        <v>18</v>
      </c>
      <c r="G4908">
        <v>2</v>
      </c>
      <c r="H4908">
        <v>86881</v>
      </c>
      <c r="I4908">
        <v>2756</v>
      </c>
      <c r="J4908" t="s">
        <v>27</v>
      </c>
      <c r="K4908" t="str">
        <f>_xlfn.XLOOKUP(datos_ventas[[#This Row],[Ciudad]],Tabla2[Ciudades],Tabla2[Provincias],"no se encuentra")</f>
        <v>Sevilla</v>
      </c>
      <c r="L4908" t="str">
        <f>_xlfn.XLOOKUP(datos_ventas[[#This Row],[Provincia]],Tabla2[Provincias],Tabla2[Comunidades],"no se encuentra")</f>
        <v>Andalucía</v>
      </c>
      <c r="M4908" t="s">
        <v>15</v>
      </c>
      <c r="N4908">
        <v>5</v>
      </c>
    </row>
    <row r="4909" spans="1:14" x14ac:dyDescent="0.25">
      <c r="A4909">
        <v>5908</v>
      </c>
      <c r="B4909" s="1">
        <v>45894</v>
      </c>
      <c r="C4909" s="4">
        <f>MONTH(datos_ventas[[#This Row],[Fecha]])</f>
        <v>8</v>
      </c>
      <c r="D4909" s="4">
        <f>WEEKNUM(datos_ventas[[#This Row],[Fecha]],2)</f>
        <v>35</v>
      </c>
      <c r="E4909" t="s">
        <v>10</v>
      </c>
      <c r="F4909" t="s">
        <v>11</v>
      </c>
      <c r="G4909">
        <v>3</v>
      </c>
      <c r="H4909">
        <v>72346</v>
      </c>
      <c r="I4909">
        <v>3257</v>
      </c>
      <c r="J4909" t="s">
        <v>31</v>
      </c>
      <c r="K4909" t="str">
        <f>_xlfn.XLOOKUP(datos_ventas[[#This Row],[Ciudad]],Tabla2[Ciudades],Tabla2[Provincias],"no se encuentra")</f>
        <v>Vizcaya</v>
      </c>
      <c r="L4909" t="str">
        <f>_xlfn.XLOOKUP(datos_ventas[[#This Row],[Provincia]],Tabla2[Provincias],Tabla2[Comunidades],"no se encuentra")</f>
        <v>País Vasco</v>
      </c>
      <c r="M4909" t="s">
        <v>13</v>
      </c>
      <c r="N4909">
        <v>5</v>
      </c>
    </row>
    <row r="4910" spans="1:14" x14ac:dyDescent="0.25">
      <c r="A4910">
        <v>5909</v>
      </c>
      <c r="B4910" s="1">
        <v>45945</v>
      </c>
      <c r="C4910" s="4">
        <f>MONTH(datos_ventas[[#This Row],[Fecha]])</f>
        <v>10</v>
      </c>
      <c r="D4910" s="4">
        <f>WEEKNUM(datos_ventas[[#This Row],[Fecha]],2)</f>
        <v>42</v>
      </c>
      <c r="E4910" t="s">
        <v>29</v>
      </c>
      <c r="F4910" t="s">
        <v>30</v>
      </c>
      <c r="G4910">
        <v>4</v>
      </c>
      <c r="H4910">
        <v>4329</v>
      </c>
      <c r="I4910">
        <v>2117</v>
      </c>
      <c r="J4910" t="s">
        <v>31</v>
      </c>
      <c r="K4910" t="str">
        <f>_xlfn.XLOOKUP(datos_ventas[[#This Row],[Ciudad]],Tabla2[Ciudades],Tabla2[Provincias],"no se encuentra")</f>
        <v>Vizcaya</v>
      </c>
      <c r="L4910" t="str">
        <f>_xlfn.XLOOKUP(datos_ventas[[#This Row],[Provincia]],Tabla2[Provincias],Tabla2[Comunidades],"no se encuentra")</f>
        <v>País Vasco</v>
      </c>
      <c r="M4910" t="s">
        <v>15</v>
      </c>
      <c r="N4910">
        <v>5</v>
      </c>
    </row>
    <row r="4911" spans="1:14" x14ac:dyDescent="0.25">
      <c r="A4911">
        <v>5910</v>
      </c>
      <c r="B4911" s="1">
        <v>45921</v>
      </c>
      <c r="C4911" s="4">
        <f>MONTH(datos_ventas[[#This Row],[Fecha]])</f>
        <v>9</v>
      </c>
      <c r="D4911" s="4">
        <f>WEEKNUM(datos_ventas[[#This Row],[Fecha]],2)</f>
        <v>38</v>
      </c>
      <c r="E4911" t="s">
        <v>29</v>
      </c>
      <c r="F4911" t="s">
        <v>30</v>
      </c>
      <c r="G4911">
        <v>5</v>
      </c>
      <c r="H4911">
        <v>70705</v>
      </c>
      <c r="I4911">
        <v>3475</v>
      </c>
      <c r="J4911" t="s">
        <v>22</v>
      </c>
      <c r="K4911" t="str">
        <f>_xlfn.XLOOKUP(datos_ventas[[#This Row],[Ciudad]],Tabla2[Ciudades],Tabla2[Provincias],"no se encuentra")</f>
        <v>Valencia</v>
      </c>
      <c r="L4911" t="str">
        <f>_xlfn.XLOOKUP(datos_ventas[[#This Row],[Provincia]],Tabla2[Provincias],Tabla2[Comunidades],"no se encuentra")</f>
        <v>Comunidad Valenciana</v>
      </c>
      <c r="M4911" t="s">
        <v>28</v>
      </c>
      <c r="N4911">
        <v>4</v>
      </c>
    </row>
    <row r="4912" spans="1:14" x14ac:dyDescent="0.25">
      <c r="A4912">
        <v>5911</v>
      </c>
      <c r="B4912" s="1">
        <v>45687</v>
      </c>
      <c r="C4912" s="4">
        <f>MONTH(datos_ventas[[#This Row],[Fecha]])</f>
        <v>1</v>
      </c>
      <c r="D4912" s="4">
        <f>WEEKNUM(datos_ventas[[#This Row],[Fecha]],2)</f>
        <v>5</v>
      </c>
      <c r="E4912" t="s">
        <v>29</v>
      </c>
      <c r="F4912" t="s">
        <v>30</v>
      </c>
      <c r="G4912">
        <v>4</v>
      </c>
      <c r="H4912">
        <v>78073</v>
      </c>
      <c r="I4912">
        <v>513</v>
      </c>
      <c r="J4912" t="s">
        <v>12</v>
      </c>
      <c r="K4912" t="str">
        <f>_xlfn.XLOOKUP(datos_ventas[[#This Row],[Ciudad]],Tabla2[Ciudades],Tabla2[Provincias],"no se encuentra")</f>
        <v>Málaga</v>
      </c>
      <c r="L4912" t="str">
        <f>_xlfn.XLOOKUP(datos_ventas[[#This Row],[Provincia]],Tabla2[Provincias],Tabla2[Comunidades],"no se encuentra")</f>
        <v>Andalucía</v>
      </c>
      <c r="M4912" t="s">
        <v>13</v>
      </c>
      <c r="N4912">
        <v>5</v>
      </c>
    </row>
    <row r="4913" spans="1:14" x14ac:dyDescent="0.25">
      <c r="A4913">
        <v>5912</v>
      </c>
      <c r="B4913" s="1">
        <v>45684</v>
      </c>
      <c r="C4913" s="4">
        <f>MONTH(datos_ventas[[#This Row],[Fecha]])</f>
        <v>1</v>
      </c>
      <c r="D4913" s="4">
        <f>WEEKNUM(datos_ventas[[#This Row],[Fecha]],2)</f>
        <v>5</v>
      </c>
      <c r="E4913" t="s">
        <v>10</v>
      </c>
      <c r="F4913" t="s">
        <v>11</v>
      </c>
      <c r="G4913">
        <v>5</v>
      </c>
      <c r="H4913">
        <v>87457</v>
      </c>
      <c r="I4913">
        <v>304</v>
      </c>
      <c r="J4913" t="s">
        <v>31</v>
      </c>
      <c r="K4913" t="str">
        <f>_xlfn.XLOOKUP(datos_ventas[[#This Row],[Ciudad]],Tabla2[Ciudades],Tabla2[Provincias],"no se encuentra")</f>
        <v>Vizcaya</v>
      </c>
      <c r="L4913" t="str">
        <f>_xlfn.XLOOKUP(datos_ventas[[#This Row],[Provincia]],Tabla2[Provincias],Tabla2[Comunidades],"no se encuentra")</f>
        <v>País Vasco</v>
      </c>
      <c r="M4913" t="s">
        <v>28</v>
      </c>
      <c r="N4913">
        <v>3</v>
      </c>
    </row>
    <row r="4914" spans="1:14" x14ac:dyDescent="0.25">
      <c r="A4914">
        <v>5913</v>
      </c>
      <c r="B4914" s="1">
        <v>45966</v>
      </c>
      <c r="C4914" s="4">
        <f>MONTH(datos_ventas[[#This Row],[Fecha]])</f>
        <v>11</v>
      </c>
      <c r="D4914" s="4">
        <f>WEEKNUM(datos_ventas[[#This Row],[Fecha]],2)</f>
        <v>45</v>
      </c>
      <c r="E4914" t="s">
        <v>17</v>
      </c>
      <c r="F4914" t="s">
        <v>18</v>
      </c>
      <c r="G4914">
        <v>2</v>
      </c>
      <c r="H4914">
        <v>15231</v>
      </c>
      <c r="I4914">
        <v>1345</v>
      </c>
      <c r="J4914" t="s">
        <v>27</v>
      </c>
      <c r="K4914" t="str">
        <f>_xlfn.XLOOKUP(datos_ventas[[#This Row],[Ciudad]],Tabla2[Ciudades],Tabla2[Provincias],"no se encuentra")</f>
        <v>Sevilla</v>
      </c>
      <c r="L4914" t="str">
        <f>_xlfn.XLOOKUP(datos_ventas[[#This Row],[Provincia]],Tabla2[Provincias],Tabla2[Comunidades],"no se encuentra")</f>
        <v>Andalucía</v>
      </c>
      <c r="M4914" t="s">
        <v>15</v>
      </c>
      <c r="N4914">
        <v>5</v>
      </c>
    </row>
    <row r="4915" spans="1:14" x14ac:dyDescent="0.25">
      <c r="A4915">
        <v>5914</v>
      </c>
      <c r="B4915" s="1">
        <v>45976</v>
      </c>
      <c r="C4915" s="4">
        <f>MONTH(datos_ventas[[#This Row],[Fecha]])</f>
        <v>11</v>
      </c>
      <c r="D4915" s="4">
        <f>WEEKNUM(datos_ventas[[#This Row],[Fecha]],2)</f>
        <v>46</v>
      </c>
      <c r="E4915" t="s">
        <v>29</v>
      </c>
      <c r="F4915" t="s">
        <v>30</v>
      </c>
      <c r="G4915">
        <v>2</v>
      </c>
      <c r="H4915">
        <v>69767</v>
      </c>
      <c r="I4915">
        <v>2368</v>
      </c>
      <c r="J4915" t="s">
        <v>31</v>
      </c>
      <c r="K4915" t="str">
        <f>_xlfn.XLOOKUP(datos_ventas[[#This Row],[Ciudad]],Tabla2[Ciudades],Tabla2[Provincias],"no se encuentra")</f>
        <v>Vizcaya</v>
      </c>
      <c r="L4915" t="str">
        <f>_xlfn.XLOOKUP(datos_ventas[[#This Row],[Provincia]],Tabla2[Provincias],Tabla2[Comunidades],"no se encuentra")</f>
        <v>País Vasco</v>
      </c>
      <c r="M4915" t="s">
        <v>13</v>
      </c>
      <c r="N4915">
        <v>4</v>
      </c>
    </row>
    <row r="4916" spans="1:14" x14ac:dyDescent="0.25">
      <c r="A4916">
        <v>5915</v>
      </c>
      <c r="B4916" s="1">
        <v>45751</v>
      </c>
      <c r="C4916" s="4">
        <f>MONTH(datos_ventas[[#This Row],[Fecha]])</f>
        <v>4</v>
      </c>
      <c r="D4916" s="4">
        <f>WEEKNUM(datos_ventas[[#This Row],[Fecha]],2)</f>
        <v>14</v>
      </c>
      <c r="E4916" t="s">
        <v>29</v>
      </c>
      <c r="F4916" t="s">
        <v>30</v>
      </c>
      <c r="G4916">
        <v>3</v>
      </c>
      <c r="H4916">
        <v>56571</v>
      </c>
      <c r="I4916">
        <v>634</v>
      </c>
      <c r="J4916" t="s">
        <v>14</v>
      </c>
      <c r="K4916" t="str">
        <f>_xlfn.XLOOKUP(datos_ventas[[#This Row],[Ciudad]],Tabla2[Ciudades],Tabla2[Provincias],"no se encuentra")</f>
        <v>Madrid</v>
      </c>
      <c r="L4916" t="str">
        <f>_xlfn.XLOOKUP(datos_ventas[[#This Row],[Provincia]],Tabla2[Provincias],Tabla2[Comunidades],"no se encuentra")</f>
        <v>Comunidad de Madrid</v>
      </c>
      <c r="M4916" t="s">
        <v>13</v>
      </c>
      <c r="N4916">
        <v>1</v>
      </c>
    </row>
    <row r="4917" spans="1:14" x14ac:dyDescent="0.25">
      <c r="A4917">
        <v>5916</v>
      </c>
      <c r="B4917" s="1">
        <v>45836</v>
      </c>
      <c r="C4917" s="4">
        <f>MONTH(datos_ventas[[#This Row],[Fecha]])</f>
        <v>6</v>
      </c>
      <c r="D4917" s="4">
        <f>WEEKNUM(datos_ventas[[#This Row],[Fecha]],2)</f>
        <v>26</v>
      </c>
      <c r="E4917" t="s">
        <v>16</v>
      </c>
      <c r="F4917" t="s">
        <v>11</v>
      </c>
      <c r="G4917">
        <v>3</v>
      </c>
      <c r="H4917">
        <v>85464</v>
      </c>
      <c r="I4917">
        <v>1686</v>
      </c>
      <c r="J4917" t="s">
        <v>22</v>
      </c>
      <c r="K4917" t="str">
        <f>_xlfn.XLOOKUP(datos_ventas[[#This Row],[Ciudad]],Tabla2[Ciudades],Tabla2[Provincias],"no se encuentra")</f>
        <v>Valencia</v>
      </c>
      <c r="L4917" t="str">
        <f>_xlfn.XLOOKUP(datos_ventas[[#This Row],[Provincia]],Tabla2[Provincias],Tabla2[Comunidades],"no se encuentra")</f>
        <v>Comunidad Valenciana</v>
      </c>
      <c r="M4917" t="s">
        <v>15</v>
      </c>
      <c r="N4917">
        <v>3</v>
      </c>
    </row>
    <row r="4918" spans="1:14" x14ac:dyDescent="0.25">
      <c r="A4918">
        <v>5917</v>
      </c>
      <c r="B4918" s="1">
        <v>45955</v>
      </c>
      <c r="C4918" s="4">
        <f>MONTH(datos_ventas[[#This Row],[Fecha]])</f>
        <v>10</v>
      </c>
      <c r="D4918" s="4">
        <f>WEEKNUM(datos_ventas[[#This Row],[Fecha]],2)</f>
        <v>43</v>
      </c>
      <c r="E4918" t="s">
        <v>17</v>
      </c>
      <c r="F4918" t="s">
        <v>18</v>
      </c>
      <c r="G4918">
        <v>2</v>
      </c>
      <c r="H4918">
        <v>26029</v>
      </c>
      <c r="I4918">
        <v>234</v>
      </c>
      <c r="J4918" t="s">
        <v>22</v>
      </c>
      <c r="K4918" t="str">
        <f>_xlfn.XLOOKUP(datos_ventas[[#This Row],[Ciudad]],Tabla2[Ciudades],Tabla2[Provincias],"no se encuentra")</f>
        <v>Valencia</v>
      </c>
      <c r="L4918" t="str">
        <f>_xlfn.XLOOKUP(datos_ventas[[#This Row],[Provincia]],Tabla2[Provincias],Tabla2[Comunidades],"no se encuentra")</f>
        <v>Comunidad Valenciana</v>
      </c>
      <c r="M4918" t="s">
        <v>15</v>
      </c>
      <c r="N4918">
        <v>5</v>
      </c>
    </row>
    <row r="4919" spans="1:14" x14ac:dyDescent="0.25">
      <c r="A4919">
        <v>5918</v>
      </c>
      <c r="B4919" s="1">
        <v>45736</v>
      </c>
      <c r="C4919" s="4">
        <f>MONTH(datos_ventas[[#This Row],[Fecha]])</f>
        <v>3</v>
      </c>
      <c r="D4919" s="4">
        <f>WEEKNUM(datos_ventas[[#This Row],[Fecha]],2)</f>
        <v>12</v>
      </c>
      <c r="E4919" t="s">
        <v>17</v>
      </c>
      <c r="F4919" t="s">
        <v>18</v>
      </c>
      <c r="G4919">
        <v>2</v>
      </c>
      <c r="H4919">
        <v>80907</v>
      </c>
      <c r="I4919">
        <v>1532</v>
      </c>
      <c r="J4919" t="s">
        <v>14</v>
      </c>
      <c r="K4919" t="str">
        <f>_xlfn.XLOOKUP(datos_ventas[[#This Row],[Ciudad]],Tabla2[Ciudades],Tabla2[Provincias],"no se encuentra")</f>
        <v>Madrid</v>
      </c>
      <c r="L4919" t="str">
        <f>_xlfn.XLOOKUP(datos_ventas[[#This Row],[Provincia]],Tabla2[Provincias],Tabla2[Comunidades],"no se encuentra")</f>
        <v>Comunidad de Madrid</v>
      </c>
      <c r="M4919" t="s">
        <v>15</v>
      </c>
      <c r="N4919">
        <v>3</v>
      </c>
    </row>
    <row r="4920" spans="1:14" x14ac:dyDescent="0.25">
      <c r="A4920">
        <v>5919</v>
      </c>
      <c r="B4920" s="1">
        <v>45779</v>
      </c>
      <c r="C4920" s="4">
        <f>MONTH(datos_ventas[[#This Row],[Fecha]])</f>
        <v>5</v>
      </c>
      <c r="D4920" s="4">
        <f>WEEKNUM(datos_ventas[[#This Row],[Fecha]],2)</f>
        <v>18</v>
      </c>
      <c r="E4920" t="s">
        <v>10</v>
      </c>
      <c r="F4920" t="s">
        <v>11</v>
      </c>
      <c r="G4920">
        <v>5</v>
      </c>
      <c r="H4920">
        <v>13023</v>
      </c>
      <c r="I4920">
        <v>1631</v>
      </c>
      <c r="J4920" t="s">
        <v>14</v>
      </c>
      <c r="K4920" t="str">
        <f>_xlfn.XLOOKUP(datos_ventas[[#This Row],[Ciudad]],Tabla2[Ciudades],Tabla2[Provincias],"no se encuentra")</f>
        <v>Madrid</v>
      </c>
      <c r="L4920" t="str">
        <f>_xlfn.XLOOKUP(datos_ventas[[#This Row],[Provincia]],Tabla2[Provincias],Tabla2[Comunidades],"no se encuentra")</f>
        <v>Comunidad de Madrid</v>
      </c>
      <c r="M4920" t="s">
        <v>19</v>
      </c>
      <c r="N4920">
        <v>4</v>
      </c>
    </row>
    <row r="4921" spans="1:14" x14ac:dyDescent="0.25">
      <c r="A4921">
        <v>5920</v>
      </c>
      <c r="B4921" s="1">
        <v>45877</v>
      </c>
      <c r="C4921" s="4">
        <f>MONTH(datos_ventas[[#This Row],[Fecha]])</f>
        <v>8</v>
      </c>
      <c r="D4921" s="4">
        <f>WEEKNUM(datos_ventas[[#This Row],[Fecha]],2)</f>
        <v>32</v>
      </c>
      <c r="E4921" t="s">
        <v>29</v>
      </c>
      <c r="F4921" t="s">
        <v>30</v>
      </c>
      <c r="G4921">
        <v>1</v>
      </c>
      <c r="H4921">
        <v>41931</v>
      </c>
      <c r="I4921">
        <v>2244</v>
      </c>
      <c r="J4921" t="s">
        <v>12</v>
      </c>
      <c r="K4921" t="str">
        <f>_xlfn.XLOOKUP(datos_ventas[[#This Row],[Ciudad]],Tabla2[Ciudades],Tabla2[Provincias],"no se encuentra")</f>
        <v>Málaga</v>
      </c>
      <c r="L4921" t="str">
        <f>_xlfn.XLOOKUP(datos_ventas[[#This Row],[Provincia]],Tabla2[Provincias],Tabla2[Comunidades],"no se encuentra")</f>
        <v>Andalucía</v>
      </c>
      <c r="M4921" t="s">
        <v>13</v>
      </c>
      <c r="N4921">
        <v>4</v>
      </c>
    </row>
    <row r="4922" spans="1:14" x14ac:dyDescent="0.25">
      <c r="A4922">
        <v>5921</v>
      </c>
      <c r="B4922" s="1">
        <v>45950</v>
      </c>
      <c r="C4922" s="4">
        <f>MONTH(datos_ventas[[#This Row],[Fecha]])</f>
        <v>10</v>
      </c>
      <c r="D4922" s="4">
        <f>WEEKNUM(datos_ventas[[#This Row],[Fecha]],2)</f>
        <v>43</v>
      </c>
      <c r="E4922" t="s">
        <v>20</v>
      </c>
      <c r="F4922" t="s">
        <v>21</v>
      </c>
      <c r="G4922">
        <v>5</v>
      </c>
      <c r="H4922">
        <v>19456</v>
      </c>
      <c r="I4922">
        <v>4846</v>
      </c>
      <c r="J4922" t="s">
        <v>12</v>
      </c>
      <c r="K4922" t="str">
        <f>_xlfn.XLOOKUP(datos_ventas[[#This Row],[Ciudad]],Tabla2[Ciudades],Tabla2[Provincias],"no se encuentra")</f>
        <v>Málaga</v>
      </c>
      <c r="L4922" t="str">
        <f>_xlfn.XLOOKUP(datos_ventas[[#This Row],[Provincia]],Tabla2[Provincias],Tabla2[Comunidades],"no se encuentra")</f>
        <v>Andalucía</v>
      </c>
      <c r="M4922" t="s">
        <v>28</v>
      </c>
      <c r="N4922">
        <v>3</v>
      </c>
    </row>
    <row r="4923" spans="1:14" x14ac:dyDescent="0.25">
      <c r="A4923">
        <v>5922</v>
      </c>
      <c r="B4923" s="1">
        <v>45984</v>
      </c>
      <c r="C4923" s="4">
        <f>MONTH(datos_ventas[[#This Row],[Fecha]])</f>
        <v>11</v>
      </c>
      <c r="D4923" s="4">
        <f>WEEKNUM(datos_ventas[[#This Row],[Fecha]],2)</f>
        <v>47</v>
      </c>
      <c r="E4923" t="s">
        <v>16</v>
      </c>
      <c r="F4923" t="s">
        <v>11</v>
      </c>
      <c r="G4923">
        <v>3</v>
      </c>
      <c r="H4923">
        <v>24231</v>
      </c>
      <c r="I4923">
        <v>3836</v>
      </c>
      <c r="J4923" t="s">
        <v>32</v>
      </c>
      <c r="K4923" t="str">
        <f>_xlfn.XLOOKUP(datos_ventas[[#This Row],[Ciudad]],Tabla2[Ciudades],Tabla2[Provincias],"no se encuentra")</f>
        <v>Barcelona</v>
      </c>
      <c r="L4923" t="str">
        <f>_xlfn.XLOOKUP(datos_ventas[[#This Row],[Provincia]],Tabla2[Provincias],Tabla2[Comunidades],"no se encuentra")</f>
        <v>Cataluña</v>
      </c>
      <c r="M4923" t="s">
        <v>15</v>
      </c>
      <c r="N4923">
        <v>5</v>
      </c>
    </row>
    <row r="4924" spans="1:14" x14ac:dyDescent="0.25">
      <c r="A4924">
        <v>5923</v>
      </c>
      <c r="B4924" s="1">
        <v>45757</v>
      </c>
      <c r="C4924" s="4">
        <f>MONTH(datos_ventas[[#This Row],[Fecha]])</f>
        <v>4</v>
      </c>
      <c r="D4924" s="4">
        <f>WEEKNUM(datos_ventas[[#This Row],[Fecha]],2)</f>
        <v>15</v>
      </c>
      <c r="E4924" t="s">
        <v>20</v>
      </c>
      <c r="F4924" t="s">
        <v>21</v>
      </c>
      <c r="G4924">
        <v>3</v>
      </c>
      <c r="H4924">
        <v>96309</v>
      </c>
      <c r="I4924">
        <v>1622</v>
      </c>
      <c r="J4924" t="s">
        <v>27</v>
      </c>
      <c r="K4924" t="str">
        <f>_xlfn.XLOOKUP(datos_ventas[[#This Row],[Ciudad]],Tabla2[Ciudades],Tabla2[Provincias],"no se encuentra")</f>
        <v>Sevilla</v>
      </c>
      <c r="L4924" t="str">
        <f>_xlfn.XLOOKUP(datos_ventas[[#This Row],[Provincia]],Tabla2[Provincias],Tabla2[Comunidades],"no se encuentra")</f>
        <v>Andalucía</v>
      </c>
      <c r="M4924" t="s">
        <v>15</v>
      </c>
      <c r="N4924">
        <v>1</v>
      </c>
    </row>
    <row r="4925" spans="1:14" x14ac:dyDescent="0.25">
      <c r="A4925">
        <v>5924</v>
      </c>
      <c r="B4925" s="1">
        <v>45850</v>
      </c>
      <c r="C4925" s="4">
        <f>MONTH(datos_ventas[[#This Row],[Fecha]])</f>
        <v>7</v>
      </c>
      <c r="D4925" s="4">
        <f>WEEKNUM(datos_ventas[[#This Row],[Fecha]],2)</f>
        <v>28</v>
      </c>
      <c r="E4925" t="s">
        <v>24</v>
      </c>
      <c r="F4925" t="s">
        <v>25</v>
      </c>
      <c r="G4925">
        <v>5</v>
      </c>
      <c r="H4925">
        <v>6585</v>
      </c>
      <c r="I4925">
        <v>1494</v>
      </c>
      <c r="J4925" t="s">
        <v>22</v>
      </c>
      <c r="K4925" t="str">
        <f>_xlfn.XLOOKUP(datos_ventas[[#This Row],[Ciudad]],Tabla2[Ciudades],Tabla2[Provincias],"no se encuentra")</f>
        <v>Valencia</v>
      </c>
      <c r="L4925" t="str">
        <f>_xlfn.XLOOKUP(datos_ventas[[#This Row],[Provincia]],Tabla2[Provincias],Tabla2[Comunidades],"no se encuentra")</f>
        <v>Comunidad Valenciana</v>
      </c>
      <c r="M4925" t="s">
        <v>19</v>
      </c>
      <c r="N4925">
        <v>1</v>
      </c>
    </row>
    <row r="4926" spans="1:14" x14ac:dyDescent="0.25">
      <c r="A4926">
        <v>5925</v>
      </c>
      <c r="B4926" s="1">
        <v>45832</v>
      </c>
      <c r="C4926" s="4">
        <f>MONTH(datos_ventas[[#This Row],[Fecha]])</f>
        <v>6</v>
      </c>
      <c r="D4926" s="4">
        <f>WEEKNUM(datos_ventas[[#This Row],[Fecha]],2)</f>
        <v>26</v>
      </c>
      <c r="E4926" t="s">
        <v>24</v>
      </c>
      <c r="F4926" t="s">
        <v>25</v>
      </c>
      <c r="G4926">
        <v>4</v>
      </c>
      <c r="H4926">
        <v>66402</v>
      </c>
      <c r="I4926">
        <v>3207</v>
      </c>
      <c r="J4926" t="s">
        <v>32</v>
      </c>
      <c r="K4926" t="str">
        <f>_xlfn.XLOOKUP(datos_ventas[[#This Row],[Ciudad]],Tabla2[Ciudades],Tabla2[Provincias],"no se encuentra")</f>
        <v>Barcelona</v>
      </c>
      <c r="L4926" t="str">
        <f>_xlfn.XLOOKUP(datos_ventas[[#This Row],[Provincia]],Tabla2[Provincias],Tabla2[Comunidades],"no se encuentra")</f>
        <v>Cataluña</v>
      </c>
      <c r="M4926" t="s">
        <v>19</v>
      </c>
      <c r="N4926">
        <v>2</v>
      </c>
    </row>
    <row r="4927" spans="1:14" x14ac:dyDescent="0.25">
      <c r="A4927">
        <v>5926</v>
      </c>
      <c r="B4927" s="1">
        <v>45964</v>
      </c>
      <c r="C4927" s="4">
        <f>MONTH(datos_ventas[[#This Row],[Fecha]])</f>
        <v>11</v>
      </c>
      <c r="D4927" s="4">
        <f>WEEKNUM(datos_ventas[[#This Row],[Fecha]],2)</f>
        <v>45</v>
      </c>
      <c r="E4927" t="s">
        <v>20</v>
      </c>
      <c r="F4927" t="s">
        <v>21</v>
      </c>
      <c r="G4927">
        <v>5</v>
      </c>
      <c r="H4927">
        <v>111566</v>
      </c>
      <c r="I4927">
        <v>4635</v>
      </c>
      <c r="J4927" t="s">
        <v>12</v>
      </c>
      <c r="K4927" t="str">
        <f>_xlfn.XLOOKUP(datos_ventas[[#This Row],[Ciudad]],Tabla2[Ciudades],Tabla2[Provincias],"no se encuentra")</f>
        <v>Málaga</v>
      </c>
      <c r="L4927" t="str">
        <f>_xlfn.XLOOKUP(datos_ventas[[#This Row],[Provincia]],Tabla2[Provincias],Tabla2[Comunidades],"no se encuentra")</f>
        <v>Andalucía</v>
      </c>
      <c r="M4927" t="s">
        <v>19</v>
      </c>
      <c r="N4927">
        <v>5</v>
      </c>
    </row>
    <row r="4928" spans="1:14" x14ac:dyDescent="0.25">
      <c r="A4928">
        <v>5927</v>
      </c>
      <c r="B4928" s="1">
        <v>45769</v>
      </c>
      <c r="C4928" s="4">
        <f>MONTH(datos_ventas[[#This Row],[Fecha]])</f>
        <v>4</v>
      </c>
      <c r="D4928" s="4">
        <f>WEEKNUM(datos_ventas[[#This Row],[Fecha]],2)</f>
        <v>17</v>
      </c>
      <c r="E4928" t="s">
        <v>23</v>
      </c>
      <c r="F4928" t="s">
        <v>18</v>
      </c>
      <c r="G4928">
        <v>4</v>
      </c>
      <c r="H4928">
        <v>7708</v>
      </c>
      <c r="I4928">
        <v>1738</v>
      </c>
      <c r="J4928" t="s">
        <v>31</v>
      </c>
      <c r="K4928" t="str">
        <f>_xlfn.XLOOKUP(datos_ventas[[#This Row],[Ciudad]],Tabla2[Ciudades],Tabla2[Provincias],"no se encuentra")</f>
        <v>Vizcaya</v>
      </c>
      <c r="L4928" t="str">
        <f>_xlfn.XLOOKUP(datos_ventas[[#This Row],[Provincia]],Tabla2[Provincias],Tabla2[Comunidades],"no se encuentra")</f>
        <v>País Vasco</v>
      </c>
      <c r="M4928" t="s">
        <v>28</v>
      </c>
      <c r="N4928">
        <v>3</v>
      </c>
    </row>
    <row r="4929" spans="1:14" x14ac:dyDescent="0.25">
      <c r="A4929">
        <v>5928</v>
      </c>
      <c r="B4929" s="1">
        <v>45911</v>
      </c>
      <c r="C4929" s="4">
        <f>MONTH(datos_ventas[[#This Row],[Fecha]])</f>
        <v>9</v>
      </c>
      <c r="D4929" s="4">
        <f>WEEKNUM(datos_ventas[[#This Row],[Fecha]],2)</f>
        <v>37</v>
      </c>
      <c r="E4929" t="s">
        <v>23</v>
      </c>
      <c r="F4929" t="s">
        <v>18</v>
      </c>
      <c r="G4929">
        <v>2</v>
      </c>
      <c r="H4929">
        <v>84426</v>
      </c>
      <c r="I4929">
        <v>4221</v>
      </c>
      <c r="J4929" t="s">
        <v>12</v>
      </c>
      <c r="K4929" t="str">
        <f>_xlfn.XLOOKUP(datos_ventas[[#This Row],[Ciudad]],Tabla2[Ciudades],Tabla2[Provincias],"no se encuentra")</f>
        <v>Málaga</v>
      </c>
      <c r="L4929" t="str">
        <f>_xlfn.XLOOKUP(datos_ventas[[#This Row],[Provincia]],Tabla2[Provincias],Tabla2[Comunidades],"no se encuentra")</f>
        <v>Andalucía</v>
      </c>
      <c r="M4929" t="s">
        <v>13</v>
      </c>
      <c r="N4929">
        <v>1</v>
      </c>
    </row>
    <row r="4930" spans="1:14" x14ac:dyDescent="0.25">
      <c r="A4930">
        <v>5929</v>
      </c>
      <c r="B4930" s="1">
        <v>45967</v>
      </c>
      <c r="C4930" s="4">
        <f>MONTH(datos_ventas[[#This Row],[Fecha]])</f>
        <v>11</v>
      </c>
      <c r="D4930" s="4">
        <f>WEEKNUM(datos_ventas[[#This Row],[Fecha]],2)</f>
        <v>45</v>
      </c>
      <c r="E4930" t="s">
        <v>16</v>
      </c>
      <c r="F4930" t="s">
        <v>11</v>
      </c>
      <c r="G4930">
        <v>2</v>
      </c>
      <c r="H4930">
        <v>2277</v>
      </c>
      <c r="I4930">
        <v>4657</v>
      </c>
      <c r="J4930" t="s">
        <v>27</v>
      </c>
      <c r="K4930" t="str">
        <f>_xlfn.XLOOKUP(datos_ventas[[#This Row],[Ciudad]],Tabla2[Ciudades],Tabla2[Provincias],"no se encuentra")</f>
        <v>Sevilla</v>
      </c>
      <c r="L4930" t="str">
        <f>_xlfn.XLOOKUP(datos_ventas[[#This Row],[Provincia]],Tabla2[Provincias],Tabla2[Comunidades],"no se encuentra")</f>
        <v>Andalucía</v>
      </c>
      <c r="M4930" t="s">
        <v>28</v>
      </c>
      <c r="N4930">
        <v>1</v>
      </c>
    </row>
    <row r="4931" spans="1:14" x14ac:dyDescent="0.25">
      <c r="A4931">
        <v>5930</v>
      </c>
      <c r="B4931" s="1">
        <v>45915</v>
      </c>
      <c r="C4931" s="4">
        <f>MONTH(datos_ventas[[#This Row],[Fecha]])</f>
        <v>9</v>
      </c>
      <c r="D4931" s="4">
        <f>WEEKNUM(datos_ventas[[#This Row],[Fecha]],2)</f>
        <v>38</v>
      </c>
      <c r="E4931" t="s">
        <v>10</v>
      </c>
      <c r="F4931" t="s">
        <v>11</v>
      </c>
      <c r="G4931">
        <v>2</v>
      </c>
      <c r="H4931">
        <v>105381</v>
      </c>
      <c r="I4931">
        <v>696</v>
      </c>
      <c r="J4931" t="s">
        <v>14</v>
      </c>
      <c r="K4931" t="str">
        <f>_xlfn.XLOOKUP(datos_ventas[[#This Row],[Ciudad]],Tabla2[Ciudades],Tabla2[Provincias],"no se encuentra")</f>
        <v>Madrid</v>
      </c>
      <c r="L4931" t="str">
        <f>_xlfn.XLOOKUP(datos_ventas[[#This Row],[Provincia]],Tabla2[Provincias],Tabla2[Comunidades],"no se encuentra")</f>
        <v>Comunidad de Madrid</v>
      </c>
      <c r="M4931" t="s">
        <v>28</v>
      </c>
      <c r="N4931">
        <v>3</v>
      </c>
    </row>
    <row r="4932" spans="1:14" x14ac:dyDescent="0.25">
      <c r="A4932">
        <v>5931</v>
      </c>
      <c r="B4932" s="1">
        <v>46006</v>
      </c>
      <c r="C4932" s="4">
        <f>MONTH(datos_ventas[[#This Row],[Fecha]])</f>
        <v>12</v>
      </c>
      <c r="D4932" s="4">
        <f>WEEKNUM(datos_ventas[[#This Row],[Fecha]],2)</f>
        <v>51</v>
      </c>
      <c r="E4932" t="s">
        <v>29</v>
      </c>
      <c r="F4932" t="s">
        <v>30</v>
      </c>
      <c r="G4932">
        <v>1</v>
      </c>
      <c r="H4932">
        <v>63872</v>
      </c>
      <c r="I4932">
        <v>1092</v>
      </c>
      <c r="J4932" t="s">
        <v>31</v>
      </c>
      <c r="K4932" t="str">
        <f>_xlfn.XLOOKUP(datos_ventas[[#This Row],[Ciudad]],Tabla2[Ciudades],Tabla2[Provincias],"no se encuentra")</f>
        <v>Vizcaya</v>
      </c>
      <c r="L4932" t="str">
        <f>_xlfn.XLOOKUP(datos_ventas[[#This Row],[Provincia]],Tabla2[Provincias],Tabla2[Comunidades],"no se encuentra")</f>
        <v>País Vasco</v>
      </c>
      <c r="M4932" t="s">
        <v>28</v>
      </c>
      <c r="N4932">
        <v>5</v>
      </c>
    </row>
    <row r="4933" spans="1:14" x14ac:dyDescent="0.25">
      <c r="A4933">
        <v>5932</v>
      </c>
      <c r="B4933" s="1">
        <v>45691</v>
      </c>
      <c r="C4933" s="4">
        <f>MONTH(datos_ventas[[#This Row],[Fecha]])</f>
        <v>2</v>
      </c>
      <c r="D4933" s="4">
        <f>WEEKNUM(datos_ventas[[#This Row],[Fecha]],2)</f>
        <v>6</v>
      </c>
      <c r="E4933" t="s">
        <v>17</v>
      </c>
      <c r="F4933" t="s">
        <v>18</v>
      </c>
      <c r="G4933">
        <v>2</v>
      </c>
      <c r="H4933">
        <v>12192</v>
      </c>
      <c r="I4933">
        <v>1294</v>
      </c>
      <c r="J4933" t="s">
        <v>22</v>
      </c>
      <c r="K4933" t="str">
        <f>_xlfn.XLOOKUP(datos_ventas[[#This Row],[Ciudad]],Tabla2[Ciudades],Tabla2[Provincias],"no se encuentra")</f>
        <v>Valencia</v>
      </c>
      <c r="L4933" t="str">
        <f>_xlfn.XLOOKUP(datos_ventas[[#This Row],[Provincia]],Tabla2[Provincias],Tabla2[Comunidades],"no se encuentra")</f>
        <v>Comunidad Valenciana</v>
      </c>
      <c r="M4933" t="s">
        <v>28</v>
      </c>
      <c r="N4933">
        <v>4</v>
      </c>
    </row>
    <row r="4934" spans="1:14" x14ac:dyDescent="0.25">
      <c r="A4934">
        <v>5933</v>
      </c>
      <c r="B4934" s="1">
        <v>45906</v>
      </c>
      <c r="C4934" s="4">
        <f>MONTH(datos_ventas[[#This Row],[Fecha]])</f>
        <v>9</v>
      </c>
      <c r="D4934" s="4">
        <f>WEEKNUM(datos_ventas[[#This Row],[Fecha]],2)</f>
        <v>36</v>
      </c>
      <c r="E4934" t="s">
        <v>23</v>
      </c>
      <c r="F4934" t="s">
        <v>18</v>
      </c>
      <c r="G4934">
        <v>1</v>
      </c>
      <c r="H4934">
        <v>54801</v>
      </c>
      <c r="I4934">
        <v>656</v>
      </c>
      <c r="J4934" t="s">
        <v>31</v>
      </c>
      <c r="K4934" t="str">
        <f>_xlfn.XLOOKUP(datos_ventas[[#This Row],[Ciudad]],Tabla2[Ciudades],Tabla2[Provincias],"no se encuentra")</f>
        <v>Vizcaya</v>
      </c>
      <c r="L4934" t="str">
        <f>_xlfn.XLOOKUP(datos_ventas[[#This Row],[Provincia]],Tabla2[Provincias],Tabla2[Comunidades],"no se encuentra")</f>
        <v>País Vasco</v>
      </c>
      <c r="M4934" t="s">
        <v>28</v>
      </c>
      <c r="N4934">
        <v>5</v>
      </c>
    </row>
    <row r="4935" spans="1:14" x14ac:dyDescent="0.25">
      <c r="A4935">
        <v>5934</v>
      </c>
      <c r="B4935" s="1">
        <v>45726</v>
      </c>
      <c r="C4935" s="4">
        <f>MONTH(datos_ventas[[#This Row],[Fecha]])</f>
        <v>3</v>
      </c>
      <c r="D4935" s="4">
        <f>WEEKNUM(datos_ventas[[#This Row],[Fecha]],2)</f>
        <v>11</v>
      </c>
      <c r="E4935" t="s">
        <v>29</v>
      </c>
      <c r="F4935" t="s">
        <v>30</v>
      </c>
      <c r="G4935">
        <v>2</v>
      </c>
      <c r="H4935">
        <v>112332</v>
      </c>
      <c r="I4935">
        <v>861</v>
      </c>
      <c r="J4935" t="s">
        <v>14</v>
      </c>
      <c r="K4935" t="str">
        <f>_xlfn.XLOOKUP(datos_ventas[[#This Row],[Ciudad]],Tabla2[Ciudades],Tabla2[Provincias],"no se encuentra")</f>
        <v>Madrid</v>
      </c>
      <c r="L4935" t="str">
        <f>_xlfn.XLOOKUP(datos_ventas[[#This Row],[Provincia]],Tabla2[Provincias],Tabla2[Comunidades],"no se encuentra")</f>
        <v>Comunidad de Madrid</v>
      </c>
      <c r="M4935" t="s">
        <v>13</v>
      </c>
      <c r="N4935">
        <v>3</v>
      </c>
    </row>
    <row r="4936" spans="1:14" x14ac:dyDescent="0.25">
      <c r="A4936">
        <v>5935</v>
      </c>
      <c r="B4936" s="1">
        <v>46002</v>
      </c>
      <c r="C4936" s="4">
        <f>MONTH(datos_ventas[[#This Row],[Fecha]])</f>
        <v>12</v>
      </c>
      <c r="D4936" s="4">
        <f>WEEKNUM(datos_ventas[[#This Row],[Fecha]],2)</f>
        <v>50</v>
      </c>
      <c r="E4936" t="s">
        <v>29</v>
      </c>
      <c r="F4936" t="s">
        <v>30</v>
      </c>
      <c r="G4936">
        <v>4</v>
      </c>
      <c r="H4936">
        <v>16747</v>
      </c>
      <c r="I4936">
        <v>1029</v>
      </c>
      <c r="J4936" t="s">
        <v>14</v>
      </c>
      <c r="K4936" t="str">
        <f>_xlfn.XLOOKUP(datos_ventas[[#This Row],[Ciudad]],Tabla2[Ciudades],Tabla2[Provincias],"no se encuentra")</f>
        <v>Madrid</v>
      </c>
      <c r="L4936" t="str">
        <f>_xlfn.XLOOKUP(datos_ventas[[#This Row],[Provincia]],Tabla2[Provincias],Tabla2[Comunidades],"no se encuentra")</f>
        <v>Comunidad de Madrid</v>
      </c>
      <c r="M4936" t="s">
        <v>19</v>
      </c>
      <c r="N4936">
        <v>1</v>
      </c>
    </row>
    <row r="4937" spans="1:14" x14ac:dyDescent="0.25">
      <c r="A4937">
        <v>5936</v>
      </c>
      <c r="B4937" s="1">
        <v>45991</v>
      </c>
      <c r="C4937" s="4">
        <f>MONTH(datos_ventas[[#This Row],[Fecha]])</f>
        <v>11</v>
      </c>
      <c r="D4937" s="4">
        <f>WEEKNUM(datos_ventas[[#This Row],[Fecha]],2)</f>
        <v>48</v>
      </c>
      <c r="E4937" t="s">
        <v>24</v>
      </c>
      <c r="F4937" t="s">
        <v>25</v>
      </c>
      <c r="G4937">
        <v>4</v>
      </c>
      <c r="H4937">
        <v>28176</v>
      </c>
      <c r="I4937">
        <v>2823</v>
      </c>
      <c r="J4937" t="s">
        <v>14</v>
      </c>
      <c r="K4937" t="str">
        <f>_xlfn.XLOOKUP(datos_ventas[[#This Row],[Ciudad]],Tabla2[Ciudades],Tabla2[Provincias],"no se encuentra")</f>
        <v>Madrid</v>
      </c>
      <c r="L4937" t="str">
        <f>_xlfn.XLOOKUP(datos_ventas[[#This Row],[Provincia]],Tabla2[Provincias],Tabla2[Comunidades],"no se encuentra")</f>
        <v>Comunidad de Madrid</v>
      </c>
      <c r="M4937" t="s">
        <v>15</v>
      </c>
      <c r="N4937">
        <v>5</v>
      </c>
    </row>
    <row r="4938" spans="1:14" x14ac:dyDescent="0.25">
      <c r="A4938">
        <v>5937</v>
      </c>
      <c r="B4938" s="1">
        <v>46022</v>
      </c>
      <c r="C4938" s="4">
        <f>MONTH(datos_ventas[[#This Row],[Fecha]])</f>
        <v>12</v>
      </c>
      <c r="D4938" s="4">
        <f>WEEKNUM(datos_ventas[[#This Row],[Fecha]],2)</f>
        <v>53</v>
      </c>
      <c r="E4938" t="s">
        <v>29</v>
      </c>
      <c r="F4938" t="s">
        <v>30</v>
      </c>
      <c r="G4938">
        <v>5</v>
      </c>
      <c r="H4938">
        <v>116638</v>
      </c>
      <c r="I4938">
        <v>2914</v>
      </c>
      <c r="J4938" t="s">
        <v>14</v>
      </c>
      <c r="K4938" t="str">
        <f>_xlfn.XLOOKUP(datos_ventas[[#This Row],[Ciudad]],Tabla2[Ciudades],Tabla2[Provincias],"no se encuentra")</f>
        <v>Madrid</v>
      </c>
      <c r="L4938" t="str">
        <f>_xlfn.XLOOKUP(datos_ventas[[#This Row],[Provincia]],Tabla2[Provincias],Tabla2[Comunidades],"no se encuentra")</f>
        <v>Comunidad de Madrid</v>
      </c>
      <c r="M4938" t="s">
        <v>28</v>
      </c>
      <c r="N4938">
        <v>3</v>
      </c>
    </row>
    <row r="4939" spans="1:14" x14ac:dyDescent="0.25">
      <c r="A4939">
        <v>5938</v>
      </c>
      <c r="B4939" s="1">
        <v>45975</v>
      </c>
      <c r="C4939" s="4">
        <f>MONTH(datos_ventas[[#This Row],[Fecha]])</f>
        <v>11</v>
      </c>
      <c r="D4939" s="4">
        <f>WEEKNUM(datos_ventas[[#This Row],[Fecha]],2)</f>
        <v>46</v>
      </c>
      <c r="E4939" t="s">
        <v>29</v>
      </c>
      <c r="F4939" t="s">
        <v>30</v>
      </c>
      <c r="G4939">
        <v>5</v>
      </c>
      <c r="H4939">
        <v>60753</v>
      </c>
      <c r="I4939">
        <v>2928</v>
      </c>
      <c r="J4939" t="s">
        <v>14</v>
      </c>
      <c r="K4939" t="str">
        <f>_xlfn.XLOOKUP(datos_ventas[[#This Row],[Ciudad]],Tabla2[Ciudades],Tabla2[Provincias],"no se encuentra")</f>
        <v>Madrid</v>
      </c>
      <c r="L4939" t="str">
        <f>_xlfn.XLOOKUP(datos_ventas[[#This Row],[Provincia]],Tabla2[Provincias],Tabla2[Comunidades],"no se encuentra")</f>
        <v>Comunidad de Madrid</v>
      </c>
      <c r="M4939" t="s">
        <v>19</v>
      </c>
      <c r="N4939">
        <v>1</v>
      </c>
    </row>
    <row r="4940" spans="1:14" x14ac:dyDescent="0.25">
      <c r="A4940">
        <v>5939</v>
      </c>
      <c r="B4940" s="1">
        <v>45970</v>
      </c>
      <c r="C4940" s="4">
        <f>MONTH(datos_ventas[[#This Row],[Fecha]])</f>
        <v>11</v>
      </c>
      <c r="D4940" s="4">
        <f>WEEKNUM(datos_ventas[[#This Row],[Fecha]],2)</f>
        <v>45</v>
      </c>
      <c r="E4940" t="s">
        <v>16</v>
      </c>
      <c r="F4940" t="s">
        <v>11</v>
      </c>
      <c r="G4940">
        <v>1</v>
      </c>
      <c r="H4940">
        <v>41057</v>
      </c>
      <c r="I4940">
        <v>3097</v>
      </c>
      <c r="J4940" t="s">
        <v>12</v>
      </c>
      <c r="K4940" t="str">
        <f>_xlfn.XLOOKUP(datos_ventas[[#This Row],[Ciudad]],Tabla2[Ciudades],Tabla2[Provincias],"no se encuentra")</f>
        <v>Málaga</v>
      </c>
      <c r="L4940" t="str">
        <f>_xlfn.XLOOKUP(datos_ventas[[#This Row],[Provincia]],Tabla2[Provincias],Tabla2[Comunidades],"no se encuentra")</f>
        <v>Andalucía</v>
      </c>
      <c r="M4940" t="s">
        <v>19</v>
      </c>
      <c r="N4940">
        <v>3</v>
      </c>
    </row>
    <row r="4941" spans="1:14" x14ac:dyDescent="0.25">
      <c r="A4941">
        <v>5940</v>
      </c>
      <c r="B4941" s="1">
        <v>45750</v>
      </c>
      <c r="C4941" s="4">
        <f>MONTH(datos_ventas[[#This Row],[Fecha]])</f>
        <v>4</v>
      </c>
      <c r="D4941" s="4">
        <f>WEEKNUM(datos_ventas[[#This Row],[Fecha]],2)</f>
        <v>14</v>
      </c>
      <c r="E4941" t="s">
        <v>10</v>
      </c>
      <c r="F4941" t="s">
        <v>11</v>
      </c>
      <c r="G4941">
        <v>4</v>
      </c>
      <c r="H4941">
        <v>47819</v>
      </c>
      <c r="I4941">
        <v>1089</v>
      </c>
      <c r="J4941" t="s">
        <v>27</v>
      </c>
      <c r="K4941" t="str">
        <f>_xlfn.XLOOKUP(datos_ventas[[#This Row],[Ciudad]],Tabla2[Ciudades],Tabla2[Provincias],"no se encuentra")</f>
        <v>Sevilla</v>
      </c>
      <c r="L4941" t="str">
        <f>_xlfn.XLOOKUP(datos_ventas[[#This Row],[Provincia]],Tabla2[Provincias],Tabla2[Comunidades],"no se encuentra")</f>
        <v>Andalucía</v>
      </c>
      <c r="M4941" t="s">
        <v>19</v>
      </c>
      <c r="N4941">
        <v>1</v>
      </c>
    </row>
    <row r="4942" spans="1:14" x14ac:dyDescent="0.25">
      <c r="A4942">
        <v>5941</v>
      </c>
      <c r="B4942" s="1">
        <v>46004</v>
      </c>
      <c r="C4942" s="4">
        <f>MONTH(datos_ventas[[#This Row],[Fecha]])</f>
        <v>12</v>
      </c>
      <c r="D4942" s="4">
        <f>WEEKNUM(datos_ventas[[#This Row],[Fecha]],2)</f>
        <v>50</v>
      </c>
      <c r="E4942" t="s">
        <v>20</v>
      </c>
      <c r="F4942" t="s">
        <v>21</v>
      </c>
      <c r="G4942">
        <v>4</v>
      </c>
      <c r="H4942">
        <v>53177</v>
      </c>
      <c r="I4942">
        <v>921</v>
      </c>
      <c r="J4942" t="s">
        <v>31</v>
      </c>
      <c r="K4942" t="str">
        <f>_xlfn.XLOOKUP(datos_ventas[[#This Row],[Ciudad]],Tabla2[Ciudades],Tabla2[Provincias],"no se encuentra")</f>
        <v>Vizcaya</v>
      </c>
      <c r="L4942" t="str">
        <f>_xlfn.XLOOKUP(datos_ventas[[#This Row],[Provincia]],Tabla2[Provincias],Tabla2[Comunidades],"no se encuentra")</f>
        <v>País Vasco</v>
      </c>
      <c r="M4942" t="s">
        <v>13</v>
      </c>
      <c r="N4942">
        <v>1</v>
      </c>
    </row>
    <row r="4943" spans="1:14" x14ac:dyDescent="0.25">
      <c r="A4943">
        <v>5942</v>
      </c>
      <c r="B4943" s="1">
        <v>45928</v>
      </c>
      <c r="C4943" s="4">
        <f>MONTH(datos_ventas[[#This Row],[Fecha]])</f>
        <v>9</v>
      </c>
      <c r="D4943" s="4">
        <f>WEEKNUM(datos_ventas[[#This Row],[Fecha]],2)</f>
        <v>39</v>
      </c>
      <c r="E4943" t="s">
        <v>20</v>
      </c>
      <c r="F4943" t="s">
        <v>21</v>
      </c>
      <c r="G4943">
        <v>5</v>
      </c>
      <c r="H4943">
        <v>90258</v>
      </c>
      <c r="I4943">
        <v>78</v>
      </c>
      <c r="J4943" t="s">
        <v>27</v>
      </c>
      <c r="K4943" t="str">
        <f>_xlfn.XLOOKUP(datos_ventas[[#This Row],[Ciudad]],Tabla2[Ciudades],Tabla2[Provincias],"no se encuentra")</f>
        <v>Sevilla</v>
      </c>
      <c r="L4943" t="str">
        <f>_xlfn.XLOOKUP(datos_ventas[[#This Row],[Provincia]],Tabla2[Provincias],Tabla2[Comunidades],"no se encuentra")</f>
        <v>Andalucía</v>
      </c>
      <c r="M4943" t="s">
        <v>15</v>
      </c>
      <c r="N4943">
        <v>4</v>
      </c>
    </row>
    <row r="4944" spans="1:14" x14ac:dyDescent="0.25">
      <c r="A4944">
        <v>5943</v>
      </c>
      <c r="B4944" s="1">
        <v>45801</v>
      </c>
      <c r="C4944" s="4">
        <f>MONTH(datos_ventas[[#This Row],[Fecha]])</f>
        <v>5</v>
      </c>
      <c r="D4944" s="4">
        <f>WEEKNUM(datos_ventas[[#This Row],[Fecha]],2)</f>
        <v>21</v>
      </c>
      <c r="E4944" t="s">
        <v>10</v>
      </c>
      <c r="F4944" t="s">
        <v>11</v>
      </c>
      <c r="G4944">
        <v>3</v>
      </c>
      <c r="H4944">
        <v>71345</v>
      </c>
      <c r="I4944">
        <v>341</v>
      </c>
      <c r="J4944" t="s">
        <v>22</v>
      </c>
      <c r="K4944" t="str">
        <f>_xlfn.XLOOKUP(datos_ventas[[#This Row],[Ciudad]],Tabla2[Ciudades],Tabla2[Provincias],"no se encuentra")</f>
        <v>Valencia</v>
      </c>
      <c r="L4944" t="str">
        <f>_xlfn.XLOOKUP(datos_ventas[[#This Row],[Provincia]],Tabla2[Provincias],Tabla2[Comunidades],"no se encuentra")</f>
        <v>Comunidad Valenciana</v>
      </c>
      <c r="M4944" t="s">
        <v>15</v>
      </c>
      <c r="N4944">
        <v>3</v>
      </c>
    </row>
    <row r="4945" spans="1:14" x14ac:dyDescent="0.25">
      <c r="A4945">
        <v>5944</v>
      </c>
      <c r="B4945" s="1">
        <v>45829</v>
      </c>
      <c r="C4945" s="4">
        <f>MONTH(datos_ventas[[#This Row],[Fecha]])</f>
        <v>6</v>
      </c>
      <c r="D4945" s="4">
        <f>WEEKNUM(datos_ventas[[#This Row],[Fecha]],2)</f>
        <v>25</v>
      </c>
      <c r="E4945" t="s">
        <v>23</v>
      </c>
      <c r="F4945" t="s">
        <v>18</v>
      </c>
      <c r="G4945">
        <v>5</v>
      </c>
      <c r="H4945">
        <v>92591</v>
      </c>
      <c r="I4945">
        <v>2232</v>
      </c>
      <c r="J4945" t="s">
        <v>14</v>
      </c>
      <c r="K4945" t="str">
        <f>_xlfn.XLOOKUP(datos_ventas[[#This Row],[Ciudad]],Tabla2[Ciudades],Tabla2[Provincias],"no se encuentra")</f>
        <v>Madrid</v>
      </c>
      <c r="L4945" t="str">
        <f>_xlfn.XLOOKUP(datos_ventas[[#This Row],[Provincia]],Tabla2[Provincias],Tabla2[Comunidades],"no se encuentra")</f>
        <v>Comunidad de Madrid</v>
      </c>
      <c r="M4945" t="s">
        <v>13</v>
      </c>
      <c r="N4945">
        <v>4</v>
      </c>
    </row>
    <row r="4946" spans="1:14" x14ac:dyDescent="0.25">
      <c r="A4946">
        <v>5945</v>
      </c>
      <c r="B4946" s="1">
        <v>45901</v>
      </c>
      <c r="C4946" s="4">
        <f>MONTH(datos_ventas[[#This Row],[Fecha]])</f>
        <v>9</v>
      </c>
      <c r="D4946" s="4">
        <f>WEEKNUM(datos_ventas[[#This Row],[Fecha]],2)</f>
        <v>36</v>
      </c>
      <c r="E4946" t="s">
        <v>20</v>
      </c>
      <c r="F4946" t="s">
        <v>21</v>
      </c>
      <c r="G4946">
        <v>2</v>
      </c>
      <c r="H4946">
        <v>89064</v>
      </c>
      <c r="I4946">
        <v>4051</v>
      </c>
      <c r="J4946" t="s">
        <v>32</v>
      </c>
      <c r="K4946" t="str">
        <f>_xlfn.XLOOKUP(datos_ventas[[#This Row],[Ciudad]],Tabla2[Ciudades],Tabla2[Provincias],"no se encuentra")</f>
        <v>Barcelona</v>
      </c>
      <c r="L4946" t="str">
        <f>_xlfn.XLOOKUP(datos_ventas[[#This Row],[Provincia]],Tabla2[Provincias],Tabla2[Comunidades],"no se encuentra")</f>
        <v>Cataluña</v>
      </c>
      <c r="M4946" t="s">
        <v>19</v>
      </c>
      <c r="N4946">
        <v>5</v>
      </c>
    </row>
    <row r="4947" spans="1:14" x14ac:dyDescent="0.25">
      <c r="A4947">
        <v>5946</v>
      </c>
      <c r="B4947" s="1">
        <v>45677</v>
      </c>
      <c r="C4947" s="4">
        <f>MONTH(datos_ventas[[#This Row],[Fecha]])</f>
        <v>1</v>
      </c>
      <c r="D4947" s="4">
        <f>WEEKNUM(datos_ventas[[#This Row],[Fecha]],2)</f>
        <v>4</v>
      </c>
      <c r="E4947" t="s">
        <v>23</v>
      </c>
      <c r="F4947" t="s">
        <v>18</v>
      </c>
      <c r="G4947">
        <v>3</v>
      </c>
      <c r="H4947">
        <v>55229</v>
      </c>
      <c r="I4947">
        <v>3344</v>
      </c>
      <c r="J4947" t="s">
        <v>27</v>
      </c>
      <c r="K4947" t="str">
        <f>_xlfn.XLOOKUP(datos_ventas[[#This Row],[Ciudad]],Tabla2[Ciudades],Tabla2[Provincias],"no se encuentra")</f>
        <v>Sevilla</v>
      </c>
      <c r="L4947" t="str">
        <f>_xlfn.XLOOKUP(datos_ventas[[#This Row],[Provincia]],Tabla2[Provincias],Tabla2[Comunidades],"no se encuentra")</f>
        <v>Andalucía</v>
      </c>
      <c r="M4947" t="s">
        <v>19</v>
      </c>
      <c r="N4947">
        <v>5</v>
      </c>
    </row>
    <row r="4948" spans="1:14" x14ac:dyDescent="0.25">
      <c r="A4948">
        <v>5947</v>
      </c>
      <c r="B4948" s="1">
        <v>45759</v>
      </c>
      <c r="C4948" s="4">
        <f>MONTH(datos_ventas[[#This Row],[Fecha]])</f>
        <v>4</v>
      </c>
      <c r="D4948" s="4">
        <f>WEEKNUM(datos_ventas[[#This Row],[Fecha]],2)</f>
        <v>15</v>
      </c>
      <c r="E4948" t="s">
        <v>17</v>
      </c>
      <c r="F4948" t="s">
        <v>18</v>
      </c>
      <c r="G4948">
        <v>2</v>
      </c>
      <c r="H4948">
        <v>90268</v>
      </c>
      <c r="I4948">
        <v>3588</v>
      </c>
      <c r="J4948" t="s">
        <v>22</v>
      </c>
      <c r="K4948" t="str">
        <f>_xlfn.XLOOKUP(datos_ventas[[#This Row],[Ciudad]],Tabla2[Ciudades],Tabla2[Provincias],"no se encuentra")</f>
        <v>Valencia</v>
      </c>
      <c r="L4948" t="str">
        <f>_xlfn.XLOOKUP(datos_ventas[[#This Row],[Provincia]],Tabla2[Provincias],Tabla2[Comunidades],"no se encuentra")</f>
        <v>Comunidad Valenciana</v>
      </c>
      <c r="M4948" t="s">
        <v>13</v>
      </c>
      <c r="N4948">
        <v>4</v>
      </c>
    </row>
    <row r="4949" spans="1:14" x14ac:dyDescent="0.25">
      <c r="A4949">
        <v>5948</v>
      </c>
      <c r="B4949" s="1">
        <v>45859</v>
      </c>
      <c r="C4949" s="4">
        <f>MONTH(datos_ventas[[#This Row],[Fecha]])</f>
        <v>7</v>
      </c>
      <c r="D4949" s="4">
        <f>WEEKNUM(datos_ventas[[#This Row],[Fecha]],2)</f>
        <v>30</v>
      </c>
      <c r="E4949" t="s">
        <v>20</v>
      </c>
      <c r="F4949" t="s">
        <v>21</v>
      </c>
      <c r="G4949">
        <v>2</v>
      </c>
      <c r="H4949">
        <v>3619</v>
      </c>
      <c r="I4949">
        <v>3494</v>
      </c>
      <c r="J4949" t="s">
        <v>32</v>
      </c>
      <c r="K4949" t="str">
        <f>_xlfn.XLOOKUP(datos_ventas[[#This Row],[Ciudad]],Tabla2[Ciudades],Tabla2[Provincias],"no se encuentra")</f>
        <v>Barcelona</v>
      </c>
      <c r="L4949" t="str">
        <f>_xlfn.XLOOKUP(datos_ventas[[#This Row],[Provincia]],Tabla2[Provincias],Tabla2[Comunidades],"no se encuentra")</f>
        <v>Cataluña</v>
      </c>
      <c r="M4949" t="s">
        <v>28</v>
      </c>
      <c r="N4949">
        <v>3</v>
      </c>
    </row>
    <row r="4950" spans="1:14" x14ac:dyDescent="0.25">
      <c r="A4950">
        <v>5949</v>
      </c>
      <c r="B4950" s="1">
        <v>45822</v>
      </c>
      <c r="C4950" s="4">
        <f>MONTH(datos_ventas[[#This Row],[Fecha]])</f>
        <v>6</v>
      </c>
      <c r="D4950" s="4">
        <f>WEEKNUM(datos_ventas[[#This Row],[Fecha]],2)</f>
        <v>24</v>
      </c>
      <c r="E4950" t="s">
        <v>24</v>
      </c>
      <c r="F4950" t="s">
        <v>25</v>
      </c>
      <c r="G4950">
        <v>4</v>
      </c>
      <c r="H4950">
        <v>68951</v>
      </c>
      <c r="I4950">
        <v>388</v>
      </c>
      <c r="J4950" t="s">
        <v>14</v>
      </c>
      <c r="K4950" t="str">
        <f>_xlfn.XLOOKUP(datos_ventas[[#This Row],[Ciudad]],Tabla2[Ciudades],Tabla2[Provincias],"no se encuentra")</f>
        <v>Madrid</v>
      </c>
      <c r="L4950" t="str">
        <f>_xlfn.XLOOKUP(datos_ventas[[#This Row],[Provincia]],Tabla2[Provincias],Tabla2[Comunidades],"no se encuentra")</f>
        <v>Comunidad de Madrid</v>
      </c>
      <c r="M4950" t="s">
        <v>15</v>
      </c>
      <c r="N4950">
        <v>2</v>
      </c>
    </row>
    <row r="4951" spans="1:14" x14ac:dyDescent="0.25">
      <c r="A4951">
        <v>5950</v>
      </c>
      <c r="B4951" s="1">
        <v>45999</v>
      </c>
      <c r="C4951" s="4">
        <f>MONTH(datos_ventas[[#This Row],[Fecha]])</f>
        <v>12</v>
      </c>
      <c r="D4951" s="4">
        <f>WEEKNUM(datos_ventas[[#This Row],[Fecha]],2)</f>
        <v>50</v>
      </c>
      <c r="E4951" t="s">
        <v>29</v>
      </c>
      <c r="F4951" t="s">
        <v>30</v>
      </c>
      <c r="G4951">
        <v>2</v>
      </c>
      <c r="H4951">
        <v>9166</v>
      </c>
      <c r="I4951">
        <v>2866</v>
      </c>
      <c r="J4951" t="s">
        <v>22</v>
      </c>
      <c r="K4951" t="str">
        <f>_xlfn.XLOOKUP(datos_ventas[[#This Row],[Ciudad]],Tabla2[Ciudades],Tabla2[Provincias],"no se encuentra")</f>
        <v>Valencia</v>
      </c>
      <c r="L4951" t="str">
        <f>_xlfn.XLOOKUP(datos_ventas[[#This Row],[Provincia]],Tabla2[Provincias],Tabla2[Comunidades],"no se encuentra")</f>
        <v>Comunidad Valenciana</v>
      </c>
      <c r="M4951" t="s">
        <v>13</v>
      </c>
      <c r="N4951">
        <v>2</v>
      </c>
    </row>
    <row r="4952" spans="1:14" x14ac:dyDescent="0.25">
      <c r="A4952">
        <v>5951</v>
      </c>
      <c r="B4952" s="1">
        <v>45721</v>
      </c>
      <c r="C4952" s="4">
        <f>MONTH(datos_ventas[[#This Row],[Fecha]])</f>
        <v>3</v>
      </c>
      <c r="D4952" s="4">
        <f>WEEKNUM(datos_ventas[[#This Row],[Fecha]],2)</f>
        <v>10</v>
      </c>
      <c r="E4952" t="s">
        <v>20</v>
      </c>
      <c r="F4952" t="s">
        <v>21</v>
      </c>
      <c r="G4952">
        <v>5</v>
      </c>
      <c r="H4952">
        <v>100372</v>
      </c>
      <c r="I4952">
        <v>1003</v>
      </c>
      <c r="J4952" t="s">
        <v>22</v>
      </c>
      <c r="K4952" t="str">
        <f>_xlfn.XLOOKUP(datos_ventas[[#This Row],[Ciudad]],Tabla2[Ciudades],Tabla2[Provincias],"no se encuentra")</f>
        <v>Valencia</v>
      </c>
      <c r="L4952" t="str">
        <f>_xlfn.XLOOKUP(datos_ventas[[#This Row],[Provincia]],Tabla2[Provincias],Tabla2[Comunidades],"no se encuentra")</f>
        <v>Comunidad Valenciana</v>
      </c>
      <c r="M4952" t="s">
        <v>28</v>
      </c>
      <c r="N4952">
        <v>3</v>
      </c>
    </row>
    <row r="4953" spans="1:14" x14ac:dyDescent="0.25">
      <c r="A4953">
        <v>5952</v>
      </c>
      <c r="B4953" s="1">
        <v>45929</v>
      </c>
      <c r="C4953" s="4">
        <f>MONTH(datos_ventas[[#This Row],[Fecha]])</f>
        <v>9</v>
      </c>
      <c r="D4953" s="4">
        <f>WEEKNUM(datos_ventas[[#This Row],[Fecha]],2)</f>
        <v>40</v>
      </c>
      <c r="E4953" t="s">
        <v>16</v>
      </c>
      <c r="F4953" t="s">
        <v>11</v>
      </c>
      <c r="G4953">
        <v>1</v>
      </c>
      <c r="H4953">
        <v>34678</v>
      </c>
      <c r="I4953">
        <v>4811</v>
      </c>
      <c r="J4953" t="s">
        <v>27</v>
      </c>
      <c r="K4953" t="str">
        <f>_xlfn.XLOOKUP(datos_ventas[[#This Row],[Ciudad]],Tabla2[Ciudades],Tabla2[Provincias],"no se encuentra")</f>
        <v>Sevilla</v>
      </c>
      <c r="L4953" t="str">
        <f>_xlfn.XLOOKUP(datos_ventas[[#This Row],[Provincia]],Tabla2[Provincias],Tabla2[Comunidades],"no se encuentra")</f>
        <v>Andalucía</v>
      </c>
      <c r="M4953" t="s">
        <v>19</v>
      </c>
      <c r="N4953">
        <v>1</v>
      </c>
    </row>
    <row r="4954" spans="1:14" x14ac:dyDescent="0.25">
      <c r="A4954">
        <v>5953</v>
      </c>
      <c r="B4954" s="1">
        <v>45728</v>
      </c>
      <c r="C4954" s="4">
        <f>MONTH(datos_ventas[[#This Row],[Fecha]])</f>
        <v>3</v>
      </c>
      <c r="D4954" s="4">
        <f>WEEKNUM(datos_ventas[[#This Row],[Fecha]],2)</f>
        <v>11</v>
      </c>
      <c r="E4954" t="s">
        <v>29</v>
      </c>
      <c r="F4954" t="s">
        <v>30</v>
      </c>
      <c r="G4954">
        <v>3</v>
      </c>
      <c r="H4954">
        <v>80002</v>
      </c>
      <c r="I4954">
        <v>4853</v>
      </c>
      <c r="J4954" t="s">
        <v>14</v>
      </c>
      <c r="K4954" t="str">
        <f>_xlfn.XLOOKUP(datos_ventas[[#This Row],[Ciudad]],Tabla2[Ciudades],Tabla2[Provincias],"no se encuentra")</f>
        <v>Madrid</v>
      </c>
      <c r="L4954" t="str">
        <f>_xlfn.XLOOKUP(datos_ventas[[#This Row],[Provincia]],Tabla2[Provincias],Tabla2[Comunidades],"no se encuentra")</f>
        <v>Comunidad de Madrid</v>
      </c>
      <c r="M4954" t="s">
        <v>28</v>
      </c>
      <c r="N4954">
        <v>1</v>
      </c>
    </row>
    <row r="4955" spans="1:14" x14ac:dyDescent="0.25">
      <c r="A4955">
        <v>5954</v>
      </c>
      <c r="B4955" s="1">
        <v>45982</v>
      </c>
      <c r="C4955" s="4">
        <f>MONTH(datos_ventas[[#This Row],[Fecha]])</f>
        <v>11</v>
      </c>
      <c r="D4955" s="4">
        <f>WEEKNUM(datos_ventas[[#This Row],[Fecha]],2)</f>
        <v>47</v>
      </c>
      <c r="E4955" t="s">
        <v>17</v>
      </c>
      <c r="F4955" t="s">
        <v>18</v>
      </c>
      <c r="G4955">
        <v>1</v>
      </c>
      <c r="H4955">
        <v>102112</v>
      </c>
      <c r="I4955">
        <v>3688</v>
      </c>
      <c r="J4955" t="s">
        <v>31</v>
      </c>
      <c r="K4955" t="str">
        <f>_xlfn.XLOOKUP(datos_ventas[[#This Row],[Ciudad]],Tabla2[Ciudades],Tabla2[Provincias],"no se encuentra")</f>
        <v>Vizcaya</v>
      </c>
      <c r="L4955" t="str">
        <f>_xlfn.XLOOKUP(datos_ventas[[#This Row],[Provincia]],Tabla2[Provincias],Tabla2[Comunidades],"no se encuentra")</f>
        <v>País Vasco</v>
      </c>
      <c r="M4955" t="s">
        <v>13</v>
      </c>
      <c r="N4955">
        <v>5</v>
      </c>
    </row>
    <row r="4956" spans="1:14" x14ac:dyDescent="0.25">
      <c r="A4956">
        <v>5955</v>
      </c>
      <c r="B4956" s="1">
        <v>45926</v>
      </c>
      <c r="C4956" s="4">
        <f>MONTH(datos_ventas[[#This Row],[Fecha]])</f>
        <v>9</v>
      </c>
      <c r="D4956" s="4">
        <f>WEEKNUM(datos_ventas[[#This Row],[Fecha]],2)</f>
        <v>39</v>
      </c>
      <c r="E4956" t="s">
        <v>10</v>
      </c>
      <c r="F4956" t="s">
        <v>11</v>
      </c>
      <c r="G4956">
        <v>4</v>
      </c>
      <c r="H4956">
        <v>7778</v>
      </c>
      <c r="I4956">
        <v>2232</v>
      </c>
      <c r="J4956" t="s">
        <v>12</v>
      </c>
      <c r="K4956" t="str">
        <f>_xlfn.XLOOKUP(datos_ventas[[#This Row],[Ciudad]],Tabla2[Ciudades],Tabla2[Provincias],"no se encuentra")</f>
        <v>Málaga</v>
      </c>
      <c r="L4956" t="str">
        <f>_xlfn.XLOOKUP(datos_ventas[[#This Row],[Provincia]],Tabla2[Provincias],Tabla2[Comunidades],"no se encuentra")</f>
        <v>Andalucía</v>
      </c>
      <c r="M4956" t="s">
        <v>15</v>
      </c>
      <c r="N4956">
        <v>2</v>
      </c>
    </row>
    <row r="4957" spans="1:14" x14ac:dyDescent="0.25">
      <c r="A4957">
        <v>5956</v>
      </c>
      <c r="B4957" s="1">
        <v>45911</v>
      </c>
      <c r="C4957" s="4">
        <f>MONTH(datos_ventas[[#This Row],[Fecha]])</f>
        <v>9</v>
      </c>
      <c r="D4957" s="4">
        <f>WEEKNUM(datos_ventas[[#This Row],[Fecha]],2)</f>
        <v>37</v>
      </c>
      <c r="E4957" t="s">
        <v>29</v>
      </c>
      <c r="F4957" t="s">
        <v>30</v>
      </c>
      <c r="G4957">
        <v>1</v>
      </c>
      <c r="H4957">
        <v>68944</v>
      </c>
      <c r="I4957">
        <v>1806</v>
      </c>
      <c r="J4957" t="s">
        <v>14</v>
      </c>
      <c r="K4957" t="str">
        <f>_xlfn.XLOOKUP(datos_ventas[[#This Row],[Ciudad]],Tabla2[Ciudades],Tabla2[Provincias],"no se encuentra")</f>
        <v>Madrid</v>
      </c>
      <c r="L4957" t="str">
        <f>_xlfn.XLOOKUP(datos_ventas[[#This Row],[Provincia]],Tabla2[Provincias],Tabla2[Comunidades],"no se encuentra")</f>
        <v>Comunidad de Madrid</v>
      </c>
      <c r="M4957" t="s">
        <v>13</v>
      </c>
      <c r="N4957">
        <v>5</v>
      </c>
    </row>
    <row r="4958" spans="1:14" x14ac:dyDescent="0.25">
      <c r="A4958">
        <v>5957</v>
      </c>
      <c r="B4958" s="1">
        <v>45792</v>
      </c>
      <c r="C4958" s="4">
        <f>MONTH(datos_ventas[[#This Row],[Fecha]])</f>
        <v>5</v>
      </c>
      <c r="D4958" s="4">
        <f>WEEKNUM(datos_ventas[[#This Row],[Fecha]],2)</f>
        <v>20</v>
      </c>
      <c r="E4958" t="s">
        <v>17</v>
      </c>
      <c r="F4958" t="s">
        <v>18</v>
      </c>
      <c r="G4958">
        <v>2</v>
      </c>
      <c r="H4958">
        <v>36858</v>
      </c>
      <c r="I4958">
        <v>1175</v>
      </c>
      <c r="J4958" t="s">
        <v>22</v>
      </c>
      <c r="K4958" t="str">
        <f>_xlfn.XLOOKUP(datos_ventas[[#This Row],[Ciudad]],Tabla2[Ciudades],Tabla2[Provincias],"no se encuentra")</f>
        <v>Valencia</v>
      </c>
      <c r="L4958" t="str">
        <f>_xlfn.XLOOKUP(datos_ventas[[#This Row],[Provincia]],Tabla2[Provincias],Tabla2[Comunidades],"no se encuentra")</f>
        <v>Comunidad Valenciana</v>
      </c>
      <c r="M4958" t="s">
        <v>28</v>
      </c>
      <c r="N4958">
        <v>2</v>
      </c>
    </row>
    <row r="4959" spans="1:14" x14ac:dyDescent="0.25">
      <c r="A4959">
        <v>5958</v>
      </c>
      <c r="B4959" s="1">
        <v>45931</v>
      </c>
      <c r="C4959" s="4">
        <f>MONTH(datos_ventas[[#This Row],[Fecha]])</f>
        <v>10</v>
      </c>
      <c r="D4959" s="4">
        <f>WEEKNUM(datos_ventas[[#This Row],[Fecha]],2)</f>
        <v>40</v>
      </c>
      <c r="E4959" t="s">
        <v>17</v>
      </c>
      <c r="F4959" t="s">
        <v>18</v>
      </c>
      <c r="G4959">
        <v>1</v>
      </c>
      <c r="H4959">
        <v>52114</v>
      </c>
      <c r="I4959">
        <v>212</v>
      </c>
      <c r="J4959" t="s">
        <v>32</v>
      </c>
      <c r="K4959" t="str">
        <f>_xlfn.XLOOKUP(datos_ventas[[#This Row],[Ciudad]],Tabla2[Ciudades],Tabla2[Provincias],"no se encuentra")</f>
        <v>Barcelona</v>
      </c>
      <c r="L4959" t="str">
        <f>_xlfn.XLOOKUP(datos_ventas[[#This Row],[Provincia]],Tabla2[Provincias],Tabla2[Comunidades],"no se encuentra")</f>
        <v>Cataluña</v>
      </c>
      <c r="M4959" t="s">
        <v>19</v>
      </c>
      <c r="N4959">
        <v>1</v>
      </c>
    </row>
    <row r="4960" spans="1:14" x14ac:dyDescent="0.25">
      <c r="A4960">
        <v>5959</v>
      </c>
      <c r="B4960" s="1">
        <v>45687</v>
      </c>
      <c r="C4960" s="4">
        <f>MONTH(datos_ventas[[#This Row],[Fecha]])</f>
        <v>1</v>
      </c>
      <c r="D4960" s="4">
        <f>WEEKNUM(datos_ventas[[#This Row],[Fecha]],2)</f>
        <v>5</v>
      </c>
      <c r="E4960" t="s">
        <v>20</v>
      </c>
      <c r="F4960" t="s">
        <v>21</v>
      </c>
      <c r="G4960">
        <v>4</v>
      </c>
      <c r="H4960">
        <v>44012</v>
      </c>
      <c r="I4960">
        <v>4471</v>
      </c>
      <c r="J4960" t="s">
        <v>14</v>
      </c>
      <c r="K4960" t="str">
        <f>_xlfn.XLOOKUP(datos_ventas[[#This Row],[Ciudad]],Tabla2[Ciudades],Tabla2[Provincias],"no se encuentra")</f>
        <v>Madrid</v>
      </c>
      <c r="L4960" t="str">
        <f>_xlfn.XLOOKUP(datos_ventas[[#This Row],[Provincia]],Tabla2[Provincias],Tabla2[Comunidades],"no se encuentra")</f>
        <v>Comunidad de Madrid</v>
      </c>
      <c r="M4960" t="s">
        <v>28</v>
      </c>
      <c r="N4960">
        <v>2</v>
      </c>
    </row>
    <row r="4961" spans="1:14" x14ac:dyDescent="0.25">
      <c r="A4961">
        <v>5960</v>
      </c>
      <c r="B4961" s="1">
        <v>46016</v>
      </c>
      <c r="C4961" s="4">
        <f>MONTH(datos_ventas[[#This Row],[Fecha]])</f>
        <v>12</v>
      </c>
      <c r="D4961" s="4">
        <f>WEEKNUM(datos_ventas[[#This Row],[Fecha]],2)</f>
        <v>52</v>
      </c>
      <c r="E4961" t="s">
        <v>23</v>
      </c>
      <c r="F4961" t="s">
        <v>18</v>
      </c>
      <c r="G4961">
        <v>2</v>
      </c>
      <c r="H4961">
        <v>14464</v>
      </c>
      <c r="I4961">
        <v>793</v>
      </c>
      <c r="J4961" t="s">
        <v>14</v>
      </c>
      <c r="K4961" t="str">
        <f>_xlfn.XLOOKUP(datos_ventas[[#This Row],[Ciudad]],Tabla2[Ciudades],Tabla2[Provincias],"no se encuentra")</f>
        <v>Madrid</v>
      </c>
      <c r="L4961" t="str">
        <f>_xlfn.XLOOKUP(datos_ventas[[#This Row],[Provincia]],Tabla2[Provincias],Tabla2[Comunidades],"no se encuentra")</f>
        <v>Comunidad de Madrid</v>
      </c>
      <c r="M4961" t="s">
        <v>19</v>
      </c>
      <c r="N4961">
        <v>1</v>
      </c>
    </row>
    <row r="4962" spans="1:14" x14ac:dyDescent="0.25">
      <c r="A4962">
        <v>5961</v>
      </c>
      <c r="B4962" s="1">
        <v>45782</v>
      </c>
      <c r="C4962" s="4">
        <f>MONTH(datos_ventas[[#This Row],[Fecha]])</f>
        <v>5</v>
      </c>
      <c r="D4962" s="4">
        <f>WEEKNUM(datos_ventas[[#This Row],[Fecha]],2)</f>
        <v>19</v>
      </c>
      <c r="E4962" t="s">
        <v>23</v>
      </c>
      <c r="F4962" t="s">
        <v>18</v>
      </c>
      <c r="G4962">
        <v>1</v>
      </c>
      <c r="H4962">
        <v>76655</v>
      </c>
      <c r="I4962">
        <v>682</v>
      </c>
      <c r="J4962" t="s">
        <v>32</v>
      </c>
      <c r="K4962" t="str">
        <f>_xlfn.XLOOKUP(datos_ventas[[#This Row],[Ciudad]],Tabla2[Ciudades],Tabla2[Provincias],"no se encuentra")</f>
        <v>Barcelona</v>
      </c>
      <c r="L4962" t="str">
        <f>_xlfn.XLOOKUP(datos_ventas[[#This Row],[Provincia]],Tabla2[Provincias],Tabla2[Comunidades],"no se encuentra")</f>
        <v>Cataluña</v>
      </c>
      <c r="M4962" t="s">
        <v>15</v>
      </c>
      <c r="N4962">
        <v>5</v>
      </c>
    </row>
    <row r="4963" spans="1:14" x14ac:dyDescent="0.25">
      <c r="A4963">
        <v>5962</v>
      </c>
      <c r="B4963" s="1">
        <v>45845</v>
      </c>
      <c r="C4963" s="4">
        <f>MONTH(datos_ventas[[#This Row],[Fecha]])</f>
        <v>7</v>
      </c>
      <c r="D4963" s="4">
        <f>WEEKNUM(datos_ventas[[#This Row],[Fecha]],2)</f>
        <v>28</v>
      </c>
      <c r="E4963" t="s">
        <v>16</v>
      </c>
      <c r="F4963" t="s">
        <v>11</v>
      </c>
      <c r="G4963">
        <v>1</v>
      </c>
      <c r="H4963">
        <v>38884</v>
      </c>
      <c r="I4963">
        <v>4062</v>
      </c>
      <c r="J4963" t="s">
        <v>31</v>
      </c>
      <c r="K4963" t="str">
        <f>_xlfn.XLOOKUP(datos_ventas[[#This Row],[Ciudad]],Tabla2[Ciudades],Tabla2[Provincias],"no se encuentra")</f>
        <v>Vizcaya</v>
      </c>
      <c r="L4963" t="str">
        <f>_xlfn.XLOOKUP(datos_ventas[[#This Row],[Provincia]],Tabla2[Provincias],Tabla2[Comunidades],"no se encuentra")</f>
        <v>País Vasco</v>
      </c>
      <c r="M4963" t="s">
        <v>28</v>
      </c>
      <c r="N4963">
        <v>3</v>
      </c>
    </row>
    <row r="4964" spans="1:14" x14ac:dyDescent="0.25">
      <c r="A4964">
        <v>5963</v>
      </c>
      <c r="B4964" s="1">
        <v>45950</v>
      </c>
      <c r="C4964" s="4">
        <f>MONTH(datos_ventas[[#This Row],[Fecha]])</f>
        <v>10</v>
      </c>
      <c r="D4964" s="4">
        <f>WEEKNUM(datos_ventas[[#This Row],[Fecha]],2)</f>
        <v>43</v>
      </c>
      <c r="E4964" t="s">
        <v>23</v>
      </c>
      <c r="F4964" t="s">
        <v>18</v>
      </c>
      <c r="G4964">
        <v>2</v>
      </c>
      <c r="H4964">
        <v>46426</v>
      </c>
      <c r="I4964">
        <v>3712</v>
      </c>
      <c r="J4964" t="s">
        <v>27</v>
      </c>
      <c r="K4964" t="str">
        <f>_xlfn.XLOOKUP(datos_ventas[[#This Row],[Ciudad]],Tabla2[Ciudades],Tabla2[Provincias],"no se encuentra")</f>
        <v>Sevilla</v>
      </c>
      <c r="L4964" t="str">
        <f>_xlfn.XLOOKUP(datos_ventas[[#This Row],[Provincia]],Tabla2[Provincias],Tabla2[Comunidades],"no se encuentra")</f>
        <v>Andalucía</v>
      </c>
      <c r="M4964" t="s">
        <v>13</v>
      </c>
      <c r="N4964">
        <v>5</v>
      </c>
    </row>
    <row r="4965" spans="1:14" x14ac:dyDescent="0.25">
      <c r="A4965">
        <v>5964</v>
      </c>
      <c r="B4965" s="1">
        <v>45715</v>
      </c>
      <c r="C4965" s="4">
        <f>MONTH(datos_ventas[[#This Row],[Fecha]])</f>
        <v>2</v>
      </c>
      <c r="D4965" s="4">
        <f>WEEKNUM(datos_ventas[[#This Row],[Fecha]],2)</f>
        <v>9</v>
      </c>
      <c r="E4965" t="s">
        <v>23</v>
      </c>
      <c r="F4965" t="s">
        <v>18</v>
      </c>
      <c r="G4965">
        <v>1</v>
      </c>
      <c r="H4965">
        <v>62997</v>
      </c>
      <c r="I4965">
        <v>1759</v>
      </c>
      <c r="J4965" t="s">
        <v>27</v>
      </c>
      <c r="K4965" t="str">
        <f>_xlfn.XLOOKUP(datos_ventas[[#This Row],[Ciudad]],Tabla2[Ciudades],Tabla2[Provincias],"no se encuentra")</f>
        <v>Sevilla</v>
      </c>
      <c r="L4965" t="str">
        <f>_xlfn.XLOOKUP(datos_ventas[[#This Row],[Provincia]],Tabla2[Provincias],Tabla2[Comunidades],"no se encuentra")</f>
        <v>Andalucía</v>
      </c>
      <c r="M4965" t="s">
        <v>13</v>
      </c>
      <c r="N4965">
        <v>1</v>
      </c>
    </row>
    <row r="4966" spans="1:14" x14ac:dyDescent="0.25">
      <c r="A4966">
        <v>5965</v>
      </c>
      <c r="B4966" s="1">
        <v>45752</v>
      </c>
      <c r="C4966" s="4">
        <f>MONTH(datos_ventas[[#This Row],[Fecha]])</f>
        <v>4</v>
      </c>
      <c r="D4966" s="4">
        <f>WEEKNUM(datos_ventas[[#This Row],[Fecha]],2)</f>
        <v>14</v>
      </c>
      <c r="E4966" t="s">
        <v>16</v>
      </c>
      <c r="F4966" t="s">
        <v>11</v>
      </c>
      <c r="G4966">
        <v>1</v>
      </c>
      <c r="H4966">
        <v>16572</v>
      </c>
      <c r="I4966">
        <v>3701</v>
      </c>
      <c r="J4966" t="s">
        <v>32</v>
      </c>
      <c r="K4966" t="str">
        <f>_xlfn.XLOOKUP(datos_ventas[[#This Row],[Ciudad]],Tabla2[Ciudades],Tabla2[Provincias],"no se encuentra")</f>
        <v>Barcelona</v>
      </c>
      <c r="L4966" t="str">
        <f>_xlfn.XLOOKUP(datos_ventas[[#This Row],[Provincia]],Tabla2[Provincias],Tabla2[Comunidades],"no se encuentra")</f>
        <v>Cataluña</v>
      </c>
      <c r="M4966" t="s">
        <v>13</v>
      </c>
      <c r="N4966">
        <v>4</v>
      </c>
    </row>
    <row r="4967" spans="1:14" x14ac:dyDescent="0.25">
      <c r="A4967">
        <v>5966</v>
      </c>
      <c r="B4967" s="1">
        <v>45671</v>
      </c>
      <c r="C4967" s="4">
        <f>MONTH(datos_ventas[[#This Row],[Fecha]])</f>
        <v>1</v>
      </c>
      <c r="D4967" s="4">
        <f>WEEKNUM(datos_ventas[[#This Row],[Fecha]],2)</f>
        <v>3</v>
      </c>
      <c r="E4967" t="s">
        <v>23</v>
      </c>
      <c r="F4967" t="s">
        <v>18</v>
      </c>
      <c r="G4967">
        <v>1</v>
      </c>
      <c r="H4967">
        <v>89666</v>
      </c>
      <c r="I4967">
        <v>1685</v>
      </c>
      <c r="J4967" t="s">
        <v>12</v>
      </c>
      <c r="K4967" t="str">
        <f>_xlfn.XLOOKUP(datos_ventas[[#This Row],[Ciudad]],Tabla2[Ciudades],Tabla2[Provincias],"no se encuentra")</f>
        <v>Málaga</v>
      </c>
      <c r="L4967" t="str">
        <f>_xlfn.XLOOKUP(datos_ventas[[#This Row],[Provincia]],Tabla2[Provincias],Tabla2[Comunidades],"no se encuentra")</f>
        <v>Andalucía</v>
      </c>
      <c r="M4967" t="s">
        <v>28</v>
      </c>
      <c r="N4967">
        <v>2</v>
      </c>
    </row>
    <row r="4968" spans="1:14" x14ac:dyDescent="0.25">
      <c r="A4968">
        <v>5967</v>
      </c>
      <c r="B4968" s="1">
        <v>45836</v>
      </c>
      <c r="C4968" s="4">
        <f>MONTH(datos_ventas[[#This Row],[Fecha]])</f>
        <v>6</v>
      </c>
      <c r="D4968" s="4">
        <f>WEEKNUM(datos_ventas[[#This Row],[Fecha]],2)</f>
        <v>26</v>
      </c>
      <c r="E4968" t="s">
        <v>17</v>
      </c>
      <c r="F4968" t="s">
        <v>18</v>
      </c>
      <c r="G4968">
        <v>4</v>
      </c>
      <c r="H4968">
        <v>61148</v>
      </c>
      <c r="I4968">
        <v>1433</v>
      </c>
      <c r="J4968" t="s">
        <v>12</v>
      </c>
      <c r="K4968" t="str">
        <f>_xlfn.XLOOKUP(datos_ventas[[#This Row],[Ciudad]],Tabla2[Ciudades],Tabla2[Provincias],"no se encuentra")</f>
        <v>Málaga</v>
      </c>
      <c r="L4968" t="str">
        <f>_xlfn.XLOOKUP(datos_ventas[[#This Row],[Provincia]],Tabla2[Provincias],Tabla2[Comunidades],"no se encuentra")</f>
        <v>Andalucía</v>
      </c>
      <c r="M4968" t="s">
        <v>13</v>
      </c>
      <c r="N4968">
        <v>4</v>
      </c>
    </row>
    <row r="4969" spans="1:14" x14ac:dyDescent="0.25">
      <c r="A4969">
        <v>5968</v>
      </c>
      <c r="B4969" s="1">
        <v>45678</v>
      </c>
      <c r="C4969" s="4">
        <f>MONTH(datos_ventas[[#This Row],[Fecha]])</f>
        <v>1</v>
      </c>
      <c r="D4969" s="4">
        <f>WEEKNUM(datos_ventas[[#This Row],[Fecha]],2)</f>
        <v>4</v>
      </c>
      <c r="E4969" t="s">
        <v>26</v>
      </c>
      <c r="F4969" t="s">
        <v>18</v>
      </c>
      <c r="G4969">
        <v>1</v>
      </c>
      <c r="H4969">
        <v>84784</v>
      </c>
      <c r="I4969">
        <v>4447</v>
      </c>
      <c r="J4969" t="s">
        <v>14</v>
      </c>
      <c r="K4969" t="str">
        <f>_xlfn.XLOOKUP(datos_ventas[[#This Row],[Ciudad]],Tabla2[Ciudades],Tabla2[Provincias],"no se encuentra")</f>
        <v>Madrid</v>
      </c>
      <c r="L4969" t="str">
        <f>_xlfn.XLOOKUP(datos_ventas[[#This Row],[Provincia]],Tabla2[Provincias],Tabla2[Comunidades],"no se encuentra")</f>
        <v>Comunidad de Madrid</v>
      </c>
      <c r="M4969" t="s">
        <v>28</v>
      </c>
      <c r="N4969">
        <v>2</v>
      </c>
    </row>
    <row r="4970" spans="1:14" x14ac:dyDescent="0.25">
      <c r="A4970">
        <v>5969</v>
      </c>
      <c r="B4970" s="1">
        <v>45889</v>
      </c>
      <c r="C4970" s="4">
        <f>MONTH(datos_ventas[[#This Row],[Fecha]])</f>
        <v>8</v>
      </c>
      <c r="D4970" s="4">
        <f>WEEKNUM(datos_ventas[[#This Row],[Fecha]],2)</f>
        <v>34</v>
      </c>
      <c r="E4970" t="s">
        <v>23</v>
      </c>
      <c r="F4970" t="s">
        <v>18</v>
      </c>
      <c r="G4970">
        <v>5</v>
      </c>
      <c r="H4970">
        <v>29136</v>
      </c>
      <c r="I4970">
        <v>2224</v>
      </c>
      <c r="J4970" t="s">
        <v>12</v>
      </c>
      <c r="K4970" t="str">
        <f>_xlfn.XLOOKUP(datos_ventas[[#This Row],[Ciudad]],Tabla2[Ciudades],Tabla2[Provincias],"no se encuentra")</f>
        <v>Málaga</v>
      </c>
      <c r="L4970" t="str">
        <f>_xlfn.XLOOKUP(datos_ventas[[#This Row],[Provincia]],Tabla2[Provincias],Tabla2[Comunidades],"no se encuentra")</f>
        <v>Andalucía</v>
      </c>
      <c r="M4970" t="s">
        <v>15</v>
      </c>
      <c r="N4970">
        <v>1</v>
      </c>
    </row>
    <row r="4971" spans="1:14" x14ac:dyDescent="0.25">
      <c r="A4971">
        <v>5970</v>
      </c>
      <c r="B4971" s="1">
        <v>46011</v>
      </c>
      <c r="C4971" s="4">
        <f>MONTH(datos_ventas[[#This Row],[Fecha]])</f>
        <v>12</v>
      </c>
      <c r="D4971" s="4">
        <f>WEEKNUM(datos_ventas[[#This Row],[Fecha]],2)</f>
        <v>51</v>
      </c>
      <c r="E4971" t="s">
        <v>24</v>
      </c>
      <c r="F4971" t="s">
        <v>25</v>
      </c>
      <c r="G4971">
        <v>5</v>
      </c>
      <c r="H4971">
        <v>63361</v>
      </c>
      <c r="I4971">
        <v>3365</v>
      </c>
      <c r="J4971" t="s">
        <v>27</v>
      </c>
      <c r="K4971" t="str">
        <f>_xlfn.XLOOKUP(datos_ventas[[#This Row],[Ciudad]],Tabla2[Ciudades],Tabla2[Provincias],"no se encuentra")</f>
        <v>Sevilla</v>
      </c>
      <c r="L4971" t="str">
        <f>_xlfn.XLOOKUP(datos_ventas[[#This Row],[Provincia]],Tabla2[Provincias],Tabla2[Comunidades],"no se encuentra")</f>
        <v>Andalucía</v>
      </c>
      <c r="M4971" t="s">
        <v>19</v>
      </c>
      <c r="N4971">
        <v>5</v>
      </c>
    </row>
    <row r="4972" spans="1:14" x14ac:dyDescent="0.25">
      <c r="A4972">
        <v>5971</v>
      </c>
      <c r="B4972" s="1">
        <v>45933</v>
      </c>
      <c r="C4972" s="4">
        <f>MONTH(datos_ventas[[#This Row],[Fecha]])</f>
        <v>10</v>
      </c>
      <c r="D4972" s="4">
        <f>WEEKNUM(datos_ventas[[#This Row],[Fecha]],2)</f>
        <v>40</v>
      </c>
      <c r="E4972" t="s">
        <v>10</v>
      </c>
      <c r="F4972" t="s">
        <v>11</v>
      </c>
      <c r="G4972">
        <v>4</v>
      </c>
      <c r="H4972">
        <v>91319</v>
      </c>
      <c r="I4972">
        <v>4337</v>
      </c>
      <c r="J4972" t="s">
        <v>12</v>
      </c>
      <c r="K4972" t="str">
        <f>_xlfn.XLOOKUP(datos_ventas[[#This Row],[Ciudad]],Tabla2[Ciudades],Tabla2[Provincias],"no se encuentra")</f>
        <v>Málaga</v>
      </c>
      <c r="L4972" t="str">
        <f>_xlfn.XLOOKUP(datos_ventas[[#This Row],[Provincia]],Tabla2[Provincias],Tabla2[Comunidades],"no se encuentra")</f>
        <v>Andalucía</v>
      </c>
      <c r="M4972" t="s">
        <v>13</v>
      </c>
      <c r="N4972">
        <v>2</v>
      </c>
    </row>
    <row r="4973" spans="1:14" x14ac:dyDescent="0.25">
      <c r="A4973">
        <v>5972</v>
      </c>
      <c r="B4973" s="1">
        <v>45721</v>
      </c>
      <c r="C4973" s="4">
        <f>MONTH(datos_ventas[[#This Row],[Fecha]])</f>
        <v>3</v>
      </c>
      <c r="D4973" s="4">
        <f>WEEKNUM(datos_ventas[[#This Row],[Fecha]],2)</f>
        <v>10</v>
      </c>
      <c r="E4973" t="s">
        <v>16</v>
      </c>
      <c r="F4973" t="s">
        <v>11</v>
      </c>
      <c r="G4973">
        <v>5</v>
      </c>
      <c r="H4973">
        <v>68857</v>
      </c>
      <c r="I4973">
        <v>4651</v>
      </c>
      <c r="J4973" t="s">
        <v>12</v>
      </c>
      <c r="K4973" t="str">
        <f>_xlfn.XLOOKUP(datos_ventas[[#This Row],[Ciudad]],Tabla2[Ciudades],Tabla2[Provincias],"no se encuentra")</f>
        <v>Málaga</v>
      </c>
      <c r="L4973" t="str">
        <f>_xlfn.XLOOKUP(datos_ventas[[#This Row],[Provincia]],Tabla2[Provincias],Tabla2[Comunidades],"no se encuentra")</f>
        <v>Andalucía</v>
      </c>
      <c r="M4973" t="s">
        <v>28</v>
      </c>
      <c r="N4973">
        <v>4</v>
      </c>
    </row>
    <row r="4974" spans="1:14" x14ac:dyDescent="0.25">
      <c r="A4974">
        <v>5973</v>
      </c>
      <c r="B4974" s="1">
        <v>45795</v>
      </c>
      <c r="C4974" s="4">
        <f>MONTH(datos_ventas[[#This Row],[Fecha]])</f>
        <v>5</v>
      </c>
      <c r="D4974" s="4">
        <f>WEEKNUM(datos_ventas[[#This Row],[Fecha]],2)</f>
        <v>20</v>
      </c>
      <c r="E4974" t="s">
        <v>17</v>
      </c>
      <c r="F4974" t="s">
        <v>18</v>
      </c>
      <c r="G4974">
        <v>1</v>
      </c>
      <c r="H4974">
        <v>5001</v>
      </c>
      <c r="I4974">
        <v>4294</v>
      </c>
      <c r="J4974" t="s">
        <v>22</v>
      </c>
      <c r="K4974" t="str">
        <f>_xlfn.XLOOKUP(datos_ventas[[#This Row],[Ciudad]],Tabla2[Ciudades],Tabla2[Provincias],"no se encuentra")</f>
        <v>Valencia</v>
      </c>
      <c r="L4974" t="str">
        <f>_xlfn.XLOOKUP(datos_ventas[[#This Row],[Provincia]],Tabla2[Provincias],Tabla2[Comunidades],"no se encuentra")</f>
        <v>Comunidad Valenciana</v>
      </c>
      <c r="M4974" t="s">
        <v>19</v>
      </c>
      <c r="N4974">
        <v>5</v>
      </c>
    </row>
    <row r="4975" spans="1:14" x14ac:dyDescent="0.25">
      <c r="A4975">
        <v>5974</v>
      </c>
      <c r="B4975" s="1">
        <v>45773</v>
      </c>
      <c r="C4975" s="4">
        <f>MONTH(datos_ventas[[#This Row],[Fecha]])</f>
        <v>4</v>
      </c>
      <c r="D4975" s="4">
        <f>WEEKNUM(datos_ventas[[#This Row],[Fecha]],2)</f>
        <v>17</v>
      </c>
      <c r="E4975" t="s">
        <v>16</v>
      </c>
      <c r="F4975" t="s">
        <v>11</v>
      </c>
      <c r="G4975">
        <v>1</v>
      </c>
      <c r="H4975">
        <v>115314</v>
      </c>
      <c r="I4975">
        <v>3186</v>
      </c>
      <c r="J4975" t="s">
        <v>32</v>
      </c>
      <c r="K4975" t="str">
        <f>_xlfn.XLOOKUP(datos_ventas[[#This Row],[Ciudad]],Tabla2[Ciudades],Tabla2[Provincias],"no se encuentra")</f>
        <v>Barcelona</v>
      </c>
      <c r="L4975" t="str">
        <f>_xlfn.XLOOKUP(datos_ventas[[#This Row],[Provincia]],Tabla2[Provincias],Tabla2[Comunidades],"no se encuentra")</f>
        <v>Cataluña</v>
      </c>
      <c r="M4975" t="s">
        <v>13</v>
      </c>
      <c r="N4975">
        <v>3</v>
      </c>
    </row>
    <row r="4976" spans="1:14" x14ac:dyDescent="0.25">
      <c r="A4976">
        <v>5975</v>
      </c>
      <c r="B4976" s="1">
        <v>45671</v>
      </c>
      <c r="C4976" s="4">
        <f>MONTH(datos_ventas[[#This Row],[Fecha]])</f>
        <v>1</v>
      </c>
      <c r="D4976" s="4">
        <f>WEEKNUM(datos_ventas[[#This Row],[Fecha]],2)</f>
        <v>3</v>
      </c>
      <c r="E4976" t="s">
        <v>29</v>
      </c>
      <c r="F4976" t="s">
        <v>30</v>
      </c>
      <c r="G4976">
        <v>2</v>
      </c>
      <c r="H4976">
        <v>81723</v>
      </c>
      <c r="I4976">
        <v>2022</v>
      </c>
      <c r="J4976" t="s">
        <v>31</v>
      </c>
      <c r="K4976" t="str">
        <f>_xlfn.XLOOKUP(datos_ventas[[#This Row],[Ciudad]],Tabla2[Ciudades],Tabla2[Provincias],"no se encuentra")</f>
        <v>Vizcaya</v>
      </c>
      <c r="L4976" t="str">
        <f>_xlfn.XLOOKUP(datos_ventas[[#This Row],[Provincia]],Tabla2[Provincias],Tabla2[Comunidades],"no se encuentra")</f>
        <v>País Vasco</v>
      </c>
      <c r="M4976" t="s">
        <v>28</v>
      </c>
      <c r="N4976">
        <v>3</v>
      </c>
    </row>
    <row r="4977" spans="1:14" x14ac:dyDescent="0.25">
      <c r="A4977">
        <v>5976</v>
      </c>
      <c r="B4977" s="1">
        <v>46018</v>
      </c>
      <c r="C4977" s="4">
        <f>MONTH(datos_ventas[[#This Row],[Fecha]])</f>
        <v>12</v>
      </c>
      <c r="D4977" s="4">
        <f>WEEKNUM(datos_ventas[[#This Row],[Fecha]],2)</f>
        <v>52</v>
      </c>
      <c r="E4977" t="s">
        <v>29</v>
      </c>
      <c r="F4977" t="s">
        <v>30</v>
      </c>
      <c r="G4977">
        <v>4</v>
      </c>
      <c r="H4977">
        <v>58813</v>
      </c>
      <c r="I4977">
        <v>1704</v>
      </c>
      <c r="J4977" t="s">
        <v>14</v>
      </c>
      <c r="K4977" t="str">
        <f>_xlfn.XLOOKUP(datos_ventas[[#This Row],[Ciudad]],Tabla2[Ciudades],Tabla2[Provincias],"no se encuentra")</f>
        <v>Madrid</v>
      </c>
      <c r="L4977" t="str">
        <f>_xlfn.XLOOKUP(datos_ventas[[#This Row],[Provincia]],Tabla2[Provincias],Tabla2[Comunidades],"no se encuentra")</f>
        <v>Comunidad de Madrid</v>
      </c>
      <c r="M4977" t="s">
        <v>13</v>
      </c>
      <c r="N4977">
        <v>3</v>
      </c>
    </row>
    <row r="4978" spans="1:14" x14ac:dyDescent="0.25">
      <c r="A4978">
        <v>5977</v>
      </c>
      <c r="B4978" s="1">
        <v>45885</v>
      </c>
      <c r="C4978" s="4">
        <f>MONTH(datos_ventas[[#This Row],[Fecha]])</f>
        <v>8</v>
      </c>
      <c r="D4978" s="4">
        <f>WEEKNUM(datos_ventas[[#This Row],[Fecha]],2)</f>
        <v>33</v>
      </c>
      <c r="E4978" t="s">
        <v>29</v>
      </c>
      <c r="F4978" t="s">
        <v>30</v>
      </c>
      <c r="G4978">
        <v>4</v>
      </c>
      <c r="H4978">
        <v>117066</v>
      </c>
      <c r="I4978">
        <v>2604</v>
      </c>
      <c r="J4978" t="s">
        <v>32</v>
      </c>
      <c r="K4978" t="str">
        <f>_xlfn.XLOOKUP(datos_ventas[[#This Row],[Ciudad]],Tabla2[Ciudades],Tabla2[Provincias],"no se encuentra")</f>
        <v>Barcelona</v>
      </c>
      <c r="L4978" t="str">
        <f>_xlfn.XLOOKUP(datos_ventas[[#This Row],[Provincia]],Tabla2[Provincias],Tabla2[Comunidades],"no se encuentra")</f>
        <v>Cataluña</v>
      </c>
      <c r="M4978" t="s">
        <v>13</v>
      </c>
      <c r="N4978">
        <v>1</v>
      </c>
    </row>
    <row r="4979" spans="1:14" x14ac:dyDescent="0.25">
      <c r="A4979">
        <v>5978</v>
      </c>
      <c r="B4979" s="1">
        <v>45992</v>
      </c>
      <c r="C4979" s="4">
        <f>MONTH(datos_ventas[[#This Row],[Fecha]])</f>
        <v>12</v>
      </c>
      <c r="D4979" s="4">
        <f>WEEKNUM(datos_ventas[[#This Row],[Fecha]],2)</f>
        <v>49</v>
      </c>
      <c r="E4979" t="s">
        <v>24</v>
      </c>
      <c r="F4979" t="s">
        <v>25</v>
      </c>
      <c r="G4979">
        <v>3</v>
      </c>
      <c r="H4979">
        <v>108361</v>
      </c>
      <c r="I4979">
        <v>4935</v>
      </c>
      <c r="J4979" t="s">
        <v>12</v>
      </c>
      <c r="K4979" t="str">
        <f>_xlfn.XLOOKUP(datos_ventas[[#This Row],[Ciudad]],Tabla2[Ciudades],Tabla2[Provincias],"no se encuentra")</f>
        <v>Málaga</v>
      </c>
      <c r="L4979" t="str">
        <f>_xlfn.XLOOKUP(datos_ventas[[#This Row],[Provincia]],Tabla2[Provincias],Tabla2[Comunidades],"no se encuentra")</f>
        <v>Andalucía</v>
      </c>
      <c r="M4979" t="s">
        <v>19</v>
      </c>
      <c r="N4979">
        <v>5</v>
      </c>
    </row>
    <row r="4980" spans="1:14" x14ac:dyDescent="0.25">
      <c r="A4980">
        <v>5979</v>
      </c>
      <c r="B4980" s="1">
        <v>45870</v>
      </c>
      <c r="C4980" s="4">
        <f>MONTH(datos_ventas[[#This Row],[Fecha]])</f>
        <v>8</v>
      </c>
      <c r="D4980" s="4">
        <f>WEEKNUM(datos_ventas[[#This Row],[Fecha]],2)</f>
        <v>31</v>
      </c>
      <c r="E4980" t="s">
        <v>17</v>
      </c>
      <c r="F4980" t="s">
        <v>18</v>
      </c>
      <c r="G4980">
        <v>1</v>
      </c>
      <c r="H4980">
        <v>64529</v>
      </c>
      <c r="I4980">
        <v>1604</v>
      </c>
      <c r="J4980" t="s">
        <v>27</v>
      </c>
      <c r="K4980" t="str">
        <f>_xlfn.XLOOKUP(datos_ventas[[#This Row],[Ciudad]],Tabla2[Ciudades],Tabla2[Provincias],"no se encuentra")</f>
        <v>Sevilla</v>
      </c>
      <c r="L4980" t="str">
        <f>_xlfn.XLOOKUP(datos_ventas[[#This Row],[Provincia]],Tabla2[Provincias],Tabla2[Comunidades],"no se encuentra")</f>
        <v>Andalucía</v>
      </c>
      <c r="M4980" t="s">
        <v>19</v>
      </c>
      <c r="N4980">
        <v>3</v>
      </c>
    </row>
    <row r="4981" spans="1:14" x14ac:dyDescent="0.25">
      <c r="A4981">
        <v>5980</v>
      </c>
      <c r="B4981" s="1">
        <v>45972</v>
      </c>
      <c r="C4981" s="4">
        <f>MONTH(datos_ventas[[#This Row],[Fecha]])</f>
        <v>11</v>
      </c>
      <c r="D4981" s="4">
        <f>WEEKNUM(datos_ventas[[#This Row],[Fecha]],2)</f>
        <v>46</v>
      </c>
      <c r="E4981" t="s">
        <v>20</v>
      </c>
      <c r="F4981" t="s">
        <v>21</v>
      </c>
      <c r="G4981">
        <v>5</v>
      </c>
      <c r="H4981">
        <v>116426</v>
      </c>
      <c r="I4981">
        <v>185</v>
      </c>
      <c r="J4981" t="s">
        <v>32</v>
      </c>
      <c r="K4981" t="str">
        <f>_xlfn.XLOOKUP(datos_ventas[[#This Row],[Ciudad]],Tabla2[Ciudades],Tabla2[Provincias],"no se encuentra")</f>
        <v>Barcelona</v>
      </c>
      <c r="L4981" t="str">
        <f>_xlfn.XLOOKUP(datos_ventas[[#This Row],[Provincia]],Tabla2[Provincias],Tabla2[Comunidades],"no se encuentra")</f>
        <v>Cataluña</v>
      </c>
      <c r="M4981" t="s">
        <v>13</v>
      </c>
      <c r="N4981">
        <v>1</v>
      </c>
    </row>
    <row r="4982" spans="1:14" x14ac:dyDescent="0.25">
      <c r="A4982">
        <v>5981</v>
      </c>
      <c r="B4982" s="1">
        <v>45992</v>
      </c>
      <c r="C4982" s="4">
        <f>MONTH(datos_ventas[[#This Row],[Fecha]])</f>
        <v>12</v>
      </c>
      <c r="D4982" s="4">
        <f>WEEKNUM(datos_ventas[[#This Row],[Fecha]],2)</f>
        <v>49</v>
      </c>
      <c r="E4982" t="s">
        <v>24</v>
      </c>
      <c r="F4982" t="s">
        <v>25</v>
      </c>
      <c r="G4982">
        <v>1</v>
      </c>
      <c r="H4982">
        <v>100454</v>
      </c>
      <c r="I4982">
        <v>1055</v>
      </c>
      <c r="J4982" t="s">
        <v>22</v>
      </c>
      <c r="K4982" t="str">
        <f>_xlfn.XLOOKUP(datos_ventas[[#This Row],[Ciudad]],Tabla2[Ciudades],Tabla2[Provincias],"no se encuentra")</f>
        <v>Valencia</v>
      </c>
      <c r="L4982" t="str">
        <f>_xlfn.XLOOKUP(datos_ventas[[#This Row],[Provincia]],Tabla2[Provincias],Tabla2[Comunidades],"no se encuentra")</f>
        <v>Comunidad Valenciana</v>
      </c>
      <c r="M4982" t="s">
        <v>19</v>
      </c>
      <c r="N4982">
        <v>2</v>
      </c>
    </row>
    <row r="4983" spans="1:14" x14ac:dyDescent="0.25">
      <c r="A4983">
        <v>5982</v>
      </c>
      <c r="B4983" s="1">
        <v>45694</v>
      </c>
      <c r="C4983" s="4">
        <f>MONTH(datos_ventas[[#This Row],[Fecha]])</f>
        <v>2</v>
      </c>
      <c r="D4983" s="4">
        <f>WEEKNUM(datos_ventas[[#This Row],[Fecha]],2)</f>
        <v>6</v>
      </c>
      <c r="E4983" t="s">
        <v>24</v>
      </c>
      <c r="F4983" t="s">
        <v>25</v>
      </c>
      <c r="G4983">
        <v>1</v>
      </c>
      <c r="H4983">
        <v>34245</v>
      </c>
      <c r="I4983">
        <v>509</v>
      </c>
      <c r="J4983" t="s">
        <v>31</v>
      </c>
      <c r="K4983" t="str">
        <f>_xlfn.XLOOKUP(datos_ventas[[#This Row],[Ciudad]],Tabla2[Ciudades],Tabla2[Provincias],"no se encuentra")</f>
        <v>Vizcaya</v>
      </c>
      <c r="L4983" t="str">
        <f>_xlfn.XLOOKUP(datos_ventas[[#This Row],[Provincia]],Tabla2[Provincias],Tabla2[Comunidades],"no se encuentra")</f>
        <v>País Vasco</v>
      </c>
      <c r="M4983" t="s">
        <v>28</v>
      </c>
      <c r="N4983">
        <v>4</v>
      </c>
    </row>
    <row r="4984" spans="1:14" x14ac:dyDescent="0.25">
      <c r="A4984">
        <v>5983</v>
      </c>
      <c r="B4984" s="1">
        <v>45747</v>
      </c>
      <c r="C4984" s="4">
        <f>MONTH(datos_ventas[[#This Row],[Fecha]])</f>
        <v>3</v>
      </c>
      <c r="D4984" s="4">
        <f>WEEKNUM(datos_ventas[[#This Row],[Fecha]],2)</f>
        <v>14</v>
      </c>
      <c r="E4984" t="s">
        <v>29</v>
      </c>
      <c r="F4984" t="s">
        <v>30</v>
      </c>
      <c r="G4984">
        <v>4</v>
      </c>
      <c r="H4984">
        <v>88597</v>
      </c>
      <c r="I4984">
        <v>1149</v>
      </c>
      <c r="J4984" t="s">
        <v>12</v>
      </c>
      <c r="K4984" t="str">
        <f>_xlfn.XLOOKUP(datos_ventas[[#This Row],[Ciudad]],Tabla2[Ciudades],Tabla2[Provincias],"no se encuentra")</f>
        <v>Málaga</v>
      </c>
      <c r="L4984" t="str">
        <f>_xlfn.XLOOKUP(datos_ventas[[#This Row],[Provincia]],Tabla2[Provincias],Tabla2[Comunidades],"no se encuentra")</f>
        <v>Andalucía</v>
      </c>
      <c r="M4984" t="s">
        <v>13</v>
      </c>
      <c r="N4984">
        <v>5</v>
      </c>
    </row>
    <row r="4985" spans="1:14" x14ac:dyDescent="0.25">
      <c r="A4985">
        <v>5984</v>
      </c>
      <c r="B4985" s="1">
        <v>45850</v>
      </c>
      <c r="C4985" s="4">
        <f>MONTH(datos_ventas[[#This Row],[Fecha]])</f>
        <v>7</v>
      </c>
      <c r="D4985" s="4">
        <f>WEEKNUM(datos_ventas[[#This Row],[Fecha]],2)</f>
        <v>28</v>
      </c>
      <c r="E4985" t="s">
        <v>20</v>
      </c>
      <c r="F4985" t="s">
        <v>21</v>
      </c>
      <c r="G4985">
        <v>1</v>
      </c>
      <c r="H4985">
        <v>46607</v>
      </c>
      <c r="I4985">
        <v>3389</v>
      </c>
      <c r="J4985" t="s">
        <v>32</v>
      </c>
      <c r="K4985" t="str">
        <f>_xlfn.XLOOKUP(datos_ventas[[#This Row],[Ciudad]],Tabla2[Ciudades],Tabla2[Provincias],"no se encuentra")</f>
        <v>Barcelona</v>
      </c>
      <c r="L4985" t="str">
        <f>_xlfn.XLOOKUP(datos_ventas[[#This Row],[Provincia]],Tabla2[Provincias],Tabla2[Comunidades],"no se encuentra")</f>
        <v>Cataluña</v>
      </c>
      <c r="M4985" t="s">
        <v>15</v>
      </c>
      <c r="N4985">
        <v>2</v>
      </c>
    </row>
    <row r="4986" spans="1:14" x14ac:dyDescent="0.25">
      <c r="A4986">
        <v>5985</v>
      </c>
      <c r="B4986" s="1">
        <v>45791</v>
      </c>
      <c r="C4986" s="4">
        <f>MONTH(datos_ventas[[#This Row],[Fecha]])</f>
        <v>5</v>
      </c>
      <c r="D4986" s="4">
        <f>WEEKNUM(datos_ventas[[#This Row],[Fecha]],2)</f>
        <v>20</v>
      </c>
      <c r="E4986" t="s">
        <v>26</v>
      </c>
      <c r="F4986" t="s">
        <v>18</v>
      </c>
      <c r="G4986">
        <v>3</v>
      </c>
      <c r="H4986">
        <v>38409</v>
      </c>
      <c r="I4986">
        <v>3336</v>
      </c>
      <c r="J4986" t="s">
        <v>12</v>
      </c>
      <c r="K4986" t="str">
        <f>_xlfn.XLOOKUP(datos_ventas[[#This Row],[Ciudad]],Tabla2[Ciudades],Tabla2[Provincias],"no se encuentra")</f>
        <v>Málaga</v>
      </c>
      <c r="L4986" t="str">
        <f>_xlfn.XLOOKUP(datos_ventas[[#This Row],[Provincia]],Tabla2[Provincias],Tabla2[Comunidades],"no se encuentra")</f>
        <v>Andalucía</v>
      </c>
      <c r="M4986" t="s">
        <v>28</v>
      </c>
      <c r="N4986">
        <v>2</v>
      </c>
    </row>
    <row r="4987" spans="1:14" x14ac:dyDescent="0.25">
      <c r="A4987">
        <v>5986</v>
      </c>
      <c r="B4987" s="1">
        <v>45696</v>
      </c>
      <c r="C4987" s="4">
        <f>MONTH(datos_ventas[[#This Row],[Fecha]])</f>
        <v>2</v>
      </c>
      <c r="D4987" s="4">
        <f>WEEKNUM(datos_ventas[[#This Row],[Fecha]],2)</f>
        <v>6</v>
      </c>
      <c r="E4987" t="s">
        <v>20</v>
      </c>
      <c r="F4987" t="s">
        <v>21</v>
      </c>
      <c r="G4987">
        <v>5</v>
      </c>
      <c r="H4987">
        <v>26294</v>
      </c>
      <c r="I4987">
        <v>4834</v>
      </c>
      <c r="J4987" t="s">
        <v>32</v>
      </c>
      <c r="K4987" t="str">
        <f>_xlfn.XLOOKUP(datos_ventas[[#This Row],[Ciudad]],Tabla2[Ciudades],Tabla2[Provincias],"no se encuentra")</f>
        <v>Barcelona</v>
      </c>
      <c r="L4987" t="str">
        <f>_xlfn.XLOOKUP(datos_ventas[[#This Row],[Provincia]],Tabla2[Provincias],Tabla2[Comunidades],"no se encuentra")</f>
        <v>Cataluña</v>
      </c>
      <c r="M4987" t="s">
        <v>28</v>
      </c>
      <c r="N4987">
        <v>3</v>
      </c>
    </row>
    <row r="4988" spans="1:14" x14ac:dyDescent="0.25">
      <c r="A4988">
        <v>5987</v>
      </c>
      <c r="B4988" s="1">
        <v>46003</v>
      </c>
      <c r="C4988" s="4">
        <f>MONTH(datos_ventas[[#This Row],[Fecha]])</f>
        <v>12</v>
      </c>
      <c r="D4988" s="4">
        <f>WEEKNUM(datos_ventas[[#This Row],[Fecha]],2)</f>
        <v>50</v>
      </c>
      <c r="E4988" t="s">
        <v>17</v>
      </c>
      <c r="F4988" t="s">
        <v>18</v>
      </c>
      <c r="G4988">
        <v>2</v>
      </c>
      <c r="H4988">
        <v>76248</v>
      </c>
      <c r="I4988">
        <v>1147</v>
      </c>
      <c r="J4988" t="s">
        <v>27</v>
      </c>
      <c r="K4988" t="str">
        <f>_xlfn.XLOOKUP(datos_ventas[[#This Row],[Ciudad]],Tabla2[Ciudades],Tabla2[Provincias],"no se encuentra")</f>
        <v>Sevilla</v>
      </c>
      <c r="L4988" t="str">
        <f>_xlfn.XLOOKUP(datos_ventas[[#This Row],[Provincia]],Tabla2[Provincias],Tabla2[Comunidades],"no se encuentra")</f>
        <v>Andalucía</v>
      </c>
      <c r="M4988" t="s">
        <v>19</v>
      </c>
      <c r="N4988">
        <v>5</v>
      </c>
    </row>
    <row r="4989" spans="1:14" x14ac:dyDescent="0.25">
      <c r="A4989">
        <v>5988</v>
      </c>
      <c r="B4989" s="1">
        <v>45722</v>
      </c>
      <c r="C4989" s="4">
        <f>MONTH(datos_ventas[[#This Row],[Fecha]])</f>
        <v>3</v>
      </c>
      <c r="D4989" s="4">
        <f>WEEKNUM(datos_ventas[[#This Row],[Fecha]],2)</f>
        <v>10</v>
      </c>
      <c r="E4989" t="s">
        <v>10</v>
      </c>
      <c r="F4989" t="s">
        <v>11</v>
      </c>
      <c r="G4989">
        <v>2</v>
      </c>
      <c r="H4989">
        <v>99821</v>
      </c>
      <c r="I4989">
        <v>4956</v>
      </c>
      <c r="J4989" t="s">
        <v>32</v>
      </c>
      <c r="K4989" t="str">
        <f>_xlfn.XLOOKUP(datos_ventas[[#This Row],[Ciudad]],Tabla2[Ciudades],Tabla2[Provincias],"no se encuentra")</f>
        <v>Barcelona</v>
      </c>
      <c r="L4989" t="str">
        <f>_xlfn.XLOOKUP(datos_ventas[[#This Row],[Provincia]],Tabla2[Provincias],Tabla2[Comunidades],"no se encuentra")</f>
        <v>Cataluña</v>
      </c>
      <c r="M4989" t="s">
        <v>19</v>
      </c>
      <c r="N4989">
        <v>5</v>
      </c>
    </row>
    <row r="4990" spans="1:14" x14ac:dyDescent="0.25">
      <c r="A4990">
        <v>5989</v>
      </c>
      <c r="B4990" s="1">
        <v>45929</v>
      </c>
      <c r="C4990" s="4">
        <f>MONTH(datos_ventas[[#This Row],[Fecha]])</f>
        <v>9</v>
      </c>
      <c r="D4990" s="4">
        <f>WEEKNUM(datos_ventas[[#This Row],[Fecha]],2)</f>
        <v>40</v>
      </c>
      <c r="E4990" t="s">
        <v>16</v>
      </c>
      <c r="F4990" t="s">
        <v>11</v>
      </c>
      <c r="G4990">
        <v>3</v>
      </c>
      <c r="H4990">
        <v>4084</v>
      </c>
      <c r="I4990">
        <v>4036</v>
      </c>
      <c r="J4990" t="s">
        <v>14</v>
      </c>
      <c r="K4990" t="str">
        <f>_xlfn.XLOOKUP(datos_ventas[[#This Row],[Ciudad]],Tabla2[Ciudades],Tabla2[Provincias],"no se encuentra")</f>
        <v>Madrid</v>
      </c>
      <c r="L4990" t="str">
        <f>_xlfn.XLOOKUP(datos_ventas[[#This Row],[Provincia]],Tabla2[Provincias],Tabla2[Comunidades],"no se encuentra")</f>
        <v>Comunidad de Madrid</v>
      </c>
      <c r="M4990" t="s">
        <v>19</v>
      </c>
      <c r="N4990">
        <v>3</v>
      </c>
    </row>
    <row r="4991" spans="1:14" x14ac:dyDescent="0.25">
      <c r="A4991">
        <v>5990</v>
      </c>
      <c r="B4991" s="1">
        <v>45902</v>
      </c>
      <c r="C4991" s="4">
        <f>MONTH(datos_ventas[[#This Row],[Fecha]])</f>
        <v>9</v>
      </c>
      <c r="D4991" s="4">
        <f>WEEKNUM(datos_ventas[[#This Row],[Fecha]],2)</f>
        <v>36</v>
      </c>
      <c r="E4991" t="s">
        <v>24</v>
      </c>
      <c r="F4991" t="s">
        <v>25</v>
      </c>
      <c r="G4991">
        <v>4</v>
      </c>
      <c r="H4991">
        <v>8434</v>
      </c>
      <c r="I4991">
        <v>1304</v>
      </c>
      <c r="J4991" t="s">
        <v>14</v>
      </c>
      <c r="K4991" t="str">
        <f>_xlfn.XLOOKUP(datos_ventas[[#This Row],[Ciudad]],Tabla2[Ciudades],Tabla2[Provincias],"no se encuentra")</f>
        <v>Madrid</v>
      </c>
      <c r="L4991" t="str">
        <f>_xlfn.XLOOKUP(datos_ventas[[#This Row],[Provincia]],Tabla2[Provincias],Tabla2[Comunidades],"no se encuentra")</f>
        <v>Comunidad de Madrid</v>
      </c>
      <c r="M4991" t="s">
        <v>15</v>
      </c>
      <c r="N4991">
        <v>4</v>
      </c>
    </row>
    <row r="4992" spans="1:14" x14ac:dyDescent="0.25">
      <c r="A4992">
        <v>5991</v>
      </c>
      <c r="B4992" s="1">
        <v>45926</v>
      </c>
      <c r="C4992" s="4">
        <f>MONTH(datos_ventas[[#This Row],[Fecha]])</f>
        <v>9</v>
      </c>
      <c r="D4992" s="4">
        <f>WEEKNUM(datos_ventas[[#This Row],[Fecha]],2)</f>
        <v>39</v>
      </c>
      <c r="E4992" t="s">
        <v>10</v>
      </c>
      <c r="F4992" t="s">
        <v>11</v>
      </c>
      <c r="G4992">
        <v>4</v>
      </c>
      <c r="H4992">
        <v>3708</v>
      </c>
      <c r="I4992">
        <v>3158</v>
      </c>
      <c r="J4992" t="s">
        <v>27</v>
      </c>
      <c r="K4992" t="str">
        <f>_xlfn.XLOOKUP(datos_ventas[[#This Row],[Ciudad]],Tabla2[Ciudades],Tabla2[Provincias],"no se encuentra")</f>
        <v>Sevilla</v>
      </c>
      <c r="L4992" t="str">
        <f>_xlfn.XLOOKUP(datos_ventas[[#This Row],[Provincia]],Tabla2[Provincias],Tabla2[Comunidades],"no se encuentra")</f>
        <v>Andalucía</v>
      </c>
      <c r="M4992" t="s">
        <v>15</v>
      </c>
      <c r="N4992">
        <v>4</v>
      </c>
    </row>
    <row r="4993" spans="1:14" x14ac:dyDescent="0.25">
      <c r="A4993">
        <v>5992</v>
      </c>
      <c r="B4993" s="1">
        <v>45887</v>
      </c>
      <c r="C4993" s="4">
        <f>MONTH(datos_ventas[[#This Row],[Fecha]])</f>
        <v>8</v>
      </c>
      <c r="D4993" s="4">
        <f>WEEKNUM(datos_ventas[[#This Row],[Fecha]],2)</f>
        <v>34</v>
      </c>
      <c r="E4993" t="s">
        <v>26</v>
      </c>
      <c r="F4993" t="s">
        <v>18</v>
      </c>
      <c r="G4993">
        <v>1</v>
      </c>
      <c r="H4993">
        <v>115588</v>
      </c>
      <c r="I4993">
        <v>327</v>
      </c>
      <c r="J4993" t="s">
        <v>27</v>
      </c>
      <c r="K4993" t="str">
        <f>_xlfn.XLOOKUP(datos_ventas[[#This Row],[Ciudad]],Tabla2[Ciudades],Tabla2[Provincias],"no se encuentra")</f>
        <v>Sevilla</v>
      </c>
      <c r="L4993" t="str">
        <f>_xlfn.XLOOKUP(datos_ventas[[#This Row],[Provincia]],Tabla2[Provincias],Tabla2[Comunidades],"no se encuentra")</f>
        <v>Andalucía</v>
      </c>
      <c r="M4993" t="s">
        <v>19</v>
      </c>
      <c r="N4993">
        <v>1</v>
      </c>
    </row>
    <row r="4994" spans="1:14" x14ac:dyDescent="0.25">
      <c r="A4994">
        <v>5993</v>
      </c>
      <c r="B4994" s="1">
        <v>45816</v>
      </c>
      <c r="C4994" s="4">
        <f>MONTH(datos_ventas[[#This Row],[Fecha]])</f>
        <v>6</v>
      </c>
      <c r="D4994" s="4">
        <f>WEEKNUM(datos_ventas[[#This Row],[Fecha]],2)</f>
        <v>23</v>
      </c>
      <c r="E4994" t="s">
        <v>10</v>
      </c>
      <c r="F4994" t="s">
        <v>11</v>
      </c>
      <c r="G4994">
        <v>5</v>
      </c>
      <c r="H4994">
        <v>415</v>
      </c>
      <c r="I4994">
        <v>456</v>
      </c>
      <c r="J4994" t="s">
        <v>22</v>
      </c>
      <c r="K4994" t="str">
        <f>_xlfn.XLOOKUP(datos_ventas[[#This Row],[Ciudad]],Tabla2[Ciudades],Tabla2[Provincias],"no se encuentra")</f>
        <v>Valencia</v>
      </c>
      <c r="L4994" t="str">
        <f>_xlfn.XLOOKUP(datos_ventas[[#This Row],[Provincia]],Tabla2[Provincias],Tabla2[Comunidades],"no se encuentra")</f>
        <v>Comunidad Valenciana</v>
      </c>
      <c r="M4994" t="s">
        <v>15</v>
      </c>
      <c r="N4994">
        <v>5</v>
      </c>
    </row>
    <row r="4995" spans="1:14" x14ac:dyDescent="0.25">
      <c r="A4995">
        <v>5994</v>
      </c>
      <c r="B4995" s="1">
        <v>45930</v>
      </c>
      <c r="C4995" s="4">
        <f>MONTH(datos_ventas[[#This Row],[Fecha]])</f>
        <v>9</v>
      </c>
      <c r="D4995" s="4">
        <f>WEEKNUM(datos_ventas[[#This Row],[Fecha]],2)</f>
        <v>40</v>
      </c>
      <c r="E4995" t="s">
        <v>10</v>
      </c>
      <c r="F4995" t="s">
        <v>11</v>
      </c>
      <c r="G4995">
        <v>4</v>
      </c>
      <c r="H4995">
        <v>4015</v>
      </c>
      <c r="I4995">
        <v>3788</v>
      </c>
      <c r="J4995" t="s">
        <v>22</v>
      </c>
      <c r="K4995" t="str">
        <f>_xlfn.XLOOKUP(datos_ventas[[#This Row],[Ciudad]],Tabla2[Ciudades],Tabla2[Provincias],"no se encuentra")</f>
        <v>Valencia</v>
      </c>
      <c r="L4995" t="str">
        <f>_xlfn.XLOOKUP(datos_ventas[[#This Row],[Provincia]],Tabla2[Provincias],Tabla2[Comunidades],"no se encuentra")</f>
        <v>Comunidad Valenciana</v>
      </c>
      <c r="M4995" t="s">
        <v>13</v>
      </c>
      <c r="N4995">
        <v>3</v>
      </c>
    </row>
    <row r="4996" spans="1:14" x14ac:dyDescent="0.25">
      <c r="A4996">
        <v>5995</v>
      </c>
      <c r="B4996" s="1">
        <v>45923</v>
      </c>
      <c r="C4996" s="4">
        <f>MONTH(datos_ventas[[#This Row],[Fecha]])</f>
        <v>9</v>
      </c>
      <c r="D4996" s="4">
        <f>WEEKNUM(datos_ventas[[#This Row],[Fecha]],2)</f>
        <v>39</v>
      </c>
      <c r="E4996" t="s">
        <v>20</v>
      </c>
      <c r="F4996" t="s">
        <v>21</v>
      </c>
      <c r="G4996">
        <v>4</v>
      </c>
      <c r="H4996">
        <v>107394</v>
      </c>
      <c r="I4996">
        <v>4923</v>
      </c>
      <c r="J4996" t="s">
        <v>12</v>
      </c>
      <c r="K4996" t="str">
        <f>_xlfn.XLOOKUP(datos_ventas[[#This Row],[Ciudad]],Tabla2[Ciudades],Tabla2[Provincias],"no se encuentra")</f>
        <v>Málaga</v>
      </c>
      <c r="L4996" t="str">
        <f>_xlfn.XLOOKUP(datos_ventas[[#This Row],[Provincia]],Tabla2[Provincias],Tabla2[Comunidades],"no se encuentra")</f>
        <v>Andalucía</v>
      </c>
      <c r="M4996" t="s">
        <v>19</v>
      </c>
      <c r="N4996">
        <v>3</v>
      </c>
    </row>
    <row r="4997" spans="1:14" x14ac:dyDescent="0.25">
      <c r="A4997">
        <v>5996</v>
      </c>
      <c r="B4997" s="1">
        <v>45750</v>
      </c>
      <c r="C4997" s="4">
        <f>MONTH(datos_ventas[[#This Row],[Fecha]])</f>
        <v>4</v>
      </c>
      <c r="D4997" s="4">
        <f>WEEKNUM(datos_ventas[[#This Row],[Fecha]],2)</f>
        <v>14</v>
      </c>
      <c r="E4997" t="s">
        <v>10</v>
      </c>
      <c r="F4997" t="s">
        <v>11</v>
      </c>
      <c r="G4997">
        <v>1</v>
      </c>
      <c r="H4997">
        <v>103034</v>
      </c>
      <c r="I4997">
        <v>1594</v>
      </c>
      <c r="J4997" t="s">
        <v>27</v>
      </c>
      <c r="K4997" t="str">
        <f>_xlfn.XLOOKUP(datos_ventas[[#This Row],[Ciudad]],Tabla2[Ciudades],Tabla2[Provincias],"no se encuentra")</f>
        <v>Sevilla</v>
      </c>
      <c r="L4997" t="str">
        <f>_xlfn.XLOOKUP(datos_ventas[[#This Row],[Provincia]],Tabla2[Provincias],Tabla2[Comunidades],"no se encuentra")</f>
        <v>Andalucía</v>
      </c>
      <c r="M4997" t="s">
        <v>19</v>
      </c>
      <c r="N4997">
        <v>3</v>
      </c>
    </row>
    <row r="4998" spans="1:14" x14ac:dyDescent="0.25">
      <c r="A4998">
        <v>5997</v>
      </c>
      <c r="B4998" s="1">
        <v>45942</v>
      </c>
      <c r="C4998" s="4">
        <f>MONTH(datos_ventas[[#This Row],[Fecha]])</f>
        <v>10</v>
      </c>
      <c r="D4998" s="4">
        <f>WEEKNUM(datos_ventas[[#This Row],[Fecha]],2)</f>
        <v>41</v>
      </c>
      <c r="E4998" t="s">
        <v>20</v>
      </c>
      <c r="F4998" t="s">
        <v>21</v>
      </c>
      <c r="G4998">
        <v>1</v>
      </c>
      <c r="H4998">
        <v>17183</v>
      </c>
      <c r="I4998">
        <v>1671</v>
      </c>
      <c r="J4998" t="s">
        <v>31</v>
      </c>
      <c r="K4998" t="str">
        <f>_xlfn.XLOOKUP(datos_ventas[[#This Row],[Ciudad]],Tabla2[Ciudades],Tabla2[Provincias],"no se encuentra")</f>
        <v>Vizcaya</v>
      </c>
      <c r="L4998" t="str">
        <f>_xlfn.XLOOKUP(datos_ventas[[#This Row],[Provincia]],Tabla2[Provincias],Tabla2[Comunidades],"no se encuentra")</f>
        <v>País Vasco</v>
      </c>
      <c r="M4998" t="s">
        <v>15</v>
      </c>
      <c r="N4998">
        <v>5</v>
      </c>
    </row>
    <row r="4999" spans="1:14" x14ac:dyDescent="0.25">
      <c r="A4999">
        <v>5998</v>
      </c>
      <c r="B4999" s="1">
        <v>45801</v>
      </c>
      <c r="C4999" s="4">
        <f>MONTH(datos_ventas[[#This Row],[Fecha]])</f>
        <v>5</v>
      </c>
      <c r="D4999" s="4">
        <f>WEEKNUM(datos_ventas[[#This Row],[Fecha]],2)</f>
        <v>21</v>
      </c>
      <c r="E4999" t="s">
        <v>24</v>
      </c>
      <c r="F4999" t="s">
        <v>25</v>
      </c>
      <c r="G4999">
        <v>2</v>
      </c>
      <c r="H4999">
        <v>14343</v>
      </c>
      <c r="I4999">
        <v>2349</v>
      </c>
      <c r="J4999" t="s">
        <v>32</v>
      </c>
      <c r="K4999" t="str">
        <f>_xlfn.XLOOKUP(datos_ventas[[#This Row],[Ciudad]],Tabla2[Ciudades],Tabla2[Provincias],"no se encuentra")</f>
        <v>Barcelona</v>
      </c>
      <c r="L4999" t="str">
        <f>_xlfn.XLOOKUP(datos_ventas[[#This Row],[Provincia]],Tabla2[Provincias],Tabla2[Comunidades],"no se encuentra")</f>
        <v>Cataluña</v>
      </c>
      <c r="M4999" t="s">
        <v>13</v>
      </c>
      <c r="N4999">
        <v>1</v>
      </c>
    </row>
    <row r="5000" spans="1:14" x14ac:dyDescent="0.25">
      <c r="A5000">
        <v>5999</v>
      </c>
      <c r="B5000" s="1">
        <v>45672</v>
      </c>
      <c r="C5000" s="4">
        <f>MONTH(datos_ventas[[#This Row],[Fecha]])</f>
        <v>1</v>
      </c>
      <c r="D5000" s="4">
        <f>WEEKNUM(datos_ventas[[#This Row],[Fecha]],2)</f>
        <v>3</v>
      </c>
      <c r="E5000" t="s">
        <v>10</v>
      </c>
      <c r="F5000" t="s">
        <v>11</v>
      </c>
      <c r="G5000">
        <v>4</v>
      </c>
      <c r="H5000">
        <v>85541</v>
      </c>
      <c r="I5000">
        <v>1638</v>
      </c>
      <c r="J5000" t="s">
        <v>12</v>
      </c>
      <c r="K5000" t="str">
        <f>_xlfn.XLOOKUP(datos_ventas[[#This Row],[Ciudad]],Tabla2[Ciudades],Tabla2[Provincias],"no se encuentra")</f>
        <v>Málaga</v>
      </c>
      <c r="L5000" t="str">
        <f>_xlfn.XLOOKUP(datos_ventas[[#This Row],[Provincia]],Tabla2[Provincias],Tabla2[Comunidades],"no se encuentra")</f>
        <v>Andalucía</v>
      </c>
      <c r="M5000" t="s">
        <v>28</v>
      </c>
      <c r="N5000">
        <v>2</v>
      </c>
    </row>
    <row r="5001" spans="1:14" x14ac:dyDescent="0.25">
      <c r="A5001">
        <v>6000</v>
      </c>
      <c r="B5001" s="1">
        <v>45983</v>
      </c>
      <c r="C5001" s="4">
        <f>MONTH(datos_ventas[[#This Row],[Fecha]])</f>
        <v>11</v>
      </c>
      <c r="D5001" s="4">
        <f>WEEKNUM(datos_ventas[[#This Row],[Fecha]],2)</f>
        <v>47</v>
      </c>
      <c r="E5001" t="s">
        <v>20</v>
      </c>
      <c r="F5001" t="s">
        <v>21</v>
      </c>
      <c r="G5001">
        <v>3</v>
      </c>
      <c r="H5001">
        <v>2253</v>
      </c>
      <c r="I5001">
        <v>2957</v>
      </c>
      <c r="J5001" t="s">
        <v>32</v>
      </c>
      <c r="K5001" t="str">
        <f>_xlfn.XLOOKUP(datos_ventas[[#This Row],[Ciudad]],Tabla2[Ciudades],Tabla2[Provincias],"no se encuentra")</f>
        <v>Barcelona</v>
      </c>
      <c r="L5001" t="str">
        <f>_xlfn.XLOOKUP(datos_ventas[[#This Row],[Provincia]],Tabla2[Provincias],Tabla2[Comunidades],"no se encuentra")</f>
        <v>Cataluña</v>
      </c>
      <c r="M5001" t="s">
        <v>19</v>
      </c>
      <c r="N5001">
        <v>3</v>
      </c>
    </row>
  </sheetData>
  <conditionalFormatting sqref="A1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DFF2-E2DA-4EF0-AD33-C0004CB2CC08}">
  <dimension ref="A1:C7"/>
  <sheetViews>
    <sheetView workbookViewId="0">
      <selection activeCell="A7" sqref="A7"/>
    </sheetView>
  </sheetViews>
  <sheetFormatPr baseColWidth="10" defaultRowHeight="15" x14ac:dyDescent="0.25"/>
  <cols>
    <col min="1" max="1" width="11.7109375" customWidth="1"/>
    <col min="2" max="2" width="12.42578125" customWidth="1"/>
    <col min="3" max="3" width="22" bestFit="1" customWidth="1"/>
  </cols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 t="s">
        <v>14</v>
      </c>
      <c r="B2" t="s">
        <v>14</v>
      </c>
      <c r="C2" t="s">
        <v>58</v>
      </c>
    </row>
    <row r="3" spans="1:3" x14ac:dyDescent="0.25">
      <c r="A3" t="s">
        <v>12</v>
      </c>
      <c r="B3" t="s">
        <v>12</v>
      </c>
      <c r="C3" t="s">
        <v>59</v>
      </c>
    </row>
    <row r="4" spans="1:3" x14ac:dyDescent="0.25">
      <c r="A4" t="s">
        <v>31</v>
      </c>
      <c r="B4" t="s">
        <v>57</v>
      </c>
      <c r="C4" t="s">
        <v>60</v>
      </c>
    </row>
    <row r="5" spans="1:3" x14ac:dyDescent="0.25">
      <c r="A5" t="s">
        <v>32</v>
      </c>
      <c r="B5" t="s">
        <v>32</v>
      </c>
      <c r="C5" t="s">
        <v>61</v>
      </c>
    </row>
    <row r="6" spans="1:3" x14ac:dyDescent="0.25">
      <c r="A6" t="s">
        <v>22</v>
      </c>
      <c r="B6" t="s">
        <v>22</v>
      </c>
      <c r="C6" t="s">
        <v>62</v>
      </c>
    </row>
    <row r="7" spans="1:3" x14ac:dyDescent="0.25">
      <c r="A7" t="s">
        <v>27</v>
      </c>
      <c r="B7" t="s">
        <v>27</v>
      </c>
      <c r="C7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C842-9FB1-4539-86AB-195ECB31A75E}">
  <dimension ref="A1:B107"/>
  <sheetViews>
    <sheetView workbookViewId="0">
      <selection activeCell="B15" sqref="A2:B15"/>
    </sheetView>
  </sheetViews>
  <sheetFormatPr baseColWidth="10" defaultRowHeight="15" x14ac:dyDescent="0.25"/>
  <cols>
    <col min="1" max="1" width="17.85546875" bestFit="1" customWidth="1"/>
    <col min="2" max="2" width="24.140625" bestFit="1" customWidth="1"/>
    <col min="3" max="3" width="17.42578125" bestFit="1" customWidth="1"/>
  </cols>
  <sheetData>
    <row r="1" spans="1:2" x14ac:dyDescent="0.25">
      <c r="A1" t="s">
        <v>69</v>
      </c>
    </row>
    <row r="2" spans="1:2" x14ac:dyDescent="0.25">
      <c r="A2" s="2" t="s">
        <v>33</v>
      </c>
      <c r="B2" t="s">
        <v>47</v>
      </c>
    </row>
    <row r="3" spans="1:2" x14ac:dyDescent="0.25">
      <c r="A3" s="3" t="s">
        <v>35</v>
      </c>
      <c r="B3" s="6">
        <v>174</v>
      </c>
    </row>
    <row r="4" spans="1:2" x14ac:dyDescent="0.25">
      <c r="A4" s="3" t="s">
        <v>36</v>
      </c>
      <c r="B4" s="6">
        <v>143</v>
      </c>
    </row>
    <row r="5" spans="1:2" x14ac:dyDescent="0.25">
      <c r="A5" s="3" t="s">
        <v>37</v>
      </c>
      <c r="B5" s="6">
        <v>150</v>
      </c>
    </row>
    <row r="6" spans="1:2" x14ac:dyDescent="0.25">
      <c r="A6" s="3" t="s">
        <v>38</v>
      </c>
      <c r="B6" s="6">
        <v>136</v>
      </c>
    </row>
    <row r="7" spans="1:2" x14ac:dyDescent="0.25">
      <c r="A7" s="3" t="s">
        <v>39</v>
      </c>
      <c r="B7" s="6">
        <v>185</v>
      </c>
    </row>
    <row r="8" spans="1:2" x14ac:dyDescent="0.25">
      <c r="A8" s="3" t="s">
        <v>40</v>
      </c>
      <c r="B8" s="6">
        <v>155</v>
      </c>
    </row>
    <row r="9" spans="1:2" x14ac:dyDescent="0.25">
      <c r="A9" s="3" t="s">
        <v>41</v>
      </c>
      <c r="B9" s="6">
        <v>169</v>
      </c>
    </row>
    <row r="10" spans="1:2" x14ac:dyDescent="0.25">
      <c r="A10" s="3" t="s">
        <v>42</v>
      </c>
      <c r="B10" s="6">
        <v>166</v>
      </c>
    </row>
    <row r="11" spans="1:2" x14ac:dyDescent="0.25">
      <c r="A11" s="3" t="s">
        <v>43</v>
      </c>
      <c r="B11" s="6">
        <v>130</v>
      </c>
    </row>
    <row r="12" spans="1:2" x14ac:dyDescent="0.25">
      <c r="A12" s="3" t="s">
        <v>44</v>
      </c>
      <c r="B12" s="6">
        <v>167</v>
      </c>
    </row>
    <row r="13" spans="1:2" x14ac:dyDescent="0.25">
      <c r="A13" s="3" t="s">
        <v>45</v>
      </c>
      <c r="B13" s="6">
        <v>150</v>
      </c>
    </row>
    <row r="14" spans="1:2" x14ac:dyDescent="0.25">
      <c r="A14" s="3" t="s">
        <v>46</v>
      </c>
      <c r="B14" s="6">
        <v>128</v>
      </c>
    </row>
    <row r="15" spans="1:2" x14ac:dyDescent="0.25">
      <c r="A15" s="3" t="s">
        <v>34</v>
      </c>
      <c r="B15" s="6">
        <v>1853</v>
      </c>
    </row>
    <row r="18" spans="1:2" x14ac:dyDescent="0.25">
      <c r="A18" s="3" t="s">
        <v>48</v>
      </c>
    </row>
    <row r="19" spans="1:2" x14ac:dyDescent="0.25">
      <c r="A19" s="2" t="s">
        <v>33</v>
      </c>
      <c r="B19" t="s">
        <v>51</v>
      </c>
    </row>
    <row r="20" spans="1:2" x14ac:dyDescent="0.25">
      <c r="A20" s="3" t="s">
        <v>18</v>
      </c>
      <c r="B20" s="6"/>
    </row>
    <row r="21" spans="1:2" x14ac:dyDescent="0.25">
      <c r="A21" s="5" t="s">
        <v>17</v>
      </c>
      <c r="B21" s="6">
        <v>1910</v>
      </c>
    </row>
    <row r="22" spans="1:2" x14ac:dyDescent="0.25">
      <c r="A22" s="5" t="s">
        <v>23</v>
      </c>
      <c r="B22" s="6">
        <v>1860</v>
      </c>
    </row>
    <row r="23" spans="1:2" x14ac:dyDescent="0.25">
      <c r="A23" s="5" t="s">
        <v>26</v>
      </c>
      <c r="B23" s="6">
        <v>1820</v>
      </c>
    </row>
    <row r="24" spans="1:2" x14ac:dyDescent="0.25">
      <c r="A24" s="3" t="s">
        <v>34</v>
      </c>
      <c r="B24" s="6">
        <v>5590</v>
      </c>
    </row>
    <row r="36" spans="1:2" x14ac:dyDescent="0.25">
      <c r="A36" s="3" t="s">
        <v>52</v>
      </c>
    </row>
    <row r="37" spans="1:2" x14ac:dyDescent="0.25">
      <c r="A37" s="2" t="s">
        <v>33</v>
      </c>
      <c r="B37" t="s">
        <v>51</v>
      </c>
    </row>
    <row r="38" spans="1:2" x14ac:dyDescent="0.25">
      <c r="A38" s="3" t="s">
        <v>18</v>
      </c>
      <c r="B38" s="6">
        <v>5590</v>
      </c>
    </row>
    <row r="39" spans="1:2" x14ac:dyDescent="0.25">
      <c r="A39" s="3" t="s">
        <v>34</v>
      </c>
      <c r="B39" s="6">
        <v>5590</v>
      </c>
    </row>
    <row r="54" spans="1:2" x14ac:dyDescent="0.25">
      <c r="A54" s="3" t="s">
        <v>64</v>
      </c>
    </row>
    <row r="55" spans="1:2" x14ac:dyDescent="0.25">
      <c r="A55" s="2" t="s">
        <v>33</v>
      </c>
      <c r="B55" t="s">
        <v>47</v>
      </c>
    </row>
    <row r="56" spans="1:2" x14ac:dyDescent="0.25">
      <c r="A56" s="3" t="s">
        <v>12</v>
      </c>
      <c r="B56" s="6">
        <v>336</v>
      </c>
    </row>
    <row r="57" spans="1:2" x14ac:dyDescent="0.25">
      <c r="A57" s="3" t="s">
        <v>14</v>
      </c>
      <c r="B57" s="6">
        <v>310</v>
      </c>
    </row>
    <row r="58" spans="1:2" x14ac:dyDescent="0.25">
      <c r="A58" s="3" t="s">
        <v>27</v>
      </c>
      <c r="B58" s="6">
        <v>306</v>
      </c>
    </row>
    <row r="59" spans="1:2" x14ac:dyDescent="0.25">
      <c r="A59" s="3" t="s">
        <v>22</v>
      </c>
      <c r="B59" s="6">
        <v>304</v>
      </c>
    </row>
    <row r="60" spans="1:2" x14ac:dyDescent="0.25">
      <c r="A60" s="3" t="s">
        <v>31</v>
      </c>
      <c r="B60" s="6">
        <v>303</v>
      </c>
    </row>
    <row r="61" spans="1:2" x14ac:dyDescent="0.25">
      <c r="A61" s="3" t="s">
        <v>32</v>
      </c>
      <c r="B61" s="6">
        <v>294</v>
      </c>
    </row>
    <row r="62" spans="1:2" x14ac:dyDescent="0.25">
      <c r="A62" s="3" t="s">
        <v>34</v>
      </c>
      <c r="B62" s="6">
        <v>1853</v>
      </c>
    </row>
    <row r="71" spans="1:2" x14ac:dyDescent="0.25">
      <c r="A71" s="3" t="s">
        <v>65</v>
      </c>
    </row>
    <row r="72" spans="1:2" x14ac:dyDescent="0.25">
      <c r="A72" s="2" t="s">
        <v>33</v>
      </c>
      <c r="B72" t="s">
        <v>66</v>
      </c>
    </row>
    <row r="73" spans="1:2" x14ac:dyDescent="0.25">
      <c r="A73" s="3" t="s">
        <v>28</v>
      </c>
      <c r="B73" s="6">
        <v>484</v>
      </c>
    </row>
    <row r="74" spans="1:2" x14ac:dyDescent="0.25">
      <c r="A74" s="3" t="s">
        <v>13</v>
      </c>
      <c r="B74" s="6">
        <v>467</v>
      </c>
    </row>
    <row r="75" spans="1:2" x14ac:dyDescent="0.25">
      <c r="A75" s="3" t="s">
        <v>19</v>
      </c>
      <c r="B75" s="6">
        <v>457</v>
      </c>
    </row>
    <row r="76" spans="1:2" x14ac:dyDescent="0.25">
      <c r="A76" s="3" t="s">
        <v>15</v>
      </c>
      <c r="B76" s="6">
        <v>445</v>
      </c>
    </row>
    <row r="77" spans="1:2" x14ac:dyDescent="0.25">
      <c r="A77" s="3" t="s">
        <v>34</v>
      </c>
      <c r="B77" s="6">
        <v>1853</v>
      </c>
    </row>
    <row r="88" spans="1:2" x14ac:dyDescent="0.25">
      <c r="A88" s="3" t="s">
        <v>68</v>
      </c>
    </row>
    <row r="89" spans="1:2" x14ac:dyDescent="0.25">
      <c r="A89" s="2" t="s">
        <v>33</v>
      </c>
      <c r="B89" t="s">
        <v>67</v>
      </c>
    </row>
    <row r="90" spans="1:2" x14ac:dyDescent="0.25">
      <c r="A90" s="3">
        <v>1</v>
      </c>
      <c r="B90" s="6">
        <v>410</v>
      </c>
    </row>
    <row r="91" spans="1:2" x14ac:dyDescent="0.25">
      <c r="A91" s="3">
        <v>3</v>
      </c>
      <c r="B91" s="6">
        <v>390</v>
      </c>
    </row>
    <row r="92" spans="1:2" x14ac:dyDescent="0.25">
      <c r="A92" s="3">
        <v>4</v>
      </c>
      <c r="B92" s="6">
        <v>376</v>
      </c>
    </row>
    <row r="93" spans="1:2" x14ac:dyDescent="0.25">
      <c r="A93" s="3">
        <v>5</v>
      </c>
      <c r="B93" s="6">
        <v>340</v>
      </c>
    </row>
    <row r="94" spans="1:2" x14ac:dyDescent="0.25">
      <c r="A94" s="3">
        <v>2</v>
      </c>
      <c r="B94" s="6">
        <v>337</v>
      </c>
    </row>
    <row r="95" spans="1:2" x14ac:dyDescent="0.25">
      <c r="A95" s="3" t="s">
        <v>34</v>
      </c>
      <c r="B95" s="6">
        <v>1853</v>
      </c>
    </row>
    <row r="102" spans="1:2" x14ac:dyDescent="0.25">
      <c r="A102" t="s">
        <v>68</v>
      </c>
      <c r="B102" t="s">
        <v>70</v>
      </c>
    </row>
    <row r="103" spans="1:2" x14ac:dyDescent="0.25">
      <c r="A103">
        <v>5</v>
      </c>
      <c r="B103">
        <f>COUNTIF(datos_ventas[Satisfaccion],5)</f>
        <v>985</v>
      </c>
    </row>
    <row r="104" spans="1:2" x14ac:dyDescent="0.25">
      <c r="A104">
        <v>4</v>
      </c>
      <c r="B104">
        <f>COUNTIF(datos_ventas[Satisfaccion],4)</f>
        <v>969</v>
      </c>
    </row>
    <row r="105" spans="1:2" x14ac:dyDescent="0.25">
      <c r="A105">
        <v>3</v>
      </c>
      <c r="B105">
        <f>COUNTIF(datos_ventas[Satisfaccion],3)</f>
        <v>1066</v>
      </c>
    </row>
    <row r="106" spans="1:2" x14ac:dyDescent="0.25">
      <c r="A106">
        <v>2</v>
      </c>
      <c r="B106">
        <f>COUNTIF(datos_ventas[Satisfaccion],2)</f>
        <v>956</v>
      </c>
    </row>
    <row r="107" spans="1:2" x14ac:dyDescent="0.25">
      <c r="A107">
        <v>1</v>
      </c>
      <c r="B107">
        <f>COUNTIF(datos_ventas[Satisfaccion],1)</f>
        <v>1024</v>
      </c>
    </row>
  </sheetData>
  <pageMargins left="0.7" right="0.7" top="0.75" bottom="0.75" header="0.3" footer="0.3"/>
  <drawing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970C-7DB6-46D0-8AB0-39497D5C2AC7}">
  <dimension ref="A1"/>
  <sheetViews>
    <sheetView topLeftCell="A16" zoomScale="85" zoomScaleNormal="85" workbookViewId="0">
      <selection activeCell="W25" sqref="W25"/>
    </sheetView>
  </sheetViews>
  <sheetFormatPr baseColWidth="10" defaultRowHeight="15" x14ac:dyDescent="0.25"/>
  <sheetData>
    <row r="1" customForma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8E3B-6F09-4048-8CB8-88779D14DC1D}">
  <dimension ref="A1:A7"/>
  <sheetViews>
    <sheetView tabSelected="1" workbookViewId="0">
      <selection activeCell="E9" sqref="E9"/>
    </sheetView>
  </sheetViews>
  <sheetFormatPr baseColWidth="10" defaultRowHeight="15" x14ac:dyDescent="0.25"/>
  <cols>
    <col min="1" max="1" width="49.5703125" bestFit="1" customWidth="1"/>
  </cols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838FB5-DA59-4287-BC5C-8398C1A023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datos_ventas</vt:lpstr>
      <vt:lpstr>Referencias</vt:lpstr>
      <vt:lpstr>tablas_dinamicas</vt:lpstr>
      <vt:lpstr>Dashboard</vt:lpstr>
      <vt:lpstr>Informe explicativo del análisi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2026-02-10T23:12:15Z</dcterms:created>
  <dcterms:modified xsi:type="dcterms:W3CDTF">2026-02-12T22:28:11Z</dcterms:modified>
</cp:coreProperties>
</file>